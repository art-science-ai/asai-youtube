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gitaas1-my.sharepoint.com/personal/siddharth_agarwal_cogitaas_com/Documents/Work/Work/CSF/Kraft Heinz UK/Brown Sauce/SP/"/>
    </mc:Choice>
  </mc:AlternateContent>
  <xr:revisionPtr revIDLastSave="118" documentId="8_{7DC888EB-4687-4E22-B299-AB1C57103DAE}" xr6:coauthVersionLast="47" xr6:coauthVersionMax="47" xr10:uidLastSave="{7149A51D-6F63-4F31-8191-5807514E7BF2}"/>
  <bookViews>
    <workbookView xWindow="-28935" yWindow="-915" windowWidth="29070" windowHeight="16470" activeTab="1" xr2:uid="{C337FDD6-0263-4D56-801A-79B77270D516}"/>
  </bookViews>
  <sheets>
    <sheet name="Input - Supermarket" sheetId="1" r:id="rId1"/>
    <sheet name="Calculations - Supermarket" sheetId="2" r:id="rId2"/>
    <sheet name="Supermarket" sheetId="3" r:id="rId3"/>
    <sheet name="Input - Tesco" sheetId="5" r:id="rId4"/>
    <sheet name="Calculations - Tesco" sheetId="6" r:id="rId5"/>
    <sheet name="Tesco" sheetId="7" r:id="rId6"/>
    <sheet name="Input - Iceland" sheetId="8" r:id="rId7"/>
    <sheet name="Calculations - Iceland" sheetId="9" r:id="rId8"/>
    <sheet name="Iceland" sheetId="10" r:id="rId9"/>
    <sheet name="Input - Convenience" sheetId="11" r:id="rId10"/>
    <sheet name="Calculations - Convenience" sheetId="12" r:id="rId11"/>
    <sheet name="Convenience" sheetId="13" r:id="rId12"/>
  </sheets>
  <definedNames>
    <definedName name="_xlnm._FilterDatabase" localSheetId="9" hidden="1">'Input - Convenience'!$C$2:$I$34</definedName>
    <definedName name="_xlnm._FilterDatabase" localSheetId="6" hidden="1">'Input - Iceland'!$C$2:$I$34</definedName>
    <definedName name="_xlnm._FilterDatabase" localSheetId="0" hidden="1">'Input - Supermarket'!$C$2:$I$34</definedName>
    <definedName name="_xlnm._FilterDatabase" localSheetId="3" hidden="1">'Input - Tesco'!$C$2:$I$34</definedName>
    <definedName name="_xleta.N" hidden="1" xlm="1">#NAME?</definedName>
    <definedName name="_xleta.T" hidden="1" xlm="1">#NAME?</definedName>
    <definedName name="Final_CSF_ch1">OFFSET('Calculations - Supermarket'!$AX$4,0,0,COUNTA('Calculations - Supermarket'!$AX$4:$AX$23)-COUNTBLANK('Calculations - Supermarket'!$AX$4:$AX$23),1)</definedName>
    <definedName name="Final_CSF_ch2">OFFSET('Calculations - Tesco'!$AX$4,0,0,COUNTA('Calculations - Tesco'!$AX$4:$AX$23)-COUNTBLANK('Calculations - Tesco'!$AX$4:$AX$23),1)</definedName>
    <definedName name="Final_CSF_ch3">OFFSET('Calculations - Iceland'!$AX$4,0,0,COUNTA('Calculations - Iceland'!$AX$4:$AX$23)-COUNTBLANK('Calculations - Iceland'!$AX$4:$AX$23),1)</definedName>
    <definedName name="Final_CSF_ch4">OFFSET('Calculations - Convenience'!$AX$4,0,0,COUNTA('Calculations - Convenience'!$AX$4:$AX$23)-COUNTBLANK('Calculations - Convenience'!$AX$4:$AX$23),1)</definedName>
    <definedName name="Graph_Brand_List_ch1">OFFSET('Calculations - Supermarket'!$F$4,0,0,COUNTA('Calculations - Supermarket'!$F$4:$F$23)-COUNTBLANK('Calculations - Supermarket'!$F$4:$F$23),1)</definedName>
    <definedName name="Graph_Brand_List_ch2">OFFSET('Calculations - Tesco'!$F$4,0,0,COUNTA('Calculations - Tesco'!$F$4:$F$23)-COUNTBLANK('Calculations - Tesco'!$F$4:$F$23),1)</definedName>
    <definedName name="Graph_Brand_List_ch3">OFFSET('Calculations - Iceland'!$F$4,0,0,COUNTA('Calculations - Iceland'!$F$4:$F$23)-COUNTBLANK('Calculations - Iceland'!$F$4:$F$23),1)</definedName>
    <definedName name="Graph_Brand_List_ch4">OFFSET('Calculations - Convenience'!$F$4,0,0,COUNTA('Calculations - Convenience'!$F$4:$F$23)-COUNTBLANK('Calculations - Convenience'!$F$4:$F$23),1)</definedName>
    <definedName name="Graph_colour_ch1">OFFSET('Calculations - Supermarket'!$B$4,0,0,COUNTA('Calculations - Supermarket'!$B$4:$B$23)-COUNTBLANK('Calculations - Supermarket'!$B$4:$B$23),1)</definedName>
    <definedName name="Graph_colour_ch2">OFFSET('Calculations - Tesco'!$B$4,0,0,COUNTA('Calculations - Tesco'!$B$4:$B$23)-COUNTBLANK('Calculations - Tesco'!$B$4:$B$23),1)</definedName>
    <definedName name="Graph_colour_ch3">OFFSET('Calculations - Iceland'!$B$4,0,0,COUNTA('Calculations - Iceland'!$B$4:$B$23)-COUNTBLANK('Calculations - Iceland'!$B$4:$B$23),1)</definedName>
    <definedName name="Graph_colour_ch4">OFFSET('Calculations - Convenience'!$B$4,0,0,COUNTA('Calculations - Convenience'!$B$4:$B$23)-COUNTBLANK('Calculations - Convenience'!$B$4:$B$23),1)</definedName>
    <definedName name="Graph_Final_MSP_ch1">OFFSET('Calculations - Supermarket'!$AS$4,0,0,COUNTA('Calculations - Supermarket'!$AS$4:$AS$23)-COUNTBLANK('Calculations - Supermarket'!$AS$4:$AS$23),1)</definedName>
    <definedName name="Graph_Final_MSP_ch2">OFFSET('Calculations - Tesco'!$AS$4,0,0,COUNTA('Calculations - Tesco'!$AS$4:$AS$23)-COUNTBLANK('Calculations - Tesco'!$AS$4:$AS$23),1)</definedName>
    <definedName name="Graph_Final_MSP_ch3">OFFSET('Calculations - Iceland'!$AS$4,0,0,COUNTA('Calculations - Iceland'!$AS$4:$AS$23)-COUNTBLANK('Calculations - Iceland'!$AS$4:$AS$23),1)</definedName>
    <definedName name="Graph_Final_MSP_ch4">OFFSET('Calculations - Convenience'!$AS$4,0,0,COUNTA('Calculations - Convenience'!$AS$4:$AS$23)-COUNTBLANK('Calculations - Convenience'!$AS$4:$AS$23),1)</definedName>
    <definedName name="Graph_MS_Do_Nothing_ch1">OFFSET('Calculations - Supermarket'!$Y$4,0,0,COUNTA('Calculations - Supermarket'!$Y$4:$Y$23)-COUNTBLANK('Calculations - Supermarket'!$Y$4:$Y$23),1)</definedName>
    <definedName name="Graph_MS_Do_Nothing_ch2">OFFSET('Calculations - Tesco'!$Y$4,0,0,COUNTA('Calculations - Tesco'!$Y$4:$Y$23)-COUNTBLANK('Calculations - Tesco'!$Y$4:$Y$23),1)</definedName>
    <definedName name="Graph_MS_Do_Nothing_ch3">OFFSET('Calculations - Iceland'!$Y$4,0,0,COUNTA('Calculations - Iceland'!$Y$4:$Y$23)-COUNTBLANK('Calculations - Iceland'!$Y$4:$Y$23),1)</definedName>
    <definedName name="Graph_MS_Do_Nothing_ch4">OFFSET('Calculations - Convenience'!$Y$4,0,0,COUNTA('Calculations - Convenience'!$Y$4:$Y$23)-COUNTBLANK('Calculations - Convenience'!$Y$4:$Y$23),1)</definedName>
    <definedName name="Graph_MS_Final_ch1">OFFSET('Calculations - Supermarket'!$AR$4,0,0,COUNTA('Calculations - Supermarket'!$AR$4:$AR$23)-COUNTBLANK('Calculations - Supermarket'!$AR$4:$AR$23),1)</definedName>
    <definedName name="Graph_MS_Final_ch2">OFFSET('Calculations - Tesco'!$AR$4,0,0,COUNTA('Calculations - Tesco'!$AR$4:$AR$23)-COUNTBLANK('Calculations - Tesco'!$AR$4:$AR$23),1)</definedName>
    <definedName name="Graph_MS_Final_ch3">OFFSET('Calculations - Iceland'!$AR$4,0,0,COUNTA('Calculations - Iceland'!$AR$4:$AR$23)-COUNTBLANK('Calculations - Iceland'!$AR$4:$AR$23),1)</definedName>
    <definedName name="Graph_MS_Final_ch4">OFFSET('Calculations - Convenience'!$AR$4,0,0,COUNTA('Calculations - Convenience'!$AR$4:$AR$23)-COUNTBLANK('Calculations - Convenience'!$AR$4:$AR$23),1)</definedName>
    <definedName name="Graph_MS_Initial_c1">OFFSET('Calculations - Supermarket'!$P$4,0,0,COUNTA('Calculations - Supermarket'!$P$4:$P$23)-COUNTBLANK('Calculations - Supermarket'!$P$4:$P$23),1)</definedName>
    <definedName name="Graph_MS_Initial_c2">OFFSET('Calculations - Tesco'!$P$4,0,0,COUNTA('Calculations - Tesco'!$P$4:$P$23)-COUNTBLANK('Calculations - Tesco'!$P$4:$P$23),1)</definedName>
    <definedName name="Graph_MS_Initial_c3">OFFSET('Calculations - Iceland'!$P$4,0,0,COUNTA('Calculations - Iceland'!$P$4:$P$23)-COUNTBLANK('Calculations - Iceland'!$P$4:$P$23),1)</definedName>
    <definedName name="Graph_MS_Initial_c4">OFFSET('Calculations - Convenience'!$P$4,0,0,COUNTA('Calculations - Convenience'!$P$4:$P$23)-COUNTBLANK('Calculations - Convenience'!$P$4:$P$23),1)</definedName>
    <definedName name="Initial_CSF_ch1">OFFSET('Calculations - Supermarket'!$I$4,0,0,COUNTA('Calculations - Supermarket'!$I$4:$I$23)-COUNTBLANK('Calculations - Supermarket'!$I$4:$I$23),1)</definedName>
    <definedName name="Initial_CSF_ch2">OFFSET('Calculations - Tesco'!$I$4,0,0,COUNTA('Calculations - Tesco'!$I$4:$I$23)-COUNTBLANK('Calculations - Tesco'!$I$4:$I$23),1)</definedName>
    <definedName name="Initial_CSF_ch3">OFFSET('Calculations - Iceland'!$I$4,0,0,COUNTA('Calculations - Iceland'!$I$4:$I$23)-COUNTBLANK('Calculations - Iceland'!$I$4:$I$23),1)</definedName>
    <definedName name="Initial_CSF_ch4">OFFSET('Calculations - Convenience'!$I$4,0,0,COUNTA('Calculations - Convenience'!$I$4:$I$23)-COUNTBLANK('Calculations - Convenience'!$I$4:$I$23),1)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" i="7" l="1"/>
  <c r="P31" i="7"/>
  <c r="P27" i="7"/>
  <c r="P26" i="7"/>
  <c r="P25" i="7"/>
  <c r="P21" i="7"/>
  <c r="P20" i="7"/>
  <c r="P19" i="7"/>
  <c r="P15" i="7"/>
  <c r="P14" i="7"/>
  <c r="P13" i="7"/>
  <c r="P39" i="3"/>
  <c r="P38" i="3"/>
  <c r="P37" i="3"/>
  <c r="P33" i="3"/>
  <c r="P32" i="3"/>
  <c r="P31" i="3"/>
  <c r="P27" i="3"/>
  <c r="P26" i="3"/>
  <c r="P25" i="3"/>
  <c r="P21" i="3"/>
  <c r="P20" i="3"/>
  <c r="P19" i="3"/>
  <c r="P15" i="3"/>
  <c r="P14" i="3"/>
  <c r="P13" i="3"/>
  <c r="P32" i="10"/>
  <c r="P31" i="10"/>
  <c r="P27" i="10"/>
  <c r="P26" i="10"/>
  <c r="P25" i="10"/>
  <c r="P21" i="10"/>
  <c r="P20" i="10"/>
  <c r="P19" i="10"/>
  <c r="P15" i="10"/>
  <c r="P14" i="10"/>
  <c r="P13" i="10"/>
  <c r="M15" i="13"/>
  <c r="M14" i="13"/>
  <c r="M13" i="13"/>
  <c r="C229" i="12"/>
  <c r="B229" i="12"/>
  <c r="C228" i="12"/>
  <c r="B228" i="12"/>
  <c r="C227" i="12"/>
  <c r="B227" i="12"/>
  <c r="C226" i="12"/>
  <c r="B226" i="12"/>
  <c r="C225" i="12"/>
  <c r="B225" i="12"/>
  <c r="C224" i="12"/>
  <c r="B224" i="12"/>
  <c r="C223" i="12"/>
  <c r="B223" i="12"/>
  <c r="C222" i="12"/>
  <c r="B222" i="12"/>
  <c r="C221" i="12"/>
  <c r="B221" i="12"/>
  <c r="C220" i="12"/>
  <c r="B220" i="12"/>
  <c r="C219" i="12"/>
  <c r="B219" i="12"/>
  <c r="C218" i="12"/>
  <c r="B218" i="12"/>
  <c r="C217" i="12"/>
  <c r="B217" i="12"/>
  <c r="C216" i="12"/>
  <c r="B216" i="12"/>
  <c r="C215" i="12"/>
  <c r="B215" i="12"/>
  <c r="C214" i="12"/>
  <c r="B214" i="12"/>
  <c r="C213" i="12"/>
  <c r="B213" i="12"/>
  <c r="C212" i="12"/>
  <c r="B212" i="12"/>
  <c r="C211" i="12"/>
  <c r="B211" i="12"/>
  <c r="C210" i="12"/>
  <c r="B210" i="12"/>
  <c r="C209" i="12"/>
  <c r="B209" i="12"/>
  <c r="C208" i="12"/>
  <c r="B208" i="12"/>
  <c r="C207" i="12"/>
  <c r="B207" i="12"/>
  <c r="C206" i="12"/>
  <c r="B206" i="12"/>
  <c r="C205" i="12"/>
  <c r="B205" i="12"/>
  <c r="C204" i="12"/>
  <c r="B204" i="12"/>
  <c r="C203" i="12"/>
  <c r="B203" i="12"/>
  <c r="C202" i="12"/>
  <c r="B202" i="12"/>
  <c r="C201" i="12"/>
  <c r="B201" i="12"/>
  <c r="C200" i="12"/>
  <c r="B200" i="12"/>
  <c r="C199" i="12"/>
  <c r="B199" i="12"/>
  <c r="C198" i="12"/>
  <c r="B198" i="12"/>
  <c r="C197" i="12"/>
  <c r="B197" i="12"/>
  <c r="C196" i="12"/>
  <c r="B196" i="12"/>
  <c r="C195" i="12"/>
  <c r="B195" i="12"/>
  <c r="C194" i="12"/>
  <c r="B194" i="12"/>
  <c r="C193" i="12"/>
  <c r="B193" i="12"/>
  <c r="C192" i="12"/>
  <c r="B192" i="12"/>
  <c r="C191" i="12"/>
  <c r="B191" i="12"/>
  <c r="C190" i="12"/>
  <c r="B190" i="12"/>
  <c r="C189" i="12"/>
  <c r="B189" i="12"/>
  <c r="C188" i="12"/>
  <c r="B188" i="12"/>
  <c r="C187" i="12"/>
  <c r="B187" i="12"/>
  <c r="C186" i="12"/>
  <c r="B186" i="12"/>
  <c r="C185" i="12"/>
  <c r="B185" i="12"/>
  <c r="C184" i="12"/>
  <c r="B184" i="12"/>
  <c r="C183" i="12"/>
  <c r="B183" i="12"/>
  <c r="C182" i="12"/>
  <c r="B182" i="12"/>
  <c r="C181" i="12"/>
  <c r="B181" i="12"/>
  <c r="C180" i="12"/>
  <c r="B180" i="12"/>
  <c r="C179" i="12"/>
  <c r="B179" i="12"/>
  <c r="C178" i="12"/>
  <c r="B178" i="12"/>
  <c r="C177" i="12"/>
  <c r="B177" i="12"/>
  <c r="C176" i="12"/>
  <c r="B176" i="12"/>
  <c r="C175" i="12"/>
  <c r="B175" i="12"/>
  <c r="C174" i="12"/>
  <c r="B174" i="12"/>
  <c r="C173" i="12"/>
  <c r="B173" i="12"/>
  <c r="C172" i="12"/>
  <c r="B172" i="12"/>
  <c r="C171" i="12"/>
  <c r="B171" i="12"/>
  <c r="C170" i="12"/>
  <c r="B170" i="12"/>
  <c r="C169" i="12"/>
  <c r="B169" i="12"/>
  <c r="C168" i="12"/>
  <c r="B168" i="12"/>
  <c r="C167" i="12"/>
  <c r="B167" i="12"/>
  <c r="C166" i="12"/>
  <c r="B166" i="12"/>
  <c r="C165" i="12"/>
  <c r="B165" i="12"/>
  <c r="C164" i="12"/>
  <c r="B164" i="12"/>
  <c r="C163" i="12"/>
  <c r="B163" i="12"/>
  <c r="C162" i="12"/>
  <c r="B162" i="12"/>
  <c r="C161" i="12"/>
  <c r="B161" i="12"/>
  <c r="C160" i="12"/>
  <c r="B160" i="12"/>
  <c r="C159" i="12"/>
  <c r="B159" i="12"/>
  <c r="C158" i="12"/>
  <c r="B158" i="12"/>
  <c r="C157" i="12"/>
  <c r="B157" i="12"/>
  <c r="C156" i="12"/>
  <c r="B156" i="12"/>
  <c r="C155" i="12"/>
  <c r="B155" i="12"/>
  <c r="C154" i="12"/>
  <c r="B154" i="12"/>
  <c r="C153" i="12"/>
  <c r="B153" i="12"/>
  <c r="C152" i="12"/>
  <c r="B152" i="12"/>
  <c r="C151" i="12"/>
  <c r="B151" i="12"/>
  <c r="C150" i="12"/>
  <c r="B150" i="12"/>
  <c r="C149" i="12"/>
  <c r="B149" i="12"/>
  <c r="C148" i="12"/>
  <c r="B148" i="12"/>
  <c r="C147" i="12"/>
  <c r="B147" i="12"/>
  <c r="C146" i="12"/>
  <c r="B146" i="12"/>
  <c r="C145" i="12"/>
  <c r="B145" i="12"/>
  <c r="C144" i="12"/>
  <c r="B144" i="12"/>
  <c r="C143" i="12"/>
  <c r="B143" i="12"/>
  <c r="C142" i="12"/>
  <c r="B142" i="12"/>
  <c r="C141" i="12"/>
  <c r="B141" i="12"/>
  <c r="C140" i="12"/>
  <c r="B140" i="12"/>
  <c r="C139" i="12"/>
  <c r="B139" i="12"/>
  <c r="C138" i="12"/>
  <c r="B138" i="12"/>
  <c r="C137" i="12"/>
  <c r="B137" i="12"/>
  <c r="C136" i="12"/>
  <c r="B136" i="12"/>
  <c r="C135" i="12"/>
  <c r="B135" i="12"/>
  <c r="C134" i="12"/>
  <c r="B134" i="12"/>
  <c r="C133" i="12"/>
  <c r="B133" i="12"/>
  <c r="C132" i="12"/>
  <c r="B132" i="12"/>
  <c r="C131" i="12"/>
  <c r="B131" i="12"/>
  <c r="C130" i="12"/>
  <c r="B130" i="12"/>
  <c r="C129" i="12"/>
  <c r="B129" i="12"/>
  <c r="C128" i="12"/>
  <c r="B128" i="12"/>
  <c r="C127" i="12"/>
  <c r="B127" i="12"/>
  <c r="C126" i="12"/>
  <c r="B126" i="12"/>
  <c r="C125" i="12"/>
  <c r="B125" i="12"/>
  <c r="C124" i="12"/>
  <c r="B124" i="12"/>
  <c r="C123" i="12"/>
  <c r="B123" i="12"/>
  <c r="C122" i="12"/>
  <c r="B122" i="12"/>
  <c r="C121" i="12"/>
  <c r="B121" i="12"/>
  <c r="C120" i="12"/>
  <c r="B120" i="12"/>
  <c r="C119" i="12"/>
  <c r="B119" i="12"/>
  <c r="C118" i="12"/>
  <c r="B118" i="12"/>
  <c r="C117" i="12"/>
  <c r="B117" i="12"/>
  <c r="C116" i="12"/>
  <c r="B116" i="12"/>
  <c r="C115" i="12"/>
  <c r="B115" i="12"/>
  <c r="C114" i="12"/>
  <c r="B114" i="12"/>
  <c r="C113" i="12"/>
  <c r="B113" i="12"/>
  <c r="C112" i="12"/>
  <c r="B112" i="12"/>
  <c r="C111" i="12"/>
  <c r="B111" i="12"/>
  <c r="C110" i="12"/>
  <c r="B110" i="12"/>
  <c r="C109" i="12"/>
  <c r="B109" i="12"/>
  <c r="C108" i="12"/>
  <c r="B108" i="12"/>
  <c r="C107" i="12"/>
  <c r="B107" i="12"/>
  <c r="C106" i="12"/>
  <c r="B106" i="12"/>
  <c r="C105" i="12"/>
  <c r="B105" i="12"/>
  <c r="C104" i="12"/>
  <c r="B104" i="12"/>
  <c r="C103" i="12"/>
  <c r="B103" i="12"/>
  <c r="C102" i="12"/>
  <c r="B102" i="12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I61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J30" i="12"/>
  <c r="D30" i="12"/>
  <c r="B30" i="12" s="1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J24" i="12"/>
  <c r="E24" i="12"/>
  <c r="D24" i="12" s="1"/>
  <c r="F23" i="12"/>
  <c r="D23" i="12" s="1"/>
  <c r="B23" i="12"/>
  <c r="F22" i="12"/>
  <c r="B22" i="12"/>
  <c r="G21" i="12"/>
  <c r="F21" i="12"/>
  <c r="D21" i="12"/>
  <c r="B21" i="12"/>
  <c r="F20" i="12"/>
  <c r="D20" i="12"/>
  <c r="B20" i="12"/>
  <c r="F19" i="12"/>
  <c r="D19" i="12"/>
  <c r="B19" i="12"/>
  <c r="F18" i="12"/>
  <c r="D18" i="12"/>
  <c r="B18" i="12"/>
  <c r="F17" i="12"/>
  <c r="D17" i="12"/>
  <c r="B17" i="12"/>
  <c r="F16" i="12"/>
  <c r="D16" i="12"/>
  <c r="B16" i="12"/>
  <c r="F15" i="12"/>
  <c r="D15" i="12"/>
  <c r="B15" i="12"/>
  <c r="F14" i="12"/>
  <c r="B14" i="12"/>
  <c r="F13" i="12"/>
  <c r="D13" i="12"/>
  <c r="B13" i="12"/>
  <c r="F12" i="12"/>
  <c r="D12" i="12" s="1"/>
  <c r="B12" i="12"/>
  <c r="L11" i="12"/>
  <c r="F11" i="12"/>
  <c r="D11" i="12"/>
  <c r="B11" i="12"/>
  <c r="H10" i="12"/>
  <c r="F10" i="12"/>
  <c r="D10" i="12"/>
  <c r="B10" i="12"/>
  <c r="F9" i="12"/>
  <c r="D9" i="12" s="1"/>
  <c r="B9" i="12"/>
  <c r="F8" i="12"/>
  <c r="D8" i="12" s="1"/>
  <c r="B8" i="12"/>
  <c r="F7" i="12"/>
  <c r="D7" i="12" s="1"/>
  <c r="B7" i="12"/>
  <c r="F6" i="12"/>
  <c r="D6" i="12"/>
  <c r="G6" i="12" s="1"/>
  <c r="B6" i="12"/>
  <c r="F5" i="12"/>
  <c r="D5" i="12" s="1"/>
  <c r="B5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B2" i="12"/>
  <c r="O200" i="11"/>
  <c r="B200" i="11"/>
  <c r="O199" i="11"/>
  <c r="B199" i="11"/>
  <c r="O198" i="11"/>
  <c r="B198" i="11"/>
  <c r="O197" i="11"/>
  <c r="B197" i="11"/>
  <c r="O196" i="11"/>
  <c r="B196" i="11"/>
  <c r="O195" i="11"/>
  <c r="B195" i="11"/>
  <c r="O194" i="11"/>
  <c r="B194" i="11"/>
  <c r="O193" i="11"/>
  <c r="B193" i="11"/>
  <c r="O192" i="11"/>
  <c r="B192" i="11"/>
  <c r="O191" i="11"/>
  <c r="B191" i="11"/>
  <c r="O190" i="11"/>
  <c r="B190" i="11"/>
  <c r="O189" i="11"/>
  <c r="B189" i="11"/>
  <c r="O188" i="11"/>
  <c r="B188" i="11"/>
  <c r="O187" i="11"/>
  <c r="B187" i="11"/>
  <c r="O186" i="11"/>
  <c r="B186" i="11"/>
  <c r="O185" i="11"/>
  <c r="B185" i="11"/>
  <c r="O184" i="11"/>
  <c r="B184" i="11"/>
  <c r="O183" i="11"/>
  <c r="B183" i="11"/>
  <c r="O182" i="11"/>
  <c r="B182" i="11"/>
  <c r="O181" i="11"/>
  <c r="B181" i="11"/>
  <c r="O180" i="11"/>
  <c r="B180" i="11"/>
  <c r="O179" i="11"/>
  <c r="B179" i="11"/>
  <c r="O178" i="11"/>
  <c r="B178" i="11"/>
  <c r="O177" i="11"/>
  <c r="B177" i="11"/>
  <c r="O176" i="11"/>
  <c r="B176" i="11"/>
  <c r="O175" i="11"/>
  <c r="B175" i="11"/>
  <c r="O174" i="11"/>
  <c r="B174" i="11"/>
  <c r="O173" i="11"/>
  <c r="B173" i="11"/>
  <c r="O172" i="11"/>
  <c r="B172" i="11"/>
  <c r="O171" i="11"/>
  <c r="B171" i="11"/>
  <c r="O170" i="11"/>
  <c r="B170" i="11"/>
  <c r="O169" i="11"/>
  <c r="B169" i="11"/>
  <c r="O168" i="11"/>
  <c r="B168" i="11"/>
  <c r="O167" i="11"/>
  <c r="B167" i="11"/>
  <c r="O166" i="11"/>
  <c r="B166" i="11"/>
  <c r="O165" i="11"/>
  <c r="B165" i="11"/>
  <c r="O164" i="11"/>
  <c r="B164" i="11"/>
  <c r="O163" i="11"/>
  <c r="B163" i="11"/>
  <c r="O162" i="11"/>
  <c r="B162" i="11"/>
  <c r="O161" i="11"/>
  <c r="B161" i="11"/>
  <c r="O160" i="11"/>
  <c r="B160" i="11"/>
  <c r="O159" i="11"/>
  <c r="B159" i="11"/>
  <c r="O158" i="11"/>
  <c r="B158" i="11"/>
  <c r="O157" i="11"/>
  <c r="B157" i="11"/>
  <c r="O156" i="11"/>
  <c r="B156" i="11"/>
  <c r="O155" i="11"/>
  <c r="B155" i="11"/>
  <c r="O154" i="11"/>
  <c r="B154" i="11"/>
  <c r="O153" i="11"/>
  <c r="B153" i="11"/>
  <c r="O152" i="11"/>
  <c r="B152" i="11"/>
  <c r="O151" i="11"/>
  <c r="B151" i="11"/>
  <c r="O150" i="11"/>
  <c r="B150" i="11"/>
  <c r="O149" i="11"/>
  <c r="B149" i="11"/>
  <c r="O148" i="11"/>
  <c r="B148" i="11"/>
  <c r="O147" i="11"/>
  <c r="B147" i="11"/>
  <c r="O146" i="11"/>
  <c r="B146" i="11"/>
  <c r="O145" i="11"/>
  <c r="B145" i="11"/>
  <c r="O144" i="11"/>
  <c r="B144" i="11"/>
  <c r="O143" i="11"/>
  <c r="B143" i="11"/>
  <c r="O142" i="11"/>
  <c r="B142" i="11"/>
  <c r="O141" i="11"/>
  <c r="B141" i="11"/>
  <c r="O140" i="11"/>
  <c r="B140" i="11"/>
  <c r="O139" i="11"/>
  <c r="B139" i="11"/>
  <c r="O138" i="11"/>
  <c r="B138" i="11"/>
  <c r="O137" i="11"/>
  <c r="B137" i="11"/>
  <c r="O136" i="11"/>
  <c r="B136" i="11"/>
  <c r="O135" i="11"/>
  <c r="B135" i="11"/>
  <c r="O134" i="11"/>
  <c r="B134" i="11"/>
  <c r="O133" i="11"/>
  <c r="B133" i="11"/>
  <c r="O132" i="11"/>
  <c r="B132" i="11"/>
  <c r="O131" i="11"/>
  <c r="B131" i="11"/>
  <c r="O130" i="11"/>
  <c r="B130" i="11"/>
  <c r="O129" i="11"/>
  <c r="B129" i="11"/>
  <c r="O128" i="11"/>
  <c r="B128" i="11"/>
  <c r="O127" i="11"/>
  <c r="B127" i="11"/>
  <c r="O126" i="11"/>
  <c r="B126" i="11"/>
  <c r="O125" i="11"/>
  <c r="B125" i="11"/>
  <c r="O124" i="11"/>
  <c r="B124" i="11"/>
  <c r="O123" i="11"/>
  <c r="B123" i="11"/>
  <c r="O122" i="11"/>
  <c r="B122" i="11"/>
  <c r="O121" i="11"/>
  <c r="B121" i="11"/>
  <c r="O120" i="11"/>
  <c r="B120" i="11"/>
  <c r="O119" i="11"/>
  <c r="B119" i="11"/>
  <c r="O118" i="11"/>
  <c r="B118" i="11"/>
  <c r="O117" i="11"/>
  <c r="B117" i="11"/>
  <c r="O116" i="11"/>
  <c r="B116" i="11"/>
  <c r="O115" i="11"/>
  <c r="B115" i="11"/>
  <c r="O114" i="11"/>
  <c r="B114" i="11"/>
  <c r="O113" i="11"/>
  <c r="B113" i="11"/>
  <c r="O112" i="11"/>
  <c r="B112" i="11"/>
  <c r="O111" i="11"/>
  <c r="B111" i="11"/>
  <c r="O110" i="11"/>
  <c r="B110" i="11"/>
  <c r="O109" i="11"/>
  <c r="B109" i="11"/>
  <c r="O108" i="11"/>
  <c r="B108" i="11"/>
  <c r="O107" i="11"/>
  <c r="B107" i="11"/>
  <c r="O106" i="11"/>
  <c r="B106" i="11"/>
  <c r="O105" i="11"/>
  <c r="B105" i="11"/>
  <c r="O104" i="11"/>
  <c r="B104" i="11"/>
  <c r="O103" i="11"/>
  <c r="B103" i="11"/>
  <c r="O102" i="11"/>
  <c r="B102" i="11"/>
  <c r="O101" i="11"/>
  <c r="B101" i="11"/>
  <c r="O100" i="11"/>
  <c r="B100" i="11"/>
  <c r="O99" i="11"/>
  <c r="B99" i="11"/>
  <c r="O98" i="11"/>
  <c r="B98" i="11"/>
  <c r="O97" i="11"/>
  <c r="B97" i="11"/>
  <c r="O96" i="11"/>
  <c r="B96" i="11"/>
  <c r="O95" i="11"/>
  <c r="B95" i="11"/>
  <c r="O94" i="11"/>
  <c r="B94" i="11"/>
  <c r="O93" i="11"/>
  <c r="B93" i="11"/>
  <c r="O92" i="11"/>
  <c r="B92" i="11"/>
  <c r="O91" i="11"/>
  <c r="B91" i="11"/>
  <c r="O90" i="11"/>
  <c r="B90" i="11"/>
  <c r="O89" i="11"/>
  <c r="B89" i="11"/>
  <c r="O88" i="11"/>
  <c r="B88" i="11"/>
  <c r="O87" i="11"/>
  <c r="B87" i="11"/>
  <c r="O86" i="11"/>
  <c r="B86" i="11"/>
  <c r="O85" i="11"/>
  <c r="B85" i="11"/>
  <c r="O84" i="11"/>
  <c r="B84" i="11"/>
  <c r="O83" i="11"/>
  <c r="B83" i="11"/>
  <c r="O82" i="11"/>
  <c r="B82" i="11"/>
  <c r="O81" i="11"/>
  <c r="B81" i="11"/>
  <c r="O80" i="11"/>
  <c r="B80" i="11"/>
  <c r="O79" i="11"/>
  <c r="B79" i="11"/>
  <c r="O78" i="11"/>
  <c r="B78" i="11"/>
  <c r="O77" i="11"/>
  <c r="B77" i="11"/>
  <c r="O76" i="11"/>
  <c r="B76" i="11"/>
  <c r="O75" i="11"/>
  <c r="B75" i="11"/>
  <c r="O74" i="11"/>
  <c r="B74" i="11"/>
  <c r="O73" i="11"/>
  <c r="B73" i="11"/>
  <c r="O72" i="11"/>
  <c r="B72" i="11"/>
  <c r="O71" i="11"/>
  <c r="B71" i="11"/>
  <c r="O70" i="11"/>
  <c r="B70" i="11"/>
  <c r="O69" i="11"/>
  <c r="B69" i="11"/>
  <c r="O68" i="11"/>
  <c r="B68" i="11"/>
  <c r="O67" i="11"/>
  <c r="B67" i="11"/>
  <c r="O66" i="11"/>
  <c r="B66" i="11"/>
  <c r="O65" i="11"/>
  <c r="B65" i="11"/>
  <c r="O64" i="11"/>
  <c r="B64" i="11"/>
  <c r="O63" i="11"/>
  <c r="B63" i="11"/>
  <c r="O62" i="11"/>
  <c r="B62" i="11"/>
  <c r="O61" i="11"/>
  <c r="B61" i="11"/>
  <c r="O60" i="11"/>
  <c r="B60" i="11"/>
  <c r="O59" i="11"/>
  <c r="B59" i="11"/>
  <c r="O58" i="11"/>
  <c r="B58" i="11"/>
  <c r="O57" i="11"/>
  <c r="B57" i="11"/>
  <c r="O56" i="11"/>
  <c r="B56" i="11"/>
  <c r="O55" i="11"/>
  <c r="B55" i="11"/>
  <c r="O54" i="11"/>
  <c r="B54" i="11"/>
  <c r="O53" i="11"/>
  <c r="B53" i="11"/>
  <c r="O52" i="11"/>
  <c r="B52" i="11"/>
  <c r="O51" i="11"/>
  <c r="B51" i="11"/>
  <c r="O50" i="11"/>
  <c r="B50" i="11"/>
  <c r="O49" i="11"/>
  <c r="B49" i="11"/>
  <c r="O48" i="11"/>
  <c r="B48" i="11"/>
  <c r="O47" i="11"/>
  <c r="B47" i="11"/>
  <c r="O46" i="11"/>
  <c r="B46" i="11"/>
  <c r="O45" i="11"/>
  <c r="B45" i="11"/>
  <c r="O44" i="11"/>
  <c r="B44" i="11"/>
  <c r="O43" i="11"/>
  <c r="B43" i="11"/>
  <c r="O42" i="11"/>
  <c r="B42" i="11"/>
  <c r="O41" i="11"/>
  <c r="B41" i="11"/>
  <c r="O40" i="11"/>
  <c r="B40" i="11"/>
  <c r="O39" i="11"/>
  <c r="B39" i="11"/>
  <c r="O38" i="11"/>
  <c r="B38" i="11"/>
  <c r="O37" i="11"/>
  <c r="B37" i="11"/>
  <c r="O36" i="11"/>
  <c r="B36" i="11"/>
  <c r="O35" i="11"/>
  <c r="B35" i="11"/>
  <c r="O34" i="11"/>
  <c r="B34" i="11"/>
  <c r="O33" i="11"/>
  <c r="B33" i="11"/>
  <c r="O32" i="11"/>
  <c r="B32" i="11"/>
  <c r="O31" i="11"/>
  <c r="B31" i="11"/>
  <c r="O30" i="11"/>
  <c r="B30" i="11"/>
  <c r="O29" i="11"/>
  <c r="B29" i="11"/>
  <c r="O28" i="11"/>
  <c r="B28" i="11"/>
  <c r="O27" i="11"/>
  <c r="B27" i="11"/>
  <c r="O26" i="11"/>
  <c r="B26" i="11"/>
  <c r="O25" i="11"/>
  <c r="B25" i="11"/>
  <c r="O24" i="11"/>
  <c r="B24" i="11"/>
  <c r="O23" i="11"/>
  <c r="B23" i="11"/>
  <c r="O22" i="11"/>
  <c r="B22" i="11"/>
  <c r="O21" i="11"/>
  <c r="B21" i="11"/>
  <c r="O20" i="11"/>
  <c r="B20" i="11"/>
  <c r="O19" i="11"/>
  <c r="B19" i="11"/>
  <c r="O18" i="11"/>
  <c r="B18" i="11"/>
  <c r="O17" i="11"/>
  <c r="B17" i="11"/>
  <c r="O16" i="11"/>
  <c r="B16" i="11"/>
  <c r="O15" i="11"/>
  <c r="B15" i="11"/>
  <c r="O14" i="11"/>
  <c r="B14" i="11"/>
  <c r="O13" i="11"/>
  <c r="B13" i="11"/>
  <c r="O12" i="11"/>
  <c r="B12" i="11"/>
  <c r="O11" i="11"/>
  <c r="B11" i="11"/>
  <c r="O10" i="11"/>
  <c r="B10" i="11"/>
  <c r="O9" i="11"/>
  <c r="B9" i="11"/>
  <c r="O8" i="11"/>
  <c r="I10" i="12" s="1"/>
  <c r="B8" i="11"/>
  <c r="O7" i="11"/>
  <c r="B7" i="11"/>
  <c r="O6" i="11"/>
  <c r="B6" i="11"/>
  <c r="O5" i="11"/>
  <c r="B5" i="11"/>
  <c r="O4" i="11"/>
  <c r="B4" i="11"/>
  <c r="Y3" i="11" a="1"/>
  <c r="Y3" i="11" s="1"/>
  <c r="F4" i="12" s="1"/>
  <c r="O3" i="11"/>
  <c r="B3" i="11"/>
  <c r="I34" i="12" s="1"/>
  <c r="L7" i="12" l="1"/>
  <c r="K7" i="12"/>
  <c r="N7" i="12" s="1"/>
  <c r="H7" i="12"/>
  <c r="G7" i="12"/>
  <c r="J7" i="12"/>
  <c r="I7" i="12"/>
  <c r="L11" i="13"/>
  <c r="D4" i="12"/>
  <c r="L5" i="12"/>
  <c r="J5" i="12"/>
  <c r="I5" i="12"/>
  <c r="K5" i="12"/>
  <c r="N5" i="12" s="1"/>
  <c r="H5" i="12"/>
  <c r="G5" i="12"/>
  <c r="L8" i="12"/>
  <c r="K8" i="12"/>
  <c r="N8" i="12" s="1"/>
  <c r="J8" i="12"/>
  <c r="I8" i="12"/>
  <c r="H8" i="12"/>
  <c r="G8" i="12"/>
  <c r="I16" i="12"/>
  <c r="L16" i="12"/>
  <c r="K16" i="12"/>
  <c r="N16" i="12" s="1"/>
  <c r="J16" i="12"/>
  <c r="H16" i="12"/>
  <c r="G16" i="12"/>
  <c r="L20" i="12"/>
  <c r="K20" i="12"/>
  <c r="J20" i="12"/>
  <c r="H20" i="12"/>
  <c r="I20" i="12"/>
  <c r="G20" i="12"/>
  <c r="I24" i="12"/>
  <c r="J21" i="12"/>
  <c r="K15" i="12"/>
  <c r="J15" i="12"/>
  <c r="L13" i="12"/>
  <c r="J54" i="12"/>
  <c r="J12" i="12"/>
  <c r="K54" i="12"/>
  <c r="H6" i="12"/>
  <c r="I9" i="12"/>
  <c r="L10" i="12"/>
  <c r="L12" i="12"/>
  <c r="L222" i="12"/>
  <c r="G223" i="12"/>
  <c r="K222" i="12"/>
  <c r="N222" i="12" s="1"/>
  <c r="L221" i="12"/>
  <c r="L218" i="12"/>
  <c r="G222" i="12"/>
  <c r="K221" i="12"/>
  <c r="N221" i="12" s="1"/>
  <c r="K218" i="12"/>
  <c r="I214" i="12"/>
  <c r="K205" i="12"/>
  <c r="N205" i="12" s="1"/>
  <c r="I204" i="12"/>
  <c r="K225" i="12"/>
  <c r="N225" i="12" s="1"/>
  <c r="J220" i="12"/>
  <c r="H218" i="12"/>
  <c r="G224" i="12"/>
  <c r="L219" i="12"/>
  <c r="G218" i="12"/>
  <c r="L209" i="12"/>
  <c r="K219" i="12"/>
  <c r="N219" i="12" s="1"/>
  <c r="K209" i="12"/>
  <c r="N209" i="12" s="1"/>
  <c r="I219" i="12"/>
  <c r="K191" i="12"/>
  <c r="N191" i="12" s="1"/>
  <c r="K220" i="12"/>
  <c r="N220" i="12" s="1"/>
  <c r="H205" i="12"/>
  <c r="L204" i="12"/>
  <c r="L210" i="12"/>
  <c r="G204" i="12"/>
  <c r="L201" i="12"/>
  <c r="L217" i="12"/>
  <c r="K217" i="12"/>
  <c r="H210" i="12"/>
  <c r="I201" i="12"/>
  <c r="I217" i="12"/>
  <c r="H201" i="12"/>
  <c r="L186" i="12"/>
  <c r="K186" i="12"/>
  <c r="N186" i="12" s="1"/>
  <c r="G219" i="12"/>
  <c r="G214" i="12"/>
  <c r="J208" i="12"/>
  <c r="G191" i="12"/>
  <c r="L180" i="12"/>
  <c r="I186" i="12"/>
  <c r="I180" i="12"/>
  <c r="K176" i="12"/>
  <c r="J174" i="12"/>
  <c r="J171" i="12"/>
  <c r="I164" i="12"/>
  <c r="J218" i="12"/>
  <c r="G199" i="12"/>
  <c r="L187" i="12"/>
  <c r="G186" i="12"/>
  <c r="H180" i="12"/>
  <c r="J176" i="12"/>
  <c r="I174" i="12"/>
  <c r="G229" i="12"/>
  <c r="G225" i="12"/>
  <c r="I218" i="12"/>
  <c r="H204" i="12"/>
  <c r="L198" i="12"/>
  <c r="K187" i="12"/>
  <c r="N187" i="12" s="1"/>
  <c r="G180" i="12"/>
  <c r="L179" i="12"/>
  <c r="I176" i="12"/>
  <c r="G174" i="12"/>
  <c r="L172" i="12"/>
  <c r="K210" i="12"/>
  <c r="N210" i="12" s="1"/>
  <c r="G205" i="12"/>
  <c r="K198" i="12"/>
  <c r="I187" i="12"/>
  <c r="K179" i="12"/>
  <c r="N179" i="12" s="1"/>
  <c r="K172" i="12"/>
  <c r="N172" i="12" s="1"/>
  <c r="J198" i="12"/>
  <c r="H187" i="12"/>
  <c r="J179" i="12"/>
  <c r="I172" i="12"/>
  <c r="I226" i="12"/>
  <c r="K201" i="12"/>
  <c r="N201" i="12" s="1"/>
  <c r="I181" i="12"/>
  <c r="L170" i="12"/>
  <c r="K164" i="12"/>
  <c r="J159" i="12"/>
  <c r="L220" i="12"/>
  <c r="G181" i="12"/>
  <c r="L176" i="12"/>
  <c r="J172" i="12"/>
  <c r="K171" i="12"/>
  <c r="K170" i="12"/>
  <c r="J164" i="12"/>
  <c r="G162" i="12"/>
  <c r="I159" i="12"/>
  <c r="I220" i="12"/>
  <c r="L208" i="12"/>
  <c r="L185" i="12"/>
  <c r="K180" i="12"/>
  <c r="N180" i="12" s="1"/>
  <c r="G172" i="12"/>
  <c r="I171" i="12"/>
  <c r="J170" i="12"/>
  <c r="G164" i="12"/>
  <c r="H159" i="12"/>
  <c r="K208" i="12"/>
  <c r="K188" i="12"/>
  <c r="J186" i="12"/>
  <c r="K185" i="12"/>
  <c r="J180" i="12"/>
  <c r="I170" i="12"/>
  <c r="L214" i="12"/>
  <c r="J202" i="12"/>
  <c r="L189" i="12"/>
  <c r="G185" i="12"/>
  <c r="J184" i="12"/>
  <c r="I224" i="12"/>
  <c r="J194" i="12"/>
  <c r="H184" i="12"/>
  <c r="L183" i="12"/>
  <c r="L182" i="12"/>
  <c r="I165" i="12"/>
  <c r="I177" i="12"/>
  <c r="L164" i="12"/>
  <c r="J162" i="12"/>
  <c r="I154" i="12"/>
  <c r="J150" i="12"/>
  <c r="G177" i="12"/>
  <c r="L159" i="12"/>
  <c r="L158" i="12"/>
  <c r="G154" i="12"/>
  <c r="I150" i="12"/>
  <c r="L184" i="12"/>
  <c r="L181" i="12"/>
  <c r="K159" i="12"/>
  <c r="N159" i="12" s="1"/>
  <c r="K158" i="12"/>
  <c r="N158" i="12" s="1"/>
  <c r="H150" i="12"/>
  <c r="I184" i="12"/>
  <c r="K181" i="12"/>
  <c r="L174" i="12"/>
  <c r="J160" i="12"/>
  <c r="J158" i="12"/>
  <c r="G150" i="12"/>
  <c r="L195" i="12"/>
  <c r="H191" i="12"/>
  <c r="J182" i="12"/>
  <c r="G169" i="12"/>
  <c r="K165" i="12"/>
  <c r="N165" i="12" s="1"/>
  <c r="G160" i="12"/>
  <c r="I208" i="12"/>
  <c r="L202" i="12"/>
  <c r="I195" i="12"/>
  <c r="J185" i="12"/>
  <c r="G182" i="12"/>
  <c r="H165" i="12"/>
  <c r="K155" i="12"/>
  <c r="N155" i="12" s="1"/>
  <c r="I189" i="12"/>
  <c r="J168" i="12"/>
  <c r="I151" i="12"/>
  <c r="G157" i="12"/>
  <c r="H151" i="12"/>
  <c r="H214" i="12"/>
  <c r="K195" i="12"/>
  <c r="L155" i="12"/>
  <c r="K174" i="12"/>
  <c r="N174" i="12" s="1"/>
  <c r="J155" i="12"/>
  <c r="I191" i="12"/>
  <c r="J188" i="12"/>
  <c r="I183" i="12"/>
  <c r="G178" i="12"/>
  <c r="J165" i="12"/>
  <c r="H155" i="12"/>
  <c r="L152" i="12"/>
  <c r="H117" i="12"/>
  <c r="H114" i="12"/>
  <c r="H112" i="12"/>
  <c r="K154" i="12"/>
  <c r="N154" i="12" s="1"/>
  <c r="L147" i="12"/>
  <c r="L129" i="12"/>
  <c r="L115" i="12"/>
  <c r="L113" i="12"/>
  <c r="L111" i="12"/>
  <c r="L109" i="12"/>
  <c r="J183" i="12"/>
  <c r="J153" i="12"/>
  <c r="L145" i="12"/>
  <c r="K138" i="12"/>
  <c r="I111" i="12"/>
  <c r="I91" i="12"/>
  <c r="J145" i="12"/>
  <c r="L133" i="12"/>
  <c r="L124" i="12"/>
  <c r="G120" i="12"/>
  <c r="I117" i="12"/>
  <c r="K113" i="12"/>
  <c r="N113" i="12" s="1"/>
  <c r="I112" i="12"/>
  <c r="H111" i="12"/>
  <c r="G96" i="12"/>
  <c r="H91" i="12"/>
  <c r="J90" i="12"/>
  <c r="K85" i="12"/>
  <c r="L154" i="12"/>
  <c r="I145" i="12"/>
  <c r="K133" i="12"/>
  <c r="K124" i="12"/>
  <c r="N124" i="12" s="1"/>
  <c r="G117" i="12"/>
  <c r="J113" i="12"/>
  <c r="G112" i="12"/>
  <c r="L103" i="12"/>
  <c r="K182" i="12"/>
  <c r="N182" i="12" s="1"/>
  <c r="J154" i="12"/>
  <c r="J133" i="12"/>
  <c r="I124" i="12"/>
  <c r="I113" i="12"/>
  <c r="L105" i="12"/>
  <c r="K103" i="12"/>
  <c r="I101" i="12"/>
  <c r="H90" i="12"/>
  <c r="I85" i="12"/>
  <c r="H182" i="12"/>
  <c r="I160" i="12"/>
  <c r="J115" i="12"/>
  <c r="G114" i="12"/>
  <c r="J105" i="12"/>
  <c r="I103" i="12"/>
  <c r="I175" i="12"/>
  <c r="I167" i="12"/>
  <c r="G165" i="12"/>
  <c r="G155" i="12"/>
  <c r="K134" i="12"/>
  <c r="K128" i="12"/>
  <c r="K119" i="12"/>
  <c r="N119" i="12" s="1"/>
  <c r="H115" i="12"/>
  <c r="K109" i="12"/>
  <c r="N109" i="12" s="1"/>
  <c r="I108" i="12"/>
  <c r="K107" i="12"/>
  <c r="H105" i="12"/>
  <c r="K92" i="12"/>
  <c r="L87" i="12"/>
  <c r="L165" i="12"/>
  <c r="G147" i="12"/>
  <c r="L144" i="12"/>
  <c r="L134" i="12"/>
  <c r="H103" i="12"/>
  <c r="I92" i="12"/>
  <c r="I82" i="12"/>
  <c r="H122" i="12"/>
  <c r="H101" i="12"/>
  <c r="L96" i="12"/>
  <c r="H92" i="12"/>
  <c r="H82" i="12"/>
  <c r="J73" i="12"/>
  <c r="H72" i="12"/>
  <c r="J139" i="12"/>
  <c r="L135" i="12"/>
  <c r="H124" i="12"/>
  <c r="L123" i="12"/>
  <c r="K96" i="12"/>
  <c r="N96" i="12" s="1"/>
  <c r="G92" i="12"/>
  <c r="J89" i="12"/>
  <c r="L150" i="12"/>
  <c r="K105" i="12"/>
  <c r="J96" i="12"/>
  <c r="H89" i="12"/>
  <c r="K150" i="12"/>
  <c r="N150" i="12" s="1"/>
  <c r="K126" i="12"/>
  <c r="G125" i="12"/>
  <c r="I105" i="12"/>
  <c r="H167" i="12"/>
  <c r="L161" i="12"/>
  <c r="K129" i="12"/>
  <c r="H126" i="12"/>
  <c r="K115" i="12"/>
  <c r="N115" i="12" s="1"/>
  <c r="I114" i="12"/>
  <c r="K87" i="12"/>
  <c r="N87" i="12" s="1"/>
  <c r="L86" i="12"/>
  <c r="G170" i="12"/>
  <c r="G167" i="12"/>
  <c r="I161" i="12"/>
  <c r="K140" i="12"/>
  <c r="J129" i="12"/>
  <c r="L128" i="12"/>
  <c r="I115" i="12"/>
  <c r="H113" i="12"/>
  <c r="K111" i="12"/>
  <c r="G197" i="12"/>
  <c r="H161" i="12"/>
  <c r="I129" i="12"/>
  <c r="J111" i="12"/>
  <c r="I104" i="12"/>
  <c r="G90" i="12"/>
  <c r="I87" i="12"/>
  <c r="J86" i="12"/>
  <c r="L76" i="12"/>
  <c r="L70" i="12"/>
  <c r="L68" i="12"/>
  <c r="L66" i="12"/>
  <c r="L64" i="12"/>
  <c r="L62" i="12"/>
  <c r="L60" i="12"/>
  <c r="L58" i="12"/>
  <c r="I147" i="12"/>
  <c r="L119" i="12"/>
  <c r="I109" i="12"/>
  <c r="I107" i="12"/>
  <c r="H104" i="12"/>
  <c r="I96" i="12"/>
  <c r="G94" i="12"/>
  <c r="I62" i="12"/>
  <c r="H54" i="12"/>
  <c r="K52" i="12"/>
  <c r="N52" i="12" s="1"/>
  <c r="J46" i="12"/>
  <c r="G35" i="12"/>
  <c r="K177" i="12"/>
  <c r="H147" i="12"/>
  <c r="H141" i="12"/>
  <c r="J119" i="12"/>
  <c r="H109" i="12"/>
  <c r="H107" i="12"/>
  <c r="K64" i="12"/>
  <c r="N64" i="12" s="1"/>
  <c r="I63" i="12"/>
  <c r="H62" i="12"/>
  <c r="J52" i="12"/>
  <c r="J177" i="12"/>
  <c r="I121" i="12"/>
  <c r="I119" i="12"/>
  <c r="K98" i="12"/>
  <c r="H97" i="12"/>
  <c r="K76" i="12"/>
  <c r="L74" i="12"/>
  <c r="L72" i="12"/>
  <c r="H69" i="12"/>
  <c r="J64" i="12"/>
  <c r="G63" i="12"/>
  <c r="I52" i="12"/>
  <c r="L50" i="12"/>
  <c r="H46" i="12"/>
  <c r="I98" i="12"/>
  <c r="I76" i="12"/>
  <c r="G74" i="12"/>
  <c r="K72" i="12"/>
  <c r="N72" i="12" s="1"/>
  <c r="I64" i="12"/>
  <c r="H52" i="12"/>
  <c r="K50" i="12"/>
  <c r="N50" i="12" s="1"/>
  <c r="L146" i="12"/>
  <c r="L143" i="12"/>
  <c r="L88" i="12"/>
  <c r="J87" i="12"/>
  <c r="K86" i="12"/>
  <c r="N86" i="12" s="1"/>
  <c r="H85" i="12"/>
  <c r="L79" i="12"/>
  <c r="H76" i="12"/>
  <c r="J72" i="12"/>
  <c r="K70" i="12"/>
  <c r="N70" i="12" s="1"/>
  <c r="K66" i="12"/>
  <c r="I65" i="12"/>
  <c r="H64" i="12"/>
  <c r="K58" i="12"/>
  <c r="G51" i="12"/>
  <c r="J88" i="12"/>
  <c r="H87" i="12"/>
  <c r="G76" i="12"/>
  <c r="J70" i="12"/>
  <c r="J66" i="12"/>
  <c r="G65" i="12"/>
  <c r="J58" i="12"/>
  <c r="L56" i="12"/>
  <c r="I50" i="12"/>
  <c r="L48" i="12"/>
  <c r="H129" i="12"/>
  <c r="I110" i="12"/>
  <c r="G108" i="12"/>
  <c r="H88" i="12"/>
  <c r="K83" i="12"/>
  <c r="I70" i="12"/>
  <c r="I66" i="12"/>
  <c r="I58" i="12"/>
  <c r="K56" i="12"/>
  <c r="N56" i="12" s="1"/>
  <c r="H50" i="12"/>
  <c r="G132" i="12"/>
  <c r="L120" i="12"/>
  <c r="G110" i="12"/>
  <c r="H102" i="12"/>
  <c r="L91" i="12"/>
  <c r="L90" i="12"/>
  <c r="J83" i="12"/>
  <c r="H70" i="12"/>
  <c r="K68" i="12"/>
  <c r="N68" i="12" s="1"/>
  <c r="I67" i="12"/>
  <c r="H66" i="12"/>
  <c r="K60" i="12"/>
  <c r="I59" i="12"/>
  <c r="H58" i="12"/>
  <c r="J56" i="12"/>
  <c r="J48" i="12"/>
  <c r="L44" i="12"/>
  <c r="L34" i="12"/>
  <c r="K207" i="12"/>
  <c r="K151" i="12"/>
  <c r="J131" i="12"/>
  <c r="G61" i="12"/>
  <c r="I54" i="12"/>
  <c r="L45" i="12"/>
  <c r="I39" i="12"/>
  <c r="L37" i="12"/>
  <c r="H34" i="12"/>
  <c r="I83" i="12"/>
  <c r="K62" i="12"/>
  <c r="I55" i="12"/>
  <c r="G45" i="12"/>
  <c r="G39" i="12"/>
  <c r="K37" i="12"/>
  <c r="N37" i="12" s="1"/>
  <c r="L35" i="12"/>
  <c r="H83" i="12"/>
  <c r="J62" i="12"/>
  <c r="G55" i="12"/>
  <c r="K35" i="12"/>
  <c r="K44" i="12"/>
  <c r="L41" i="12"/>
  <c r="I35" i="12"/>
  <c r="J147" i="12"/>
  <c r="L92" i="12"/>
  <c r="K75" i="12"/>
  <c r="G59" i="12"/>
  <c r="I56" i="12"/>
  <c r="J44" i="12"/>
  <c r="H35" i="12"/>
  <c r="L33" i="12"/>
  <c r="I120" i="12"/>
  <c r="L107" i="12"/>
  <c r="J92" i="12"/>
  <c r="H75" i="12"/>
  <c r="G67" i="12"/>
  <c r="H56" i="12"/>
  <c r="K48" i="12"/>
  <c r="N48" i="12" s="1"/>
  <c r="I44" i="12"/>
  <c r="J151" i="12"/>
  <c r="J107" i="12"/>
  <c r="L82" i="12"/>
  <c r="J50" i="12"/>
  <c r="I48" i="12"/>
  <c r="H44" i="12"/>
  <c r="L38" i="12"/>
  <c r="L36" i="12"/>
  <c r="H33" i="12"/>
  <c r="K82" i="12"/>
  <c r="N82" i="12" s="1"/>
  <c r="L73" i="12"/>
  <c r="J60" i="12"/>
  <c r="H48" i="12"/>
  <c r="K36" i="12"/>
  <c r="N36" i="12" s="1"/>
  <c r="I155" i="12"/>
  <c r="K91" i="12"/>
  <c r="N91" i="12" s="1"/>
  <c r="J82" i="12"/>
  <c r="J68" i="12"/>
  <c r="I60" i="12"/>
  <c r="L52" i="12"/>
  <c r="J36" i="12"/>
  <c r="I94" i="12"/>
  <c r="J91" i="12"/>
  <c r="L71" i="12"/>
  <c r="I68" i="12"/>
  <c r="H60" i="12"/>
  <c r="L54" i="12"/>
  <c r="L46" i="12"/>
  <c r="K34" i="12"/>
  <c r="J103" i="12"/>
  <c r="K71" i="12"/>
  <c r="K23" i="12"/>
  <c r="I23" i="12"/>
  <c r="L23" i="12"/>
  <c r="J23" i="12"/>
  <c r="H23" i="12"/>
  <c r="G23" i="12"/>
  <c r="K10" i="12"/>
  <c r="N10" i="12" s="1"/>
  <c r="I6" i="12"/>
  <c r="J9" i="12"/>
  <c r="I13" i="12"/>
  <c r="J34" i="12"/>
  <c r="J42" i="12"/>
  <c r="G9" i="12"/>
  <c r="L6" i="12"/>
  <c r="K9" i="12"/>
  <c r="D14" i="12"/>
  <c r="G15" i="12"/>
  <c r="L42" i="12"/>
  <c r="J17" i="12"/>
  <c r="I17" i="12"/>
  <c r="H17" i="12"/>
  <c r="G17" i="12"/>
  <c r="L17" i="12"/>
  <c r="K17" i="12"/>
  <c r="L9" i="12"/>
  <c r="G11" i="12"/>
  <c r="J11" i="12"/>
  <c r="G13" i="12"/>
  <c r="I15" i="12"/>
  <c r="D22" i="12"/>
  <c r="J109" i="12"/>
  <c r="J13" i="12"/>
  <c r="L15" i="12"/>
  <c r="G40" i="12"/>
  <c r="K40" i="12"/>
  <c r="N40" i="12" s="1"/>
  <c r="L40" i="12"/>
  <c r="J40" i="12"/>
  <c r="I40" i="12"/>
  <c r="H40" i="12"/>
  <c r="J71" i="12"/>
  <c r="I12" i="12"/>
  <c r="H11" i="12"/>
  <c r="K13" i="12"/>
  <c r="N13" i="12" s="1"/>
  <c r="H12" i="12"/>
  <c r="G12" i="12"/>
  <c r="K12" i="12"/>
  <c r="J10" i="12"/>
  <c r="H9" i="12"/>
  <c r="I11" i="12"/>
  <c r="K46" i="12"/>
  <c r="N46" i="12" s="1"/>
  <c r="K18" i="12"/>
  <c r="N18" i="12" s="1"/>
  <c r="J18" i="12"/>
  <c r="I18" i="12"/>
  <c r="H18" i="12"/>
  <c r="L18" i="12"/>
  <c r="G18" i="12"/>
  <c r="K6" i="12"/>
  <c r="J6" i="12"/>
  <c r="G10" i="12"/>
  <c r="K11" i="12"/>
  <c r="N11" i="12" s="1"/>
  <c r="H68" i="12"/>
  <c r="L78" i="12"/>
  <c r="J78" i="12"/>
  <c r="K78" i="12"/>
  <c r="N78" i="12" s="1"/>
  <c r="I78" i="12"/>
  <c r="H78" i="12"/>
  <c r="K43" i="12"/>
  <c r="J43" i="12"/>
  <c r="H43" i="12"/>
  <c r="L43" i="12"/>
  <c r="I43" i="12"/>
  <c r="G43" i="12"/>
  <c r="L47" i="12"/>
  <c r="K47" i="12"/>
  <c r="J47" i="12"/>
  <c r="H47" i="12"/>
  <c r="G78" i="12"/>
  <c r="L84" i="12"/>
  <c r="I84" i="12"/>
  <c r="J84" i="12"/>
  <c r="K84" i="12"/>
  <c r="H84" i="12"/>
  <c r="G84" i="12"/>
  <c r="L21" i="12"/>
  <c r="K21" i="12"/>
  <c r="N21" i="12" s="1"/>
  <c r="I21" i="12"/>
  <c r="J33" i="12"/>
  <c r="K33" i="12"/>
  <c r="N33" i="12" s="1"/>
  <c r="G47" i="12"/>
  <c r="L57" i="12"/>
  <c r="K57" i="12"/>
  <c r="J57" i="12"/>
  <c r="H57" i="12"/>
  <c r="I57" i="12"/>
  <c r="G57" i="12"/>
  <c r="G33" i="12"/>
  <c r="G38" i="12"/>
  <c r="K38" i="12"/>
  <c r="J38" i="12"/>
  <c r="I38" i="12"/>
  <c r="H38" i="12"/>
  <c r="I47" i="12"/>
  <c r="L49" i="12"/>
  <c r="K49" i="12"/>
  <c r="N49" i="12" s="1"/>
  <c r="J49" i="12"/>
  <c r="H49" i="12"/>
  <c r="I49" i="12"/>
  <c r="G49" i="12"/>
  <c r="L67" i="12"/>
  <c r="G70" i="12"/>
  <c r="H21" i="12"/>
  <c r="M21" i="12" s="1"/>
  <c r="O21" i="12" s="1"/>
  <c r="I33" i="12"/>
  <c r="L59" i="12"/>
  <c r="I32" i="12"/>
  <c r="K32" i="12"/>
  <c r="J32" i="12"/>
  <c r="H32" i="12"/>
  <c r="G32" i="12"/>
  <c r="I77" i="12"/>
  <c r="G77" i="12"/>
  <c r="L77" i="12"/>
  <c r="K77" i="12"/>
  <c r="N77" i="12" s="1"/>
  <c r="J77" i="12"/>
  <c r="H77" i="12"/>
  <c r="L19" i="12"/>
  <c r="K19" i="12"/>
  <c r="J19" i="12"/>
  <c r="I19" i="12"/>
  <c r="L32" i="12"/>
  <c r="L55" i="12"/>
  <c r="K55" i="12"/>
  <c r="J55" i="12"/>
  <c r="H55" i="12"/>
  <c r="G19" i="12"/>
  <c r="G93" i="12"/>
  <c r="K93" i="12"/>
  <c r="I93" i="12"/>
  <c r="L93" i="12"/>
  <c r="H93" i="12"/>
  <c r="H15" i="12"/>
  <c r="H19" i="12"/>
  <c r="G42" i="12"/>
  <c r="K42" i="12"/>
  <c r="I42" i="12"/>
  <c r="J93" i="12"/>
  <c r="H13" i="12"/>
  <c r="H42" i="12"/>
  <c r="K90" i="12"/>
  <c r="N90" i="12" s="1"/>
  <c r="K39" i="12"/>
  <c r="N39" i="12" s="1"/>
  <c r="J39" i="12"/>
  <c r="K45" i="12"/>
  <c r="N45" i="12" s="1"/>
  <c r="J45" i="12"/>
  <c r="H45" i="12"/>
  <c r="L108" i="12"/>
  <c r="L65" i="12"/>
  <c r="G79" i="12"/>
  <c r="J79" i="12"/>
  <c r="K79" i="12"/>
  <c r="H79" i="12"/>
  <c r="J118" i="12"/>
  <c r="K118" i="12"/>
  <c r="I118" i="12"/>
  <c r="H118" i="12"/>
  <c r="G118" i="12"/>
  <c r="L118" i="12"/>
  <c r="K149" i="12"/>
  <c r="N149" i="12" s="1"/>
  <c r="L149" i="12"/>
  <c r="I149" i="12"/>
  <c r="J149" i="12"/>
  <c r="H39" i="12"/>
  <c r="I45" i="12"/>
  <c r="L51" i="12"/>
  <c r="K51" i="12"/>
  <c r="N51" i="12" s="1"/>
  <c r="J51" i="12"/>
  <c r="H51" i="12"/>
  <c r="I72" i="12"/>
  <c r="I79" i="12"/>
  <c r="I86" i="12"/>
  <c r="J100" i="12"/>
  <c r="K100" i="12"/>
  <c r="N100" i="12" s="1"/>
  <c r="I100" i="12"/>
  <c r="H100" i="12"/>
  <c r="G100" i="12"/>
  <c r="L100" i="12"/>
  <c r="G149" i="12"/>
  <c r="H156" i="12"/>
  <c r="L156" i="12"/>
  <c r="K156" i="12"/>
  <c r="N156" i="12" s="1"/>
  <c r="I156" i="12"/>
  <c r="J156" i="12"/>
  <c r="G156" i="12"/>
  <c r="K74" i="12"/>
  <c r="L80" i="12"/>
  <c r="K80" i="12"/>
  <c r="J80" i="12"/>
  <c r="G80" i="12"/>
  <c r="H80" i="12"/>
  <c r="H149" i="12"/>
  <c r="J37" i="12"/>
  <c r="L39" i="12"/>
  <c r="K41" i="12"/>
  <c r="N41" i="12" s="1"/>
  <c r="J41" i="12"/>
  <c r="G46" i="12"/>
  <c r="I51" i="12"/>
  <c r="L63" i="12"/>
  <c r="I69" i="12"/>
  <c r="G69" i="12"/>
  <c r="L69" i="12"/>
  <c r="I80" i="12"/>
  <c r="G97" i="12"/>
  <c r="K97" i="12"/>
  <c r="L97" i="12"/>
  <c r="I97" i="12"/>
  <c r="G99" i="12"/>
  <c r="L99" i="12"/>
  <c r="K99" i="12"/>
  <c r="J99" i="12"/>
  <c r="H99" i="12"/>
  <c r="I99" i="12"/>
  <c r="G36" i="12"/>
  <c r="G37" i="12"/>
  <c r="G41" i="12"/>
  <c r="L53" i="12"/>
  <c r="K53" i="12"/>
  <c r="J53" i="12"/>
  <c r="H53" i="12"/>
  <c r="G81" i="12"/>
  <c r="J81" i="12"/>
  <c r="I81" i="12"/>
  <c r="H81" i="12"/>
  <c r="L81" i="12"/>
  <c r="K81" i="12"/>
  <c r="J116" i="12"/>
  <c r="K116" i="12"/>
  <c r="H116" i="12"/>
  <c r="L116" i="12"/>
  <c r="I116" i="12"/>
  <c r="J130" i="12"/>
  <c r="L130" i="12"/>
  <c r="I130" i="12"/>
  <c r="K130" i="12"/>
  <c r="H130" i="12"/>
  <c r="G130" i="12"/>
  <c r="I133" i="12"/>
  <c r="J35" i="12"/>
  <c r="H36" i="12"/>
  <c r="H37" i="12"/>
  <c r="H41" i="12"/>
  <c r="I46" i="12"/>
  <c r="G53" i="12"/>
  <c r="J69" i="12"/>
  <c r="L94" i="12"/>
  <c r="J97" i="12"/>
  <c r="G116" i="12"/>
  <c r="G34" i="12"/>
  <c r="I36" i="12"/>
  <c r="I37" i="12"/>
  <c r="I41" i="12"/>
  <c r="G44" i="12"/>
  <c r="I53" i="12"/>
  <c r="L61" i="12"/>
  <c r="K69" i="12"/>
  <c r="L131" i="12"/>
  <c r="K131" i="12"/>
  <c r="I131" i="12"/>
  <c r="G131" i="12"/>
  <c r="H131" i="12"/>
  <c r="I75" i="12"/>
  <c r="G75" i="12"/>
  <c r="J102" i="12"/>
  <c r="L102" i="12"/>
  <c r="K102" i="12"/>
  <c r="N102" i="12" s="1"/>
  <c r="I102" i="12"/>
  <c r="G102" i="12"/>
  <c r="K137" i="12"/>
  <c r="N137" i="12" s="1"/>
  <c r="L137" i="12"/>
  <c r="I137" i="12"/>
  <c r="J137" i="12"/>
  <c r="H137" i="12"/>
  <c r="G137" i="12"/>
  <c r="L114" i="12"/>
  <c r="H59" i="12"/>
  <c r="H61" i="12"/>
  <c r="H63" i="12"/>
  <c r="H65" i="12"/>
  <c r="H67" i="12"/>
  <c r="J75" i="12"/>
  <c r="H96" i="12"/>
  <c r="L125" i="12"/>
  <c r="J125" i="12"/>
  <c r="K125" i="12"/>
  <c r="N125" i="12" s="1"/>
  <c r="H125" i="12"/>
  <c r="L127" i="12"/>
  <c r="K127" i="12"/>
  <c r="N127" i="12" s="1"/>
  <c r="J127" i="12"/>
  <c r="I127" i="12"/>
  <c r="G127" i="12"/>
  <c r="H127" i="12"/>
  <c r="J148" i="12"/>
  <c r="I148" i="12"/>
  <c r="H148" i="12"/>
  <c r="G148" i="12"/>
  <c r="L148" i="12"/>
  <c r="J59" i="12"/>
  <c r="J61" i="12"/>
  <c r="J63" i="12"/>
  <c r="J65" i="12"/>
  <c r="J67" i="12"/>
  <c r="I73" i="12"/>
  <c r="G73" i="12"/>
  <c r="H74" i="12"/>
  <c r="L75" i="12"/>
  <c r="I125" i="12"/>
  <c r="J136" i="12"/>
  <c r="I136" i="12"/>
  <c r="L136" i="12"/>
  <c r="K136" i="12"/>
  <c r="H136" i="12"/>
  <c r="G136" i="12"/>
  <c r="K148" i="12"/>
  <c r="N148" i="12" s="1"/>
  <c r="K59" i="12"/>
  <c r="N59" i="12" s="1"/>
  <c r="K61" i="12"/>
  <c r="K63" i="12"/>
  <c r="N63" i="12" s="1"/>
  <c r="K65" i="12"/>
  <c r="N65" i="12" s="1"/>
  <c r="K67" i="12"/>
  <c r="N67" i="12" s="1"/>
  <c r="G72" i="12"/>
  <c r="H73" i="12"/>
  <c r="I74" i="12"/>
  <c r="G82" i="12"/>
  <c r="J122" i="12"/>
  <c r="L122" i="12"/>
  <c r="K122" i="12"/>
  <c r="N122" i="12" s="1"/>
  <c r="I122" i="12"/>
  <c r="G122" i="12"/>
  <c r="I71" i="12"/>
  <c r="G71" i="12"/>
  <c r="J74" i="12"/>
  <c r="K88" i="12"/>
  <c r="I88" i="12"/>
  <c r="G95" i="12"/>
  <c r="K95" i="12"/>
  <c r="N95" i="12" s="1"/>
  <c r="J95" i="12"/>
  <c r="I95" i="12"/>
  <c r="H95" i="12"/>
  <c r="L98" i="12"/>
  <c r="J98" i="12"/>
  <c r="H98" i="12"/>
  <c r="G48" i="12"/>
  <c r="G50" i="12"/>
  <c r="G52" i="12"/>
  <c r="G54" i="12"/>
  <c r="G56" i="12"/>
  <c r="G58" i="12"/>
  <c r="G60" i="12"/>
  <c r="G62" i="12"/>
  <c r="G64" i="12"/>
  <c r="G66" i="12"/>
  <c r="G68" i="12"/>
  <c r="H71" i="12"/>
  <c r="K73" i="12"/>
  <c r="N73" i="12" s="1"/>
  <c r="J76" i="12"/>
  <c r="G83" i="12"/>
  <c r="L83" i="12"/>
  <c r="G88" i="12"/>
  <c r="L95" i="12"/>
  <c r="G98" i="12"/>
  <c r="H119" i="12"/>
  <c r="L121" i="12"/>
  <c r="J121" i="12"/>
  <c r="H121" i="12"/>
  <c r="K121" i="12"/>
  <c r="N121" i="12" s="1"/>
  <c r="G121" i="12"/>
  <c r="K141" i="12"/>
  <c r="N141" i="12" s="1"/>
  <c r="L141" i="12"/>
  <c r="J141" i="12"/>
  <c r="I141" i="12"/>
  <c r="G141" i="12"/>
  <c r="G89" i="12"/>
  <c r="K143" i="12"/>
  <c r="N143" i="12" s="1"/>
  <c r="J143" i="12"/>
  <c r="I143" i="12"/>
  <c r="H143" i="12"/>
  <c r="G143" i="12"/>
  <c r="G85" i="12"/>
  <c r="I89" i="12"/>
  <c r="H94" i="12"/>
  <c r="G101" i="12"/>
  <c r="K89" i="12"/>
  <c r="J94" i="12"/>
  <c r="L106" i="12"/>
  <c r="K106" i="12"/>
  <c r="N106" i="12" s="1"/>
  <c r="J106" i="12"/>
  <c r="L112" i="12"/>
  <c r="L117" i="12"/>
  <c r="J85" i="12"/>
  <c r="G86" i="12"/>
  <c r="L89" i="12"/>
  <c r="I90" i="12"/>
  <c r="G91" i="12"/>
  <c r="K94" i="12"/>
  <c r="N94" i="12" s="1"/>
  <c r="J101" i="12"/>
  <c r="G106" i="12"/>
  <c r="J120" i="12"/>
  <c r="K120" i="12"/>
  <c r="N120" i="12" s="1"/>
  <c r="H86" i="12"/>
  <c r="K101" i="12"/>
  <c r="N101" i="12" s="1"/>
  <c r="L104" i="12"/>
  <c r="K104" i="12"/>
  <c r="J104" i="12"/>
  <c r="H106" i="12"/>
  <c r="J123" i="12"/>
  <c r="I123" i="12"/>
  <c r="H123" i="12"/>
  <c r="G123" i="12"/>
  <c r="J135" i="12"/>
  <c r="I135" i="12"/>
  <c r="H135" i="12"/>
  <c r="G135" i="12"/>
  <c r="K139" i="12"/>
  <c r="L139" i="12"/>
  <c r="I139" i="12"/>
  <c r="G139" i="12"/>
  <c r="J146" i="12"/>
  <c r="I146" i="12"/>
  <c r="H146" i="12"/>
  <c r="G146" i="12"/>
  <c r="L85" i="12"/>
  <c r="G87" i="12"/>
  <c r="L101" i="12"/>
  <c r="G104" i="12"/>
  <c r="I106" i="12"/>
  <c r="L110" i="12"/>
  <c r="H120" i="12"/>
  <c r="K123" i="12"/>
  <c r="J126" i="12"/>
  <c r="L126" i="12"/>
  <c r="I126" i="12"/>
  <c r="G126" i="12"/>
  <c r="G129" i="12"/>
  <c r="K135" i="12"/>
  <c r="N135" i="12" s="1"/>
  <c r="H139" i="12"/>
  <c r="K146" i="12"/>
  <c r="N146" i="12" s="1"/>
  <c r="J197" i="12"/>
  <c r="L197" i="12"/>
  <c r="K197" i="12"/>
  <c r="N197" i="12" s="1"/>
  <c r="I197" i="12"/>
  <c r="H197" i="12"/>
  <c r="J138" i="12"/>
  <c r="I138" i="12"/>
  <c r="H138" i="12"/>
  <c r="G138" i="12"/>
  <c r="H108" i="12"/>
  <c r="H110" i="12"/>
  <c r="J132" i="12"/>
  <c r="L138" i="12"/>
  <c r="J140" i="12"/>
  <c r="I140" i="12"/>
  <c r="H140" i="12"/>
  <c r="G140" i="12"/>
  <c r="J108" i="12"/>
  <c r="J110" i="12"/>
  <c r="J112" i="12"/>
  <c r="J114" i="12"/>
  <c r="J117" i="12"/>
  <c r="J128" i="12"/>
  <c r="H132" i="12"/>
  <c r="L140" i="12"/>
  <c r="J142" i="12"/>
  <c r="I142" i="12"/>
  <c r="H142" i="12"/>
  <c r="G142" i="12"/>
  <c r="K108" i="12"/>
  <c r="N108" i="12" s="1"/>
  <c r="K110" i="12"/>
  <c r="K112" i="12"/>
  <c r="K114" i="12"/>
  <c r="K117" i="12"/>
  <c r="N117" i="12" s="1"/>
  <c r="G128" i="12"/>
  <c r="I132" i="12"/>
  <c r="G133" i="12"/>
  <c r="J134" i="12"/>
  <c r="I134" i="12"/>
  <c r="K142" i="12"/>
  <c r="K145" i="12"/>
  <c r="N145" i="12" s="1"/>
  <c r="K163" i="12"/>
  <c r="I163" i="12"/>
  <c r="H163" i="12"/>
  <c r="J163" i="12"/>
  <c r="G163" i="12"/>
  <c r="G119" i="12"/>
  <c r="J124" i="12"/>
  <c r="H128" i="12"/>
  <c r="K132" i="12"/>
  <c r="N132" i="12" s="1"/>
  <c r="H133" i="12"/>
  <c r="G134" i="12"/>
  <c r="L142" i="12"/>
  <c r="J144" i="12"/>
  <c r="I144" i="12"/>
  <c r="H144" i="12"/>
  <c r="G144" i="12"/>
  <c r="G145" i="12"/>
  <c r="J161" i="12"/>
  <c r="K161" i="12"/>
  <c r="L163" i="12"/>
  <c r="G103" i="12"/>
  <c r="G105" i="12"/>
  <c r="G107" i="12"/>
  <c r="G109" i="12"/>
  <c r="G111" i="12"/>
  <c r="G113" i="12"/>
  <c r="G115" i="12"/>
  <c r="G124" i="12"/>
  <c r="I128" i="12"/>
  <c r="L132" i="12"/>
  <c r="H134" i="12"/>
  <c r="K144" i="12"/>
  <c r="N144" i="12" s="1"/>
  <c r="H145" i="12"/>
  <c r="K147" i="12"/>
  <c r="N147" i="12" s="1"/>
  <c r="H153" i="12"/>
  <c r="G153" i="12"/>
  <c r="L153" i="12"/>
  <c r="K153" i="12"/>
  <c r="N153" i="12" s="1"/>
  <c r="I153" i="12"/>
  <c r="G161" i="12"/>
  <c r="K157" i="12"/>
  <c r="N157" i="12" s="1"/>
  <c r="J157" i="12"/>
  <c r="I157" i="12"/>
  <c r="H157" i="12"/>
  <c r="L175" i="12"/>
  <c r="H175" i="12"/>
  <c r="K175" i="12"/>
  <c r="J175" i="12"/>
  <c r="G175" i="12"/>
  <c r="L157" i="12"/>
  <c r="K178" i="12"/>
  <c r="J178" i="12"/>
  <c r="I178" i="12"/>
  <c r="L178" i="12"/>
  <c r="H178" i="12"/>
  <c r="L216" i="12"/>
  <c r="K216" i="12"/>
  <c r="N216" i="12" s="1"/>
  <c r="H216" i="12"/>
  <c r="G216" i="12"/>
  <c r="J216" i="12"/>
  <c r="I216" i="12"/>
  <c r="H152" i="12"/>
  <c r="K152" i="12"/>
  <c r="N152" i="12" s="1"/>
  <c r="J152" i="12"/>
  <c r="H166" i="12"/>
  <c r="K166" i="12"/>
  <c r="J166" i="12"/>
  <c r="I166" i="12"/>
  <c r="G166" i="12"/>
  <c r="L173" i="12"/>
  <c r="H173" i="12"/>
  <c r="K173" i="12"/>
  <c r="J173" i="12"/>
  <c r="G173" i="12"/>
  <c r="L228" i="12"/>
  <c r="K228" i="12"/>
  <c r="N228" i="12" s="1"/>
  <c r="J228" i="12"/>
  <c r="G228" i="12"/>
  <c r="I228" i="12"/>
  <c r="H228" i="12"/>
  <c r="L151" i="12"/>
  <c r="G152" i="12"/>
  <c r="L166" i="12"/>
  <c r="I173" i="12"/>
  <c r="G151" i="12"/>
  <c r="I152" i="12"/>
  <c r="K167" i="12"/>
  <c r="J167" i="12"/>
  <c r="L167" i="12"/>
  <c r="J207" i="12"/>
  <c r="I207" i="12"/>
  <c r="H207" i="12"/>
  <c r="L207" i="12"/>
  <c r="G207" i="12"/>
  <c r="H160" i="12"/>
  <c r="H190" i="12"/>
  <c r="L190" i="12"/>
  <c r="K190" i="12"/>
  <c r="N190" i="12" s="1"/>
  <c r="J190" i="12"/>
  <c r="I190" i="12"/>
  <c r="G190" i="12"/>
  <c r="H168" i="12"/>
  <c r="K168" i="12"/>
  <c r="N168" i="12" s="1"/>
  <c r="I168" i="12"/>
  <c r="G168" i="12"/>
  <c r="L169" i="12"/>
  <c r="H169" i="12"/>
  <c r="K169" i="12"/>
  <c r="H170" i="12"/>
  <c r="H188" i="12"/>
  <c r="G188" i="12"/>
  <c r="I188" i="12"/>
  <c r="L188" i="12"/>
  <c r="J222" i="12"/>
  <c r="G159" i="12"/>
  <c r="K160" i="12"/>
  <c r="L168" i="12"/>
  <c r="I169" i="12"/>
  <c r="H172" i="12"/>
  <c r="I196" i="12"/>
  <c r="H196" i="12"/>
  <c r="G196" i="12"/>
  <c r="K196" i="12"/>
  <c r="L196" i="12"/>
  <c r="J196" i="12"/>
  <c r="H158" i="12"/>
  <c r="L160" i="12"/>
  <c r="H162" i="12"/>
  <c r="L162" i="12"/>
  <c r="K162" i="12"/>
  <c r="N162" i="12" s="1"/>
  <c r="J169" i="12"/>
  <c r="G158" i="12"/>
  <c r="H192" i="12"/>
  <c r="L192" i="12"/>
  <c r="G192" i="12"/>
  <c r="I192" i="12"/>
  <c r="K192" i="12"/>
  <c r="N192" i="12" s="1"/>
  <c r="L206" i="12"/>
  <c r="K206" i="12"/>
  <c r="N206" i="12" s="1"/>
  <c r="H206" i="12"/>
  <c r="J206" i="12"/>
  <c r="I206" i="12"/>
  <c r="G206" i="12"/>
  <c r="H154" i="12"/>
  <c r="I158" i="12"/>
  <c r="I162" i="12"/>
  <c r="L177" i="12"/>
  <c r="H177" i="12"/>
  <c r="J192" i="12"/>
  <c r="J193" i="12"/>
  <c r="H193" i="12"/>
  <c r="I193" i="12"/>
  <c r="J213" i="12"/>
  <c r="H213" i="12"/>
  <c r="L213" i="12"/>
  <c r="G213" i="12"/>
  <c r="K213" i="12"/>
  <c r="N213" i="12" s="1"/>
  <c r="L171" i="12"/>
  <c r="H171" i="12"/>
  <c r="H174" i="12"/>
  <c r="H176" i="12"/>
  <c r="G193" i="12"/>
  <c r="K204" i="12"/>
  <c r="N204" i="12" s="1"/>
  <c r="I213" i="12"/>
  <c r="H164" i="12"/>
  <c r="G171" i="12"/>
  <c r="K193" i="12"/>
  <c r="J199" i="12"/>
  <c r="I199" i="12"/>
  <c r="L199" i="12"/>
  <c r="K199" i="12"/>
  <c r="N199" i="12" s="1"/>
  <c r="K184" i="12"/>
  <c r="N184" i="12" s="1"/>
  <c r="L193" i="12"/>
  <c r="I194" i="12"/>
  <c r="H194" i="12"/>
  <c r="K194" i="12"/>
  <c r="N194" i="12" s="1"/>
  <c r="L194" i="12"/>
  <c r="I200" i="12"/>
  <c r="H200" i="12"/>
  <c r="G200" i="12"/>
  <c r="L200" i="12"/>
  <c r="K200" i="12"/>
  <c r="J215" i="12"/>
  <c r="H215" i="12"/>
  <c r="K215" i="12"/>
  <c r="N215" i="12" s="1"/>
  <c r="I215" i="12"/>
  <c r="G215" i="12"/>
  <c r="H181" i="12"/>
  <c r="J181" i="12"/>
  <c r="I182" i="12"/>
  <c r="H183" i="12"/>
  <c r="G183" i="12"/>
  <c r="K183" i="12"/>
  <c r="N183" i="12" s="1"/>
  <c r="G184" i="12"/>
  <c r="G194" i="12"/>
  <c r="H199" i="12"/>
  <c r="J200" i="12"/>
  <c r="L215" i="12"/>
  <c r="I202" i="12"/>
  <c r="H202" i="12"/>
  <c r="G202" i="12"/>
  <c r="K202" i="12"/>
  <c r="N202" i="12" s="1"/>
  <c r="H220" i="12"/>
  <c r="J229" i="12"/>
  <c r="H229" i="12"/>
  <c r="L229" i="12"/>
  <c r="K229" i="12"/>
  <c r="N229" i="12" s="1"/>
  <c r="I229" i="12"/>
  <c r="H179" i="12"/>
  <c r="K189" i="12"/>
  <c r="J189" i="12"/>
  <c r="J203" i="12"/>
  <c r="I203" i="12"/>
  <c r="K203" i="12"/>
  <c r="H203" i="12"/>
  <c r="G203" i="12"/>
  <c r="G176" i="12"/>
  <c r="G179" i="12"/>
  <c r="J187" i="12"/>
  <c r="G189" i="12"/>
  <c r="L203" i="12"/>
  <c r="I179" i="12"/>
  <c r="I185" i="12"/>
  <c r="H185" i="12"/>
  <c r="G187" i="12"/>
  <c r="H189" i="12"/>
  <c r="J211" i="12"/>
  <c r="H211" i="12"/>
  <c r="L211" i="12"/>
  <c r="K211" i="12"/>
  <c r="N211" i="12" s="1"/>
  <c r="I211" i="12"/>
  <c r="L226" i="12"/>
  <c r="J226" i="12"/>
  <c r="H226" i="12"/>
  <c r="Q226" i="12" s="1"/>
  <c r="K226" i="12"/>
  <c r="G211" i="12"/>
  <c r="G226" i="12"/>
  <c r="J191" i="12"/>
  <c r="J195" i="12"/>
  <c r="L212" i="12"/>
  <c r="K212" i="12"/>
  <c r="N212" i="12" s="1"/>
  <c r="I212" i="12"/>
  <c r="H212" i="12"/>
  <c r="Q212" i="12" s="1"/>
  <c r="G212" i="12"/>
  <c r="L191" i="12"/>
  <c r="G195" i="12"/>
  <c r="J201" i="12"/>
  <c r="J212" i="12"/>
  <c r="H186" i="12"/>
  <c r="H195" i="12"/>
  <c r="I198" i="12"/>
  <c r="H198" i="12"/>
  <c r="G198" i="12"/>
  <c r="G201" i="12"/>
  <c r="H208" i="12"/>
  <c r="G208" i="12"/>
  <c r="J205" i="12"/>
  <c r="I205" i="12"/>
  <c r="J209" i="12"/>
  <c r="H209" i="12"/>
  <c r="I209" i="12"/>
  <c r="G209" i="12"/>
  <c r="L224" i="12"/>
  <c r="J227" i="12"/>
  <c r="H227" i="12"/>
  <c r="L227" i="12"/>
  <c r="K227" i="12"/>
  <c r="N227" i="12" s="1"/>
  <c r="I227" i="12"/>
  <c r="J204" i="12"/>
  <c r="L205" i="12"/>
  <c r="J210" i="12"/>
  <c r="I210" i="12"/>
  <c r="J214" i="12"/>
  <c r="J217" i="12"/>
  <c r="H217" i="12"/>
  <c r="G227" i="12"/>
  <c r="G210" i="12"/>
  <c r="K214" i="12"/>
  <c r="G217" i="12"/>
  <c r="J225" i="12"/>
  <c r="H225" i="12"/>
  <c r="J223" i="12"/>
  <c r="H223" i="12"/>
  <c r="Q223" i="12" s="1"/>
  <c r="H224" i="12"/>
  <c r="I225" i="12"/>
  <c r="J221" i="12"/>
  <c r="H221" i="12"/>
  <c r="H222" i="12"/>
  <c r="I223" i="12"/>
  <c r="J224" i="12"/>
  <c r="L225" i="12"/>
  <c r="G220" i="12"/>
  <c r="G221" i="12"/>
  <c r="I222" i="12"/>
  <c r="K223" i="12"/>
  <c r="N223" i="12" s="1"/>
  <c r="K224" i="12"/>
  <c r="N224" i="12" s="1"/>
  <c r="J219" i="12"/>
  <c r="H219" i="12"/>
  <c r="I221" i="12"/>
  <c r="L223" i="12"/>
  <c r="M168" i="12" l="1"/>
  <c r="O168" i="12" s="1"/>
  <c r="P168" i="12"/>
  <c r="M16" i="12"/>
  <c r="O16" i="12" s="1"/>
  <c r="M89" i="12"/>
  <c r="O89" i="12" s="1"/>
  <c r="P89" i="12"/>
  <c r="L30" i="12"/>
  <c r="Q68" i="12"/>
  <c r="Q48" i="12"/>
  <c r="Q209" i="12"/>
  <c r="Q215" i="12"/>
  <c r="Q175" i="12"/>
  <c r="M13" i="12"/>
  <c r="O13" i="12" s="1"/>
  <c r="M59" i="12"/>
  <c r="O59" i="12" s="1"/>
  <c r="P59" i="12"/>
  <c r="Q97" i="12"/>
  <c r="Q124" i="12"/>
  <c r="Q182" i="12"/>
  <c r="P157" i="12"/>
  <c r="M157" i="12"/>
  <c r="O157" i="12" s="1"/>
  <c r="X210" i="12"/>
  <c r="Q202" i="12"/>
  <c r="Q194" i="12"/>
  <c r="Q172" i="12"/>
  <c r="Q160" i="12"/>
  <c r="X167" i="12"/>
  <c r="Q173" i="12"/>
  <c r="P111" i="12"/>
  <c r="M111" i="12"/>
  <c r="O111" i="12" s="1"/>
  <c r="X132" i="12"/>
  <c r="Q139" i="12"/>
  <c r="P60" i="12"/>
  <c r="M60" i="12"/>
  <c r="O60" i="12" s="1"/>
  <c r="P48" i="12"/>
  <c r="M48" i="12"/>
  <c r="O48" i="12" s="1"/>
  <c r="M102" i="12"/>
  <c r="O102" i="12" s="1"/>
  <c r="P102" i="12"/>
  <c r="P116" i="12"/>
  <c r="M116" i="12"/>
  <c r="O116" i="12" s="1"/>
  <c r="M37" i="12"/>
  <c r="O37" i="12" s="1"/>
  <c r="P37" i="12"/>
  <c r="Q149" i="12"/>
  <c r="M100" i="12"/>
  <c r="O100" i="12" s="1"/>
  <c r="P100" i="12"/>
  <c r="K30" i="12"/>
  <c r="N32" i="12"/>
  <c r="M49" i="12"/>
  <c r="O49" i="12" s="1"/>
  <c r="P49" i="12"/>
  <c r="M10" i="12"/>
  <c r="O10" i="12" s="1"/>
  <c r="X11" i="12"/>
  <c r="X17" i="12"/>
  <c r="N75" i="12"/>
  <c r="M39" i="12"/>
  <c r="O39" i="12" s="1"/>
  <c r="P39" i="12"/>
  <c r="N151" i="12"/>
  <c r="Q70" i="12"/>
  <c r="X70" i="12"/>
  <c r="N98" i="12"/>
  <c r="Q147" i="12"/>
  <c r="M90" i="12"/>
  <c r="O90" i="12" s="1"/>
  <c r="P90" i="12"/>
  <c r="P125" i="12"/>
  <c r="M125" i="12"/>
  <c r="O125" i="12" s="1"/>
  <c r="N128" i="12"/>
  <c r="X165" i="12"/>
  <c r="P169" i="12"/>
  <c r="M169" i="12"/>
  <c r="O169" i="12" s="1"/>
  <c r="M20" i="12"/>
  <c r="O20" i="12" s="1"/>
  <c r="M7" i="12"/>
  <c r="O7" i="12" s="1"/>
  <c r="M209" i="12"/>
  <c r="O209" i="12" s="1"/>
  <c r="P209" i="12"/>
  <c r="Q228" i="12"/>
  <c r="Q125" i="12"/>
  <c r="Q66" i="12"/>
  <c r="X226" i="12"/>
  <c r="M142" i="12"/>
  <c r="O142" i="12" s="1"/>
  <c r="P142" i="12"/>
  <c r="P50" i="12"/>
  <c r="M50" i="12"/>
  <c r="O50" i="12" s="1"/>
  <c r="M99" i="12"/>
  <c r="O99" i="12" s="1"/>
  <c r="P99" i="12"/>
  <c r="M61" i="12"/>
  <c r="O61" i="12" s="1"/>
  <c r="P61" i="12"/>
  <c r="N76" i="12"/>
  <c r="X129" i="12"/>
  <c r="M221" i="12"/>
  <c r="O221" i="12" s="1"/>
  <c r="P221" i="12"/>
  <c r="N203" i="12"/>
  <c r="Q36" i="12"/>
  <c r="M156" i="12"/>
  <c r="O156" i="12" s="1"/>
  <c r="P156" i="12"/>
  <c r="Q38" i="12"/>
  <c r="Q43" i="12"/>
  <c r="P40" i="12"/>
  <c r="M40" i="12"/>
  <c r="O40" i="12" s="1"/>
  <c r="M74" i="12"/>
  <c r="O74" i="12" s="1"/>
  <c r="P74" i="12"/>
  <c r="P217" i="12"/>
  <c r="M217" i="12"/>
  <c r="O217" i="12" s="1"/>
  <c r="X203" i="12"/>
  <c r="N200" i="12"/>
  <c r="N193" i="12"/>
  <c r="Q154" i="12"/>
  <c r="Q168" i="12"/>
  <c r="N167" i="12"/>
  <c r="P216" i="12"/>
  <c r="M216" i="12"/>
  <c r="O216" i="12" s="1"/>
  <c r="Q157" i="12"/>
  <c r="Q145" i="12"/>
  <c r="P133" i="12"/>
  <c r="M133" i="12"/>
  <c r="O133" i="12" s="1"/>
  <c r="Q142" i="12"/>
  <c r="Q110" i="12"/>
  <c r="P87" i="12"/>
  <c r="M87" i="12"/>
  <c r="O87" i="12" s="1"/>
  <c r="Q121" i="12"/>
  <c r="X76" i="12"/>
  <c r="N61" i="12"/>
  <c r="X61" i="12"/>
  <c r="Q127" i="12"/>
  <c r="P137" i="12"/>
  <c r="M137" i="12"/>
  <c r="O137" i="12" s="1"/>
  <c r="M81" i="12"/>
  <c r="O81" i="12" s="1"/>
  <c r="P81" i="12"/>
  <c r="P36" i="12"/>
  <c r="M36" i="12"/>
  <c r="O36" i="12" s="1"/>
  <c r="Q100" i="12"/>
  <c r="Q19" i="12"/>
  <c r="P77" i="12"/>
  <c r="M77" i="12"/>
  <c r="O77" i="12" s="1"/>
  <c r="Q57" i="12"/>
  <c r="M78" i="12"/>
  <c r="O78" i="12" s="1"/>
  <c r="P78" i="12"/>
  <c r="N43" i="12"/>
  <c r="X6" i="12"/>
  <c r="M11" i="12"/>
  <c r="O11" i="12" s="1"/>
  <c r="Q56" i="12"/>
  <c r="M45" i="12"/>
  <c r="O45" i="12" s="1"/>
  <c r="P45" i="12"/>
  <c r="N207" i="12"/>
  <c r="N83" i="12"/>
  <c r="M76" i="12"/>
  <c r="O76" i="12" s="1"/>
  <c r="P76" i="12"/>
  <c r="Q85" i="12"/>
  <c r="N177" i="12"/>
  <c r="M167" i="12"/>
  <c r="O167" i="12" s="1"/>
  <c r="P167" i="12"/>
  <c r="N126" i="12"/>
  <c r="X139" i="12"/>
  <c r="N134" i="12"/>
  <c r="Q90" i="12"/>
  <c r="P117" i="12"/>
  <c r="M117" i="12"/>
  <c r="O117" i="12" s="1"/>
  <c r="P178" i="12"/>
  <c r="M178" i="12"/>
  <c r="O178" i="12" s="1"/>
  <c r="X168" i="12"/>
  <c r="N164" i="12"/>
  <c r="N198" i="12"/>
  <c r="M225" i="12"/>
  <c r="O225" i="12" s="1"/>
  <c r="P225" i="12"/>
  <c r="N176" i="12"/>
  <c r="N218" i="12"/>
  <c r="X217" i="12"/>
  <c r="Q176" i="12"/>
  <c r="X39" i="12"/>
  <c r="G30" i="12"/>
  <c r="M30" i="12" s="1"/>
  <c r="O30" i="12" s="1"/>
  <c r="P32" i="12"/>
  <c r="M32" i="12"/>
  <c r="O32" i="12" s="1"/>
  <c r="Q60" i="12"/>
  <c r="Q214" i="12"/>
  <c r="P134" i="12"/>
  <c r="M134" i="12"/>
  <c r="O134" i="12" s="1"/>
  <c r="X197" i="12"/>
  <c r="P95" i="12"/>
  <c r="M95" i="12"/>
  <c r="O95" i="12" s="1"/>
  <c r="Q190" i="12"/>
  <c r="P85" i="12"/>
  <c r="M85" i="12"/>
  <c r="O85" i="12" s="1"/>
  <c r="Q59" i="12"/>
  <c r="N69" i="12"/>
  <c r="P69" i="12"/>
  <c r="M69" i="12"/>
  <c r="O69" i="12" s="1"/>
  <c r="X60" i="12"/>
  <c r="Q76" i="12"/>
  <c r="Q141" i="12"/>
  <c r="N140" i="12"/>
  <c r="Q103" i="12"/>
  <c r="M112" i="12"/>
  <c r="O112" i="12" s="1"/>
  <c r="P112" i="12"/>
  <c r="Q155" i="12"/>
  <c r="Q204" i="12"/>
  <c r="Q201" i="12"/>
  <c r="P220" i="12"/>
  <c r="M220" i="12"/>
  <c r="O220" i="12" s="1"/>
  <c r="Q195" i="12"/>
  <c r="M179" i="12"/>
  <c r="O179" i="12" s="1"/>
  <c r="P179" i="12"/>
  <c r="M171" i="12"/>
  <c r="O171" i="12" s="1"/>
  <c r="P171" i="12"/>
  <c r="Q193" i="12"/>
  <c r="P109" i="12"/>
  <c r="M109" i="12"/>
  <c r="O109" i="12" s="1"/>
  <c r="P145" i="12"/>
  <c r="M145" i="12"/>
  <c r="O145" i="12" s="1"/>
  <c r="Q128" i="12"/>
  <c r="P163" i="12"/>
  <c r="M163" i="12"/>
  <c r="O163" i="12" s="1"/>
  <c r="X110" i="12"/>
  <c r="Q108" i="12"/>
  <c r="P129" i="12"/>
  <c r="M129" i="12"/>
  <c r="O129" i="12" s="1"/>
  <c r="P123" i="12"/>
  <c r="M123" i="12"/>
  <c r="O123" i="12" s="1"/>
  <c r="N89" i="12"/>
  <c r="P143" i="12"/>
  <c r="M143" i="12"/>
  <c r="O143" i="12" s="1"/>
  <c r="P141" i="12"/>
  <c r="M141" i="12"/>
  <c r="O141" i="12" s="1"/>
  <c r="X121" i="12"/>
  <c r="P58" i="12"/>
  <c r="M58" i="12"/>
  <c r="O58" i="12" s="1"/>
  <c r="Q98" i="12"/>
  <c r="N88" i="12"/>
  <c r="Q137" i="12"/>
  <c r="P44" i="12"/>
  <c r="M44" i="12"/>
  <c r="O44" i="12" s="1"/>
  <c r="X97" i="12"/>
  <c r="Q80" i="12"/>
  <c r="Q39" i="12"/>
  <c r="P118" i="12"/>
  <c r="M118" i="12"/>
  <c r="O118" i="12" s="1"/>
  <c r="Q42" i="12"/>
  <c r="N38" i="12"/>
  <c r="Q78" i="12"/>
  <c r="N6" i="12"/>
  <c r="N23" i="12"/>
  <c r="Q33" i="12"/>
  <c r="M67" i="12"/>
  <c r="O67" i="12" s="1"/>
  <c r="P67" i="12"/>
  <c r="Q88" i="12"/>
  <c r="Q87" i="12"/>
  <c r="Q46" i="12"/>
  <c r="M35" i="12"/>
  <c r="O35" i="12" s="1"/>
  <c r="P35" i="12"/>
  <c r="X111" i="12"/>
  <c r="P170" i="12"/>
  <c r="M170" i="12"/>
  <c r="O170" i="12" s="1"/>
  <c r="Q72" i="12"/>
  <c r="P147" i="12"/>
  <c r="M147" i="12"/>
  <c r="O147" i="12" s="1"/>
  <c r="P155" i="12"/>
  <c r="M155" i="12"/>
  <c r="O155" i="12" s="1"/>
  <c r="P120" i="12"/>
  <c r="M120" i="12"/>
  <c r="O120" i="12" s="1"/>
  <c r="Q191" i="12"/>
  <c r="N185" i="12"/>
  <c r="M205" i="12"/>
  <c r="O205" i="12" s="1"/>
  <c r="P205" i="12"/>
  <c r="P229" i="12"/>
  <c r="M229" i="12"/>
  <c r="O229" i="12" s="1"/>
  <c r="Q210" i="12"/>
  <c r="M5" i="12"/>
  <c r="Q213" i="12"/>
  <c r="Q135" i="12"/>
  <c r="P121" i="12"/>
  <c r="M121" i="12"/>
  <c r="O121" i="12" s="1"/>
  <c r="Q63" i="12"/>
  <c r="Q83" i="12"/>
  <c r="Q205" i="12"/>
  <c r="X223" i="12"/>
  <c r="N161" i="12"/>
  <c r="H30" i="12"/>
  <c r="Q32" i="12"/>
  <c r="X151" i="12"/>
  <c r="Q167" i="12"/>
  <c r="Q151" i="12"/>
  <c r="M172" i="12"/>
  <c r="O172" i="12" s="1"/>
  <c r="P172" i="12"/>
  <c r="P202" i="12"/>
  <c r="M202" i="12"/>
  <c r="O202" i="12" s="1"/>
  <c r="Q133" i="12"/>
  <c r="P139" i="12"/>
  <c r="M139" i="12"/>
  <c r="O139" i="12" s="1"/>
  <c r="M41" i="12"/>
  <c r="O41" i="12" s="1"/>
  <c r="P41" i="12"/>
  <c r="J4" i="12"/>
  <c r="I4" i="12"/>
  <c r="K4" i="12"/>
  <c r="H4" i="12"/>
  <c r="Q17" i="12" s="1"/>
  <c r="G4" i="12"/>
  <c r="P7" i="12" s="1"/>
  <c r="L4" i="12"/>
  <c r="P189" i="12"/>
  <c r="M189" i="12"/>
  <c r="O189" i="12" s="1"/>
  <c r="N214" i="12"/>
  <c r="Q186" i="12"/>
  <c r="X181" i="12"/>
  <c r="Q158" i="12"/>
  <c r="M188" i="12"/>
  <c r="O188" i="12" s="1"/>
  <c r="P188" i="12"/>
  <c r="X178" i="12"/>
  <c r="P210" i="12"/>
  <c r="M210" i="12"/>
  <c r="O210" i="12" s="1"/>
  <c r="P226" i="12"/>
  <c r="M226" i="12"/>
  <c r="O226" i="12" s="1"/>
  <c r="X189" i="12"/>
  <c r="X200" i="12"/>
  <c r="P200" i="12"/>
  <c r="M200" i="12"/>
  <c r="O200" i="12" s="1"/>
  <c r="P206" i="12"/>
  <c r="M206" i="12"/>
  <c r="O206" i="12" s="1"/>
  <c r="Q188" i="12"/>
  <c r="P190" i="12"/>
  <c r="M190" i="12"/>
  <c r="O190" i="12" s="1"/>
  <c r="M207" i="12"/>
  <c r="O207" i="12" s="1"/>
  <c r="P207" i="12"/>
  <c r="P166" i="12"/>
  <c r="M166" i="12"/>
  <c r="O166" i="12" s="1"/>
  <c r="Q216" i="12"/>
  <c r="N178" i="12"/>
  <c r="P144" i="12"/>
  <c r="M144" i="12"/>
  <c r="O144" i="12" s="1"/>
  <c r="X163" i="12"/>
  <c r="P128" i="12"/>
  <c r="M128" i="12"/>
  <c r="O128" i="12" s="1"/>
  <c r="X108" i="12"/>
  <c r="M126" i="12"/>
  <c r="O126" i="12" s="1"/>
  <c r="P126" i="12"/>
  <c r="Q123" i="12"/>
  <c r="M86" i="12"/>
  <c r="O86" i="12" s="1"/>
  <c r="P86" i="12"/>
  <c r="Q143" i="12"/>
  <c r="Q71" i="12"/>
  <c r="X137" i="12"/>
  <c r="Q131" i="12"/>
  <c r="N97" i="12"/>
  <c r="X149" i="12"/>
  <c r="Q118" i="12"/>
  <c r="M19" i="12"/>
  <c r="O19" i="12" s="1"/>
  <c r="P38" i="12"/>
  <c r="M38" i="12"/>
  <c r="O38" i="12" s="1"/>
  <c r="N57" i="12"/>
  <c r="Q47" i="12"/>
  <c r="M18" i="12"/>
  <c r="O18" i="12" s="1"/>
  <c r="X10" i="12"/>
  <c r="Q75" i="12"/>
  <c r="N62" i="12"/>
  <c r="M108" i="12"/>
  <c r="O108" i="12" s="1"/>
  <c r="P108" i="12"/>
  <c r="X177" i="12"/>
  <c r="X46" i="12"/>
  <c r="Q89" i="12"/>
  <c r="P165" i="12"/>
  <c r="M165" i="12"/>
  <c r="O165" i="12" s="1"/>
  <c r="N103" i="12"/>
  <c r="N133" i="12"/>
  <c r="X188" i="12"/>
  <c r="X186" i="12"/>
  <c r="N217" i="12"/>
  <c r="P222" i="12"/>
  <c r="M222" i="12"/>
  <c r="O222" i="12" s="1"/>
  <c r="N54" i="12"/>
  <c r="P93" i="12"/>
  <c r="M93" i="12"/>
  <c r="O93" i="12" s="1"/>
  <c r="X21" i="12"/>
  <c r="Q198" i="12"/>
  <c r="Q196" i="12"/>
  <c r="M153" i="12"/>
  <c r="O153" i="12" s="1"/>
  <c r="P153" i="12"/>
  <c r="Q171" i="12"/>
  <c r="Q153" i="12"/>
  <c r="Q211" i="12"/>
  <c r="Q181" i="12"/>
  <c r="X192" i="12"/>
  <c r="P151" i="12"/>
  <c r="M151" i="12"/>
  <c r="O151" i="12" s="1"/>
  <c r="M140" i="12"/>
  <c r="O140" i="12" s="1"/>
  <c r="P140" i="12"/>
  <c r="X85" i="12"/>
  <c r="Q74" i="12"/>
  <c r="Q116" i="12"/>
  <c r="N12" i="12"/>
  <c r="N71" i="12"/>
  <c r="M51" i="12"/>
  <c r="O51" i="12" s="1"/>
  <c r="P51" i="12"/>
  <c r="P150" i="12"/>
  <c r="M150" i="12"/>
  <c r="O150" i="12" s="1"/>
  <c r="P154" i="12"/>
  <c r="M154" i="12"/>
  <c r="O154" i="12" s="1"/>
  <c r="N188" i="12"/>
  <c r="P162" i="12"/>
  <c r="M162" i="12"/>
  <c r="O162" i="12" s="1"/>
  <c r="P218" i="12"/>
  <c r="M218" i="12"/>
  <c r="O218" i="12" s="1"/>
  <c r="Q221" i="12"/>
  <c r="P227" i="12"/>
  <c r="M227" i="12"/>
  <c r="O227" i="12" s="1"/>
  <c r="Q208" i="12"/>
  <c r="X201" i="12"/>
  <c r="X211" i="12"/>
  <c r="M176" i="12"/>
  <c r="O176" i="12" s="1"/>
  <c r="P176" i="12"/>
  <c r="P194" i="12"/>
  <c r="M194" i="12"/>
  <c r="O194" i="12" s="1"/>
  <c r="M213" i="12"/>
  <c r="O213" i="12" s="1"/>
  <c r="P213" i="12"/>
  <c r="N196" i="12"/>
  <c r="N160" i="12"/>
  <c r="N169" i="12"/>
  <c r="X166" i="12"/>
  <c r="M175" i="12"/>
  <c r="O175" i="12" s="1"/>
  <c r="P175" i="12"/>
  <c r="M161" i="12"/>
  <c r="O161" i="12" s="1"/>
  <c r="P161" i="12"/>
  <c r="P119" i="12"/>
  <c r="M119" i="12"/>
  <c r="O119" i="12" s="1"/>
  <c r="P146" i="12"/>
  <c r="M146" i="12"/>
  <c r="O146" i="12" s="1"/>
  <c r="N139" i="12"/>
  <c r="X123" i="12"/>
  <c r="P101" i="12"/>
  <c r="M101" i="12"/>
  <c r="O101" i="12" s="1"/>
  <c r="X141" i="12"/>
  <c r="P73" i="12"/>
  <c r="M73" i="12"/>
  <c r="O73" i="12" s="1"/>
  <c r="P148" i="12"/>
  <c r="M148" i="12"/>
  <c r="O148" i="12" s="1"/>
  <c r="Q96" i="12"/>
  <c r="P75" i="12"/>
  <c r="M75" i="12"/>
  <c r="O75" i="12" s="1"/>
  <c r="P130" i="12"/>
  <c r="M130" i="12"/>
  <c r="O130" i="12" s="1"/>
  <c r="N116" i="12"/>
  <c r="P97" i="12"/>
  <c r="M97" i="12"/>
  <c r="O97" i="12" s="1"/>
  <c r="P46" i="12"/>
  <c r="M46" i="12"/>
  <c r="O46" i="12" s="1"/>
  <c r="X80" i="12"/>
  <c r="N118" i="12"/>
  <c r="X93" i="12"/>
  <c r="Q49" i="12"/>
  <c r="Q84" i="12"/>
  <c r="N47" i="12"/>
  <c r="X78" i="12"/>
  <c r="M12" i="12"/>
  <c r="O12" i="12" s="1"/>
  <c r="Q40" i="12"/>
  <c r="X109" i="12"/>
  <c r="N17" i="12"/>
  <c r="X9" i="12"/>
  <c r="X103" i="12"/>
  <c r="Q44" i="12"/>
  <c r="N44" i="12"/>
  <c r="Q34" i="12"/>
  <c r="M110" i="12"/>
  <c r="O110" i="12" s="1"/>
  <c r="P110" i="12"/>
  <c r="Q129" i="12"/>
  <c r="N58" i="12"/>
  <c r="M63" i="12"/>
  <c r="O63" i="12" s="1"/>
  <c r="P63" i="12"/>
  <c r="Q62" i="12"/>
  <c r="Q54" i="12"/>
  <c r="M197" i="12"/>
  <c r="O197" i="12" s="1"/>
  <c r="P197" i="12"/>
  <c r="N105" i="12"/>
  <c r="Q92" i="12"/>
  <c r="N92" i="12"/>
  <c r="X145" i="12"/>
  <c r="X155" i="12"/>
  <c r="M182" i="12"/>
  <c r="O182" i="12" s="1"/>
  <c r="P182" i="12"/>
  <c r="X194" i="12"/>
  <c r="N208" i="12"/>
  <c r="P174" i="12"/>
  <c r="M174" i="12"/>
  <c r="O174" i="12" s="1"/>
  <c r="Q180" i="12"/>
  <c r="M191" i="12"/>
  <c r="O191" i="12" s="1"/>
  <c r="P191" i="12"/>
  <c r="X20" i="12"/>
  <c r="P34" i="12"/>
  <c r="M34" i="12"/>
  <c r="O34" i="12" s="1"/>
  <c r="X44" i="12"/>
  <c r="Q109" i="12"/>
  <c r="P83" i="12"/>
  <c r="M83" i="12"/>
  <c r="O83" i="12" s="1"/>
  <c r="Q61" i="12"/>
  <c r="X130" i="12"/>
  <c r="Q225" i="12"/>
  <c r="P228" i="12"/>
  <c r="M228" i="12"/>
  <c r="O228" i="12" s="1"/>
  <c r="X161" i="12"/>
  <c r="P208" i="12"/>
  <c r="M208" i="12"/>
  <c r="O208" i="12" s="1"/>
  <c r="N189" i="12"/>
  <c r="Q164" i="12"/>
  <c r="Q170" i="12"/>
  <c r="Q134" i="12"/>
  <c r="P138" i="12"/>
  <c r="M138" i="12"/>
  <c r="O138" i="12" s="1"/>
  <c r="Q119" i="12"/>
  <c r="M82" i="12"/>
  <c r="O82" i="12" s="1"/>
  <c r="P82" i="12"/>
  <c r="X71" i="12"/>
  <c r="X48" i="12"/>
  <c r="X12" i="12"/>
  <c r="Q227" i="12"/>
  <c r="M201" i="12"/>
  <c r="O201" i="12" s="1"/>
  <c r="P201" i="12"/>
  <c r="P195" i="12"/>
  <c r="M195" i="12"/>
  <c r="O195" i="12" s="1"/>
  <c r="N226" i="12"/>
  <c r="Q189" i="12"/>
  <c r="Q179" i="12"/>
  <c r="Q220" i="12"/>
  <c r="M184" i="12"/>
  <c r="O184" i="12" s="1"/>
  <c r="P184" i="12"/>
  <c r="P215" i="12"/>
  <c r="M215" i="12"/>
  <c r="O215" i="12" s="1"/>
  <c r="Q200" i="12"/>
  <c r="X206" i="12"/>
  <c r="Q192" i="12"/>
  <c r="M159" i="12"/>
  <c r="O159" i="12" s="1"/>
  <c r="P159" i="12"/>
  <c r="Q207" i="12"/>
  <c r="P173" i="12"/>
  <c r="M173" i="12"/>
  <c r="O173" i="12" s="1"/>
  <c r="N166" i="12"/>
  <c r="P105" i="12"/>
  <c r="M105" i="12"/>
  <c r="O105" i="12" s="1"/>
  <c r="Q144" i="12"/>
  <c r="Q163" i="12"/>
  <c r="N114" i="12"/>
  <c r="Q132" i="12"/>
  <c r="X126" i="12"/>
  <c r="Q106" i="12"/>
  <c r="M106" i="12"/>
  <c r="O106" i="12" s="1"/>
  <c r="P106" i="12"/>
  <c r="X143" i="12"/>
  <c r="M98" i="12"/>
  <c r="O98" i="12" s="1"/>
  <c r="P98" i="12"/>
  <c r="P66" i="12"/>
  <c r="M66" i="12"/>
  <c r="O66" i="12" s="1"/>
  <c r="P54" i="12"/>
  <c r="M54" i="12"/>
  <c r="O54" i="12" s="1"/>
  <c r="Q95" i="12"/>
  <c r="Q73" i="12"/>
  <c r="P136" i="12"/>
  <c r="M136" i="12"/>
  <c r="O136" i="12" s="1"/>
  <c r="X127" i="12"/>
  <c r="X75" i="12"/>
  <c r="P131" i="12"/>
  <c r="M131" i="12"/>
  <c r="O131" i="12" s="1"/>
  <c r="Q130" i="12"/>
  <c r="Q53" i="12"/>
  <c r="Q99" i="12"/>
  <c r="N80" i="12"/>
  <c r="Q156" i="12"/>
  <c r="X118" i="12"/>
  <c r="Q45" i="12"/>
  <c r="Q55" i="12"/>
  <c r="N19" i="12"/>
  <c r="X49" i="12"/>
  <c r="M33" i="12"/>
  <c r="O33" i="12" s="1"/>
  <c r="P33" i="12"/>
  <c r="M47" i="12"/>
  <c r="O47" i="12" s="1"/>
  <c r="P47" i="12"/>
  <c r="N84" i="12"/>
  <c r="Q12" i="12"/>
  <c r="L22" i="12"/>
  <c r="J22" i="12"/>
  <c r="H22" i="12"/>
  <c r="K22" i="12"/>
  <c r="N22" i="12" s="1"/>
  <c r="I22" i="12"/>
  <c r="G22" i="12"/>
  <c r="M15" i="12"/>
  <c r="O15" i="12" s="1"/>
  <c r="N34" i="12"/>
  <c r="X82" i="12"/>
  <c r="N35" i="12"/>
  <c r="Q58" i="12"/>
  <c r="Q64" i="12"/>
  <c r="N111" i="12"/>
  <c r="Q105" i="12"/>
  <c r="N85" i="12"/>
  <c r="X185" i="12"/>
  <c r="Q159" i="12"/>
  <c r="N170" i="12"/>
  <c r="M186" i="12"/>
  <c r="O186" i="12" s="1"/>
  <c r="P186" i="12"/>
  <c r="X208" i="12"/>
  <c r="P204" i="12"/>
  <c r="M204" i="12"/>
  <c r="O204" i="12" s="1"/>
  <c r="P224" i="12"/>
  <c r="M224" i="12"/>
  <c r="O224" i="12" s="1"/>
  <c r="N20" i="12"/>
  <c r="M8" i="12"/>
  <c r="O8" i="12" s="1"/>
  <c r="Q41" i="12"/>
  <c r="X18" i="12"/>
  <c r="Q117" i="12"/>
  <c r="Q203" i="12"/>
  <c r="X213" i="12"/>
  <c r="Q152" i="12"/>
  <c r="N142" i="12"/>
  <c r="P62" i="12"/>
  <c r="M62" i="12"/>
  <c r="O62" i="12" s="1"/>
  <c r="X67" i="12"/>
  <c r="Q81" i="12"/>
  <c r="X72" i="12"/>
  <c r="Q115" i="12"/>
  <c r="X153" i="12"/>
  <c r="Q150" i="12"/>
  <c r="Q183" i="12"/>
  <c r="Q162" i="12"/>
  <c r="M104" i="12"/>
  <c r="O104" i="12" s="1"/>
  <c r="P104" i="12"/>
  <c r="X65" i="12"/>
  <c r="M79" i="12"/>
  <c r="O79" i="12" s="1"/>
  <c r="P79" i="12"/>
  <c r="Q222" i="12"/>
  <c r="P211" i="12"/>
  <c r="M211" i="12"/>
  <c r="O211" i="12" s="1"/>
  <c r="Q199" i="12"/>
  <c r="P192" i="12"/>
  <c r="M192" i="12"/>
  <c r="O192" i="12" s="1"/>
  <c r="P107" i="12"/>
  <c r="M107" i="12"/>
  <c r="O107" i="12" s="1"/>
  <c r="Q197" i="12"/>
  <c r="P56" i="12"/>
  <c r="M56" i="12"/>
  <c r="O56" i="12" s="1"/>
  <c r="M80" i="12"/>
  <c r="O80" i="12" s="1"/>
  <c r="P80" i="12"/>
  <c r="X221" i="12"/>
  <c r="X227" i="12"/>
  <c r="Q169" i="12"/>
  <c r="P152" i="12"/>
  <c r="M152" i="12"/>
  <c r="O152" i="12" s="1"/>
  <c r="X173" i="12"/>
  <c r="Q166" i="12"/>
  <c r="X175" i="12"/>
  <c r="M124" i="12"/>
  <c r="O124" i="12" s="1"/>
  <c r="P124" i="12"/>
  <c r="N112" i="12"/>
  <c r="Q140" i="12"/>
  <c r="Q138" i="12"/>
  <c r="N123" i="12"/>
  <c r="X104" i="12"/>
  <c r="X101" i="12"/>
  <c r="M72" i="12"/>
  <c r="O72" i="12" s="1"/>
  <c r="P72" i="12"/>
  <c r="Q136" i="12"/>
  <c r="Q67" i="12"/>
  <c r="M53" i="12"/>
  <c r="O53" i="12" s="1"/>
  <c r="P53" i="12"/>
  <c r="N130" i="12"/>
  <c r="X53" i="12"/>
  <c r="P149" i="12"/>
  <c r="M149" i="12"/>
  <c r="O149" i="12" s="1"/>
  <c r="Q79" i="12"/>
  <c r="X45" i="12"/>
  <c r="X40" i="12"/>
  <c r="M17" i="12"/>
  <c r="O17" i="12" s="1"/>
  <c r="P17" i="12"/>
  <c r="G14" i="12"/>
  <c r="L14" i="12"/>
  <c r="K14" i="12"/>
  <c r="J14" i="12"/>
  <c r="I14" i="12"/>
  <c r="H14" i="12"/>
  <c r="X50" i="12"/>
  <c r="M55" i="12"/>
  <c r="O55" i="12" s="1"/>
  <c r="P55" i="12"/>
  <c r="P132" i="12"/>
  <c r="M132" i="12"/>
  <c r="O132" i="12" s="1"/>
  <c r="Q69" i="12"/>
  <c r="M94" i="12"/>
  <c r="O94" i="12" s="1"/>
  <c r="P94" i="12"/>
  <c r="Q113" i="12"/>
  <c r="Q126" i="12"/>
  <c r="X89" i="12"/>
  <c r="Q101" i="12"/>
  <c r="N107" i="12"/>
  <c r="X105" i="12"/>
  <c r="X133" i="12"/>
  <c r="X90" i="12"/>
  <c r="Q112" i="12"/>
  <c r="M177" i="12"/>
  <c r="O177" i="12" s="1"/>
  <c r="P177" i="12"/>
  <c r="P164" i="12"/>
  <c r="M164" i="12"/>
  <c r="O164" i="12" s="1"/>
  <c r="N171" i="12"/>
  <c r="P214" i="12"/>
  <c r="M214" i="12"/>
  <c r="O214" i="12" s="1"/>
  <c r="Q218" i="12"/>
  <c r="M223" i="12"/>
  <c r="O223" i="12" s="1"/>
  <c r="P223" i="12"/>
  <c r="X15" i="12"/>
  <c r="Q8" i="12"/>
  <c r="X5" i="12"/>
  <c r="J15" i="13"/>
  <c r="J13" i="13"/>
  <c r="J14" i="13"/>
  <c r="J12" i="13"/>
  <c r="M203" i="12"/>
  <c r="O203" i="12" s="1"/>
  <c r="P203" i="12"/>
  <c r="Q51" i="12"/>
  <c r="Q77" i="12"/>
  <c r="M70" i="12"/>
  <c r="O70" i="12" s="1"/>
  <c r="P70" i="12"/>
  <c r="Q104" i="12"/>
  <c r="M96" i="12"/>
  <c r="O96" i="12" s="1"/>
  <c r="P96" i="12"/>
  <c r="Q174" i="12"/>
  <c r="P113" i="12"/>
  <c r="M113" i="12"/>
  <c r="O113" i="12" s="1"/>
  <c r="P91" i="12"/>
  <c r="M91" i="12"/>
  <c r="O91" i="12" s="1"/>
  <c r="M122" i="12"/>
  <c r="O122" i="12" s="1"/>
  <c r="P122" i="12"/>
  <c r="Q37" i="12"/>
  <c r="P42" i="12"/>
  <c r="M42" i="12"/>
  <c r="O42" i="12" s="1"/>
  <c r="M9" i="12"/>
  <c r="O9" i="12" s="1"/>
  <c r="M65" i="12"/>
  <c r="O65" i="12" s="1"/>
  <c r="P65" i="12"/>
  <c r="Q111" i="12"/>
  <c r="P160" i="12"/>
  <c r="M160" i="12"/>
  <c r="O160" i="12" s="1"/>
  <c r="P181" i="12"/>
  <c r="M181" i="12"/>
  <c r="O181" i="12" s="1"/>
  <c r="Q86" i="12"/>
  <c r="X212" i="12"/>
  <c r="Q229" i="12"/>
  <c r="P68" i="12"/>
  <c r="M68" i="12"/>
  <c r="O68" i="12" s="1"/>
  <c r="P71" i="12"/>
  <c r="M71" i="12"/>
  <c r="O71" i="12" s="1"/>
  <c r="P127" i="12"/>
  <c r="M127" i="12"/>
  <c r="O127" i="12" s="1"/>
  <c r="X102" i="12"/>
  <c r="Q93" i="12"/>
  <c r="M84" i="12"/>
  <c r="O84" i="12" s="1"/>
  <c r="P84" i="12"/>
  <c r="X92" i="12"/>
  <c r="Q102" i="12"/>
  <c r="Q161" i="12"/>
  <c r="Q82" i="12"/>
  <c r="Q165" i="12"/>
  <c r="Q184" i="12"/>
  <c r="Q219" i="12"/>
  <c r="P198" i="12"/>
  <c r="M198" i="12"/>
  <c r="O198" i="12" s="1"/>
  <c r="P187" i="12"/>
  <c r="M187" i="12"/>
  <c r="O187" i="12" s="1"/>
  <c r="P193" i="12"/>
  <c r="M193" i="12"/>
  <c r="O193" i="12" s="1"/>
  <c r="Q177" i="12"/>
  <c r="M158" i="12"/>
  <c r="O158" i="12" s="1"/>
  <c r="P158" i="12"/>
  <c r="P196" i="12"/>
  <c r="M196" i="12"/>
  <c r="O196" i="12" s="1"/>
  <c r="X222" i="12"/>
  <c r="Q224" i="12"/>
  <c r="Q217" i="12"/>
  <c r="P212" i="12"/>
  <c r="M212" i="12"/>
  <c r="O212" i="12" s="1"/>
  <c r="Q185" i="12"/>
  <c r="P183" i="12"/>
  <c r="M183" i="12"/>
  <c r="O183" i="12" s="1"/>
  <c r="Q206" i="12"/>
  <c r="N173" i="12"/>
  <c r="X152" i="12"/>
  <c r="Q178" i="12"/>
  <c r="N175" i="12"/>
  <c r="P115" i="12"/>
  <c r="M115" i="12"/>
  <c r="O115" i="12" s="1"/>
  <c r="P103" i="12"/>
  <c r="M103" i="12"/>
  <c r="O103" i="12" s="1"/>
  <c r="N163" i="12"/>
  <c r="N110" i="12"/>
  <c r="X128" i="12"/>
  <c r="Q120" i="12"/>
  <c r="Q146" i="12"/>
  <c r="P135" i="12"/>
  <c r="M135" i="12"/>
  <c r="O135" i="12" s="1"/>
  <c r="N104" i="12"/>
  <c r="Q94" i="12"/>
  <c r="M88" i="12"/>
  <c r="O88" i="12" s="1"/>
  <c r="P88" i="12"/>
  <c r="P64" i="12"/>
  <c r="M64" i="12"/>
  <c r="O64" i="12" s="1"/>
  <c r="P52" i="12"/>
  <c r="M52" i="12"/>
  <c r="O52" i="12" s="1"/>
  <c r="X95" i="12"/>
  <c r="N136" i="12"/>
  <c r="Q148" i="12"/>
  <c r="Q65" i="12"/>
  <c r="N131" i="12"/>
  <c r="N81" i="12"/>
  <c r="N53" i="12"/>
  <c r="N99" i="12"/>
  <c r="X41" i="12"/>
  <c r="N74" i="12"/>
  <c r="N79" i="12"/>
  <c r="N42" i="12"/>
  <c r="N93" i="12"/>
  <c r="N55" i="12"/>
  <c r="M57" i="12"/>
  <c r="O57" i="12" s="1"/>
  <c r="P57" i="12"/>
  <c r="M43" i="12"/>
  <c r="O43" i="12" s="1"/>
  <c r="P43" i="12"/>
  <c r="N9" i="12"/>
  <c r="M23" i="12"/>
  <c r="O23" i="12" s="1"/>
  <c r="Q35" i="12"/>
  <c r="X62" i="12"/>
  <c r="N60" i="12"/>
  <c r="Q50" i="12"/>
  <c r="N66" i="12"/>
  <c r="Q52" i="12"/>
  <c r="Q107" i="12"/>
  <c r="N129" i="12"/>
  <c r="M92" i="12"/>
  <c r="O92" i="12" s="1"/>
  <c r="P92" i="12"/>
  <c r="Q122" i="12"/>
  <c r="M114" i="12"/>
  <c r="O114" i="12" s="1"/>
  <c r="P114" i="12"/>
  <c r="Q91" i="12"/>
  <c r="N138" i="12"/>
  <c r="Q114" i="12"/>
  <c r="N195" i="12"/>
  <c r="N181" i="12"/>
  <c r="X150" i="12"/>
  <c r="P185" i="12"/>
  <c r="M185" i="12"/>
  <c r="O185" i="12" s="1"/>
  <c r="X170" i="12"/>
  <c r="X172" i="12"/>
  <c r="Q187" i="12"/>
  <c r="M180" i="12"/>
  <c r="O180" i="12" s="1"/>
  <c r="P180" i="12"/>
  <c r="M199" i="12"/>
  <c r="O199" i="12" s="1"/>
  <c r="P199" i="12"/>
  <c r="P219" i="12"/>
  <c r="M219" i="12"/>
  <c r="O219" i="12" s="1"/>
  <c r="N15" i="12"/>
  <c r="M6" i="12"/>
  <c r="O6" i="12" s="1"/>
  <c r="P30" i="12" l="1"/>
  <c r="X207" i="12"/>
  <c r="X219" i="12"/>
  <c r="X84" i="12"/>
  <c r="X58" i="12"/>
  <c r="Q11" i="12"/>
  <c r="X164" i="12"/>
  <c r="X87" i="12"/>
  <c r="X196" i="12"/>
  <c r="X4" i="12"/>
  <c r="X218" i="12"/>
  <c r="BA19" i="12"/>
  <c r="BA20" i="12"/>
  <c r="BA21" i="12"/>
  <c r="BA13" i="12"/>
  <c r="BA5" i="12"/>
  <c r="BA17" i="12"/>
  <c r="BA7" i="12"/>
  <c r="BA8" i="12"/>
  <c r="BA23" i="12"/>
  <c r="BA18" i="12"/>
  <c r="BA16" i="12"/>
  <c r="BA12" i="12"/>
  <c r="BA15" i="12"/>
  <c r="BA11" i="12"/>
  <c r="BA9" i="12"/>
  <c r="BA6" i="12"/>
  <c r="BA10" i="12"/>
  <c r="O5" i="12"/>
  <c r="X57" i="12"/>
  <c r="X191" i="12"/>
  <c r="X83" i="12"/>
  <c r="X94" i="12"/>
  <c r="X113" i="12"/>
  <c r="X114" i="12"/>
  <c r="X183" i="12"/>
  <c r="X33" i="12"/>
  <c r="N30" i="12"/>
  <c r="X169" i="12"/>
  <c r="M22" i="12"/>
  <c r="O22" i="12" s="1"/>
  <c r="P22" i="12"/>
  <c r="X56" i="12"/>
  <c r="Q21" i="12"/>
  <c r="Q6" i="12"/>
  <c r="X138" i="12"/>
  <c r="X195" i="12"/>
  <c r="X156" i="12"/>
  <c r="X125" i="12"/>
  <c r="X199" i="12"/>
  <c r="Q16" i="12"/>
  <c r="P4" i="12"/>
  <c r="M4" i="12"/>
  <c r="BA4" i="12" s="1"/>
  <c r="G24" i="12"/>
  <c r="P6" i="12"/>
  <c r="C14" i="13"/>
  <c r="P21" i="12"/>
  <c r="X117" i="12"/>
  <c r="X144" i="12"/>
  <c r="Q14" i="12"/>
  <c r="X100" i="12"/>
  <c r="L14" i="13"/>
  <c r="P14" i="13" s="1"/>
  <c r="X55" i="12"/>
  <c r="X64" i="12"/>
  <c r="X116" i="12"/>
  <c r="X136" i="12"/>
  <c r="Q5" i="12"/>
  <c r="X88" i="12"/>
  <c r="P18" i="12"/>
  <c r="X157" i="12"/>
  <c r="X16" i="12"/>
  <c r="X198" i="12"/>
  <c r="X147" i="12"/>
  <c r="X59" i="12"/>
  <c r="X205" i="12"/>
  <c r="X214" i="12"/>
  <c r="X180" i="12"/>
  <c r="X228" i="12"/>
  <c r="P20" i="12"/>
  <c r="P16" i="12"/>
  <c r="P23" i="12"/>
  <c r="X120" i="12"/>
  <c r="X107" i="12"/>
  <c r="X47" i="12"/>
  <c r="X96" i="12"/>
  <c r="Q20" i="12"/>
  <c r="Q15" i="12"/>
  <c r="X23" i="12"/>
  <c r="P10" i="12"/>
  <c r="X63" i="12"/>
  <c r="X134" i="12"/>
  <c r="X32" i="12"/>
  <c r="X119" i="12"/>
  <c r="Q23" i="12"/>
  <c r="P13" i="12"/>
  <c r="P15" i="12"/>
  <c r="L15" i="13"/>
  <c r="P15" i="13" s="1"/>
  <c r="Q22" i="12"/>
  <c r="X158" i="12"/>
  <c r="X19" i="12"/>
  <c r="X193" i="12"/>
  <c r="X225" i="12"/>
  <c r="X115" i="12"/>
  <c r="X8" i="12"/>
  <c r="X182" i="12"/>
  <c r="X112" i="12"/>
  <c r="X215" i="12"/>
  <c r="X66" i="12"/>
  <c r="X140" i="12"/>
  <c r="Q4" i="12"/>
  <c r="H24" i="12"/>
  <c r="D13" i="13" s="1"/>
  <c r="C13" i="13"/>
  <c r="C19" i="13" s="1"/>
  <c r="Q10" i="12"/>
  <c r="Q9" i="12"/>
  <c r="X99" i="12"/>
  <c r="R219" i="12"/>
  <c r="R221" i="12"/>
  <c r="R223" i="12"/>
  <c r="S225" i="12"/>
  <c r="AF221" i="12"/>
  <c r="AF218" i="12"/>
  <c r="R225" i="12"/>
  <c r="AF223" i="12"/>
  <c r="AF222" i="12"/>
  <c r="AF224" i="12"/>
  <c r="AF219" i="12"/>
  <c r="R210" i="12"/>
  <c r="S205" i="12"/>
  <c r="R205" i="12"/>
  <c r="S204" i="12"/>
  <c r="AF186" i="12"/>
  <c r="R186" i="12"/>
  <c r="S227" i="12"/>
  <c r="AF225" i="12"/>
  <c r="R204" i="12"/>
  <c r="L12" i="13"/>
  <c r="R214" i="12"/>
  <c r="AF210" i="12"/>
  <c r="AF205" i="12"/>
  <c r="AF220" i="12"/>
  <c r="S221" i="12"/>
  <c r="R209" i="12"/>
  <c r="R191" i="12"/>
  <c r="S222" i="12"/>
  <c r="AF204" i="12"/>
  <c r="AF180" i="12"/>
  <c r="R180" i="12"/>
  <c r="R222" i="12"/>
  <c r="S220" i="12"/>
  <c r="S214" i="12"/>
  <c r="AF212" i="12"/>
  <c r="R208" i="12"/>
  <c r="AF201" i="12"/>
  <c r="R212" i="12"/>
  <c r="R227" i="12"/>
  <c r="S223" i="12"/>
  <c r="S209" i="12"/>
  <c r="AF172" i="12"/>
  <c r="S229" i="12"/>
  <c r="AF189" i="12"/>
  <c r="AF179" i="12"/>
  <c r="S210" i="12"/>
  <c r="AF195" i="12"/>
  <c r="AF191" i="12"/>
  <c r="S211" i="12"/>
  <c r="S195" i="12"/>
  <c r="S185" i="12"/>
  <c r="S181" i="12"/>
  <c r="S224" i="12"/>
  <c r="R211" i="12"/>
  <c r="R195" i="12"/>
  <c r="AF187" i="12"/>
  <c r="R185" i="12"/>
  <c r="S182" i="12"/>
  <c r="R181" i="12"/>
  <c r="S174" i="12"/>
  <c r="R220" i="12"/>
  <c r="AF208" i="12"/>
  <c r="R198" i="12"/>
  <c r="AF174" i="12"/>
  <c r="S189" i="12"/>
  <c r="S187" i="12"/>
  <c r="AF171" i="12"/>
  <c r="AF170" i="12"/>
  <c r="R165" i="12"/>
  <c r="AF154" i="12"/>
  <c r="R154" i="12"/>
  <c r="S212" i="12"/>
  <c r="R187" i="12"/>
  <c r="AF177" i="12"/>
  <c r="R179" i="12"/>
  <c r="R158" i="12"/>
  <c r="S191" i="12"/>
  <c r="S171" i="12"/>
  <c r="S217" i="12"/>
  <c r="R201" i="12"/>
  <c r="S160" i="12"/>
  <c r="AF158" i="12"/>
  <c r="R224" i="12"/>
  <c r="S170" i="12"/>
  <c r="R160" i="12"/>
  <c r="AF167" i="12"/>
  <c r="AF159" i="12"/>
  <c r="S151" i="12"/>
  <c r="AF193" i="12"/>
  <c r="R182" i="12"/>
  <c r="S169" i="12"/>
  <c r="S168" i="12"/>
  <c r="AF162" i="12"/>
  <c r="R151" i="12"/>
  <c r="R200" i="12"/>
  <c r="R155" i="12"/>
  <c r="AF150" i="12"/>
  <c r="R226" i="12"/>
  <c r="AF166" i="12"/>
  <c r="S162" i="12"/>
  <c r="AF152" i="12"/>
  <c r="AF199" i="12"/>
  <c r="S152" i="12"/>
  <c r="R171" i="12"/>
  <c r="AF165" i="12"/>
  <c r="S155" i="12"/>
  <c r="R183" i="12"/>
  <c r="AF151" i="12"/>
  <c r="AF129" i="12"/>
  <c r="R129" i="12"/>
  <c r="AF124" i="12"/>
  <c r="R124" i="12"/>
  <c r="R218" i="12"/>
  <c r="S201" i="12"/>
  <c r="S194" i="12"/>
  <c r="S172" i="12"/>
  <c r="R147" i="12"/>
  <c r="AF134" i="12"/>
  <c r="AF133" i="12"/>
  <c r="S153" i="12"/>
  <c r="R145" i="12"/>
  <c r="R162" i="12"/>
  <c r="R144" i="12"/>
  <c r="AF132" i="12"/>
  <c r="R166" i="12"/>
  <c r="AF126" i="12"/>
  <c r="AF92" i="12"/>
  <c r="R92" i="12"/>
  <c r="R87" i="12"/>
  <c r="S157" i="12"/>
  <c r="R134" i="12"/>
  <c r="R128" i="12"/>
  <c r="AF112" i="12"/>
  <c r="S108" i="12"/>
  <c r="AF147" i="12"/>
  <c r="AF117" i="12"/>
  <c r="AF96" i="12"/>
  <c r="R96" i="12"/>
  <c r="R91" i="12"/>
  <c r="AF185" i="12"/>
  <c r="AF163" i="12"/>
  <c r="AF114" i="12"/>
  <c r="S110" i="12"/>
  <c r="R169" i="12"/>
  <c r="AF161" i="12"/>
  <c r="R126" i="12"/>
  <c r="S123" i="12"/>
  <c r="R106" i="12"/>
  <c r="R101" i="12"/>
  <c r="AF157" i="12"/>
  <c r="R85" i="12"/>
  <c r="AF145" i="12"/>
  <c r="AF128" i="12"/>
  <c r="S126" i="12"/>
  <c r="R86" i="12"/>
  <c r="R159" i="12"/>
  <c r="S150" i="12"/>
  <c r="R142" i="12"/>
  <c r="R90" i="12"/>
  <c r="S76" i="12"/>
  <c r="S145" i="12"/>
  <c r="S112" i="12"/>
  <c r="AF110" i="12"/>
  <c r="AF108" i="12"/>
  <c r="S104" i="12"/>
  <c r="R76" i="12"/>
  <c r="R140" i="12"/>
  <c r="S114" i="12"/>
  <c r="R146" i="12"/>
  <c r="R83" i="12"/>
  <c r="AF76" i="12"/>
  <c r="R73" i="12"/>
  <c r="R72" i="12"/>
  <c r="R117" i="12"/>
  <c r="R143" i="12"/>
  <c r="R132" i="12"/>
  <c r="S98" i="12"/>
  <c r="S88" i="12"/>
  <c r="R74" i="12"/>
  <c r="R141" i="12"/>
  <c r="R133" i="12"/>
  <c r="R98" i="12"/>
  <c r="R153" i="12"/>
  <c r="R135" i="12"/>
  <c r="AF90" i="12"/>
  <c r="S67" i="12"/>
  <c r="AF63" i="12"/>
  <c r="S59" i="12"/>
  <c r="AF51" i="12"/>
  <c r="S35" i="12"/>
  <c r="R34" i="12"/>
  <c r="AF102" i="12"/>
  <c r="R88" i="12"/>
  <c r="R35" i="12"/>
  <c r="AF106" i="12"/>
  <c r="R89" i="12"/>
  <c r="S120" i="12"/>
  <c r="AF74" i="12"/>
  <c r="AF65" i="12"/>
  <c r="S61" i="12"/>
  <c r="S106" i="12"/>
  <c r="R75" i="12"/>
  <c r="AF72" i="12"/>
  <c r="S53" i="12"/>
  <c r="AF155" i="12"/>
  <c r="AF136" i="12"/>
  <c r="AF94" i="12"/>
  <c r="R53" i="12"/>
  <c r="R46" i="12"/>
  <c r="AF59" i="12"/>
  <c r="S72" i="12"/>
  <c r="AF67" i="12"/>
  <c r="S63" i="12"/>
  <c r="R44" i="12"/>
  <c r="R81" i="12"/>
  <c r="AF70" i="12"/>
  <c r="S147" i="12"/>
  <c r="AF37" i="12"/>
  <c r="R36" i="12"/>
  <c r="AF104" i="12"/>
  <c r="S51" i="12"/>
  <c r="R51" i="12"/>
  <c r="AF35" i="12"/>
  <c r="AF53" i="12"/>
  <c r="AF41" i="12"/>
  <c r="R94" i="12"/>
  <c r="AF86" i="12"/>
  <c r="S65" i="12"/>
  <c r="AF61" i="12"/>
  <c r="AF55" i="12"/>
  <c r="S37" i="12"/>
  <c r="S39" i="12"/>
  <c r="S74" i="12"/>
  <c r="S45" i="12"/>
  <c r="S32" i="12"/>
  <c r="R45" i="12"/>
  <c r="R39" i="12"/>
  <c r="R41" i="12"/>
  <c r="AF60" i="12"/>
  <c r="R78" i="12"/>
  <c r="AF84" i="12"/>
  <c r="AF32" i="12"/>
  <c r="R77" i="12"/>
  <c r="S149" i="12"/>
  <c r="AF64" i="12"/>
  <c r="S137" i="12"/>
  <c r="S70" i="12"/>
  <c r="R122" i="12"/>
  <c r="R68" i="12"/>
  <c r="AF121" i="12"/>
  <c r="AF103" i="12"/>
  <c r="S96" i="12"/>
  <c r="R113" i="12"/>
  <c r="S190" i="12"/>
  <c r="S219" i="12"/>
  <c r="S196" i="12"/>
  <c r="S213" i="12"/>
  <c r="S180" i="12"/>
  <c r="AF202" i="12"/>
  <c r="R174" i="12"/>
  <c r="R203" i="12"/>
  <c r="AF226" i="12"/>
  <c r="S198" i="12"/>
  <c r="S206" i="12"/>
  <c r="R176" i="12"/>
  <c r="R217" i="12"/>
  <c r="S38" i="12"/>
  <c r="AF149" i="12"/>
  <c r="R80" i="12"/>
  <c r="AF130" i="12"/>
  <c r="R136" i="12"/>
  <c r="AF113" i="12"/>
  <c r="S139" i="12"/>
  <c r="S144" i="12"/>
  <c r="AF213" i="12"/>
  <c r="S200" i="12"/>
  <c r="AF209" i="12"/>
  <c r="AF93" i="12"/>
  <c r="R178" i="12"/>
  <c r="R194" i="12"/>
  <c r="AF78" i="12"/>
  <c r="R33" i="12"/>
  <c r="R66" i="12"/>
  <c r="S90" i="12"/>
  <c r="S43" i="12"/>
  <c r="R32" i="12"/>
  <c r="R149" i="12"/>
  <c r="AF46" i="12"/>
  <c r="AF97" i="12"/>
  <c r="AF109" i="12"/>
  <c r="AF75" i="12"/>
  <c r="R137" i="12"/>
  <c r="AF148" i="12"/>
  <c r="AF73" i="12"/>
  <c r="S122" i="12"/>
  <c r="S52" i="12"/>
  <c r="S64" i="12"/>
  <c r="AF101" i="12"/>
  <c r="S143" i="12"/>
  <c r="S135" i="12"/>
  <c r="AF146" i="12"/>
  <c r="S128" i="12"/>
  <c r="R115" i="12"/>
  <c r="S103" i="12"/>
  <c r="R216" i="12"/>
  <c r="R190" i="12"/>
  <c r="R213" i="12"/>
  <c r="AF215" i="12"/>
  <c r="S203" i="12"/>
  <c r="S226" i="12"/>
  <c r="AF88" i="12"/>
  <c r="S80" i="12"/>
  <c r="R148" i="12"/>
  <c r="R52" i="12"/>
  <c r="S119" i="12"/>
  <c r="AF184" i="12"/>
  <c r="R121" i="12"/>
  <c r="R107" i="12"/>
  <c r="R40" i="12"/>
  <c r="R100" i="12"/>
  <c r="AF68" i="12"/>
  <c r="AF119" i="12"/>
  <c r="S113" i="12"/>
  <c r="S183" i="12"/>
  <c r="S78" i="12"/>
  <c r="S41" i="12"/>
  <c r="R93" i="12"/>
  <c r="AF66" i="12"/>
  <c r="S46" i="12"/>
  <c r="S97" i="12"/>
  <c r="AF54" i="12"/>
  <c r="AF39" i="12"/>
  <c r="S75" i="12"/>
  <c r="S148" i="12"/>
  <c r="S73" i="12"/>
  <c r="R48" i="12"/>
  <c r="AF71" i="12"/>
  <c r="S101" i="12"/>
  <c r="R82" i="12"/>
  <c r="AF135" i="12"/>
  <c r="S146" i="12"/>
  <c r="AF138" i="12"/>
  <c r="AF140" i="12"/>
  <c r="AF115" i="12"/>
  <c r="S175" i="12"/>
  <c r="AF216" i="12"/>
  <c r="AF190" i="12"/>
  <c r="AF169" i="12"/>
  <c r="R196" i="12"/>
  <c r="S177" i="12"/>
  <c r="S184" i="12"/>
  <c r="AF203" i="12"/>
  <c r="AF217" i="12"/>
  <c r="S49" i="12"/>
  <c r="AF77" i="12"/>
  <c r="R55" i="12"/>
  <c r="AF44" i="12"/>
  <c r="R163" i="12"/>
  <c r="AF228" i="12"/>
  <c r="S60" i="12"/>
  <c r="R114" i="12"/>
  <c r="S93" i="12"/>
  <c r="AF100" i="12"/>
  <c r="R119" i="12"/>
  <c r="R175" i="12"/>
  <c r="R199" i="12"/>
  <c r="R42" i="12"/>
  <c r="AF122" i="12"/>
  <c r="S94" i="12"/>
  <c r="S173" i="12"/>
  <c r="AF196" i="12"/>
  <c r="R172" i="12"/>
  <c r="AF48" i="12"/>
  <c r="AF38" i="12"/>
  <c r="R47" i="12"/>
  <c r="S55" i="12"/>
  <c r="AF50" i="12"/>
  <c r="R99" i="12"/>
  <c r="AF62" i="12"/>
  <c r="S131" i="12"/>
  <c r="AF137" i="12"/>
  <c r="S136" i="12"/>
  <c r="R50" i="12"/>
  <c r="S71" i="12"/>
  <c r="R95" i="12"/>
  <c r="S54" i="12"/>
  <c r="S66" i="12"/>
  <c r="AF107" i="12"/>
  <c r="AF143" i="12"/>
  <c r="AF82" i="12"/>
  <c r="AF111" i="12"/>
  <c r="S197" i="12"/>
  <c r="S138" i="12"/>
  <c r="S140" i="12"/>
  <c r="S133" i="12"/>
  <c r="S163" i="12"/>
  <c r="AF144" i="12"/>
  <c r="S105" i="12"/>
  <c r="R228" i="12"/>
  <c r="S207" i="12"/>
  <c r="R206" i="12"/>
  <c r="R177" i="12"/>
  <c r="R184" i="12"/>
  <c r="AF200" i="12"/>
  <c r="R215" i="12"/>
  <c r="S179" i="12"/>
  <c r="AF227" i="12"/>
  <c r="R97" i="12"/>
  <c r="R131" i="12"/>
  <c r="AF105" i="12"/>
  <c r="AF141" i="12"/>
  <c r="AF164" i="12"/>
  <c r="S176" i="12"/>
  <c r="S118" i="12"/>
  <c r="S91" i="12"/>
  <c r="S132" i="12"/>
  <c r="S188" i="12"/>
  <c r="S215" i="12"/>
  <c r="S202" i="12"/>
  <c r="R49" i="12"/>
  <c r="R43" i="12"/>
  <c r="S156" i="12"/>
  <c r="AF80" i="12"/>
  <c r="AF36" i="12"/>
  <c r="AF81" i="12"/>
  <c r="AF116" i="12"/>
  <c r="S130" i="12"/>
  <c r="S44" i="12"/>
  <c r="AF125" i="12"/>
  <c r="AF127" i="12"/>
  <c r="R102" i="12"/>
  <c r="R54" i="12"/>
  <c r="S56" i="12"/>
  <c r="S86" i="12"/>
  <c r="AF120" i="12"/>
  <c r="R139" i="12"/>
  <c r="AF87" i="12"/>
  <c r="R197" i="12"/>
  <c r="S165" i="12"/>
  <c r="S124" i="12"/>
  <c r="S107" i="12"/>
  <c r="R138" i="12"/>
  <c r="S192" i="12"/>
  <c r="S164" i="12"/>
  <c r="AF181" i="12"/>
  <c r="R229" i="12"/>
  <c r="AF176" i="12"/>
  <c r="S218" i="12"/>
  <c r="S208" i="12"/>
  <c r="R157" i="12"/>
  <c r="AF206" i="12"/>
  <c r="S159" i="12"/>
  <c r="R189" i="12"/>
  <c r="S125" i="12"/>
  <c r="S95" i="12"/>
  <c r="S89" i="12"/>
  <c r="S167" i="12"/>
  <c r="AF45" i="12"/>
  <c r="S115" i="12"/>
  <c r="S117" i="12"/>
  <c r="R167" i="12"/>
  <c r="AF160" i="12"/>
  <c r="R170" i="12"/>
  <c r="R84" i="12"/>
  <c r="AF153" i="12"/>
  <c r="AF198" i="12"/>
  <c r="S47" i="12"/>
  <c r="AF49" i="12"/>
  <c r="S77" i="12"/>
  <c r="R37" i="12"/>
  <c r="R156" i="12"/>
  <c r="S36" i="12"/>
  <c r="S81" i="12"/>
  <c r="S116" i="12"/>
  <c r="R130" i="12"/>
  <c r="AF131" i="12"/>
  <c r="R125" i="12"/>
  <c r="R127" i="12"/>
  <c r="S92" i="12"/>
  <c r="R56" i="12"/>
  <c r="R120" i="12"/>
  <c r="S87" i="12"/>
  <c r="R108" i="12"/>
  <c r="S216" i="12"/>
  <c r="S166" i="12"/>
  <c r="AF207" i="12"/>
  <c r="AF214" i="12"/>
  <c r="AF168" i="12"/>
  <c r="R192" i="12"/>
  <c r="AF229" i="12"/>
  <c r="AF56" i="12"/>
  <c r="S48" i="12"/>
  <c r="S111" i="12"/>
  <c r="S199" i="12"/>
  <c r="AF156" i="12"/>
  <c r="R65" i="12"/>
  <c r="R202" i="12"/>
  <c r="AF52" i="12"/>
  <c r="R67" i="12"/>
  <c r="R70" i="12"/>
  <c r="S50" i="12"/>
  <c r="R111" i="12"/>
  <c r="AF175" i="12"/>
  <c r="AF40" i="12"/>
  <c r="R38" i="12"/>
  <c r="AF47" i="12"/>
  <c r="AF79" i="12"/>
  <c r="AF118" i="12"/>
  <c r="AF98" i="12"/>
  <c r="AF69" i="12"/>
  <c r="R116" i="12"/>
  <c r="R104" i="12"/>
  <c r="R59" i="12"/>
  <c r="R58" i="12"/>
  <c r="S134" i="12"/>
  <c r="S58" i="12"/>
  <c r="S141" i="12"/>
  <c r="AF85" i="12"/>
  <c r="AF123" i="12"/>
  <c r="AF139" i="12"/>
  <c r="R110" i="12"/>
  <c r="R103" i="12"/>
  <c r="S129" i="12"/>
  <c r="S161" i="12"/>
  <c r="S109" i="12"/>
  <c r="R207" i="12"/>
  <c r="AF188" i="12"/>
  <c r="S158" i="12"/>
  <c r="AF192" i="12"/>
  <c r="S193" i="12"/>
  <c r="R164" i="12"/>
  <c r="AF182" i="12"/>
  <c r="AF211" i="12"/>
  <c r="S186" i="12"/>
  <c r="S68" i="12"/>
  <c r="R57" i="12"/>
  <c r="S99" i="12"/>
  <c r="S102" i="12"/>
  <c r="S142" i="12"/>
  <c r="R173" i="12"/>
  <c r="R71" i="12"/>
  <c r="S178" i="12"/>
  <c r="R188" i="12"/>
  <c r="AF194" i="12"/>
  <c r="AF197" i="12"/>
  <c r="S40" i="12"/>
  <c r="S57" i="12"/>
  <c r="AF43" i="12"/>
  <c r="AF42" i="12"/>
  <c r="AF58" i="12"/>
  <c r="S79" i="12"/>
  <c r="R118" i="12"/>
  <c r="S69" i="12"/>
  <c r="AF99" i="12"/>
  <c r="R61" i="12"/>
  <c r="R150" i="12"/>
  <c r="S127" i="12"/>
  <c r="R60" i="12"/>
  <c r="AF95" i="12"/>
  <c r="AF83" i="12"/>
  <c r="S121" i="12"/>
  <c r="AF89" i="12"/>
  <c r="S85" i="12"/>
  <c r="AF91" i="12"/>
  <c r="S82" i="12"/>
  <c r="R123" i="12"/>
  <c r="R112" i="12"/>
  <c r="AF142" i="12"/>
  <c r="R105" i="12"/>
  <c r="R161" i="12"/>
  <c r="AF178" i="12"/>
  <c r="S228" i="12"/>
  <c r="R168" i="12"/>
  <c r="S154" i="12"/>
  <c r="R193" i="12"/>
  <c r="S42" i="12"/>
  <c r="S100" i="12"/>
  <c r="AF34" i="12"/>
  <c r="R63" i="12"/>
  <c r="R152" i="12"/>
  <c r="R62" i="12"/>
  <c r="S83" i="12"/>
  <c r="S84" i="12"/>
  <c r="S33" i="12"/>
  <c r="AF57" i="12"/>
  <c r="R69" i="12"/>
  <c r="S34" i="12"/>
  <c r="R64" i="12"/>
  <c r="R109" i="12"/>
  <c r="AF173" i="12"/>
  <c r="AF183" i="12"/>
  <c r="R79" i="12"/>
  <c r="S62" i="12"/>
  <c r="X184" i="12"/>
  <c r="X51" i="12"/>
  <c r="X154" i="12"/>
  <c r="X202" i="12"/>
  <c r="X179" i="12"/>
  <c r="N14" i="12"/>
  <c r="Q13" i="12"/>
  <c r="X54" i="12"/>
  <c r="X69" i="12"/>
  <c r="X229" i="12"/>
  <c r="X124" i="12"/>
  <c r="X73" i="12"/>
  <c r="X74" i="12"/>
  <c r="X142" i="12"/>
  <c r="X122" i="12"/>
  <c r="X204" i="12"/>
  <c r="X34" i="12"/>
  <c r="X38" i="12"/>
  <c r="X209" i="12"/>
  <c r="X174" i="12"/>
  <c r="X91" i="12"/>
  <c r="X43" i="12"/>
  <c r="X81" i="12"/>
  <c r="X37" i="12"/>
  <c r="X162" i="12"/>
  <c r="K24" i="12"/>
  <c r="N4" i="12"/>
  <c r="X187" i="12"/>
  <c r="P5" i="12"/>
  <c r="P9" i="12"/>
  <c r="Q13" i="13"/>
  <c r="L13" i="13"/>
  <c r="P13" i="13" s="1"/>
  <c r="X220" i="12"/>
  <c r="P12" i="12"/>
  <c r="X52" i="12"/>
  <c r="X98" i="12"/>
  <c r="X36" i="12"/>
  <c r="Q7" i="12"/>
  <c r="X171" i="12"/>
  <c r="X79" i="12"/>
  <c r="X7" i="12"/>
  <c r="X42" i="12"/>
  <c r="P11" i="12"/>
  <c r="X148" i="12"/>
  <c r="M14" i="12"/>
  <c r="O14" i="12" s="1"/>
  <c r="P14" i="12"/>
  <c r="X86" i="12"/>
  <c r="P8" i="12"/>
  <c r="X160" i="12"/>
  <c r="X146" i="12"/>
  <c r="X68" i="12"/>
  <c r="Q18" i="12"/>
  <c r="X190" i="12"/>
  <c r="X176" i="12"/>
  <c r="X13" i="12"/>
  <c r="P19" i="12"/>
  <c r="L24" i="12"/>
  <c r="X224" i="12"/>
  <c r="X106" i="12"/>
  <c r="X159" i="12"/>
  <c r="X35" i="12"/>
  <c r="X216" i="12"/>
  <c r="X131" i="12"/>
  <c r="X135" i="12"/>
  <c r="X77" i="12"/>
  <c r="AH121" i="12" l="1"/>
  <c r="AI153" i="12"/>
  <c r="AJ153" i="12" s="1"/>
  <c r="AP153" i="12" s="1"/>
  <c r="AH94" i="12"/>
  <c r="AH139" i="12"/>
  <c r="AH88" i="12"/>
  <c r="AI158" i="12"/>
  <c r="AJ158" i="12" s="1"/>
  <c r="AP158" i="12"/>
  <c r="AI205" i="12"/>
  <c r="AJ205" i="12" s="1"/>
  <c r="AP205" i="12" s="1"/>
  <c r="AH228" i="12"/>
  <c r="AI131" i="12"/>
  <c r="AJ131" i="12" s="1"/>
  <c r="AP131" i="12" s="1"/>
  <c r="AH197" i="12"/>
  <c r="AI215" i="12"/>
  <c r="AJ215" i="12" s="1"/>
  <c r="AP215" i="12" s="1"/>
  <c r="AI41" i="12"/>
  <c r="AJ41" i="12" s="1"/>
  <c r="AP41" i="12" s="1"/>
  <c r="AI163" i="12"/>
  <c r="AJ163" i="12" s="1"/>
  <c r="AP163" i="12" s="1"/>
  <c r="AG165" i="12"/>
  <c r="T165" i="12"/>
  <c r="U165" i="12" s="1"/>
  <c r="AG67" i="12"/>
  <c r="T67" i="12"/>
  <c r="U67" i="12" s="1"/>
  <c r="AH91" i="12"/>
  <c r="T40" i="12"/>
  <c r="U40" i="12" s="1"/>
  <c r="AG40" i="12"/>
  <c r="AI53" i="12"/>
  <c r="AJ53" i="12" s="1"/>
  <c r="AP53" i="12" s="1"/>
  <c r="AI185" i="12"/>
  <c r="AJ185" i="12" s="1"/>
  <c r="AP185" i="12" s="1"/>
  <c r="AI189" i="12"/>
  <c r="AJ189" i="12" s="1"/>
  <c r="AP189" i="12" s="1"/>
  <c r="AH40" i="12"/>
  <c r="AG157" i="12"/>
  <c r="T157" i="12"/>
  <c r="U157" i="12" s="1"/>
  <c r="AG199" i="12"/>
  <c r="T199" i="12"/>
  <c r="U199" i="12" s="1"/>
  <c r="AI130" i="12"/>
  <c r="AJ130" i="12" s="1"/>
  <c r="AP130" i="12" s="1"/>
  <c r="AI35" i="12"/>
  <c r="AJ35" i="12" s="1"/>
  <c r="AP35" i="12" s="1"/>
  <c r="AG143" i="12"/>
  <c r="T143" i="12"/>
  <c r="U143" i="12" s="1"/>
  <c r="AI110" i="12"/>
  <c r="AJ110" i="12" s="1"/>
  <c r="AP110" i="12" s="1"/>
  <c r="T85" i="12"/>
  <c r="U85" i="12" s="1"/>
  <c r="AG85" i="12"/>
  <c r="AH217" i="12"/>
  <c r="AG195" i="12"/>
  <c r="T195" i="12"/>
  <c r="U195" i="12" s="1"/>
  <c r="AH229" i="12"/>
  <c r="AG180" i="12"/>
  <c r="T180" i="12"/>
  <c r="U180" i="12" s="1"/>
  <c r="AI222" i="12"/>
  <c r="AJ222" i="12" s="1"/>
  <c r="AP222" i="12" s="1"/>
  <c r="AH62" i="12"/>
  <c r="AG62" i="12"/>
  <c r="T62" i="12"/>
  <c r="AG105" i="12"/>
  <c r="T105" i="12"/>
  <c r="AH127" i="12"/>
  <c r="AI197" i="12"/>
  <c r="AJ197" i="12" s="1"/>
  <c r="AP197" i="12" s="1"/>
  <c r="AI211" i="12"/>
  <c r="AJ211" i="12" s="1"/>
  <c r="AP211" i="12" s="1"/>
  <c r="AG110" i="12"/>
  <c r="T110" i="12"/>
  <c r="U110" i="12" s="1"/>
  <c r="AI98" i="12"/>
  <c r="AJ98" i="12" s="1"/>
  <c r="AP98" i="12" s="1"/>
  <c r="AG202" i="12"/>
  <c r="T202" i="12"/>
  <c r="U202" i="12" s="1"/>
  <c r="AH166" i="12"/>
  <c r="AH81" i="12"/>
  <c r="T167" i="12"/>
  <c r="U167" i="12" s="1"/>
  <c r="AG167" i="12"/>
  <c r="AH208" i="12"/>
  <c r="AI87" i="12"/>
  <c r="AJ87" i="12" s="1"/>
  <c r="AP87" i="12" s="1"/>
  <c r="AI81" i="12"/>
  <c r="AJ81" i="12" s="1"/>
  <c r="AP81" i="12" s="1"/>
  <c r="AH176" i="12"/>
  <c r="T206" i="12"/>
  <c r="U206" i="12" s="1"/>
  <c r="AG206" i="12"/>
  <c r="AI143" i="12"/>
  <c r="AJ143" i="12" s="1"/>
  <c r="AP143" i="12" s="1"/>
  <c r="AI50" i="12"/>
  <c r="AJ50" i="12" s="1"/>
  <c r="AP50" i="12" s="1"/>
  <c r="AG175" i="12"/>
  <c r="T175" i="12"/>
  <c r="AI217" i="12"/>
  <c r="AJ217" i="12" s="1"/>
  <c r="AP217" i="12" s="1"/>
  <c r="AH146" i="12"/>
  <c r="AH46" i="12"/>
  <c r="AG121" i="12"/>
  <c r="T121" i="12"/>
  <c r="AG216" i="12"/>
  <c r="T216" i="12"/>
  <c r="U216" i="12" s="1"/>
  <c r="AI148" i="12"/>
  <c r="AJ148" i="12" s="1"/>
  <c r="AP148" i="12" s="1"/>
  <c r="AI78" i="12"/>
  <c r="AJ78" i="12" s="1"/>
  <c r="AP78" i="12" s="1"/>
  <c r="T80" i="12"/>
  <c r="U80" i="12" s="1"/>
  <c r="AG80" i="12"/>
  <c r="AH213" i="12"/>
  <c r="AI64" i="12"/>
  <c r="AJ64" i="12" s="1"/>
  <c r="AP64" i="12" s="1"/>
  <c r="AH45" i="12"/>
  <c r="AG51" i="12"/>
  <c r="T51" i="12"/>
  <c r="U51" i="12" s="1"/>
  <c r="AI59" i="12"/>
  <c r="AJ59" i="12" s="1"/>
  <c r="AP59" i="12" s="1"/>
  <c r="AI74" i="12"/>
  <c r="AJ74" i="12" s="1"/>
  <c r="AP74" i="12" s="1"/>
  <c r="AH67" i="12"/>
  <c r="AG117" i="12"/>
  <c r="T117" i="12"/>
  <c r="U117" i="12" s="1"/>
  <c r="AH112" i="12"/>
  <c r="AI157" i="12"/>
  <c r="AJ157" i="12" s="1"/>
  <c r="AP157" i="12" s="1"/>
  <c r="T96" i="12"/>
  <c r="U96" i="12" s="1"/>
  <c r="AG96" i="12"/>
  <c r="AI126" i="12"/>
  <c r="AJ126" i="12" s="1"/>
  <c r="AP126" i="12" s="1"/>
  <c r="AH201" i="12"/>
  <c r="AI199" i="12"/>
  <c r="AJ199" i="12" s="1"/>
  <c r="AP199" i="12" s="1"/>
  <c r="T182" i="12"/>
  <c r="U182" i="12" s="1"/>
  <c r="AG182" i="12"/>
  <c r="AH171" i="12"/>
  <c r="AH187" i="12"/>
  <c r="AG211" i="12"/>
  <c r="T211" i="12"/>
  <c r="AI172" i="12"/>
  <c r="AJ172" i="12" s="1"/>
  <c r="AP172" i="12" s="1"/>
  <c r="AI180" i="12"/>
  <c r="AJ180" i="12" s="1"/>
  <c r="AP180" i="12" s="1"/>
  <c r="T204" i="12"/>
  <c r="U204" i="12" s="1"/>
  <c r="AG204" i="12"/>
  <c r="AI223" i="12"/>
  <c r="AJ223" i="12" s="1"/>
  <c r="AP223" i="12" s="1"/>
  <c r="Y157" i="12"/>
  <c r="BA14" i="12"/>
  <c r="AH99" i="12"/>
  <c r="AH107" i="12"/>
  <c r="AH175" i="12"/>
  <c r="AG94" i="12"/>
  <c r="T94" i="12"/>
  <c r="U94" i="12" s="1"/>
  <c r="AH155" i="12"/>
  <c r="AI83" i="12"/>
  <c r="AJ83" i="12" s="1"/>
  <c r="AP83" i="12" s="1"/>
  <c r="AG116" i="12"/>
  <c r="T116" i="12"/>
  <c r="U116" i="12" s="1"/>
  <c r="AI140" i="12"/>
  <c r="AJ140" i="12" s="1"/>
  <c r="AP140" i="12" s="1"/>
  <c r="AG45" i="12"/>
  <c r="T45" i="12"/>
  <c r="AG92" i="12"/>
  <c r="T92" i="12"/>
  <c r="U92" i="12" s="1"/>
  <c r="AI187" i="12"/>
  <c r="AJ187" i="12" s="1"/>
  <c r="AP187" i="12" s="1"/>
  <c r="X14" i="12"/>
  <c r="AH186" i="12"/>
  <c r="T197" i="12"/>
  <c r="U197" i="12" s="1"/>
  <c r="AG197" i="12"/>
  <c r="AH49" i="12"/>
  <c r="AH180" i="12"/>
  <c r="T91" i="12"/>
  <c r="U91" i="12" s="1"/>
  <c r="AG91" i="12"/>
  <c r="Y148" i="12"/>
  <c r="AI194" i="12"/>
  <c r="AJ194" i="12" s="1"/>
  <c r="AP194" i="12"/>
  <c r="AH218" i="12"/>
  <c r="AH207" i="12"/>
  <c r="AI135" i="12"/>
  <c r="AJ135" i="12" s="1"/>
  <c r="AP135" i="12" s="1"/>
  <c r="AI184" i="12"/>
  <c r="AJ184" i="12" s="1"/>
  <c r="AP184" i="12" s="1"/>
  <c r="T137" i="12"/>
  <c r="AG137" i="12"/>
  <c r="AI149" i="12"/>
  <c r="AJ149" i="12" s="1"/>
  <c r="AP149" i="12" s="1"/>
  <c r="AH196" i="12"/>
  <c r="AH149" i="12"/>
  <c r="AH51" i="12"/>
  <c r="AG46" i="12"/>
  <c r="T46" i="12"/>
  <c r="AH120" i="12"/>
  <c r="AI90" i="12"/>
  <c r="AJ90" i="12" s="1"/>
  <c r="AP90" i="12" s="1"/>
  <c r="T72" i="12"/>
  <c r="U72" i="12" s="1"/>
  <c r="AG72" i="12"/>
  <c r="AH145" i="12"/>
  <c r="AG101" i="12"/>
  <c r="T101" i="12"/>
  <c r="AI96" i="12"/>
  <c r="AJ96" i="12" s="1"/>
  <c r="AP96" i="12" s="1"/>
  <c r="AG166" i="12"/>
  <c r="T166" i="12"/>
  <c r="T218" i="12"/>
  <c r="AG218" i="12"/>
  <c r="AI152" i="12"/>
  <c r="AJ152" i="12" s="1"/>
  <c r="AP152" i="12" s="1"/>
  <c r="AI193" i="12"/>
  <c r="AJ193" i="12" s="1"/>
  <c r="AP193" i="12" s="1"/>
  <c r="AH191" i="12"/>
  <c r="AH189" i="12"/>
  <c r="AH224" i="12"/>
  <c r="AH209" i="12"/>
  <c r="AI204" i="12"/>
  <c r="AJ204" i="12" s="1"/>
  <c r="AP204" i="12" s="1"/>
  <c r="AI225" i="12"/>
  <c r="AJ225" i="12" s="1"/>
  <c r="AP225" i="12" s="1"/>
  <c r="AG225" i="12"/>
  <c r="T225" i="12"/>
  <c r="Q24" i="12"/>
  <c r="AG59" i="12"/>
  <c r="T59" i="12"/>
  <c r="U59" i="12" s="1"/>
  <c r="AI125" i="12"/>
  <c r="AJ125" i="12" s="1"/>
  <c r="AP125" i="12" s="1"/>
  <c r="AH75" i="12"/>
  <c r="AG68" i="12"/>
  <c r="T68" i="12"/>
  <c r="U68" i="12" s="1"/>
  <c r="AH126" i="12"/>
  <c r="AH182" i="12"/>
  <c r="Y34" i="12"/>
  <c r="AH161" i="12"/>
  <c r="AH124" i="12"/>
  <c r="AG55" i="12"/>
  <c r="T55" i="12"/>
  <c r="U55" i="12" s="1"/>
  <c r="AI113" i="12"/>
  <c r="AJ113" i="12" s="1"/>
  <c r="AP113" i="12"/>
  <c r="AI51" i="12"/>
  <c r="AJ51" i="12" s="1"/>
  <c r="AP51" i="12" s="1"/>
  <c r="AI165" i="12"/>
  <c r="AJ165" i="12" s="1"/>
  <c r="AP165" i="12" s="1"/>
  <c r="AI210" i="12"/>
  <c r="AJ210" i="12" s="1"/>
  <c r="AP210" i="12" s="1"/>
  <c r="AH68" i="12"/>
  <c r="AH130" i="12"/>
  <c r="AI54" i="12"/>
  <c r="AJ54" i="12" s="1"/>
  <c r="AP54" i="12" s="1"/>
  <c r="AH70" i="12"/>
  <c r="AI145" i="12"/>
  <c r="AJ145" i="12" s="1"/>
  <c r="AP145" i="12" s="1"/>
  <c r="AG214" i="12"/>
  <c r="T214" i="12"/>
  <c r="U214" i="12" s="1"/>
  <c r="AG103" i="12"/>
  <c r="T103" i="12"/>
  <c r="U103" i="12" s="1"/>
  <c r="AI116" i="12"/>
  <c r="AJ116" i="12" s="1"/>
  <c r="AP116" i="12" s="1"/>
  <c r="T107" i="12"/>
  <c r="AG107" i="12"/>
  <c r="AH72" i="12"/>
  <c r="AH152" i="12"/>
  <c r="AI139" i="12"/>
  <c r="AJ139" i="12" s="1"/>
  <c r="AP139" i="12" s="1"/>
  <c r="AH36" i="12"/>
  <c r="AI36" i="12"/>
  <c r="AJ36" i="12" s="1"/>
  <c r="AP36" i="12"/>
  <c r="T119" i="12"/>
  <c r="AG119" i="12"/>
  <c r="AI66" i="12"/>
  <c r="AJ66" i="12" s="1"/>
  <c r="AP66" i="12" s="1"/>
  <c r="AH103" i="12"/>
  <c r="AG194" i="12"/>
  <c r="T194" i="12"/>
  <c r="U194" i="12" s="1"/>
  <c r="AH74" i="12"/>
  <c r="AI183" i="12"/>
  <c r="AJ183" i="12" s="1"/>
  <c r="AP183" i="12"/>
  <c r="AG63" i="12"/>
  <c r="T63" i="12"/>
  <c r="U63" i="12" s="1"/>
  <c r="AG112" i="12"/>
  <c r="T112" i="12"/>
  <c r="AG61" i="12"/>
  <c r="T61" i="12"/>
  <c r="U61" i="12" s="1"/>
  <c r="AG188" i="12"/>
  <c r="T188" i="12"/>
  <c r="U188" i="12" s="1"/>
  <c r="AG164" i="12"/>
  <c r="T164" i="12"/>
  <c r="U164" i="12" s="1"/>
  <c r="AI123" i="12"/>
  <c r="AJ123" i="12" s="1"/>
  <c r="AP123" i="12"/>
  <c r="AI79" i="12"/>
  <c r="AJ79" i="12" s="1"/>
  <c r="AP79" i="12" s="1"/>
  <c r="AI156" i="12"/>
  <c r="AJ156" i="12" s="1"/>
  <c r="AP156" i="12" s="1"/>
  <c r="AG108" i="12"/>
  <c r="T108" i="12"/>
  <c r="U108" i="12" s="1"/>
  <c r="AG156" i="12"/>
  <c r="T156" i="12"/>
  <c r="AH115" i="12"/>
  <c r="AI176" i="12"/>
  <c r="AJ176" i="12" s="1"/>
  <c r="AP176" i="12" s="1"/>
  <c r="AI120" i="12"/>
  <c r="AJ120" i="12" s="1"/>
  <c r="AP120" i="12" s="1"/>
  <c r="AI80" i="12"/>
  <c r="AJ80" i="12" s="1"/>
  <c r="AP80" i="12" s="1"/>
  <c r="AI141" i="12"/>
  <c r="AJ141" i="12" s="1"/>
  <c r="AP141" i="12" s="1"/>
  <c r="AG228" i="12"/>
  <c r="T228" i="12"/>
  <c r="AH66" i="12"/>
  <c r="AG47" i="12"/>
  <c r="T47" i="12"/>
  <c r="U47" i="12" s="1"/>
  <c r="AI100" i="12"/>
  <c r="AJ100" i="12" s="1"/>
  <c r="AP100" i="12" s="1"/>
  <c r="AH184" i="12"/>
  <c r="T82" i="12"/>
  <c r="AG82" i="12"/>
  <c r="T93" i="12"/>
  <c r="AG93" i="12"/>
  <c r="AH119" i="12"/>
  <c r="AG115" i="12"/>
  <c r="T115" i="12"/>
  <c r="U115" i="12" s="1"/>
  <c r="AI75" i="12"/>
  <c r="AJ75" i="12" s="1"/>
  <c r="AP75" i="12" s="1"/>
  <c r="AG178" i="12"/>
  <c r="T178" i="12"/>
  <c r="AH38" i="12"/>
  <c r="AH219" i="12"/>
  <c r="AG77" i="12"/>
  <c r="T77" i="12"/>
  <c r="U77" i="12" s="1"/>
  <c r="AH39" i="12"/>
  <c r="AI104" i="12"/>
  <c r="AJ104" i="12" s="1"/>
  <c r="AP104" i="12" s="1"/>
  <c r="AG53" i="12"/>
  <c r="T53" i="12"/>
  <c r="U53" i="12" s="1"/>
  <c r="T89" i="12"/>
  <c r="U89" i="12" s="1"/>
  <c r="AG89" i="12"/>
  <c r="AG135" i="12"/>
  <c r="T135" i="12"/>
  <c r="T73" i="12"/>
  <c r="U73" i="12" s="1"/>
  <c r="AG73" i="12"/>
  <c r="AH76" i="12"/>
  <c r="T106" i="12"/>
  <c r="U106" i="12" s="1"/>
  <c r="AG106" i="12"/>
  <c r="AI117" i="12"/>
  <c r="AJ117" i="12" s="1"/>
  <c r="AP117" i="12" s="1"/>
  <c r="AI132" i="12"/>
  <c r="AJ132" i="12" s="1"/>
  <c r="AP132" i="12" s="1"/>
  <c r="T124" i="12"/>
  <c r="AG124" i="12"/>
  <c r="AH162" i="12"/>
  <c r="AH151" i="12"/>
  <c r="AG158" i="12"/>
  <c r="T158" i="12"/>
  <c r="U158" i="12" s="1"/>
  <c r="AI174" i="12"/>
  <c r="AJ174" i="12" s="1"/>
  <c r="AP174" i="12" s="1"/>
  <c r="AH181" i="12"/>
  <c r="AH223" i="12"/>
  <c r="AH222" i="12"/>
  <c r="AH227" i="12"/>
  <c r="AI218" i="12"/>
  <c r="AJ218" i="12" s="1"/>
  <c r="AP218" i="12" s="1"/>
  <c r="C20" i="13"/>
  <c r="C18" i="13"/>
  <c r="Y138" i="12"/>
  <c r="Y164" i="12"/>
  <c r="AI42" i="12"/>
  <c r="AJ42" i="12" s="1"/>
  <c r="AP42" i="12" s="1"/>
  <c r="AG189" i="12"/>
  <c r="T189" i="12"/>
  <c r="AI44" i="12"/>
  <c r="AJ44" i="12" s="1"/>
  <c r="AP44" i="12" s="1"/>
  <c r="AG203" i="12"/>
  <c r="T203" i="12"/>
  <c r="T76" i="12"/>
  <c r="U76" i="12" s="1"/>
  <c r="AG76" i="12"/>
  <c r="AI154" i="12"/>
  <c r="AJ154" i="12" s="1"/>
  <c r="AP154" i="12" s="1"/>
  <c r="N24" i="12"/>
  <c r="T70" i="12"/>
  <c r="U70" i="12" s="1"/>
  <c r="AG70" i="12"/>
  <c r="AH132" i="12"/>
  <c r="AI39" i="12"/>
  <c r="AJ39" i="12" s="1"/>
  <c r="AP39" i="12" s="1"/>
  <c r="AG39" i="12"/>
  <c r="T39" i="12"/>
  <c r="U39" i="12" s="1"/>
  <c r="AI128" i="12"/>
  <c r="AJ128" i="12" s="1"/>
  <c r="AP128" i="12" s="1"/>
  <c r="T185" i="12"/>
  <c r="U185" i="12" s="1"/>
  <c r="AG185" i="12"/>
  <c r="AI178" i="12"/>
  <c r="AJ178" i="12" s="1"/>
  <c r="AP178" i="12" s="1"/>
  <c r="AG130" i="12"/>
  <c r="T130" i="12"/>
  <c r="U130" i="12" s="1"/>
  <c r="AI111" i="12"/>
  <c r="AJ111" i="12" s="1"/>
  <c r="AP111" i="12"/>
  <c r="AH122" i="12"/>
  <c r="AH61" i="12"/>
  <c r="AG171" i="12"/>
  <c r="T171" i="12"/>
  <c r="AH116" i="12"/>
  <c r="AI73" i="12"/>
  <c r="AJ73" i="12" s="1"/>
  <c r="AP73" i="12" s="1"/>
  <c r="AI142" i="12"/>
  <c r="AJ142" i="12" s="1"/>
  <c r="AP142" i="12"/>
  <c r="AG139" i="12"/>
  <c r="T139" i="12"/>
  <c r="AI34" i="12"/>
  <c r="AJ34" i="12" s="1"/>
  <c r="AI47" i="12"/>
  <c r="AJ47" i="12" s="1"/>
  <c r="AP47" i="12" s="1"/>
  <c r="AI105" i="12"/>
  <c r="AJ105" i="12" s="1"/>
  <c r="AP105" i="12" s="1"/>
  <c r="AG52" i="12"/>
  <c r="T52" i="12"/>
  <c r="U52" i="12" s="1"/>
  <c r="AH190" i="12"/>
  <c r="AI106" i="12"/>
  <c r="AJ106" i="12" s="1"/>
  <c r="AP106" i="12" s="1"/>
  <c r="AI76" i="12"/>
  <c r="AJ76" i="12" s="1"/>
  <c r="AP76" i="12" s="1"/>
  <c r="AG90" i="12"/>
  <c r="T90" i="12"/>
  <c r="U90" i="12" s="1"/>
  <c r="AH123" i="12"/>
  <c r="AI166" i="12"/>
  <c r="AJ166" i="12" s="1"/>
  <c r="AP166" i="12" s="1"/>
  <c r="AG179" i="12"/>
  <c r="T179" i="12"/>
  <c r="U179" i="12" s="1"/>
  <c r="AG198" i="12"/>
  <c r="T198" i="12"/>
  <c r="U198" i="12" s="1"/>
  <c r="AH185" i="12"/>
  <c r="AG227" i="12"/>
  <c r="T227" i="12"/>
  <c r="T191" i="12"/>
  <c r="U191" i="12" s="1"/>
  <c r="AG191" i="12"/>
  <c r="AG186" i="12"/>
  <c r="T186" i="12"/>
  <c r="AI221" i="12"/>
  <c r="AJ221" i="12" s="1"/>
  <c r="AP221" i="12" s="1"/>
  <c r="AG192" i="12"/>
  <c r="T192" i="12"/>
  <c r="AH138" i="12"/>
  <c r="AH64" i="12"/>
  <c r="AH35" i="12"/>
  <c r="T151" i="12"/>
  <c r="U151" i="12" s="1"/>
  <c r="AG151" i="12"/>
  <c r="AH214" i="12"/>
  <c r="Y59" i="12"/>
  <c r="AI43" i="12"/>
  <c r="AJ43" i="12" s="1"/>
  <c r="AP43" i="12" s="1"/>
  <c r="T84" i="12"/>
  <c r="U84" i="12" s="1"/>
  <c r="AG84" i="12"/>
  <c r="AH131" i="12"/>
  <c r="AH52" i="12"/>
  <c r="AH63" i="12"/>
  <c r="T87" i="12"/>
  <c r="U87" i="12" s="1"/>
  <c r="AG87" i="12"/>
  <c r="AH220" i="12"/>
  <c r="AH57" i="12"/>
  <c r="AI206" i="12"/>
  <c r="AJ206" i="12" s="1"/>
  <c r="AP206" i="12" s="1"/>
  <c r="T42" i="12"/>
  <c r="U42" i="12" s="1"/>
  <c r="AG42" i="12"/>
  <c r="AG136" i="12"/>
  <c r="T136" i="12"/>
  <c r="U136" i="12" s="1"/>
  <c r="AG132" i="12"/>
  <c r="T132" i="12"/>
  <c r="U132" i="12" s="1"/>
  <c r="AG201" i="12"/>
  <c r="T201" i="12"/>
  <c r="U201" i="12" s="1"/>
  <c r="AH83" i="12"/>
  <c r="AI52" i="12"/>
  <c r="AJ52" i="12" s="1"/>
  <c r="AP52" i="12" s="1"/>
  <c r="AH118" i="12"/>
  <c r="AI138" i="12"/>
  <c r="AJ138" i="12" s="1"/>
  <c r="AP138" i="12" s="1"/>
  <c r="AH137" i="12"/>
  <c r="AI92" i="12"/>
  <c r="AJ92" i="12" s="1"/>
  <c r="AP92" i="12"/>
  <c r="T79" i="12"/>
  <c r="U79" i="12" s="1"/>
  <c r="AG79" i="12"/>
  <c r="AI118" i="12"/>
  <c r="AJ118" i="12" s="1"/>
  <c r="AP118" i="12" s="1"/>
  <c r="AI203" i="12"/>
  <c r="AJ203" i="12" s="1"/>
  <c r="AP203" i="12" s="1"/>
  <c r="T123" i="12"/>
  <c r="AG123" i="12"/>
  <c r="AI85" i="12"/>
  <c r="AJ85" i="12" s="1"/>
  <c r="AP85" i="12" s="1"/>
  <c r="AI45" i="12"/>
  <c r="AJ45" i="12" s="1"/>
  <c r="AP45" i="12" s="1"/>
  <c r="AH156" i="12"/>
  <c r="AI38" i="12"/>
  <c r="AJ38" i="12" s="1"/>
  <c r="AP38" i="12" s="1"/>
  <c r="AH41" i="12"/>
  <c r="AG217" i="12"/>
  <c r="T217" i="12"/>
  <c r="AI94" i="12"/>
  <c r="AJ94" i="12" s="1"/>
  <c r="AP94" i="12" s="1"/>
  <c r="AI147" i="12"/>
  <c r="AJ147" i="12" s="1"/>
  <c r="AP147" i="12" s="1"/>
  <c r="AG109" i="12"/>
  <c r="T109" i="12"/>
  <c r="U109" i="12" s="1"/>
  <c r="AH100" i="12"/>
  <c r="AH82" i="12"/>
  <c r="AH69" i="12"/>
  <c r="T71" i="12"/>
  <c r="U71" i="12" s="1"/>
  <c r="AG71" i="12"/>
  <c r="AI192" i="12"/>
  <c r="AJ192" i="12" s="1"/>
  <c r="AP192" i="12"/>
  <c r="AH141" i="12"/>
  <c r="T38" i="12"/>
  <c r="U38" i="12" s="1"/>
  <c r="AG38" i="12"/>
  <c r="AH111" i="12"/>
  <c r="AG120" i="12"/>
  <c r="T120" i="12"/>
  <c r="U120" i="12" s="1"/>
  <c r="AH77" i="12"/>
  <c r="AH167" i="12"/>
  <c r="AI181" i="12"/>
  <c r="AJ181" i="12" s="1"/>
  <c r="AP181" i="12" s="1"/>
  <c r="AH56" i="12"/>
  <c r="AG43" i="12"/>
  <c r="T43" i="12"/>
  <c r="U43" i="12" s="1"/>
  <c r="T131" i="12"/>
  <c r="U131" i="12" s="1"/>
  <c r="AG131" i="12"/>
  <c r="AI144" i="12"/>
  <c r="AJ144" i="12" s="1"/>
  <c r="AP144" i="12" s="1"/>
  <c r="AG95" i="12"/>
  <c r="T95" i="12"/>
  <c r="U95" i="12" s="1"/>
  <c r="AI48" i="12"/>
  <c r="AJ48" i="12" s="1"/>
  <c r="AP48" i="12" s="1"/>
  <c r="AG114" i="12"/>
  <c r="T114" i="12"/>
  <c r="U114" i="12" s="1"/>
  <c r="AG196" i="12"/>
  <c r="T196" i="12"/>
  <c r="AI71" i="12"/>
  <c r="AJ71" i="12" s="1"/>
  <c r="AP71" i="12" s="1"/>
  <c r="AH78" i="12"/>
  <c r="AG148" i="12"/>
  <c r="T148" i="12"/>
  <c r="U148" i="12" s="1"/>
  <c r="AI146" i="12"/>
  <c r="AJ146" i="12" s="1"/>
  <c r="AP146" i="12" s="1"/>
  <c r="AI97" i="12"/>
  <c r="AJ97" i="12" s="1"/>
  <c r="AP97" i="12" s="1"/>
  <c r="AI209" i="12"/>
  <c r="AJ209" i="12" s="1"/>
  <c r="AP209" i="12" s="1"/>
  <c r="AG176" i="12"/>
  <c r="T176" i="12"/>
  <c r="U176" i="12" s="1"/>
  <c r="AG113" i="12"/>
  <c r="T113" i="12"/>
  <c r="U113" i="12" s="1"/>
  <c r="AF33" i="12"/>
  <c r="AI55" i="12"/>
  <c r="AJ55" i="12" s="1"/>
  <c r="AP55" i="12" s="1"/>
  <c r="AI37" i="12"/>
  <c r="AJ37" i="12" s="1"/>
  <c r="AP37" i="12" s="1"/>
  <c r="AI136" i="12"/>
  <c r="AJ136" i="12" s="1"/>
  <c r="AP136" i="12" s="1"/>
  <c r="T35" i="12"/>
  <c r="U35" i="12" s="1"/>
  <c r="AG35" i="12"/>
  <c r="AG98" i="12"/>
  <c r="T98" i="12"/>
  <c r="U98" i="12" s="1"/>
  <c r="AG83" i="12"/>
  <c r="T83" i="12"/>
  <c r="U83" i="12" s="1"/>
  <c r="AG142" i="12"/>
  <c r="T142" i="12"/>
  <c r="T126" i="12"/>
  <c r="U126" i="12" s="1"/>
  <c r="AG126" i="12"/>
  <c r="AH108" i="12"/>
  <c r="AG162" i="12"/>
  <c r="T162" i="12"/>
  <c r="U162" i="12" s="1"/>
  <c r="T129" i="12"/>
  <c r="AG129" i="12"/>
  <c r="AG226" i="12"/>
  <c r="T226" i="12"/>
  <c r="U226" i="12" s="1"/>
  <c r="AI167" i="12"/>
  <c r="AJ167" i="12" s="1"/>
  <c r="AP167" i="12" s="1"/>
  <c r="AI177" i="12"/>
  <c r="AJ177" i="12" s="1"/>
  <c r="AP177" i="12" s="1"/>
  <c r="AI208" i="12"/>
  <c r="AJ208" i="12" s="1"/>
  <c r="AP208" i="12"/>
  <c r="AH195" i="12"/>
  <c r="T212" i="12"/>
  <c r="U212" i="12" s="1"/>
  <c r="AG212" i="12"/>
  <c r="AG209" i="12"/>
  <c r="T209" i="12"/>
  <c r="U209" i="12" s="1"/>
  <c r="AI186" i="12"/>
  <c r="AJ186" i="12" s="1"/>
  <c r="AP186" i="12" s="1"/>
  <c r="AH225" i="12"/>
  <c r="Y158" i="12"/>
  <c r="X30" i="12"/>
  <c r="Y176" i="12" s="1"/>
  <c r="Y32" i="12"/>
  <c r="P24" i="12"/>
  <c r="M24" i="12"/>
  <c r="D14" i="13"/>
  <c r="D20" i="13" s="1"/>
  <c r="BA22" i="12"/>
  <c r="AI57" i="12"/>
  <c r="AJ57" i="12" s="1"/>
  <c r="AP57" i="12" s="1"/>
  <c r="AH50" i="12"/>
  <c r="AG215" i="12"/>
  <c r="T215" i="12"/>
  <c r="U215" i="12" s="1"/>
  <c r="AH203" i="12"/>
  <c r="AG75" i="12"/>
  <c r="T75" i="12"/>
  <c r="AI134" i="12"/>
  <c r="AJ134" i="12" s="1"/>
  <c r="AP134" i="12" s="1"/>
  <c r="AH210" i="12"/>
  <c r="AG57" i="12"/>
  <c r="T57" i="12"/>
  <c r="U57" i="12" s="1"/>
  <c r="AH159" i="12"/>
  <c r="AI122" i="12"/>
  <c r="AJ122" i="12" s="1"/>
  <c r="AP122" i="12" s="1"/>
  <c r="AH90" i="12"/>
  <c r="AH106" i="12"/>
  <c r="T147" i="12"/>
  <c r="AG147" i="12"/>
  <c r="AI179" i="12"/>
  <c r="AJ179" i="12" s="1"/>
  <c r="AP179" i="12" s="1"/>
  <c r="AI95" i="12"/>
  <c r="AJ95" i="12" s="1"/>
  <c r="AP95" i="12" s="1"/>
  <c r="AG170" i="12"/>
  <c r="T170" i="12"/>
  <c r="U170" i="12" s="1"/>
  <c r="AI62" i="12"/>
  <c r="AJ62" i="12" s="1"/>
  <c r="AP62" i="12" s="1"/>
  <c r="T66" i="12"/>
  <c r="U66" i="12" s="1"/>
  <c r="AG66" i="12"/>
  <c r="AH59" i="12"/>
  <c r="AI170" i="12"/>
  <c r="AJ170" i="12" s="1"/>
  <c r="AP170" i="12"/>
  <c r="T161" i="12"/>
  <c r="U161" i="12" s="1"/>
  <c r="AG161" i="12"/>
  <c r="AI207" i="12"/>
  <c r="AJ207" i="12" s="1"/>
  <c r="AP207" i="12" s="1"/>
  <c r="AI82" i="12"/>
  <c r="AJ82" i="12" s="1"/>
  <c r="AP82" i="12" s="1"/>
  <c r="AH97" i="12"/>
  <c r="AH32" i="12"/>
  <c r="AH194" i="12"/>
  <c r="Y77" i="12"/>
  <c r="Y179" i="12"/>
  <c r="AI182" i="12"/>
  <c r="AJ182" i="12" s="1"/>
  <c r="AP182" i="12"/>
  <c r="AH117" i="12"/>
  <c r="AI164" i="12"/>
  <c r="AJ164" i="12" s="1"/>
  <c r="AP164" i="12" s="1"/>
  <c r="AI173" i="12"/>
  <c r="AJ173" i="12" s="1"/>
  <c r="AP173" i="12" s="1"/>
  <c r="AH193" i="12"/>
  <c r="AH87" i="12"/>
  <c r="AG229" i="12"/>
  <c r="T229" i="12"/>
  <c r="AH105" i="12"/>
  <c r="AH177" i="12"/>
  <c r="AI109" i="12"/>
  <c r="AJ109" i="12" s="1"/>
  <c r="AP109" i="12" s="1"/>
  <c r="T36" i="12"/>
  <c r="AG36" i="12"/>
  <c r="AI124" i="12"/>
  <c r="AJ124" i="12" s="1"/>
  <c r="AP124" i="12" s="1"/>
  <c r="AG64" i="12"/>
  <c r="T64" i="12"/>
  <c r="AH42" i="12"/>
  <c r="AI91" i="12"/>
  <c r="AJ91" i="12" s="1"/>
  <c r="AP91" i="12" s="1"/>
  <c r="T118" i="12"/>
  <c r="AG118" i="12"/>
  <c r="AG173" i="12"/>
  <c r="T173" i="12"/>
  <c r="U173" i="12" s="1"/>
  <c r="AH158" i="12"/>
  <c r="AH58" i="12"/>
  <c r="AI40" i="12"/>
  <c r="AJ40" i="12" s="1"/>
  <c r="AP40" i="12" s="1"/>
  <c r="AH48" i="12"/>
  <c r="T56" i="12"/>
  <c r="AG56" i="12"/>
  <c r="AI49" i="12"/>
  <c r="AJ49" i="12" s="1"/>
  <c r="AP49" i="12" s="1"/>
  <c r="AH89" i="12"/>
  <c r="AH164" i="12"/>
  <c r="T54" i="12"/>
  <c r="U54" i="12" s="1"/>
  <c r="AG54" i="12"/>
  <c r="AG49" i="12"/>
  <c r="T49" i="12"/>
  <c r="U49" i="12" s="1"/>
  <c r="AG97" i="12"/>
  <c r="T97" i="12"/>
  <c r="AH163" i="12"/>
  <c r="AH71" i="12"/>
  <c r="AG172" i="12"/>
  <c r="T172" i="12"/>
  <c r="U172" i="12" s="1"/>
  <c r="AH60" i="12"/>
  <c r="AI169" i="12"/>
  <c r="AJ169" i="12" s="1"/>
  <c r="AP169" i="12" s="1"/>
  <c r="T48" i="12"/>
  <c r="U48" i="12" s="1"/>
  <c r="AG48" i="12"/>
  <c r="AH183" i="12"/>
  <c r="AH80" i="12"/>
  <c r="AH135" i="12"/>
  <c r="AI46" i="12"/>
  <c r="AJ46" i="12" s="1"/>
  <c r="AP46" i="12" s="1"/>
  <c r="AH200" i="12"/>
  <c r="AH206" i="12"/>
  <c r="AH96" i="12"/>
  <c r="AI84" i="12"/>
  <c r="AJ84" i="12" s="1"/>
  <c r="AP84" i="12" s="1"/>
  <c r="AI61" i="12"/>
  <c r="AJ61" i="12" s="1"/>
  <c r="AP61" i="12" s="1"/>
  <c r="AH147" i="12"/>
  <c r="AI155" i="12"/>
  <c r="AJ155" i="12" s="1"/>
  <c r="AP155" i="12" s="1"/>
  <c r="AG88" i="12"/>
  <c r="T88" i="12"/>
  <c r="T133" i="12"/>
  <c r="U133" i="12" s="1"/>
  <c r="AG133" i="12"/>
  <c r="AG146" i="12"/>
  <c r="T146" i="12"/>
  <c r="U146" i="12" s="1"/>
  <c r="AH150" i="12"/>
  <c r="AI161" i="12"/>
  <c r="AJ161" i="12" s="1"/>
  <c r="AP161" i="12" s="1"/>
  <c r="AI112" i="12"/>
  <c r="AJ112" i="12" s="1"/>
  <c r="AP112" i="12" s="1"/>
  <c r="T145" i="12"/>
  <c r="AG145" i="12"/>
  <c r="AI129" i="12"/>
  <c r="AJ129" i="12" s="1"/>
  <c r="AP129" i="12" s="1"/>
  <c r="AI150" i="12"/>
  <c r="AJ150" i="12" s="1"/>
  <c r="AP150" i="12" s="1"/>
  <c r="AG160" i="12"/>
  <c r="T160" i="12"/>
  <c r="U160" i="12" s="1"/>
  <c r="AG187" i="12"/>
  <c r="T187" i="12"/>
  <c r="T220" i="12"/>
  <c r="AG220" i="12"/>
  <c r="AH211" i="12"/>
  <c r="AI201" i="12"/>
  <c r="AJ201" i="12" s="1"/>
  <c r="AP201" i="12" s="1"/>
  <c r="AH221" i="12"/>
  <c r="AH204" i="12"/>
  <c r="AG223" i="12"/>
  <c r="T223" i="12"/>
  <c r="AZ18" i="12"/>
  <c r="AZ19" i="12"/>
  <c r="AZ20" i="12"/>
  <c r="AZ21" i="12"/>
  <c r="AZ23" i="12"/>
  <c r="AZ4" i="12"/>
  <c r="AZ13" i="12"/>
  <c r="AZ6" i="12"/>
  <c r="AZ17" i="12"/>
  <c r="AZ7" i="12"/>
  <c r="AZ24" i="12"/>
  <c r="AZ22" i="12"/>
  <c r="AZ12" i="12"/>
  <c r="O4" i="12"/>
  <c r="AZ14" i="12"/>
  <c r="AZ16" i="12"/>
  <c r="AZ8" i="12"/>
  <c r="AZ5" i="12"/>
  <c r="AZ15" i="12"/>
  <c r="AZ11" i="12"/>
  <c r="AZ9" i="12"/>
  <c r="AZ10" i="12"/>
  <c r="AH109" i="12"/>
  <c r="AH188" i="12"/>
  <c r="AI68" i="12"/>
  <c r="AJ68" i="12" s="1"/>
  <c r="AP68" i="12" s="1"/>
  <c r="AG41" i="12"/>
  <c r="T41" i="12"/>
  <c r="U41" i="12" s="1"/>
  <c r="AI114" i="12"/>
  <c r="AJ114" i="12" s="1"/>
  <c r="AP114" i="12" s="1"/>
  <c r="Y191" i="12"/>
  <c r="T104" i="12"/>
  <c r="AG104" i="12"/>
  <c r="AH44" i="12"/>
  <c r="AI115" i="12"/>
  <c r="AJ115" i="12" s="1"/>
  <c r="AP115" i="12" s="1"/>
  <c r="AG174" i="12"/>
  <c r="T174" i="12"/>
  <c r="U174" i="12" s="1"/>
  <c r="AH98" i="12"/>
  <c r="AI162" i="12"/>
  <c r="AJ162" i="12" s="1"/>
  <c r="AP162" i="12" s="1"/>
  <c r="AI219" i="12"/>
  <c r="AJ219" i="12" s="1"/>
  <c r="AP219" i="12" s="1"/>
  <c r="AH129" i="12"/>
  <c r="AH165" i="12"/>
  <c r="AI77" i="12"/>
  <c r="AJ77" i="12" s="1"/>
  <c r="AP77" i="12" s="1"/>
  <c r="AI202" i="12"/>
  <c r="AJ202" i="12" s="1"/>
  <c r="AP202" i="12" s="1"/>
  <c r="AI108" i="12"/>
  <c r="AJ108" i="12" s="1"/>
  <c r="AP108" i="12" s="1"/>
  <c r="AH168" i="12"/>
  <c r="AI224" i="12"/>
  <c r="AJ224" i="12" s="1"/>
  <c r="AP224" i="12" s="1"/>
  <c r="AI69" i="12"/>
  <c r="AJ69" i="12" s="1"/>
  <c r="AP69" i="12" s="1"/>
  <c r="AG177" i="12"/>
  <c r="T177" i="12"/>
  <c r="AG190" i="12"/>
  <c r="T190" i="12"/>
  <c r="AI65" i="12"/>
  <c r="AJ65" i="12" s="1"/>
  <c r="AP65" i="12" s="1"/>
  <c r="AH169" i="12"/>
  <c r="T150" i="12"/>
  <c r="AG150" i="12"/>
  <c r="AH216" i="12"/>
  <c r="AI107" i="12"/>
  <c r="AJ107" i="12" s="1"/>
  <c r="AP107" i="12" s="1"/>
  <c r="AH178" i="12"/>
  <c r="T37" i="12"/>
  <c r="U37" i="12" s="1"/>
  <c r="AG37" i="12"/>
  <c r="AH93" i="12"/>
  <c r="AH128" i="12"/>
  <c r="AH37" i="12"/>
  <c r="AG144" i="12"/>
  <c r="T144" i="12"/>
  <c r="U144" i="12" s="1"/>
  <c r="T193" i="12"/>
  <c r="AG193" i="12"/>
  <c r="AH79" i="12"/>
  <c r="AH142" i="12"/>
  <c r="AH134" i="12"/>
  <c r="AI175" i="12"/>
  <c r="AJ175" i="12" s="1"/>
  <c r="AP175" i="12" s="1"/>
  <c r="AI56" i="12"/>
  <c r="AJ56" i="12" s="1"/>
  <c r="AP56" i="12" s="1"/>
  <c r="AH92" i="12"/>
  <c r="AH47" i="12"/>
  <c r="AH95" i="12"/>
  <c r="AH192" i="12"/>
  <c r="T102" i="12"/>
  <c r="U102" i="12" s="1"/>
  <c r="AG102" i="12"/>
  <c r="AH202" i="12"/>
  <c r="AI227" i="12"/>
  <c r="AJ227" i="12" s="1"/>
  <c r="AP227" i="12" s="1"/>
  <c r="AH133" i="12"/>
  <c r="AG50" i="12"/>
  <c r="T50" i="12"/>
  <c r="U50" i="12" s="1"/>
  <c r="AI196" i="12"/>
  <c r="AJ196" i="12" s="1"/>
  <c r="AP196" i="12" s="1"/>
  <c r="AI228" i="12"/>
  <c r="AJ228" i="12" s="1"/>
  <c r="AP228" i="12" s="1"/>
  <c r="AI190" i="12"/>
  <c r="AJ190" i="12" s="1"/>
  <c r="AP190" i="12" s="1"/>
  <c r="AH73" i="12"/>
  <c r="AH113" i="12"/>
  <c r="AI88" i="12"/>
  <c r="AJ88" i="12" s="1"/>
  <c r="AP88" i="12" s="1"/>
  <c r="AH143" i="12"/>
  <c r="T149" i="12"/>
  <c r="U149" i="12" s="1"/>
  <c r="AG149" i="12"/>
  <c r="AI213" i="12"/>
  <c r="AJ213" i="12" s="1"/>
  <c r="AP213" i="12" s="1"/>
  <c r="AH198" i="12"/>
  <c r="AI103" i="12"/>
  <c r="AJ103" i="12" s="1"/>
  <c r="AP103" i="12" s="1"/>
  <c r="T78" i="12"/>
  <c r="AG78" i="12"/>
  <c r="AH65" i="12"/>
  <c r="AI70" i="12"/>
  <c r="AJ70" i="12" s="1"/>
  <c r="AP70" i="12" s="1"/>
  <c r="AH53" i="12"/>
  <c r="AI102" i="12"/>
  <c r="AJ102" i="12" s="1"/>
  <c r="AP102" i="12" s="1"/>
  <c r="AG141" i="12"/>
  <c r="T141" i="12"/>
  <c r="U141" i="12" s="1"/>
  <c r="AH114" i="12"/>
  <c r="T159" i="12"/>
  <c r="AG159" i="12"/>
  <c r="AG169" i="12"/>
  <c r="T169" i="12"/>
  <c r="T128" i="12"/>
  <c r="U128" i="12" s="1"/>
  <c r="AG128" i="12"/>
  <c r="AH153" i="12"/>
  <c r="AI151" i="12"/>
  <c r="AJ151" i="12" s="1"/>
  <c r="AP151" i="12" s="1"/>
  <c r="T155" i="12"/>
  <c r="AG155" i="12"/>
  <c r="AH170" i="12"/>
  <c r="AH212" i="12"/>
  <c r="AH174" i="12"/>
  <c r="AI191" i="12"/>
  <c r="AJ191" i="12" s="1"/>
  <c r="AP191" i="12" s="1"/>
  <c r="T208" i="12"/>
  <c r="U208" i="12" s="1"/>
  <c r="AG208" i="12"/>
  <c r="T205" i="12"/>
  <c r="U205" i="12" s="1"/>
  <c r="AG205" i="12"/>
  <c r="AG221" i="12"/>
  <c r="T221" i="12"/>
  <c r="U221" i="12" s="1"/>
  <c r="AG168" i="12"/>
  <c r="T168" i="12"/>
  <c r="T125" i="12"/>
  <c r="U125" i="12" s="1"/>
  <c r="AG125" i="12"/>
  <c r="AI137" i="12"/>
  <c r="AJ137" i="12" s="1"/>
  <c r="AP137" i="12" s="1"/>
  <c r="AH43" i="12"/>
  <c r="T44" i="12"/>
  <c r="AG44" i="12"/>
  <c r="AH157" i="12"/>
  <c r="T210" i="12"/>
  <c r="U210" i="12" s="1"/>
  <c r="AG210" i="12"/>
  <c r="AH33" i="12"/>
  <c r="AI168" i="12"/>
  <c r="AJ168" i="12" s="1"/>
  <c r="AP168" i="12"/>
  <c r="AI200" i="12"/>
  <c r="AJ200" i="12" s="1"/>
  <c r="AP200" i="12" s="1"/>
  <c r="T100" i="12"/>
  <c r="U100" i="12" s="1"/>
  <c r="AG100" i="12"/>
  <c r="T122" i="12"/>
  <c r="U122" i="12" s="1"/>
  <c r="AG122" i="12"/>
  <c r="AH104" i="12"/>
  <c r="AH160" i="12"/>
  <c r="Y57" i="12"/>
  <c r="AH84" i="12"/>
  <c r="AI214" i="12"/>
  <c r="AJ214" i="12" s="1"/>
  <c r="AP214" i="12" s="1"/>
  <c r="AG184" i="12"/>
  <c r="T184" i="12"/>
  <c r="U184" i="12" s="1"/>
  <c r="AG213" i="12"/>
  <c r="T213" i="12"/>
  <c r="U213" i="12" s="1"/>
  <c r="AI67" i="12"/>
  <c r="AJ67" i="12" s="1"/>
  <c r="AP67" i="12" s="1"/>
  <c r="AH172" i="12"/>
  <c r="T222" i="12"/>
  <c r="AG222" i="12"/>
  <c r="T60" i="12"/>
  <c r="AG60" i="12"/>
  <c r="AI160" i="12"/>
  <c r="AJ160" i="12" s="1"/>
  <c r="AP160" i="12"/>
  <c r="AG99" i="12"/>
  <c r="T99" i="12"/>
  <c r="AG33" i="12"/>
  <c r="T33" i="12"/>
  <c r="U33" i="12" s="1"/>
  <c r="AI63" i="12"/>
  <c r="AJ63" i="12" s="1"/>
  <c r="AP63" i="12" s="1"/>
  <c r="AI171" i="12"/>
  <c r="AJ171" i="12" s="1"/>
  <c r="AP171" i="12" s="1"/>
  <c r="AG152" i="12"/>
  <c r="T152" i="12"/>
  <c r="AG65" i="12"/>
  <c r="T65" i="12"/>
  <c r="U65" i="12" s="1"/>
  <c r="AH55" i="12"/>
  <c r="AI99" i="12"/>
  <c r="AJ99" i="12" s="1"/>
  <c r="AP99" i="12" s="1"/>
  <c r="AH199" i="12"/>
  <c r="AH86" i="12"/>
  <c r="AH54" i="12"/>
  <c r="AH101" i="12"/>
  <c r="AI93" i="12"/>
  <c r="AJ93" i="12" s="1"/>
  <c r="AP93" i="12" s="1"/>
  <c r="AI32" i="12"/>
  <c r="AJ32" i="12" s="1"/>
  <c r="AP32" i="12" s="1"/>
  <c r="T153" i="12"/>
  <c r="AG153" i="12"/>
  <c r="AI159" i="12"/>
  <c r="AJ159" i="12" s="1"/>
  <c r="AP159" i="12" s="1"/>
  <c r="Y35" i="12"/>
  <c r="Y159" i="12"/>
  <c r="Y79" i="12"/>
  <c r="Y187" i="12"/>
  <c r="Y229" i="12"/>
  <c r="AH34" i="12"/>
  <c r="AH85" i="12"/>
  <c r="AI188" i="12"/>
  <c r="AJ188" i="12" s="1"/>
  <c r="AP188" i="12" s="1"/>
  <c r="Y106" i="12"/>
  <c r="Y171" i="12"/>
  <c r="X22" i="12"/>
  <c r="Y69" i="12"/>
  <c r="T69" i="12"/>
  <c r="U69" i="12" s="1"/>
  <c r="AG69" i="12"/>
  <c r="AH154" i="12"/>
  <c r="AI89" i="12"/>
  <c r="AJ89" i="12" s="1"/>
  <c r="AP89" i="12" s="1"/>
  <c r="AI58" i="12"/>
  <c r="AJ58" i="12" s="1"/>
  <c r="AP58" i="12"/>
  <c r="AH102" i="12"/>
  <c r="AG207" i="12"/>
  <c r="T207" i="12"/>
  <c r="U207" i="12" s="1"/>
  <c r="T58" i="12"/>
  <c r="AG58" i="12"/>
  <c r="AG111" i="12"/>
  <c r="T111" i="12"/>
  <c r="AI229" i="12"/>
  <c r="AJ229" i="12" s="1"/>
  <c r="AP229" i="12" s="1"/>
  <c r="T127" i="12"/>
  <c r="U127" i="12" s="1"/>
  <c r="AG127" i="12"/>
  <c r="AI198" i="12"/>
  <c r="AJ198" i="12" s="1"/>
  <c r="AP198" i="12"/>
  <c r="AH125" i="12"/>
  <c r="AG138" i="12"/>
  <c r="T138" i="12"/>
  <c r="U138" i="12" s="1"/>
  <c r="AI127" i="12"/>
  <c r="AJ127" i="12" s="1"/>
  <c r="AP127" i="12" s="1"/>
  <c r="AH215" i="12"/>
  <c r="AH179" i="12"/>
  <c r="AH140" i="12"/>
  <c r="AH136" i="12"/>
  <c r="AH173" i="12"/>
  <c r="AG163" i="12"/>
  <c r="T163" i="12"/>
  <c r="U163" i="12" s="1"/>
  <c r="AI216" i="12"/>
  <c r="AJ216" i="12" s="1"/>
  <c r="AP216" i="12" s="1"/>
  <c r="AH148" i="12"/>
  <c r="AI119" i="12"/>
  <c r="AJ119" i="12" s="1"/>
  <c r="AP119" i="12" s="1"/>
  <c r="AH226" i="12"/>
  <c r="AI101" i="12"/>
  <c r="AJ101" i="12" s="1"/>
  <c r="AP101" i="12"/>
  <c r="T32" i="12"/>
  <c r="AG32" i="12"/>
  <c r="AH144" i="12"/>
  <c r="AI226" i="12"/>
  <c r="AJ226" i="12" s="1"/>
  <c r="AP226" i="12" s="1"/>
  <c r="AI121" i="12"/>
  <c r="AJ121" i="12" s="1"/>
  <c r="AP121" i="12" s="1"/>
  <c r="AI60" i="12"/>
  <c r="AJ60" i="12" s="1"/>
  <c r="AP60" i="12"/>
  <c r="AI86" i="12"/>
  <c r="AJ86" i="12" s="1"/>
  <c r="AP86" i="12" s="1"/>
  <c r="AG81" i="12"/>
  <c r="T81" i="12"/>
  <c r="U81" i="12" s="1"/>
  <c r="AI72" i="12"/>
  <c r="AJ72" i="12" s="1"/>
  <c r="T34" i="12"/>
  <c r="U34" i="12" s="1"/>
  <c r="AG34" i="12"/>
  <c r="T74" i="12"/>
  <c r="U74" i="12" s="1"/>
  <c r="AG74" i="12"/>
  <c r="AG140" i="12"/>
  <c r="T140" i="12"/>
  <c r="U140" i="12" s="1"/>
  <c r="T86" i="12"/>
  <c r="U86" i="12" s="1"/>
  <c r="AG86" i="12"/>
  <c r="AH110" i="12"/>
  <c r="T134" i="12"/>
  <c r="AG134" i="12"/>
  <c r="AI133" i="12"/>
  <c r="AJ133" i="12" s="1"/>
  <c r="AP133" i="12" s="1"/>
  <c r="AG183" i="12"/>
  <c r="T183" i="12"/>
  <c r="U183" i="12" s="1"/>
  <c r="AG200" i="12"/>
  <c r="T200" i="12"/>
  <c r="T224" i="12"/>
  <c r="AG224" i="12"/>
  <c r="AG154" i="12"/>
  <c r="T154" i="12"/>
  <c r="AG181" i="12"/>
  <c r="T181" i="12"/>
  <c r="AI195" i="12"/>
  <c r="AJ195" i="12" s="1"/>
  <c r="AP195" i="12" s="1"/>
  <c r="AI212" i="12"/>
  <c r="AJ212" i="12" s="1"/>
  <c r="AP212" i="12" s="1"/>
  <c r="AI220" i="12"/>
  <c r="AJ220" i="12" s="1"/>
  <c r="AP220" i="12" s="1"/>
  <c r="AH205" i="12"/>
  <c r="AG219" i="12"/>
  <c r="T219" i="12"/>
  <c r="Y66" i="12"/>
  <c r="Y205" i="12"/>
  <c r="Y83" i="12"/>
  <c r="Y219" i="12"/>
  <c r="AF7" i="12" l="1" a="1"/>
  <c r="AF7" i="12" s="1"/>
  <c r="AP72" i="12"/>
  <c r="AF11" i="12" a="1"/>
  <c r="AF11" i="12" s="1"/>
  <c r="AI11" i="12" s="1"/>
  <c r="AJ11" i="12" s="1"/>
  <c r="AF5" i="12" a="1"/>
  <c r="AF5" i="12" s="1"/>
  <c r="AI5" i="12" s="1"/>
  <c r="AJ5" i="12" s="1"/>
  <c r="AP5" i="12" s="1"/>
  <c r="AF9" i="12" a="1"/>
  <c r="AF9" i="12" s="1"/>
  <c r="AF18" i="12" a="1"/>
  <c r="AF18" i="12" s="1"/>
  <c r="AF6" i="12" a="1"/>
  <c r="AF6" i="12" s="1"/>
  <c r="AI6" i="12" s="1"/>
  <c r="AJ6" i="12" s="1"/>
  <c r="AP6" i="12" s="1"/>
  <c r="AI7" i="12"/>
  <c r="AJ7" i="12" s="1"/>
  <c r="AP7" i="12" s="1"/>
  <c r="AX7" i="12"/>
  <c r="Z176" i="12"/>
  <c r="AA176" i="12"/>
  <c r="U15" i="12"/>
  <c r="U10" i="12"/>
  <c r="U9" i="12"/>
  <c r="U11" i="12"/>
  <c r="U18" i="12"/>
  <c r="U12" i="12"/>
  <c r="U5" i="12"/>
  <c r="U8" i="12"/>
  <c r="U19" i="12"/>
  <c r="U16" i="12"/>
  <c r="U13" i="12"/>
  <c r="U20" i="12"/>
  <c r="U23" i="12"/>
  <c r="U6" i="12"/>
  <c r="U21" i="12"/>
  <c r="U17" i="12"/>
  <c r="U7" i="12"/>
  <c r="U14" i="12"/>
  <c r="U22" i="12"/>
  <c r="AA219" i="12"/>
  <c r="Z219" i="12"/>
  <c r="AA83" i="12"/>
  <c r="Z83" i="12"/>
  <c r="AA205" i="12"/>
  <c r="Z205" i="12"/>
  <c r="AF21" i="12" a="1"/>
  <c r="AF21" i="12" s="1"/>
  <c r="V54" i="12"/>
  <c r="W54" i="12" s="1"/>
  <c r="AA32" i="12"/>
  <c r="Z32" i="12"/>
  <c r="V79" i="12"/>
  <c r="W79" i="12" s="1"/>
  <c r="V198" i="12"/>
  <c r="W198" i="12" s="1"/>
  <c r="AA164" i="12"/>
  <c r="Z164" i="12"/>
  <c r="U222" i="12"/>
  <c r="V222" i="12" s="1"/>
  <c r="W222" i="12" s="1"/>
  <c r="Z157" i="12"/>
  <c r="AA157" i="12"/>
  <c r="AF19" i="12" a="1"/>
  <c r="AF19" i="12" s="1"/>
  <c r="V133" i="12"/>
  <c r="W133" i="12" s="1"/>
  <c r="Y78" i="12"/>
  <c r="Y152" i="12"/>
  <c r="Y71" i="12"/>
  <c r="Y46" i="12"/>
  <c r="Y141" i="12"/>
  <c r="Y145" i="12"/>
  <c r="Y153" i="12"/>
  <c r="Y132" i="12"/>
  <c r="Y61" i="12"/>
  <c r="Y121" i="12"/>
  <c r="Y203" i="12"/>
  <c r="Y181" i="12"/>
  <c r="Y92" i="12"/>
  <c r="Y111" i="12"/>
  <c r="Y200" i="12"/>
  <c r="Y210" i="12"/>
  <c r="Y89" i="12"/>
  <c r="Y173" i="12"/>
  <c r="Y130" i="12"/>
  <c r="Y208" i="12"/>
  <c r="Y85" i="12"/>
  <c r="Y129" i="12"/>
  <c r="Y48" i="12"/>
  <c r="Y172" i="12"/>
  <c r="Y41" i="12"/>
  <c r="Y40" i="12"/>
  <c r="Y75" i="12"/>
  <c r="Y62" i="12"/>
  <c r="Y161" i="12"/>
  <c r="Y50" i="12"/>
  <c r="Y149" i="12"/>
  <c r="Y221" i="12"/>
  <c r="Y189" i="12"/>
  <c r="Y150" i="12"/>
  <c r="Y103" i="12"/>
  <c r="Y39" i="12"/>
  <c r="Y206" i="12"/>
  <c r="Y76" i="12"/>
  <c r="Y170" i="12"/>
  <c r="Y123" i="12"/>
  <c r="Y118" i="12"/>
  <c r="Y95" i="12"/>
  <c r="Y175" i="12"/>
  <c r="Y222" i="12"/>
  <c r="Y226" i="12"/>
  <c r="Y65" i="12"/>
  <c r="Y72" i="12"/>
  <c r="Y93" i="12"/>
  <c r="Y188" i="12"/>
  <c r="Y126" i="12"/>
  <c r="Y201" i="12"/>
  <c r="Y168" i="12"/>
  <c r="Y143" i="12"/>
  <c r="Y104" i="12"/>
  <c r="Y194" i="12"/>
  <c r="Y102" i="12"/>
  <c r="Y127" i="12"/>
  <c r="Y192" i="12"/>
  <c r="Y109" i="12"/>
  <c r="Y44" i="12"/>
  <c r="Y185" i="12"/>
  <c r="Y177" i="12"/>
  <c r="Y166" i="12"/>
  <c r="Y165" i="12"/>
  <c r="Y178" i="12"/>
  <c r="Y217" i="12"/>
  <c r="Y60" i="12"/>
  <c r="Y167" i="12"/>
  <c r="Y211" i="12"/>
  <c r="Y97" i="12"/>
  <c r="Y139" i="12"/>
  <c r="Y67" i="12"/>
  <c r="Y137" i="12"/>
  <c r="Y213" i="12"/>
  <c r="Y105" i="12"/>
  <c r="Y80" i="12"/>
  <c r="Y155" i="12"/>
  <c r="Y110" i="12"/>
  <c r="Y128" i="12"/>
  <c r="Y53" i="12"/>
  <c r="Y70" i="12"/>
  <c r="Y108" i="12"/>
  <c r="Y90" i="12"/>
  <c r="Y133" i="12"/>
  <c r="Y186" i="12"/>
  <c r="Y227" i="12"/>
  <c r="Y212" i="12"/>
  <c r="Y163" i="12"/>
  <c r="Y82" i="12"/>
  <c r="Y49" i="12"/>
  <c r="Y101" i="12"/>
  <c r="Y151" i="12"/>
  <c r="Y223" i="12"/>
  <c r="Y45" i="12"/>
  <c r="Y197" i="12"/>
  <c r="V109" i="12"/>
  <c r="W109" i="12" s="1"/>
  <c r="Y190" i="12"/>
  <c r="AP34" i="12"/>
  <c r="Y184" i="12"/>
  <c r="V76" i="12"/>
  <c r="W76" i="12" s="1"/>
  <c r="Y183" i="12"/>
  <c r="V53" i="12"/>
  <c r="W53" i="12" s="1"/>
  <c r="Y135" i="12"/>
  <c r="U186" i="12"/>
  <c r="V186" i="12" s="1"/>
  <c r="W186" i="12" s="1"/>
  <c r="Y115" i="12"/>
  <c r="V202" i="12"/>
  <c r="W202" i="12" s="1"/>
  <c r="Y169" i="12"/>
  <c r="V195" i="12"/>
  <c r="W195" i="12" s="1"/>
  <c r="AF17" i="12" a="1"/>
  <c r="AF17" i="12" s="1"/>
  <c r="V100" i="12"/>
  <c r="W100" i="12" s="1"/>
  <c r="V205" i="12"/>
  <c r="W205" i="12" s="1"/>
  <c r="AA179" i="12"/>
  <c r="Z179" i="12"/>
  <c r="Z158" i="12"/>
  <c r="AA158" i="12"/>
  <c r="V83" i="12"/>
  <c r="W83" i="12" s="1"/>
  <c r="V87" i="12"/>
  <c r="W87" i="12" s="1"/>
  <c r="Z59" i="12"/>
  <c r="AA59" i="12"/>
  <c r="AA138" i="12"/>
  <c r="Z138" i="12"/>
  <c r="Z34" i="12"/>
  <c r="AA34" i="12"/>
  <c r="AA148" i="12"/>
  <c r="Z148" i="12"/>
  <c r="V116" i="12"/>
  <c r="W116" i="12" s="1"/>
  <c r="U175" i="12"/>
  <c r="V175" i="12" s="1"/>
  <c r="W175" i="12" s="1"/>
  <c r="Y156" i="12"/>
  <c r="Y220" i="12"/>
  <c r="U88" i="12"/>
  <c r="V88" i="12" s="1"/>
  <c r="W88" i="12" s="1"/>
  <c r="AF8" i="12" a="1"/>
  <c r="AF8" i="12" s="1"/>
  <c r="AA57" i="12"/>
  <c r="Z57" i="12"/>
  <c r="Z191" i="12"/>
  <c r="AA191" i="12"/>
  <c r="AA77" i="12"/>
  <c r="Z77" i="12"/>
  <c r="V170" i="12"/>
  <c r="W170" i="12" s="1"/>
  <c r="Y116" i="12"/>
  <c r="V42" i="12"/>
  <c r="W42" i="12" s="1"/>
  <c r="V179" i="12"/>
  <c r="W179" i="12" s="1"/>
  <c r="Y68" i="12"/>
  <c r="U223" i="12"/>
  <c r="V223" i="12" s="1"/>
  <c r="W223" i="12" s="1"/>
  <c r="Y215" i="12"/>
  <c r="Y14" i="12"/>
  <c r="U187" i="12"/>
  <c r="V187" i="12" s="1"/>
  <c r="W187" i="12" s="1"/>
  <c r="Y117" i="12"/>
  <c r="Y125" i="12"/>
  <c r="AF16" i="12" a="1"/>
  <c r="AF16" i="12" s="1"/>
  <c r="Y112" i="12"/>
  <c r="Y86" i="12"/>
  <c r="U93" i="12"/>
  <c r="V93" i="12" s="1"/>
  <c r="W93" i="12" s="1"/>
  <c r="Y99" i="12"/>
  <c r="Y38" i="12"/>
  <c r="V48" i="12"/>
  <c r="W48" i="12" s="1"/>
  <c r="U58" i="12"/>
  <c r="V58" i="12" s="1"/>
  <c r="W58" i="12" s="1"/>
  <c r="U193" i="12"/>
  <c r="V193" i="12" s="1"/>
  <c r="W193" i="12" s="1"/>
  <c r="V161" i="12"/>
  <c r="W161" i="12" s="1"/>
  <c r="U225" i="12"/>
  <c r="V225" i="12" s="1"/>
  <c r="W225" i="12" s="1"/>
  <c r="V162" i="12"/>
  <c r="W162" i="12" s="1"/>
  <c r="V131" i="12"/>
  <c r="W131" i="12" s="1"/>
  <c r="V120" i="12"/>
  <c r="W120" i="12" s="1"/>
  <c r="Y154" i="12"/>
  <c r="Y182" i="12"/>
  <c r="V73" i="12"/>
  <c r="W73" i="12" s="1"/>
  <c r="V59" i="12"/>
  <c r="W59" i="12" s="1"/>
  <c r="U171" i="12"/>
  <c r="V171" i="12" s="1"/>
  <c r="W171" i="12" s="1"/>
  <c r="U217" i="12"/>
  <c r="V217" i="12" s="1"/>
  <c r="W217" i="12" s="1"/>
  <c r="V67" i="12"/>
  <c r="W67" i="12" s="1"/>
  <c r="U139" i="12"/>
  <c r="V139" i="12" s="1"/>
  <c r="W139" i="12" s="1"/>
  <c r="V183" i="12"/>
  <c r="W183" i="12" s="1"/>
  <c r="Z69" i="12"/>
  <c r="AA69" i="12"/>
  <c r="AA79" i="12"/>
  <c r="Z79" i="12"/>
  <c r="AF20" i="12" a="1"/>
  <c r="AF20" i="12" s="1"/>
  <c r="V138" i="12"/>
  <c r="W138" i="12" s="1"/>
  <c r="AF14" i="12" a="1"/>
  <c r="AF14" i="12" s="1"/>
  <c r="Y94" i="12"/>
  <c r="V208" i="12"/>
  <c r="W208" i="12" s="1"/>
  <c r="Y84" i="12"/>
  <c r="V160" i="12"/>
  <c r="W160" i="12" s="1"/>
  <c r="U200" i="12"/>
  <c r="V200" i="12" s="1"/>
  <c r="W200" i="12" s="1"/>
  <c r="Y58" i="12"/>
  <c r="V98" i="12"/>
  <c r="W98" i="12" s="1"/>
  <c r="AI33" i="12"/>
  <c r="AJ33" i="12" s="1"/>
  <c r="AF4" i="12" s="1" a="1"/>
  <c r="AF4" i="12" s="1"/>
  <c r="V114" i="12"/>
  <c r="W114" i="12" s="1"/>
  <c r="Y73" i="12"/>
  <c r="Y43" i="12"/>
  <c r="U137" i="12"/>
  <c r="V137" i="12" s="1"/>
  <c r="W137" i="12" s="1"/>
  <c r="Y224" i="12"/>
  <c r="V191" i="12"/>
  <c r="W191" i="12" s="1"/>
  <c r="U190" i="12"/>
  <c r="V190" i="12" s="1"/>
  <c r="W190" i="12" s="1"/>
  <c r="Y55" i="12"/>
  <c r="U181" i="12"/>
  <c r="V181" i="12" s="1"/>
  <c r="W181" i="12" s="1"/>
  <c r="V164" i="12"/>
  <c r="W164" i="12" s="1"/>
  <c r="V63" i="12"/>
  <c r="W63" i="12" s="1"/>
  <c r="V194" i="12"/>
  <c r="W194" i="12" s="1"/>
  <c r="U36" i="12"/>
  <c r="V36" i="12" s="1"/>
  <c r="W36" i="12" s="1"/>
  <c r="U145" i="12"/>
  <c r="V145" i="12" s="1"/>
  <c r="W145" i="12" s="1"/>
  <c r="V91" i="12"/>
  <c r="W91" i="12" s="1"/>
  <c r="Y162" i="12"/>
  <c r="U107" i="12"/>
  <c r="V107" i="12" s="1"/>
  <c r="W107" i="12" s="1"/>
  <c r="V96" i="12"/>
  <c r="W96" i="12" s="1"/>
  <c r="V140" i="12"/>
  <c r="W140" i="12" s="1"/>
  <c r="V127" i="12"/>
  <c r="W127" i="12" s="1"/>
  <c r="Z159" i="12"/>
  <c r="AA159" i="12"/>
  <c r="T4" i="12"/>
  <c r="V163" i="12"/>
  <c r="W163" i="12" s="1"/>
  <c r="Z171" i="12"/>
  <c r="AA171" i="12"/>
  <c r="AA35" i="12"/>
  <c r="Z35" i="12"/>
  <c r="AA106" i="12"/>
  <c r="Z106" i="12"/>
  <c r="AF22" i="12" a="1"/>
  <c r="AF22" i="12" s="1"/>
  <c r="V213" i="12"/>
  <c r="W213" i="12" s="1"/>
  <c r="Y214" i="12"/>
  <c r="V149" i="12"/>
  <c r="W149" i="12" s="1"/>
  <c r="Y209" i="12"/>
  <c r="Y37" i="12"/>
  <c r="V174" i="12"/>
  <c r="W174" i="12" s="1"/>
  <c r="Y113" i="12"/>
  <c r="Y100" i="12"/>
  <c r="U32" i="12"/>
  <c r="U4" i="12" s="1"/>
  <c r="V113" i="12"/>
  <c r="W113" i="12" s="1"/>
  <c r="V43" i="12"/>
  <c r="W43" i="12" s="1"/>
  <c r="V71" i="12"/>
  <c r="W71" i="12" s="1"/>
  <c r="Y91" i="12"/>
  <c r="V201" i="12"/>
  <c r="W201" i="12" s="1"/>
  <c r="Y114" i="12"/>
  <c r="V52" i="12"/>
  <c r="W52" i="12" s="1"/>
  <c r="V185" i="12"/>
  <c r="W185" i="12" s="1"/>
  <c r="Y96" i="12"/>
  <c r="V103" i="12"/>
  <c r="W103" i="12" s="1"/>
  <c r="Y54" i="12"/>
  <c r="V92" i="12"/>
  <c r="W92" i="12" s="1"/>
  <c r="V204" i="12"/>
  <c r="W204" i="12" s="1"/>
  <c r="V80" i="12"/>
  <c r="W80" i="12" s="1"/>
  <c r="U46" i="12"/>
  <c r="V46" i="12" s="1"/>
  <c r="W46" i="12" s="1"/>
  <c r="V110" i="12"/>
  <c r="W110" i="12" s="1"/>
  <c r="V199" i="12"/>
  <c r="W199" i="12" s="1"/>
  <c r="Y51" i="12"/>
  <c r="V74" i="12"/>
  <c r="W74" i="12" s="1"/>
  <c r="U154" i="12"/>
  <c r="V154" i="12" s="1"/>
  <c r="W154" i="12" s="1"/>
  <c r="AF23" i="12" a="1"/>
  <c r="AF23" i="12" s="1"/>
  <c r="Y74" i="12"/>
  <c r="X24" i="12"/>
  <c r="Y63" i="12"/>
  <c r="Y160" i="12"/>
  <c r="U169" i="12"/>
  <c r="V169" i="12" s="1"/>
  <c r="W169" i="12" s="1"/>
  <c r="Y204" i="12"/>
  <c r="V41" i="12"/>
  <c r="W41" i="12" s="1"/>
  <c r="Y56" i="12"/>
  <c r="Y136" i="12"/>
  <c r="U150" i="12"/>
  <c r="V150" i="12" s="1"/>
  <c r="W150" i="12" s="1"/>
  <c r="U177" i="12"/>
  <c r="V177" i="12" s="1"/>
  <c r="W177" i="12" s="1"/>
  <c r="Y131" i="12"/>
  <c r="Y36" i="12"/>
  <c r="V148" i="12"/>
  <c r="W148" i="12" s="1"/>
  <c r="U111" i="12"/>
  <c r="V111" i="12" s="1"/>
  <c r="W111" i="12" s="1"/>
  <c r="Y42" i="12"/>
  <c r="V151" i="12"/>
  <c r="W151" i="12" s="1"/>
  <c r="Y88" i="12"/>
  <c r="V70" i="12"/>
  <c r="W70" i="12" s="1"/>
  <c r="Y193" i="12"/>
  <c r="V77" i="12"/>
  <c r="W77" i="12" s="1"/>
  <c r="V115" i="12"/>
  <c r="W115" i="12" s="1"/>
  <c r="Y87" i="12"/>
  <c r="U99" i="12"/>
  <c r="V99" i="12" s="1"/>
  <c r="W99" i="12" s="1"/>
  <c r="V182" i="12"/>
  <c r="W182" i="12" s="1"/>
  <c r="V206" i="12"/>
  <c r="W206" i="12" s="1"/>
  <c r="V167" i="12"/>
  <c r="W167" i="12" s="1"/>
  <c r="V165" i="12"/>
  <c r="W165" i="12" s="1"/>
  <c r="AF13" i="12" a="1"/>
  <c r="AF13" i="12" s="1"/>
  <c r="U104" i="12"/>
  <c r="V104" i="12" s="1"/>
  <c r="W104" i="12" s="1"/>
  <c r="Y140" i="12"/>
  <c r="U153" i="12"/>
  <c r="V153" i="12" s="1"/>
  <c r="W153" i="12" s="1"/>
  <c r="V141" i="12"/>
  <c r="W141" i="12" s="1"/>
  <c r="V102" i="12"/>
  <c r="W102" i="12" s="1"/>
  <c r="Y216" i="12"/>
  <c r="V37" i="12"/>
  <c r="W37" i="12" s="1"/>
  <c r="U129" i="12"/>
  <c r="V129" i="12" s="1"/>
  <c r="W129" i="12" s="1"/>
  <c r="Y180" i="12"/>
  <c r="U211" i="12"/>
  <c r="V211" i="12" s="1"/>
  <c r="W211" i="12" s="1"/>
  <c r="U147" i="12"/>
  <c r="V147" i="12" s="1"/>
  <c r="W147" i="12" s="1"/>
  <c r="V173" i="12"/>
  <c r="W173" i="12" s="1"/>
  <c r="Y124" i="12"/>
  <c r="U105" i="12"/>
  <c r="V105" i="12" s="1"/>
  <c r="W105" i="12" s="1"/>
  <c r="Y199" i="12"/>
  <c r="U159" i="12"/>
  <c r="V159" i="12" s="1"/>
  <c r="W159" i="12" s="1"/>
  <c r="U203" i="12"/>
  <c r="V203" i="12" s="1"/>
  <c r="W203" i="12" s="1"/>
  <c r="O24" i="12"/>
  <c r="BA24" i="12"/>
  <c r="V209" i="12"/>
  <c r="W209" i="12" s="1"/>
  <c r="Y146" i="12"/>
  <c r="V132" i="12"/>
  <c r="W132" i="12" s="1"/>
  <c r="Y119" i="12"/>
  <c r="U123" i="12"/>
  <c r="V123" i="12" s="1"/>
  <c r="W123" i="12" s="1"/>
  <c r="V108" i="12"/>
  <c r="W108" i="12" s="1"/>
  <c r="V188" i="12"/>
  <c r="W188" i="12" s="1"/>
  <c r="Y52" i="12"/>
  <c r="V55" i="12"/>
  <c r="W55" i="12" s="1"/>
  <c r="Y33" i="12"/>
  <c r="U224" i="12"/>
  <c r="V224" i="12" s="1"/>
  <c r="W224" i="12" s="1"/>
  <c r="Y144" i="12"/>
  <c r="Y196" i="12"/>
  <c r="U112" i="12"/>
  <c r="V112" i="12" s="1"/>
  <c r="W112" i="12" s="1"/>
  <c r="V51" i="12"/>
  <c r="W51" i="12" s="1"/>
  <c r="U62" i="12"/>
  <c r="V62" i="12" s="1"/>
  <c r="W62" i="12" s="1"/>
  <c r="V85" i="12"/>
  <c r="W85" i="12" s="1"/>
  <c r="U228" i="12"/>
  <c r="V228" i="12" s="1"/>
  <c r="W228" i="12" s="1"/>
  <c r="AF15" i="12" a="1"/>
  <c r="AF15" i="12" s="1"/>
  <c r="V33" i="12"/>
  <c r="W33" i="12" s="1"/>
  <c r="Y198" i="12"/>
  <c r="V184" i="12"/>
  <c r="W184" i="12" s="1"/>
  <c r="Y218" i="12"/>
  <c r="V50" i="12"/>
  <c r="W50" i="12" s="1"/>
  <c r="U134" i="12"/>
  <c r="V134" i="12" s="1"/>
  <c r="W134" i="12" s="1"/>
  <c r="U178" i="12"/>
  <c r="V178" i="12" s="1"/>
  <c r="W178" i="12" s="1"/>
  <c r="Y107" i="12"/>
  <c r="V146" i="12"/>
  <c r="W146" i="12" s="1"/>
  <c r="U60" i="12"/>
  <c r="V60" i="12" s="1"/>
  <c r="W60" i="12" s="1"/>
  <c r="V49" i="12"/>
  <c r="W49" i="12" s="1"/>
  <c r="Y174" i="12"/>
  <c r="U97" i="12"/>
  <c r="V97" i="12" s="1"/>
  <c r="W97" i="12" s="1"/>
  <c r="V226" i="12"/>
  <c r="W226" i="12" s="1"/>
  <c r="V95" i="12"/>
  <c r="W95" i="12" s="1"/>
  <c r="U56" i="12"/>
  <c r="V56" i="12" s="1"/>
  <c r="W56" i="12" s="1"/>
  <c r="U82" i="12"/>
  <c r="V82" i="12" s="1"/>
  <c r="W82" i="12" s="1"/>
  <c r="U156" i="12"/>
  <c r="V156" i="12" s="1"/>
  <c r="W156" i="12" s="1"/>
  <c r="U118" i="12"/>
  <c r="V118" i="12" s="1"/>
  <c r="W118" i="12" s="1"/>
  <c r="Y207" i="12"/>
  <c r="V158" i="12"/>
  <c r="W158" i="12" s="1"/>
  <c r="Y202" i="12"/>
  <c r="V214" i="12"/>
  <c r="W214" i="12" s="1"/>
  <c r="V68" i="12"/>
  <c r="W68" i="12" s="1"/>
  <c r="Y225" i="12"/>
  <c r="V72" i="12"/>
  <c r="W72" i="12" s="1"/>
  <c r="U196" i="12"/>
  <c r="V196" i="12" s="1"/>
  <c r="W196" i="12" s="1"/>
  <c r="V180" i="12"/>
  <c r="W180" i="12" s="1"/>
  <c r="V157" i="12"/>
  <c r="W157" i="12" s="1"/>
  <c r="AF12" i="12" a="1"/>
  <c r="AF12" i="12" s="1"/>
  <c r="BC12" i="12" s="1"/>
  <c r="U101" i="12"/>
  <c r="V101" i="12" s="1"/>
  <c r="W101" i="12" s="1"/>
  <c r="V221" i="12"/>
  <c r="W221" i="12" s="1"/>
  <c r="U192" i="12"/>
  <c r="V192" i="12" s="1"/>
  <c r="W192" i="12" s="1"/>
  <c r="V144" i="12"/>
  <c r="W144" i="12" s="1"/>
  <c r="U168" i="12"/>
  <c r="V168" i="12" s="1"/>
  <c r="W168" i="12" s="1"/>
  <c r="Y147" i="12"/>
  <c r="Y134" i="12"/>
  <c r="U135" i="12"/>
  <c r="V135" i="12" s="1"/>
  <c r="W135" i="12" s="1"/>
  <c r="V66" i="12"/>
  <c r="W66" i="12" s="1"/>
  <c r="Y228" i="12"/>
  <c r="V126" i="12"/>
  <c r="W126" i="12" s="1"/>
  <c r="V35" i="12"/>
  <c r="W35" i="12" s="1"/>
  <c r="V176" i="12"/>
  <c r="W176" i="12" s="1"/>
  <c r="U78" i="12"/>
  <c r="V78" i="12" s="1"/>
  <c r="W78" i="12" s="1"/>
  <c r="V38" i="12"/>
  <c r="W38" i="12" s="1"/>
  <c r="U64" i="12"/>
  <c r="V64" i="12" s="1"/>
  <c r="W64" i="12" s="1"/>
  <c r="V90" i="12"/>
  <c r="W90" i="12" s="1"/>
  <c r="V39" i="12"/>
  <c r="W39" i="12" s="1"/>
  <c r="Y142" i="12"/>
  <c r="U152" i="12"/>
  <c r="V152" i="12" s="1"/>
  <c r="W152" i="12" s="1"/>
  <c r="Y120" i="12"/>
  <c r="U124" i="12"/>
  <c r="V124" i="12" s="1"/>
  <c r="W124" i="12" s="1"/>
  <c r="U189" i="12"/>
  <c r="V189" i="12" s="1"/>
  <c r="W189" i="12" s="1"/>
  <c r="U218" i="12"/>
  <c r="V218" i="12" s="1"/>
  <c r="W218" i="12" s="1"/>
  <c r="U155" i="12"/>
  <c r="V155" i="12" s="1"/>
  <c r="W155" i="12" s="1"/>
  <c r="Y195" i="12"/>
  <c r="V117" i="12"/>
  <c r="W117" i="12" s="1"/>
  <c r="U45" i="12"/>
  <c r="V45" i="12" s="1"/>
  <c r="W45" i="12" s="1"/>
  <c r="U166" i="12"/>
  <c r="V166" i="12" s="1"/>
  <c r="W166" i="12" s="1"/>
  <c r="Y122" i="12"/>
  <c r="V34" i="12"/>
  <c r="W34" i="12" s="1"/>
  <c r="T6" i="12"/>
  <c r="T10" i="12"/>
  <c r="T21" i="12"/>
  <c r="T13" i="12"/>
  <c r="T16" i="12"/>
  <c r="T17" i="12"/>
  <c r="T12" i="12"/>
  <c r="T20" i="12"/>
  <c r="T7" i="12"/>
  <c r="T23" i="12"/>
  <c r="T18" i="12"/>
  <c r="T9" i="12"/>
  <c r="T11" i="12"/>
  <c r="T15" i="12"/>
  <c r="T8" i="12"/>
  <c r="T19" i="12"/>
  <c r="T5" i="12"/>
  <c r="T22" i="12"/>
  <c r="T14" i="12"/>
  <c r="V207" i="12"/>
  <c r="W207" i="12" s="1"/>
  <c r="AA229" i="12"/>
  <c r="Z229" i="12"/>
  <c r="Z66" i="12"/>
  <c r="AA66" i="12"/>
  <c r="V86" i="12"/>
  <c r="W86" i="12" s="1"/>
  <c r="V81" i="12"/>
  <c r="W81" i="12" s="1"/>
  <c r="V69" i="12"/>
  <c r="W69" i="12" s="1"/>
  <c r="Z187" i="12"/>
  <c r="AA187" i="12"/>
  <c r="AF10" i="12" a="1"/>
  <c r="AF10" i="12" s="1"/>
  <c r="V65" i="12"/>
  <c r="W65" i="12" s="1"/>
  <c r="V122" i="12"/>
  <c r="W122" i="12" s="1"/>
  <c r="V210" i="12"/>
  <c r="W210" i="12" s="1"/>
  <c r="V125" i="12"/>
  <c r="W125" i="12" s="1"/>
  <c r="V128" i="12"/>
  <c r="W128" i="12" s="1"/>
  <c r="U142" i="12"/>
  <c r="V142" i="12" s="1"/>
  <c r="W142" i="12" s="1"/>
  <c r="U44" i="12"/>
  <c r="V44" i="12" s="1"/>
  <c r="W44" i="12" s="1"/>
  <c r="V172" i="12"/>
  <c r="W172" i="12" s="1"/>
  <c r="V57" i="12"/>
  <c r="W57" i="12" s="1"/>
  <c r="V215" i="12"/>
  <c r="W215" i="12" s="1"/>
  <c r="Y47" i="12"/>
  <c r="V212" i="12"/>
  <c r="W212" i="12" s="1"/>
  <c r="V136" i="12"/>
  <c r="W136" i="12" s="1"/>
  <c r="U220" i="12"/>
  <c r="V220" i="12" s="1"/>
  <c r="W220" i="12" s="1"/>
  <c r="V84" i="12"/>
  <c r="W84" i="12" s="1"/>
  <c r="V130" i="12"/>
  <c r="W130" i="12" s="1"/>
  <c r="U227" i="12"/>
  <c r="V227" i="12" s="1"/>
  <c r="W227" i="12" s="1"/>
  <c r="V106" i="12"/>
  <c r="W106" i="12" s="1"/>
  <c r="V89" i="12"/>
  <c r="W89" i="12" s="1"/>
  <c r="U219" i="12"/>
  <c r="V219" i="12" s="1"/>
  <c r="W219" i="12" s="1"/>
  <c r="U119" i="12"/>
  <c r="V119" i="12" s="1"/>
  <c r="W119" i="12" s="1"/>
  <c r="V47" i="12"/>
  <c r="W47" i="12" s="1"/>
  <c r="V61" i="12"/>
  <c r="W61" i="12" s="1"/>
  <c r="Y81" i="12"/>
  <c r="U75" i="12"/>
  <c r="V75" i="12" s="1"/>
  <c r="W75" i="12" s="1"/>
  <c r="V197" i="12"/>
  <c r="W197" i="12" s="1"/>
  <c r="V94" i="12"/>
  <c r="W94" i="12" s="1"/>
  <c r="Y64" i="12"/>
  <c r="V216" i="12"/>
  <c r="W216" i="12" s="1"/>
  <c r="Y98" i="12"/>
  <c r="U229" i="12"/>
  <c r="V229" i="12" s="1"/>
  <c r="W229" i="12" s="1"/>
  <c r="V143" i="12"/>
  <c r="W143" i="12" s="1"/>
  <c r="V40" i="12"/>
  <c r="W40" i="12" s="1"/>
  <c r="U121" i="12"/>
  <c r="V121" i="12" s="1"/>
  <c r="W121" i="12" s="1"/>
  <c r="BC21" i="12" l="1"/>
  <c r="BC23" i="12"/>
  <c r="BC15" i="12"/>
  <c r="AX11" i="12"/>
  <c r="AP11" i="12"/>
  <c r="BC5" i="12"/>
  <c r="BC11" i="12"/>
  <c r="BC9" i="12"/>
  <c r="BC18" i="12"/>
  <c r="BC10" i="12"/>
  <c r="BC7" i="12"/>
  <c r="BC17" i="12"/>
  <c r="BC14" i="12"/>
  <c r="AX9" i="12"/>
  <c r="BC13" i="12"/>
  <c r="AI9" i="12"/>
  <c r="AJ9" i="12" s="1"/>
  <c r="AP9" i="12" s="1"/>
  <c r="AX6" i="12"/>
  <c r="BC20" i="12"/>
  <c r="AX5" i="12"/>
  <c r="BC6" i="12"/>
  <c r="BC4" i="12"/>
  <c r="S12" i="12"/>
  <c r="V32" i="12"/>
  <c r="W32" i="12" s="1"/>
  <c r="S20" i="12"/>
  <c r="AX18" i="12"/>
  <c r="AI18" i="12"/>
  <c r="AJ18" i="12" s="1"/>
  <c r="AP18" i="12" s="1"/>
  <c r="AK32" i="12"/>
  <c r="AL32" i="12" s="1"/>
  <c r="AM32" i="12" s="1"/>
  <c r="AN32" i="12" s="1"/>
  <c r="AO32" i="12" s="1"/>
  <c r="AP33" i="12"/>
  <c r="AP30" i="12" s="1"/>
  <c r="AQ116" i="12" s="1"/>
  <c r="AR116" i="12" s="1"/>
  <c r="V18" i="12"/>
  <c r="W18" i="12" s="1"/>
  <c r="R18" i="12"/>
  <c r="AI19" i="12"/>
  <c r="AJ19" i="12" s="1"/>
  <c r="AP19" i="12" s="1"/>
  <c r="AX19" i="12"/>
  <c r="AQ140" i="12"/>
  <c r="AR140" i="12" s="1"/>
  <c r="AB205" i="12"/>
  <c r="AC205" i="12"/>
  <c r="AD205" i="12" s="1"/>
  <c r="S13" i="12"/>
  <c r="R14" i="12"/>
  <c r="AC14" i="12" s="1"/>
  <c r="V14" i="12"/>
  <c r="W14" i="12" s="1"/>
  <c r="V12" i="12"/>
  <c r="W12" i="12" s="1"/>
  <c r="R12" i="12"/>
  <c r="Z52" i="12"/>
  <c r="AA52" i="12"/>
  <c r="AA96" i="12"/>
  <c r="Z96" i="12"/>
  <c r="AB106" i="12"/>
  <c r="AC106" i="12"/>
  <c r="AQ86" i="12"/>
  <c r="AR86" i="12" s="1"/>
  <c r="AA86" i="12"/>
  <c r="Z86" i="12"/>
  <c r="AI8" i="12"/>
  <c r="AJ8" i="12" s="1"/>
  <c r="AP8" i="12" s="1"/>
  <c r="AX8" i="12"/>
  <c r="AB158" i="12"/>
  <c r="AC158" i="12"/>
  <c r="AD158" i="12" s="1"/>
  <c r="Z227" i="12"/>
  <c r="AA227" i="12"/>
  <c r="AA213" i="12"/>
  <c r="Z213" i="12"/>
  <c r="AA177" i="12"/>
  <c r="Z177" i="12"/>
  <c r="AA126" i="12"/>
  <c r="Z126" i="12"/>
  <c r="AA76" i="12"/>
  <c r="Z76" i="12"/>
  <c r="Z40" i="12"/>
  <c r="AA40" i="12"/>
  <c r="Z111" i="12"/>
  <c r="AA111" i="12"/>
  <c r="Z152" i="12"/>
  <c r="AA152" i="12"/>
  <c r="AB164" i="12"/>
  <c r="AC164" i="12"/>
  <c r="AB32" i="12"/>
  <c r="AC32" i="12"/>
  <c r="S16" i="12"/>
  <c r="AB176" i="12"/>
  <c r="AC176" i="12"/>
  <c r="AD176" i="12" s="1"/>
  <c r="T24" i="12"/>
  <c r="D15" i="13" s="1"/>
  <c r="D16" i="13" s="1"/>
  <c r="V4" i="12"/>
  <c r="W4" i="12" s="1"/>
  <c r="R4" i="12"/>
  <c r="C15" i="13"/>
  <c r="C16" i="13" s="1"/>
  <c r="AQ56" i="12"/>
  <c r="AR56" i="12" s="1"/>
  <c r="AB34" i="12"/>
  <c r="AC34" i="12"/>
  <c r="Z165" i="12"/>
  <c r="AA165" i="12"/>
  <c r="Z62" i="12"/>
  <c r="AA62" i="12"/>
  <c r="V20" i="12"/>
  <c r="W20" i="12" s="1"/>
  <c r="R20" i="12"/>
  <c r="AB59" i="12"/>
  <c r="AC59" i="12"/>
  <c r="Z105" i="12"/>
  <c r="AA105" i="12"/>
  <c r="AA201" i="12"/>
  <c r="Z201" i="12"/>
  <c r="AA200" i="12"/>
  <c r="Z200" i="12"/>
  <c r="Z64" i="12"/>
  <c r="AA64" i="12"/>
  <c r="V22" i="12"/>
  <c r="W22" i="12" s="1"/>
  <c r="R22" i="12"/>
  <c r="Z216" i="12"/>
  <c r="AA216" i="12"/>
  <c r="Z193" i="12"/>
  <c r="AA193" i="12"/>
  <c r="AA63" i="12"/>
  <c r="Z63" i="12"/>
  <c r="AA14" i="12"/>
  <c r="AB14" i="12" s="1"/>
  <c r="Z14" i="12"/>
  <c r="AA68" i="12"/>
  <c r="Z68" i="12"/>
  <c r="Z186" i="12"/>
  <c r="AA186" i="12"/>
  <c r="AA137" i="12"/>
  <c r="Z137" i="12"/>
  <c r="Z185" i="12"/>
  <c r="AA185" i="12"/>
  <c r="AA188" i="12"/>
  <c r="Z188" i="12"/>
  <c r="AA206" i="12"/>
  <c r="Z206" i="12"/>
  <c r="AA41" i="12"/>
  <c r="Z41" i="12"/>
  <c r="AA92" i="12"/>
  <c r="Z92" i="12"/>
  <c r="Z78" i="12"/>
  <c r="AA78" i="12"/>
  <c r="AQ96" i="12"/>
  <c r="AR96" i="12" s="1"/>
  <c r="S19" i="12"/>
  <c r="AA47" i="12"/>
  <c r="Z47" i="12"/>
  <c r="V5" i="12"/>
  <c r="W5" i="12" s="1"/>
  <c r="R5" i="12"/>
  <c r="R16" i="12"/>
  <c r="V16" i="12"/>
  <c r="W16" i="12" s="1"/>
  <c r="AA195" i="12"/>
  <c r="Z195" i="12"/>
  <c r="AA142" i="12"/>
  <c r="Z142" i="12"/>
  <c r="AA202" i="12"/>
  <c r="Z202" i="12"/>
  <c r="AA207" i="12"/>
  <c r="Z207" i="12"/>
  <c r="Z56" i="12"/>
  <c r="AA56" i="12"/>
  <c r="AI20" i="12"/>
  <c r="AJ20" i="12" s="1"/>
  <c r="AP20" i="12" s="1"/>
  <c r="AX20" i="12"/>
  <c r="AA112" i="12"/>
  <c r="Z112" i="12"/>
  <c r="Z169" i="12"/>
  <c r="AA169" i="12"/>
  <c r="AA133" i="12"/>
  <c r="Z133" i="12"/>
  <c r="Z67" i="12"/>
  <c r="AA67" i="12"/>
  <c r="Z44" i="12"/>
  <c r="AA44" i="12"/>
  <c r="AA93" i="12"/>
  <c r="Z93" i="12"/>
  <c r="Z39" i="12"/>
  <c r="AA39" i="12"/>
  <c r="Z172" i="12"/>
  <c r="AA172" i="12"/>
  <c r="AA181" i="12"/>
  <c r="Z181" i="12"/>
  <c r="S8" i="12"/>
  <c r="AI22" i="12"/>
  <c r="AJ22" i="12" s="1"/>
  <c r="AP22" i="12" s="1"/>
  <c r="AX22" i="12"/>
  <c r="AA199" i="12"/>
  <c r="Z199" i="12"/>
  <c r="Y21" i="12"/>
  <c r="Y20" i="12"/>
  <c r="Y10" i="12"/>
  <c r="Y11" i="12"/>
  <c r="Y18" i="12"/>
  <c r="Y5" i="12"/>
  <c r="Y9" i="12"/>
  <c r="Y17" i="12"/>
  <c r="Y12" i="12"/>
  <c r="Y15" i="12"/>
  <c r="Y6" i="12"/>
  <c r="Y7" i="12"/>
  <c r="Y19" i="12"/>
  <c r="Y4" i="12"/>
  <c r="Y8" i="12"/>
  <c r="Y16" i="12"/>
  <c r="Y23" i="12"/>
  <c r="Y13" i="12"/>
  <c r="BB20" i="12"/>
  <c r="BB21" i="12"/>
  <c r="BB22" i="12"/>
  <c r="BB23" i="12"/>
  <c r="BB5" i="12"/>
  <c r="BB6" i="12"/>
  <c r="BB19" i="12"/>
  <c r="BB17" i="12"/>
  <c r="BB8" i="12"/>
  <c r="BB14" i="12"/>
  <c r="BB9" i="12"/>
  <c r="BB16" i="12"/>
  <c r="BB15" i="12"/>
  <c r="BB7" i="12"/>
  <c r="BB18" i="12"/>
  <c r="BB11" i="12"/>
  <c r="BB12" i="12"/>
  <c r="BB10" i="12"/>
  <c r="AI4" i="12"/>
  <c r="AJ4" i="12" s="1"/>
  <c r="BB13" i="12"/>
  <c r="BB4" i="12"/>
  <c r="M12" i="13"/>
  <c r="P11" i="13" s="1"/>
  <c r="AX4" i="12"/>
  <c r="AB179" i="12"/>
  <c r="AC179" i="12"/>
  <c r="AA197" i="12"/>
  <c r="Z197" i="12"/>
  <c r="Z90" i="12"/>
  <c r="AA90" i="12"/>
  <c r="AA139" i="12"/>
  <c r="Z139" i="12"/>
  <c r="Z109" i="12"/>
  <c r="AA109" i="12"/>
  <c r="AA72" i="12"/>
  <c r="Z72" i="12"/>
  <c r="AA103" i="12"/>
  <c r="Z103" i="12"/>
  <c r="Z48" i="12"/>
  <c r="AA48" i="12"/>
  <c r="AA203" i="12"/>
  <c r="Z203" i="12"/>
  <c r="AB83" i="12"/>
  <c r="AC83" i="12"/>
  <c r="AD83" i="12" s="1"/>
  <c r="S22" i="12"/>
  <c r="S5" i="12"/>
  <c r="AQ216" i="12"/>
  <c r="AR216" i="12" s="1"/>
  <c r="AQ164" i="12"/>
  <c r="AR164" i="12" s="1"/>
  <c r="Z33" i="12"/>
  <c r="AA33" i="12"/>
  <c r="AI16" i="12"/>
  <c r="AJ16" i="12" s="1"/>
  <c r="AP16" i="12" s="1"/>
  <c r="AX16" i="12"/>
  <c r="Z215" i="12"/>
  <c r="AA215" i="12"/>
  <c r="Z220" i="12"/>
  <c r="AA220" i="12"/>
  <c r="AB148" i="12"/>
  <c r="AC148" i="12"/>
  <c r="AA183" i="12"/>
  <c r="Z183" i="12"/>
  <c r="Z45" i="12"/>
  <c r="AA45" i="12"/>
  <c r="Z108" i="12"/>
  <c r="AA108" i="12"/>
  <c r="Z97" i="12"/>
  <c r="AA97" i="12"/>
  <c r="AA192" i="12"/>
  <c r="Z192" i="12"/>
  <c r="AA65" i="12"/>
  <c r="Z65" i="12"/>
  <c r="AA150" i="12"/>
  <c r="Z150" i="12"/>
  <c r="AA129" i="12"/>
  <c r="Z129" i="12"/>
  <c r="AA121" i="12"/>
  <c r="Z121" i="12"/>
  <c r="S14" i="12"/>
  <c r="R15" i="12"/>
  <c r="V15" i="12"/>
  <c r="W15" i="12" s="1"/>
  <c r="R10" i="12"/>
  <c r="V10" i="12"/>
  <c r="W10" i="12" s="1"/>
  <c r="AQ68" i="12"/>
  <c r="AR68" i="12" s="1"/>
  <c r="Z174" i="12"/>
  <c r="AA174" i="12"/>
  <c r="AA144" i="12"/>
  <c r="Z144" i="12"/>
  <c r="Z124" i="12"/>
  <c r="AA124" i="12"/>
  <c r="AA204" i="12"/>
  <c r="Z204" i="12"/>
  <c r="Z113" i="12"/>
  <c r="AA113" i="12"/>
  <c r="AB171" i="12"/>
  <c r="AC171" i="12"/>
  <c r="AD171" i="12" s="1"/>
  <c r="AB69" i="12"/>
  <c r="AC69" i="12"/>
  <c r="AD69" i="12" s="1"/>
  <c r="Z182" i="12"/>
  <c r="AA182" i="12"/>
  <c r="Z38" i="12"/>
  <c r="AA38" i="12"/>
  <c r="AA125" i="12"/>
  <c r="Z125" i="12"/>
  <c r="AA116" i="12"/>
  <c r="Z116" i="12"/>
  <c r="AB77" i="12"/>
  <c r="AC77" i="12"/>
  <c r="Z223" i="12"/>
  <c r="AA223" i="12"/>
  <c r="AA70" i="12"/>
  <c r="Z70" i="12"/>
  <c r="Z211" i="12"/>
  <c r="AA211" i="12"/>
  <c r="AA127" i="12"/>
  <c r="Z127" i="12"/>
  <c r="Z226" i="12"/>
  <c r="AA226" i="12"/>
  <c r="Z189" i="12"/>
  <c r="AA189" i="12"/>
  <c r="AA85" i="12"/>
  <c r="Z85" i="12"/>
  <c r="AA61" i="12"/>
  <c r="Z61" i="12"/>
  <c r="S7" i="12"/>
  <c r="S18" i="12"/>
  <c r="V7" i="12"/>
  <c r="W7" i="12" s="1"/>
  <c r="R7" i="12"/>
  <c r="Z180" i="12"/>
  <c r="AA180" i="12"/>
  <c r="Z42" i="12"/>
  <c r="AA42" i="12"/>
  <c r="Z214" i="12"/>
  <c r="AA214" i="12"/>
  <c r="AA73" i="12"/>
  <c r="Z73" i="12"/>
  <c r="Z80" i="12"/>
  <c r="AA80" i="12"/>
  <c r="AA123" i="12"/>
  <c r="Z123" i="12"/>
  <c r="Z210" i="12"/>
  <c r="AA210" i="12"/>
  <c r="AA98" i="12"/>
  <c r="Z98" i="12"/>
  <c r="AQ73" i="12"/>
  <c r="AR73" i="12" s="1"/>
  <c r="BC22" i="12"/>
  <c r="Z212" i="12"/>
  <c r="AA212" i="12"/>
  <c r="AA166" i="12"/>
  <c r="Z166" i="12"/>
  <c r="Z170" i="12"/>
  <c r="AA170" i="12"/>
  <c r="AA75" i="12"/>
  <c r="Z75" i="12"/>
  <c r="AA71" i="12"/>
  <c r="Z71" i="12"/>
  <c r="V17" i="12"/>
  <c r="W17" i="12" s="1"/>
  <c r="R17" i="12"/>
  <c r="Z136" i="12"/>
  <c r="AA136" i="12"/>
  <c r="V19" i="12"/>
  <c r="W19" i="12" s="1"/>
  <c r="R19" i="12"/>
  <c r="V8" i="12"/>
  <c r="W8" i="12" s="1"/>
  <c r="R8" i="12"/>
  <c r="Z218" i="12"/>
  <c r="AA218" i="12"/>
  <c r="AQ142" i="12"/>
  <c r="AR142" i="12" s="1"/>
  <c r="AA114" i="12"/>
  <c r="Z114" i="12"/>
  <c r="Z100" i="12"/>
  <c r="AA100" i="12"/>
  <c r="AB35" i="12"/>
  <c r="AC35" i="12"/>
  <c r="AD35" i="12" s="1"/>
  <c r="AA94" i="12"/>
  <c r="Z94" i="12"/>
  <c r="AB79" i="12"/>
  <c r="AC79" i="12"/>
  <c r="AD79" i="12" s="1"/>
  <c r="R11" i="12"/>
  <c r="V11" i="12"/>
  <c r="W11" i="12" s="1"/>
  <c r="V6" i="12"/>
  <c r="W6" i="12" s="1"/>
  <c r="R6" i="12"/>
  <c r="AA147" i="12"/>
  <c r="Z147" i="12"/>
  <c r="AA198" i="12"/>
  <c r="Z198" i="12"/>
  <c r="Z119" i="12"/>
  <c r="AA119" i="12"/>
  <c r="AA140" i="12"/>
  <c r="Z140" i="12"/>
  <c r="Z36" i="12"/>
  <c r="AA36" i="12"/>
  <c r="AI23" i="12"/>
  <c r="AJ23" i="12" s="1"/>
  <c r="AP23" i="12" s="1"/>
  <c r="AX23" i="12"/>
  <c r="AA51" i="12"/>
  <c r="Z51" i="12"/>
  <c r="Z54" i="12"/>
  <c r="AA54" i="12"/>
  <c r="Y22" i="12"/>
  <c r="Z224" i="12"/>
  <c r="AA224" i="12"/>
  <c r="AA84" i="12"/>
  <c r="Z84" i="12"/>
  <c r="Z99" i="12"/>
  <c r="AA99" i="12"/>
  <c r="Z117" i="12"/>
  <c r="AA117" i="12"/>
  <c r="Z184" i="12"/>
  <c r="AA184" i="12"/>
  <c r="Z151" i="12"/>
  <c r="AA151" i="12"/>
  <c r="AA53" i="12"/>
  <c r="Z53" i="12"/>
  <c r="Z167" i="12"/>
  <c r="AA167" i="12"/>
  <c r="AA102" i="12"/>
  <c r="Z102" i="12"/>
  <c r="Z222" i="12"/>
  <c r="AA222" i="12"/>
  <c r="Z221" i="12"/>
  <c r="AA221" i="12"/>
  <c r="Z208" i="12"/>
  <c r="AA208" i="12"/>
  <c r="AA132" i="12"/>
  <c r="Z132" i="12"/>
  <c r="AB219" i="12"/>
  <c r="AC219" i="12"/>
  <c r="S17" i="12"/>
  <c r="S11" i="12"/>
  <c r="AQ88" i="12"/>
  <c r="AR88" i="12" s="1"/>
  <c r="AQ161" i="12"/>
  <c r="AR161" i="12" s="1"/>
  <c r="AB187" i="12"/>
  <c r="AC187" i="12"/>
  <c r="AD187" i="12" s="1"/>
  <c r="Z122" i="12"/>
  <c r="AA122" i="12"/>
  <c r="Z163" i="12"/>
  <c r="AA163" i="12"/>
  <c r="Z168" i="12"/>
  <c r="AA168" i="12"/>
  <c r="Z46" i="12"/>
  <c r="AA46" i="12"/>
  <c r="AQ32" i="12"/>
  <c r="AR32" i="12" s="1"/>
  <c r="Z120" i="12"/>
  <c r="AA120" i="12"/>
  <c r="Z107" i="12"/>
  <c r="AA107" i="12"/>
  <c r="AA55" i="12"/>
  <c r="Z55" i="12"/>
  <c r="Z190" i="12"/>
  <c r="AA190" i="12"/>
  <c r="U24" i="12"/>
  <c r="S4" i="12"/>
  <c r="BC16" i="12"/>
  <c r="AA135" i="12"/>
  <c r="Z135" i="12"/>
  <c r="R13" i="12"/>
  <c r="V13" i="12"/>
  <c r="W13" i="12" s="1"/>
  <c r="AB66" i="12"/>
  <c r="AC66" i="12"/>
  <c r="R21" i="12"/>
  <c r="V21" i="12"/>
  <c r="W21" i="12" s="1"/>
  <c r="Z134" i="12"/>
  <c r="AA134" i="12"/>
  <c r="AA196" i="12"/>
  <c r="Z196" i="12"/>
  <c r="AA74" i="12"/>
  <c r="Z74" i="12"/>
  <c r="AB159" i="12"/>
  <c r="AC159" i="12"/>
  <c r="AD159" i="12" s="1"/>
  <c r="Z81" i="12"/>
  <c r="AA81" i="12"/>
  <c r="AB229" i="12"/>
  <c r="AC229" i="12"/>
  <c r="R9" i="12"/>
  <c r="V9" i="12"/>
  <c r="W9" i="12" s="1"/>
  <c r="AA87" i="12"/>
  <c r="Z87" i="12"/>
  <c r="AA88" i="12"/>
  <c r="Z88" i="12"/>
  <c r="AA131" i="12"/>
  <c r="Z131" i="12"/>
  <c r="AA91" i="12"/>
  <c r="Z91" i="12"/>
  <c r="AA37" i="12"/>
  <c r="Z37" i="12"/>
  <c r="BC19" i="12"/>
  <c r="AQ114" i="12"/>
  <c r="AR114" i="12" s="1"/>
  <c r="Z154" i="12"/>
  <c r="AA154" i="12"/>
  <c r="AA156" i="12"/>
  <c r="Z156" i="12"/>
  <c r="AB138" i="12"/>
  <c r="AC138" i="12"/>
  <c r="AI17" i="12"/>
  <c r="AJ17" i="12" s="1"/>
  <c r="AP17" i="12" s="1"/>
  <c r="AX17" i="12"/>
  <c r="Z115" i="12"/>
  <c r="AA115" i="12"/>
  <c r="Z101" i="12"/>
  <c r="AA101" i="12"/>
  <c r="AA128" i="12"/>
  <c r="Z128" i="12"/>
  <c r="Z60" i="12"/>
  <c r="AA60" i="12"/>
  <c r="Z194" i="12"/>
  <c r="AA194" i="12"/>
  <c r="Z175" i="12"/>
  <c r="AA175" i="12"/>
  <c r="AA149" i="12"/>
  <c r="Z149" i="12"/>
  <c r="AA130" i="12"/>
  <c r="Z130" i="12"/>
  <c r="Z153" i="12"/>
  <c r="AA153" i="12"/>
  <c r="S21" i="12"/>
  <c r="S9" i="12"/>
  <c r="AI13" i="12"/>
  <c r="AJ13" i="12" s="1"/>
  <c r="AP13" i="12" s="1"/>
  <c r="AX13" i="12"/>
  <c r="AA160" i="12"/>
  <c r="Z160" i="12"/>
  <c r="Z209" i="12"/>
  <c r="AA209" i="12"/>
  <c r="AA162" i="12"/>
  <c r="Z162" i="12"/>
  <c r="Z58" i="12"/>
  <c r="AA58" i="12"/>
  <c r="AI14" i="12"/>
  <c r="AJ14" i="12" s="1"/>
  <c r="AP14" i="12" s="1"/>
  <c r="AX14" i="12"/>
  <c r="AA49" i="12"/>
  <c r="Z49" i="12"/>
  <c r="AA110" i="12"/>
  <c r="Z110" i="12"/>
  <c r="AA217" i="12"/>
  <c r="Z217" i="12"/>
  <c r="AA104" i="12"/>
  <c r="Z104" i="12"/>
  <c r="Z95" i="12"/>
  <c r="AA95" i="12"/>
  <c r="Z50" i="12"/>
  <c r="AA50" i="12"/>
  <c r="Z173" i="12"/>
  <c r="AA173" i="12"/>
  <c r="AA145" i="12"/>
  <c r="Z145" i="12"/>
  <c r="AI21" i="12"/>
  <c r="AJ21" i="12" s="1"/>
  <c r="AP21" i="12" s="1"/>
  <c r="AX21" i="12"/>
  <c r="S6" i="12"/>
  <c r="S10" i="12"/>
  <c r="AI15" i="12"/>
  <c r="AJ15" i="12" s="1"/>
  <c r="AP15" i="12" s="1"/>
  <c r="AX15" i="12"/>
  <c r="Z146" i="12"/>
  <c r="AA146" i="12"/>
  <c r="AI10" i="12"/>
  <c r="AJ10" i="12" s="1"/>
  <c r="AP10" i="12" s="1"/>
  <c r="AX10" i="12"/>
  <c r="R23" i="12"/>
  <c r="V23" i="12"/>
  <c r="W23" i="12" s="1"/>
  <c r="Z228" i="12"/>
  <c r="AA228" i="12"/>
  <c r="AI12" i="12"/>
  <c r="AJ12" i="12" s="1"/>
  <c r="AP12" i="12" s="1"/>
  <c r="AX12" i="12"/>
  <c r="AA225" i="12"/>
  <c r="Z225" i="12"/>
  <c r="AQ154" i="12"/>
  <c r="AR154" i="12" s="1"/>
  <c r="BC8" i="12"/>
  <c r="AA43" i="12"/>
  <c r="Z43" i="12"/>
  <c r="AQ89" i="12"/>
  <c r="AR89" i="12" s="1"/>
  <c r="AB191" i="12"/>
  <c r="AC191" i="12"/>
  <c r="AB57" i="12"/>
  <c r="AC57" i="12"/>
  <c r="AA82" i="12"/>
  <c r="Z82" i="12"/>
  <c r="Z155" i="12"/>
  <c r="AA155" i="12"/>
  <c r="Z178" i="12"/>
  <c r="AA178" i="12"/>
  <c r="AA143" i="12"/>
  <c r="Z143" i="12"/>
  <c r="AA118" i="12"/>
  <c r="Z118" i="12"/>
  <c r="Z161" i="12"/>
  <c r="AA161" i="12"/>
  <c r="AA89" i="12"/>
  <c r="Z89" i="12"/>
  <c r="AA141" i="12"/>
  <c r="Z141" i="12"/>
  <c r="AB157" i="12"/>
  <c r="AC157" i="12"/>
  <c r="AQ184" i="12"/>
  <c r="AR184" i="12" s="1"/>
  <c r="S23" i="12"/>
  <c r="S15" i="12"/>
  <c r="AQ60" i="12" l="1"/>
  <c r="AR60" i="12" s="1"/>
  <c r="AQ144" i="12"/>
  <c r="AR144" i="12" s="1"/>
  <c r="AQ205" i="12"/>
  <c r="AR205" i="12" s="1"/>
  <c r="AT205" i="12" s="1"/>
  <c r="AQ93" i="12"/>
  <c r="AR93" i="12" s="1"/>
  <c r="AQ78" i="12"/>
  <c r="AR78" i="12" s="1"/>
  <c r="AQ195" i="12"/>
  <c r="AR195" i="12" s="1"/>
  <c r="AT195" i="12" s="1"/>
  <c r="AQ125" i="12"/>
  <c r="AR125" i="12" s="1"/>
  <c r="AT125" i="12" s="1"/>
  <c r="AQ91" i="12"/>
  <c r="AR91" i="12" s="1"/>
  <c r="AT91" i="12" s="1"/>
  <c r="AQ176" i="12"/>
  <c r="AR176" i="12" s="1"/>
  <c r="AT176" i="12" s="1"/>
  <c r="AQ47" i="12"/>
  <c r="AR47" i="12" s="1"/>
  <c r="AS47" i="12" s="1"/>
  <c r="AQ197" i="12"/>
  <c r="AR197" i="12" s="1"/>
  <c r="AS197" i="12" s="1"/>
  <c r="AQ104" i="12"/>
  <c r="AR104" i="12" s="1"/>
  <c r="AS104" i="12" s="1"/>
  <c r="AQ103" i="12"/>
  <c r="AR103" i="12" s="1"/>
  <c r="AT103" i="12" s="1"/>
  <c r="AQ42" i="12"/>
  <c r="AR42" i="12" s="1"/>
  <c r="AS42" i="12" s="1"/>
  <c r="AQ67" i="12"/>
  <c r="AR67" i="12" s="1"/>
  <c r="AT67" i="12" s="1"/>
  <c r="AQ129" i="12"/>
  <c r="AR129" i="12" s="1"/>
  <c r="AT129" i="12" s="1"/>
  <c r="AQ201" i="12"/>
  <c r="AR201" i="12" s="1"/>
  <c r="AS201" i="12" s="1"/>
  <c r="AQ219" i="12"/>
  <c r="AR219" i="12" s="1"/>
  <c r="AT219" i="12" s="1"/>
  <c r="AQ69" i="12"/>
  <c r="AR69" i="12" s="1"/>
  <c r="AS69" i="12" s="1"/>
  <c r="AQ109" i="12"/>
  <c r="AR109" i="12" s="1"/>
  <c r="AS109" i="12" s="1"/>
  <c r="AQ46" i="12"/>
  <c r="AR46" i="12" s="1"/>
  <c r="AS46" i="12" s="1"/>
  <c r="AQ177" i="12"/>
  <c r="AR177" i="12" s="1"/>
  <c r="AT177" i="12" s="1"/>
  <c r="AQ137" i="12"/>
  <c r="AR137" i="12" s="1"/>
  <c r="AT137" i="12" s="1"/>
  <c r="AQ169" i="12"/>
  <c r="AR169" i="12" s="1"/>
  <c r="AS169" i="12" s="1"/>
  <c r="AQ174" i="12"/>
  <c r="AR174" i="12" s="1"/>
  <c r="AT174" i="12" s="1"/>
  <c r="AQ40" i="12"/>
  <c r="AR40" i="12" s="1"/>
  <c r="AT40" i="12" s="1"/>
  <c r="AQ162" i="12"/>
  <c r="AR162" i="12" s="1"/>
  <c r="AQ58" i="12"/>
  <c r="AR58" i="12" s="1"/>
  <c r="AQ148" i="12"/>
  <c r="AR148" i="12" s="1"/>
  <c r="AT148" i="12" s="1"/>
  <c r="AQ95" i="12"/>
  <c r="AR95" i="12" s="1"/>
  <c r="AT95" i="12" s="1"/>
  <c r="AD32" i="12"/>
  <c r="AD14" i="12"/>
  <c r="AQ126" i="12"/>
  <c r="AR126" i="12" s="1"/>
  <c r="AT126" i="12" s="1"/>
  <c r="AQ172" i="12"/>
  <c r="AR172" i="12" s="1"/>
  <c r="AT172" i="12" s="1"/>
  <c r="AQ59" i="12"/>
  <c r="AR59" i="12" s="1"/>
  <c r="AT59" i="12" s="1"/>
  <c r="AQ222" i="12"/>
  <c r="AR222" i="12" s="1"/>
  <c r="AT222" i="12" s="1"/>
  <c r="AQ141" i="12"/>
  <c r="AR141" i="12" s="1"/>
  <c r="AT141" i="12" s="1"/>
  <c r="AQ62" i="12"/>
  <c r="AR62" i="12" s="1"/>
  <c r="AT62" i="12" s="1"/>
  <c r="AQ38" i="12"/>
  <c r="AR38" i="12" s="1"/>
  <c r="AS38" i="12" s="1"/>
  <c r="AQ70" i="12"/>
  <c r="AR70" i="12" s="1"/>
  <c r="AS70" i="12" s="1"/>
  <c r="AQ94" i="12"/>
  <c r="AR94" i="12" s="1"/>
  <c r="AS94" i="12" s="1"/>
  <c r="AQ101" i="12"/>
  <c r="AR101" i="12" s="1"/>
  <c r="AT101" i="12" s="1"/>
  <c r="AQ39" i="12"/>
  <c r="AR39" i="12" s="1"/>
  <c r="AS39" i="12" s="1"/>
  <c r="AQ213" i="12"/>
  <c r="AR213" i="12" s="1"/>
  <c r="AS213" i="12" s="1"/>
  <c r="AQ185" i="12"/>
  <c r="AR185" i="12" s="1"/>
  <c r="AS185" i="12" s="1"/>
  <c r="AQ146" i="12"/>
  <c r="AR146" i="12" s="1"/>
  <c r="AS146" i="12" s="1"/>
  <c r="AQ87" i="12"/>
  <c r="AR87" i="12" s="1"/>
  <c r="AT87" i="12" s="1"/>
  <c r="AQ98" i="12"/>
  <c r="AR98" i="12" s="1"/>
  <c r="AT98" i="12" s="1"/>
  <c r="AQ186" i="12"/>
  <c r="AR186" i="12" s="1"/>
  <c r="AS186" i="12" s="1"/>
  <c r="AQ182" i="12"/>
  <c r="AR182" i="12" s="1"/>
  <c r="AS182" i="12" s="1"/>
  <c r="AQ43" i="12"/>
  <c r="AR43" i="12" s="1"/>
  <c r="AT43" i="12" s="1"/>
  <c r="AQ191" i="12"/>
  <c r="AR191" i="12" s="1"/>
  <c r="AT191" i="12" s="1"/>
  <c r="AQ145" i="12"/>
  <c r="AR145" i="12" s="1"/>
  <c r="AT145" i="12" s="1"/>
  <c r="AQ77" i="12"/>
  <c r="AR77" i="12" s="1"/>
  <c r="AT77" i="12" s="1"/>
  <c r="AQ138" i="12"/>
  <c r="AR138" i="12" s="1"/>
  <c r="AS138" i="12" s="1"/>
  <c r="AQ66" i="12"/>
  <c r="AR66" i="12" s="1"/>
  <c r="AT66" i="12" s="1"/>
  <c r="AQ149" i="12"/>
  <c r="AR149" i="12" s="1"/>
  <c r="AT149" i="12" s="1"/>
  <c r="AQ194" i="12"/>
  <c r="AR194" i="12" s="1"/>
  <c r="AT194" i="12" s="1"/>
  <c r="AQ105" i="12"/>
  <c r="AR105" i="12" s="1"/>
  <c r="AT105" i="12" s="1"/>
  <c r="AQ206" i="12"/>
  <c r="AR206" i="12" s="1"/>
  <c r="AS206" i="12" s="1"/>
  <c r="AQ79" i="12"/>
  <c r="AR79" i="12" s="1"/>
  <c r="AT79" i="12" s="1"/>
  <c r="AQ51" i="12"/>
  <c r="AR51" i="12" s="1"/>
  <c r="AT51" i="12" s="1"/>
  <c r="AQ188" i="12"/>
  <c r="AR188" i="12" s="1"/>
  <c r="AS188" i="12" s="1"/>
  <c r="AQ41" i="12"/>
  <c r="AR41" i="12" s="1"/>
  <c r="AT41" i="12" s="1"/>
  <c r="AQ49" i="12"/>
  <c r="AR49" i="12" s="1"/>
  <c r="AT49" i="12" s="1"/>
  <c r="AQ158" i="12"/>
  <c r="AR158" i="12" s="1"/>
  <c r="AS158" i="12" s="1"/>
  <c r="AQ157" i="12"/>
  <c r="AR157" i="12" s="1"/>
  <c r="AT157" i="12" s="1"/>
  <c r="AQ117" i="12"/>
  <c r="AR117" i="12" s="1"/>
  <c r="AT117" i="12" s="1"/>
  <c r="AQ173" i="12"/>
  <c r="AR173" i="12" s="1"/>
  <c r="AT173" i="12" s="1"/>
  <c r="AQ110" i="12"/>
  <c r="AR110" i="12" s="1"/>
  <c r="AT110" i="12" s="1"/>
  <c r="AK4" i="12"/>
  <c r="AL4" i="12" s="1"/>
  <c r="AM4" i="12" s="1"/>
  <c r="AN4" i="12" s="1"/>
  <c r="AO4" i="12" s="1"/>
  <c r="AQ156" i="12"/>
  <c r="AR156" i="12" s="1"/>
  <c r="AQ221" i="12"/>
  <c r="AR221" i="12" s="1"/>
  <c r="AQ209" i="12"/>
  <c r="AR209" i="12" s="1"/>
  <c r="AT209" i="12" s="1"/>
  <c r="AQ211" i="12"/>
  <c r="AR211" i="12" s="1"/>
  <c r="AT211" i="12" s="1"/>
  <c r="AQ192" i="12"/>
  <c r="AR192" i="12" s="1"/>
  <c r="AT192" i="12" s="1"/>
  <c r="AQ167" i="12"/>
  <c r="AR167" i="12" s="1"/>
  <c r="AT167" i="12" s="1"/>
  <c r="AQ227" i="12"/>
  <c r="AR227" i="12" s="1"/>
  <c r="AS227" i="12" s="1"/>
  <c r="AQ80" i="12"/>
  <c r="AR80" i="12" s="1"/>
  <c r="AT80" i="12" s="1"/>
  <c r="AQ64" i="12"/>
  <c r="AR64" i="12" s="1"/>
  <c r="AT64" i="12" s="1"/>
  <c r="AQ207" i="12"/>
  <c r="AR207" i="12" s="1"/>
  <c r="AS207" i="12" s="1"/>
  <c r="AQ147" i="12"/>
  <c r="AR147" i="12" s="1"/>
  <c r="AT147" i="12" s="1"/>
  <c r="AQ204" i="12"/>
  <c r="AR204" i="12" s="1"/>
  <c r="AT204" i="12" s="1"/>
  <c r="AQ132" i="12"/>
  <c r="AR132" i="12" s="1"/>
  <c r="AT132" i="12" s="1"/>
  <c r="AQ190" i="12"/>
  <c r="AR190" i="12" s="1"/>
  <c r="AT190" i="12" s="1"/>
  <c r="AQ179" i="12"/>
  <c r="AR179" i="12" s="1"/>
  <c r="AT179" i="12" s="1"/>
  <c r="AQ71" i="12"/>
  <c r="AR71" i="12" s="1"/>
  <c r="AT71" i="12" s="1"/>
  <c r="AQ196" i="12"/>
  <c r="AR196" i="12" s="1"/>
  <c r="AS196" i="12" s="1"/>
  <c r="AQ152" i="12"/>
  <c r="AR152" i="12" s="1"/>
  <c r="AT152" i="12" s="1"/>
  <c r="AQ44" i="12"/>
  <c r="AR44" i="12" s="1"/>
  <c r="AS44" i="12" s="1"/>
  <c r="AQ45" i="12"/>
  <c r="AR45" i="12" s="1"/>
  <c r="AT45" i="12" s="1"/>
  <c r="AQ55" i="12"/>
  <c r="AR55" i="12" s="1"/>
  <c r="AS55" i="12" s="1"/>
  <c r="AQ85" i="12"/>
  <c r="AR85" i="12" s="1"/>
  <c r="AT85" i="12" s="1"/>
  <c r="AQ229" i="12"/>
  <c r="AR229" i="12" s="1"/>
  <c r="AT229" i="12" s="1"/>
  <c r="AQ82" i="12"/>
  <c r="AR82" i="12" s="1"/>
  <c r="AS82" i="12" s="1"/>
  <c r="AQ50" i="12"/>
  <c r="AR50" i="12" s="1"/>
  <c r="AT50" i="12" s="1"/>
  <c r="AQ165" i="12"/>
  <c r="AR165" i="12" s="1"/>
  <c r="AS165" i="12" s="1"/>
  <c r="AQ208" i="12"/>
  <c r="AR208" i="12" s="1"/>
  <c r="AT208" i="12" s="1"/>
  <c r="AQ199" i="12"/>
  <c r="AR199" i="12" s="1"/>
  <c r="AS199" i="12" s="1"/>
  <c r="AQ100" i="12"/>
  <c r="AR100" i="12" s="1"/>
  <c r="AT100" i="12" s="1"/>
  <c r="AQ122" i="12"/>
  <c r="AR122" i="12" s="1"/>
  <c r="AS122" i="12" s="1"/>
  <c r="AQ72" i="12"/>
  <c r="AR72" i="12" s="1"/>
  <c r="AS72" i="12" s="1"/>
  <c r="AQ220" i="12"/>
  <c r="AR220" i="12" s="1"/>
  <c r="AS220" i="12" s="1"/>
  <c r="AQ53" i="12"/>
  <c r="AR53" i="12" s="1"/>
  <c r="AS53" i="12" s="1"/>
  <c r="AQ74" i="12"/>
  <c r="AR74" i="12" s="1"/>
  <c r="AT74" i="12" s="1"/>
  <c r="AQ113" i="12"/>
  <c r="AR113" i="12" s="1"/>
  <c r="AS113" i="12" s="1"/>
  <c r="AQ37" i="12"/>
  <c r="AR37" i="12" s="1"/>
  <c r="AS37" i="12" s="1"/>
  <c r="AQ202" i="12"/>
  <c r="AR202" i="12" s="1"/>
  <c r="AT202" i="12" s="1"/>
  <c r="AQ121" i="12"/>
  <c r="AR121" i="12" s="1"/>
  <c r="AS121" i="12" s="1"/>
  <c r="AQ75" i="12"/>
  <c r="AR75" i="12" s="1"/>
  <c r="AS75" i="12" s="1"/>
  <c r="AQ118" i="12"/>
  <c r="AR118" i="12" s="1"/>
  <c r="AT118" i="12" s="1"/>
  <c r="AQ200" i="12"/>
  <c r="AR200" i="12" s="1"/>
  <c r="AT200" i="12" s="1"/>
  <c r="AQ171" i="12"/>
  <c r="AR171" i="12" s="1"/>
  <c r="AT171" i="12" s="1"/>
  <c r="AQ111" i="12"/>
  <c r="AR111" i="12" s="1"/>
  <c r="AT111" i="12" s="1"/>
  <c r="AQ135" i="12"/>
  <c r="AR135" i="12" s="1"/>
  <c r="AT135" i="12" s="1"/>
  <c r="AQ52" i="12"/>
  <c r="AR52" i="12" s="1"/>
  <c r="AT52" i="12" s="1"/>
  <c r="AQ128" i="12"/>
  <c r="AR128" i="12" s="1"/>
  <c r="AT128" i="12" s="1"/>
  <c r="AQ160" i="12"/>
  <c r="AR160" i="12" s="1"/>
  <c r="AS160" i="12" s="1"/>
  <c r="AQ180" i="12"/>
  <c r="AR180" i="12" s="1"/>
  <c r="AS180" i="12" s="1"/>
  <c r="AQ131" i="12"/>
  <c r="AR131" i="12" s="1"/>
  <c r="AT131" i="12" s="1"/>
  <c r="AQ63" i="12"/>
  <c r="AR63" i="12" s="1"/>
  <c r="AT63" i="12" s="1"/>
  <c r="AQ115" i="12"/>
  <c r="AR115" i="12" s="1"/>
  <c r="AS115" i="12" s="1"/>
  <c r="AQ217" i="12"/>
  <c r="AR217" i="12" s="1"/>
  <c r="AT217" i="12" s="1"/>
  <c r="AQ203" i="12"/>
  <c r="AR203" i="12" s="1"/>
  <c r="AS203" i="12" s="1"/>
  <c r="AQ48" i="12"/>
  <c r="AR48" i="12" s="1"/>
  <c r="AT48" i="12" s="1"/>
  <c r="AQ81" i="12"/>
  <c r="AR81" i="12" s="1"/>
  <c r="AS81" i="12" s="1"/>
  <c r="AQ198" i="12"/>
  <c r="AR198" i="12" s="1"/>
  <c r="AS198" i="12" s="1"/>
  <c r="AQ223" i="12"/>
  <c r="AR223" i="12" s="1"/>
  <c r="AS223" i="12" s="1"/>
  <c r="AQ187" i="12"/>
  <c r="AR187" i="12" s="1"/>
  <c r="AT187" i="12" s="1"/>
  <c r="AQ130" i="12"/>
  <c r="AR130" i="12" s="1"/>
  <c r="AT130" i="12" s="1"/>
  <c r="AQ97" i="12"/>
  <c r="AR97" i="12" s="1"/>
  <c r="AS97" i="12" s="1"/>
  <c r="AQ175" i="12"/>
  <c r="AR175" i="12" s="1"/>
  <c r="AT175" i="12" s="1"/>
  <c r="AQ214" i="12"/>
  <c r="AR214" i="12" s="1"/>
  <c r="AS214" i="12" s="1"/>
  <c r="AQ136" i="12"/>
  <c r="AR136" i="12" s="1"/>
  <c r="AT136" i="12" s="1"/>
  <c r="AQ224" i="12"/>
  <c r="AR224" i="12" s="1"/>
  <c r="AT224" i="12" s="1"/>
  <c r="AQ35" i="12"/>
  <c r="AR35" i="12" s="1"/>
  <c r="AT35" i="12" s="1"/>
  <c r="AQ218" i="12"/>
  <c r="AR218" i="12" s="1"/>
  <c r="AT218" i="12" s="1"/>
  <c r="AQ92" i="12"/>
  <c r="AR92" i="12" s="1"/>
  <c r="AT92" i="12" s="1"/>
  <c r="AQ36" i="12"/>
  <c r="AR36" i="12" s="1"/>
  <c r="AS36" i="12" s="1"/>
  <c r="AQ108" i="12"/>
  <c r="AR108" i="12" s="1"/>
  <c r="AT108" i="12" s="1"/>
  <c r="AQ151" i="12"/>
  <c r="AR151" i="12" s="1"/>
  <c r="AS151" i="12" s="1"/>
  <c r="AQ181" i="12"/>
  <c r="AR181" i="12" s="1"/>
  <c r="AS181" i="12" s="1"/>
  <c r="AQ139" i="12"/>
  <c r="AR139" i="12" s="1"/>
  <c r="AT139" i="12" s="1"/>
  <c r="AQ210" i="12"/>
  <c r="AR210" i="12" s="1"/>
  <c r="AS210" i="12" s="1"/>
  <c r="AQ163" i="12"/>
  <c r="AR163" i="12" s="1"/>
  <c r="AS163" i="12" s="1"/>
  <c r="AQ106" i="12"/>
  <c r="AR106" i="12" s="1"/>
  <c r="AT106" i="12" s="1"/>
  <c r="AQ183" i="12"/>
  <c r="AR183" i="12" s="1"/>
  <c r="AS183" i="12" s="1"/>
  <c r="AQ102" i="12"/>
  <c r="AR102" i="12" s="1"/>
  <c r="AS102" i="12" s="1"/>
  <c r="AQ178" i="12"/>
  <c r="AR178" i="12" s="1"/>
  <c r="AT178" i="12" s="1"/>
  <c r="AQ212" i="12"/>
  <c r="AR212" i="12" s="1"/>
  <c r="AT212" i="12" s="1"/>
  <c r="AQ34" i="12"/>
  <c r="AR34" i="12" s="1"/>
  <c r="AS34" i="12" s="1"/>
  <c r="AQ166" i="12"/>
  <c r="AR166" i="12" s="1"/>
  <c r="AT166" i="12" s="1"/>
  <c r="AQ228" i="12"/>
  <c r="AR228" i="12" s="1"/>
  <c r="AT228" i="12" s="1"/>
  <c r="AQ112" i="12"/>
  <c r="AR112" i="12" s="1"/>
  <c r="AT112" i="12" s="1"/>
  <c r="AQ84" i="12"/>
  <c r="AR84" i="12" s="1"/>
  <c r="AT84" i="12" s="1"/>
  <c r="AQ61" i="12"/>
  <c r="AR61" i="12" s="1"/>
  <c r="AS61" i="12" s="1"/>
  <c r="AQ123" i="12"/>
  <c r="AR123" i="12" s="1"/>
  <c r="AS123" i="12" s="1"/>
  <c r="AQ76" i="12"/>
  <c r="AR76" i="12" s="1"/>
  <c r="AT76" i="12" s="1"/>
  <c r="AQ33" i="12"/>
  <c r="AR33" i="12" s="1"/>
  <c r="AT33" i="12" s="1"/>
  <c r="AQ143" i="12"/>
  <c r="AR143" i="12" s="1"/>
  <c r="AT143" i="12" s="1"/>
  <c r="AQ159" i="12"/>
  <c r="AR159" i="12" s="1"/>
  <c r="AT159" i="12" s="1"/>
  <c r="AQ120" i="12"/>
  <c r="AR120" i="12" s="1"/>
  <c r="AT120" i="12" s="1"/>
  <c r="AQ150" i="12"/>
  <c r="AR150" i="12" s="1"/>
  <c r="AS150" i="12" s="1"/>
  <c r="AQ83" i="12"/>
  <c r="AR83" i="12" s="1"/>
  <c r="AT83" i="12" s="1"/>
  <c r="AQ225" i="12"/>
  <c r="AR225" i="12" s="1"/>
  <c r="AT225" i="12" s="1"/>
  <c r="AQ153" i="12"/>
  <c r="AR153" i="12" s="1"/>
  <c r="AS153" i="12" s="1"/>
  <c r="AQ193" i="12"/>
  <c r="AR193" i="12" s="1"/>
  <c r="AT193" i="12" s="1"/>
  <c r="AQ127" i="12"/>
  <c r="AR127" i="12" s="1"/>
  <c r="AT127" i="12" s="1"/>
  <c r="AQ119" i="12"/>
  <c r="AR119" i="12" s="1"/>
  <c r="AT119" i="12" s="1"/>
  <c r="AQ99" i="12"/>
  <c r="AR99" i="12" s="1"/>
  <c r="AS99" i="12" s="1"/>
  <c r="AQ170" i="12"/>
  <c r="AR170" i="12" s="1"/>
  <c r="AS170" i="12" s="1"/>
  <c r="AQ155" i="12"/>
  <c r="AR155" i="12" s="1"/>
  <c r="AT155" i="12" s="1"/>
  <c r="AQ65" i="12"/>
  <c r="AR65" i="12" s="1"/>
  <c r="AT65" i="12" s="1"/>
  <c r="AQ107" i="12"/>
  <c r="AR107" i="12" s="1"/>
  <c r="AT107" i="12" s="1"/>
  <c r="AQ168" i="12"/>
  <c r="AR168" i="12" s="1"/>
  <c r="AT168" i="12" s="1"/>
  <c r="AQ226" i="12"/>
  <c r="AR226" i="12" s="1"/>
  <c r="AS226" i="12" s="1"/>
  <c r="AQ124" i="12"/>
  <c r="AR124" i="12" s="1"/>
  <c r="AS124" i="12" s="1"/>
  <c r="AQ215" i="12"/>
  <c r="AR215" i="12" s="1"/>
  <c r="AS215" i="12" s="1"/>
  <c r="AQ133" i="12"/>
  <c r="AR133" i="12" s="1"/>
  <c r="AT133" i="12" s="1"/>
  <c r="AQ54" i="12"/>
  <c r="AR54" i="12" s="1"/>
  <c r="AT54" i="12" s="1"/>
  <c r="AQ134" i="12"/>
  <c r="AR134" i="12" s="1"/>
  <c r="AT134" i="12" s="1"/>
  <c r="AQ189" i="12"/>
  <c r="AR189" i="12" s="1"/>
  <c r="AT189" i="12" s="1"/>
  <c r="AQ57" i="12"/>
  <c r="AR57" i="12" s="1"/>
  <c r="AT57" i="12" s="1"/>
  <c r="AQ90" i="12"/>
  <c r="AR90" i="12" s="1"/>
  <c r="AS90" i="12" s="1"/>
  <c r="AC20" i="12"/>
  <c r="AD20" i="12" s="1"/>
  <c r="AB141" i="12"/>
  <c r="AC141" i="12"/>
  <c r="AD141" i="12" s="1"/>
  <c r="AB87" i="12"/>
  <c r="AC87" i="12"/>
  <c r="AD87" i="12" s="1"/>
  <c r="AB210" i="12"/>
  <c r="AC210" i="12"/>
  <c r="AD210" i="12" s="1"/>
  <c r="AB127" i="12"/>
  <c r="AC127" i="12"/>
  <c r="AB97" i="12"/>
  <c r="AC97" i="12"/>
  <c r="AB109" i="12"/>
  <c r="AC109" i="12"/>
  <c r="AT56" i="12"/>
  <c r="AS56" i="12"/>
  <c r="AB228" i="12"/>
  <c r="AC228" i="12"/>
  <c r="AD228" i="12" s="1"/>
  <c r="AT144" i="12"/>
  <c r="AS144" i="12"/>
  <c r="AB217" i="12"/>
  <c r="AC217" i="12"/>
  <c r="AD217" i="12" s="1"/>
  <c r="AD138" i="12"/>
  <c r="AB135" i="12"/>
  <c r="AC135" i="12"/>
  <c r="AD135" i="12" s="1"/>
  <c r="AB100" i="12"/>
  <c r="AC100" i="12"/>
  <c r="AD100" i="12" s="1"/>
  <c r="AB136" i="12"/>
  <c r="AC136" i="12"/>
  <c r="AD136" i="12" s="1"/>
  <c r="AB212" i="12"/>
  <c r="AC212" i="12"/>
  <c r="AD212" i="12" s="1"/>
  <c r="AB180" i="12"/>
  <c r="AC180" i="12"/>
  <c r="AD180" i="12" s="1"/>
  <c r="AB211" i="12"/>
  <c r="AC211" i="12"/>
  <c r="AD211" i="12" s="1"/>
  <c r="AA12" i="12"/>
  <c r="AB12" i="12" s="1"/>
  <c r="Z12" i="12"/>
  <c r="AB202" i="12"/>
  <c r="AC202" i="12"/>
  <c r="AD202" i="12" s="1"/>
  <c r="AB47" i="12"/>
  <c r="AC47" i="12"/>
  <c r="AD47" i="12" s="1"/>
  <c r="AB137" i="12"/>
  <c r="AC137" i="12"/>
  <c r="AD137" i="12" s="1"/>
  <c r="AB63" i="12"/>
  <c r="AC63" i="12"/>
  <c r="AD63" i="12" s="1"/>
  <c r="AB200" i="12"/>
  <c r="AC200" i="12"/>
  <c r="AD200" i="12" s="1"/>
  <c r="AB185" i="12"/>
  <c r="AC185" i="12"/>
  <c r="AD185" i="12" s="1"/>
  <c r="AB152" i="12"/>
  <c r="AC152" i="12"/>
  <c r="Z6" i="12"/>
  <c r="AA6" i="12"/>
  <c r="AB6" i="12" s="1"/>
  <c r="AT89" i="12"/>
  <c r="AS89" i="12"/>
  <c r="AB167" i="12"/>
  <c r="AC167" i="12"/>
  <c r="AD167" i="12" s="1"/>
  <c r="AB147" i="12"/>
  <c r="AC147" i="12"/>
  <c r="AB166" i="12"/>
  <c r="AC166" i="12"/>
  <c r="AB215" i="12"/>
  <c r="AC215" i="12"/>
  <c r="Z15" i="12"/>
  <c r="AA15" i="12"/>
  <c r="AB15" i="12" s="1"/>
  <c r="AB44" i="12"/>
  <c r="AC44" i="12"/>
  <c r="AB227" i="12"/>
  <c r="AC227" i="12"/>
  <c r="AB89" i="12"/>
  <c r="AC89" i="12"/>
  <c r="AD89" i="12" s="1"/>
  <c r="AT60" i="12"/>
  <c r="AS60" i="12"/>
  <c r="AB196" i="12"/>
  <c r="AC196" i="12"/>
  <c r="AD196" i="12" s="1"/>
  <c r="AB120" i="12"/>
  <c r="AC120" i="12"/>
  <c r="AD120" i="12" s="1"/>
  <c r="AB84" i="12"/>
  <c r="AC84" i="12"/>
  <c r="AD84" i="12" s="1"/>
  <c r="AB36" i="12"/>
  <c r="AC36" i="12"/>
  <c r="AD36" i="12" s="1"/>
  <c r="AB113" i="12"/>
  <c r="AC113" i="12"/>
  <c r="AD113" i="12" s="1"/>
  <c r="AB108" i="12"/>
  <c r="AC108" i="12"/>
  <c r="AD108" i="12" s="1"/>
  <c r="AA17" i="12"/>
  <c r="AB17" i="12" s="1"/>
  <c r="Z17" i="12"/>
  <c r="AB67" i="12"/>
  <c r="AC67" i="12"/>
  <c r="AD67" i="12" s="1"/>
  <c r="AB186" i="12"/>
  <c r="AC186" i="12"/>
  <c r="AD186" i="12" s="1"/>
  <c r="N12" i="13"/>
  <c r="AB40" i="12"/>
  <c r="AC40" i="12"/>
  <c r="AD40" i="12" s="1"/>
  <c r="AT86" i="12"/>
  <c r="AS86" i="12"/>
  <c r="AT140" i="12"/>
  <c r="AS140" i="12"/>
  <c r="AC5" i="12"/>
  <c r="AD5" i="12" s="1"/>
  <c r="AB64" i="12"/>
  <c r="AC64" i="12"/>
  <c r="AD64" i="12" s="1"/>
  <c r="AB155" i="12"/>
  <c r="AC155" i="12"/>
  <c r="AD155" i="12" s="1"/>
  <c r="AB192" i="12"/>
  <c r="AC192" i="12"/>
  <c r="AD192" i="12" s="1"/>
  <c r="AB72" i="12"/>
  <c r="AC72" i="12"/>
  <c r="AD72" i="12" s="1"/>
  <c r="AT58" i="12"/>
  <c r="AS58" i="12"/>
  <c r="AT116" i="12"/>
  <c r="AS116" i="12"/>
  <c r="AB60" i="12"/>
  <c r="AC60" i="12"/>
  <c r="AD60" i="12" s="1"/>
  <c r="AB116" i="12"/>
  <c r="AC116" i="12"/>
  <c r="AD116" i="12" s="1"/>
  <c r="AB174" i="12"/>
  <c r="AC174" i="12"/>
  <c r="AB199" i="12"/>
  <c r="AC199" i="12"/>
  <c r="AB78" i="12"/>
  <c r="AC78" i="12"/>
  <c r="AD78" i="12" s="1"/>
  <c r="AB111" i="12"/>
  <c r="AC111" i="12"/>
  <c r="AD111" i="12" s="1"/>
  <c r="AS129" i="12"/>
  <c r="AB82" i="12"/>
  <c r="AC82" i="12"/>
  <c r="AB43" i="12"/>
  <c r="AC43" i="12"/>
  <c r="AD43" i="12" s="1"/>
  <c r="AB58" i="12"/>
  <c r="AC58" i="12"/>
  <c r="AD58" i="12" s="1"/>
  <c r="AB153" i="12"/>
  <c r="AC153" i="12"/>
  <c r="AB161" i="12"/>
  <c r="AC161" i="12"/>
  <c r="AB145" i="12"/>
  <c r="AC145" i="12"/>
  <c r="AD145" i="12" s="1"/>
  <c r="AB110" i="12"/>
  <c r="AC110" i="12"/>
  <c r="AB128" i="12"/>
  <c r="AC128" i="12"/>
  <c r="AD229" i="12"/>
  <c r="AB134" i="12"/>
  <c r="AC134" i="12"/>
  <c r="AD134" i="12" s="1"/>
  <c r="C17" i="13"/>
  <c r="O12" i="13"/>
  <c r="AS95" i="12"/>
  <c r="AB132" i="12"/>
  <c r="AC132" i="12"/>
  <c r="AD132" i="12" s="1"/>
  <c r="AB53" i="12"/>
  <c r="AC53" i="12"/>
  <c r="AD53" i="12" s="1"/>
  <c r="AB123" i="12"/>
  <c r="AC123" i="12"/>
  <c r="AD123" i="12" s="1"/>
  <c r="AB125" i="12"/>
  <c r="AC125" i="12"/>
  <c r="AD125" i="12" s="1"/>
  <c r="AB121" i="12"/>
  <c r="AC121" i="12"/>
  <c r="AD121" i="12" s="1"/>
  <c r="AB139" i="12"/>
  <c r="AC139" i="12"/>
  <c r="AP4" i="12"/>
  <c r="Z9" i="12"/>
  <c r="AA9" i="12"/>
  <c r="AB9" i="12" s="1"/>
  <c r="AB92" i="12"/>
  <c r="AC92" i="12"/>
  <c r="AB193" i="12"/>
  <c r="AC193" i="12"/>
  <c r="AD193" i="12" s="1"/>
  <c r="AB201" i="12"/>
  <c r="AC201" i="12"/>
  <c r="AD106" i="12"/>
  <c r="AB112" i="12"/>
  <c r="AC112" i="12"/>
  <c r="AD112" i="12" s="1"/>
  <c r="AC13" i="12"/>
  <c r="AD13" i="12" s="1"/>
  <c r="AB99" i="12"/>
  <c r="AC99" i="12"/>
  <c r="AT162" i="12"/>
  <c r="AS162" i="12"/>
  <c r="AB207" i="12"/>
  <c r="AC207" i="12"/>
  <c r="AD207" i="12" s="1"/>
  <c r="AB213" i="12"/>
  <c r="AC213" i="12"/>
  <c r="AD213" i="12" s="1"/>
  <c r="AB156" i="12"/>
  <c r="AC156" i="12"/>
  <c r="AD156" i="12" s="1"/>
  <c r="AT161" i="12"/>
  <c r="AS161" i="12"/>
  <c r="AB224" i="12"/>
  <c r="AC224" i="12"/>
  <c r="AD224" i="12" s="1"/>
  <c r="AB80" i="12"/>
  <c r="AC80" i="12"/>
  <c r="AD80" i="12" s="1"/>
  <c r="AB70" i="12"/>
  <c r="AC70" i="12"/>
  <c r="AD70" i="12" s="1"/>
  <c r="AS68" i="12"/>
  <c r="AT68" i="12"/>
  <c r="AB130" i="12"/>
  <c r="AC130" i="12"/>
  <c r="AD130" i="12" s="1"/>
  <c r="AB81" i="12"/>
  <c r="AC81" i="12"/>
  <c r="AD81" i="12" s="1"/>
  <c r="AB190" i="12"/>
  <c r="AC190" i="12"/>
  <c r="AD190" i="12" s="1"/>
  <c r="AT88" i="12"/>
  <c r="AS88" i="12"/>
  <c r="AB140" i="12"/>
  <c r="AC140" i="12"/>
  <c r="AD140" i="12" s="1"/>
  <c r="AS73" i="12"/>
  <c r="AT73" i="12"/>
  <c r="AB223" i="12"/>
  <c r="AC223" i="12"/>
  <c r="AD223" i="12" s="1"/>
  <c r="AB129" i="12"/>
  <c r="AC129" i="12"/>
  <c r="AD129" i="12" s="1"/>
  <c r="AB203" i="12"/>
  <c r="AC203" i="12"/>
  <c r="AD203" i="12" s="1"/>
  <c r="AA23" i="12"/>
  <c r="AB23" i="12" s="1"/>
  <c r="Z23" i="12"/>
  <c r="AA18" i="12"/>
  <c r="AB18" i="12" s="1"/>
  <c r="Z18" i="12"/>
  <c r="AB181" i="12"/>
  <c r="AC181" i="12"/>
  <c r="AD181" i="12" s="1"/>
  <c r="AB133" i="12"/>
  <c r="AC133" i="12"/>
  <c r="AD133" i="12" s="1"/>
  <c r="AB142" i="12"/>
  <c r="AC142" i="12"/>
  <c r="AD142" i="12" s="1"/>
  <c r="AB41" i="12"/>
  <c r="AC41" i="12"/>
  <c r="AD41" i="12" s="1"/>
  <c r="AB216" i="12"/>
  <c r="AC216" i="12"/>
  <c r="AD216" i="12" s="1"/>
  <c r="AB62" i="12"/>
  <c r="AC62" i="12"/>
  <c r="AD62" i="12" s="1"/>
  <c r="AB76" i="12"/>
  <c r="AC76" i="12"/>
  <c r="AD76" i="12" s="1"/>
  <c r="AS78" i="12"/>
  <c r="AT78" i="12"/>
  <c r="AB107" i="12"/>
  <c r="AC107" i="12"/>
  <c r="AD107" i="12" s="1"/>
  <c r="AB102" i="12"/>
  <c r="AC102" i="12"/>
  <c r="AD102" i="12" s="1"/>
  <c r="AT96" i="12"/>
  <c r="AS96" i="12"/>
  <c r="AB173" i="12"/>
  <c r="AC173" i="12"/>
  <c r="AD173" i="12" s="1"/>
  <c r="AB37" i="12"/>
  <c r="AC37" i="12"/>
  <c r="AD37" i="12" s="1"/>
  <c r="AB208" i="12"/>
  <c r="AC208" i="12"/>
  <c r="AD208" i="12" s="1"/>
  <c r="AB114" i="12"/>
  <c r="AC114" i="12"/>
  <c r="AD114" i="12" s="1"/>
  <c r="AB61" i="12"/>
  <c r="AC61" i="12"/>
  <c r="AD61" i="12" s="1"/>
  <c r="AB38" i="12"/>
  <c r="AC38" i="12"/>
  <c r="AD38" i="12" s="1"/>
  <c r="AB90" i="12"/>
  <c r="AC90" i="12"/>
  <c r="AD90" i="12" s="1"/>
  <c r="AA13" i="12"/>
  <c r="AB13" i="12" s="1"/>
  <c r="Z13" i="12"/>
  <c r="AA5" i="12"/>
  <c r="AB5" i="12" s="1"/>
  <c r="Z5" i="12"/>
  <c r="AB49" i="12"/>
  <c r="AC49" i="12"/>
  <c r="AD49" i="12" s="1"/>
  <c r="AB118" i="12"/>
  <c r="AC118" i="12"/>
  <c r="AD118" i="12" s="1"/>
  <c r="AB50" i="12"/>
  <c r="AC50" i="12"/>
  <c r="AD50" i="12" s="1"/>
  <c r="AB162" i="12"/>
  <c r="AC162" i="12"/>
  <c r="AD162" i="12" s="1"/>
  <c r="AB154" i="12"/>
  <c r="AC154" i="12"/>
  <c r="AD154" i="12" s="1"/>
  <c r="AB91" i="12"/>
  <c r="AC91" i="12"/>
  <c r="AD91" i="12" s="1"/>
  <c r="AB46" i="12"/>
  <c r="AC46" i="12"/>
  <c r="AB122" i="12"/>
  <c r="AC122" i="12"/>
  <c r="AD122" i="12" s="1"/>
  <c r="AB221" i="12"/>
  <c r="AC221" i="12"/>
  <c r="AB184" i="12"/>
  <c r="AC184" i="12"/>
  <c r="AD184" i="12" s="1"/>
  <c r="AA22" i="12"/>
  <c r="AB22" i="12" s="1"/>
  <c r="Z22" i="12"/>
  <c r="AB119" i="12"/>
  <c r="AC119" i="12"/>
  <c r="AT142" i="12"/>
  <c r="AS142" i="12"/>
  <c r="AB71" i="12"/>
  <c r="AC71" i="12"/>
  <c r="AS195" i="12"/>
  <c r="AB85" i="12"/>
  <c r="AC85" i="12"/>
  <c r="AB182" i="12"/>
  <c r="AC182" i="12"/>
  <c r="AD182" i="12" s="1"/>
  <c r="AB204" i="12"/>
  <c r="AC204" i="12"/>
  <c r="AB33" i="12"/>
  <c r="AC33" i="12"/>
  <c r="AD33" i="12" s="1"/>
  <c r="AB48" i="12"/>
  <c r="AC48" i="12"/>
  <c r="AD48" i="12" s="1"/>
  <c r="Z16" i="12"/>
  <c r="AA16" i="12"/>
  <c r="AB16" i="12" s="1"/>
  <c r="AA11" i="12"/>
  <c r="AB11" i="12" s="1"/>
  <c r="Z11" i="12"/>
  <c r="AB172" i="12"/>
  <c r="AC172" i="12"/>
  <c r="AD172" i="12" s="1"/>
  <c r="AB169" i="12"/>
  <c r="AC169" i="12"/>
  <c r="AD169" i="12" s="1"/>
  <c r="AD164" i="12"/>
  <c r="AB96" i="12"/>
  <c r="AC96" i="12"/>
  <c r="AC18" i="12"/>
  <c r="AD18" i="12" s="1"/>
  <c r="AB88" i="12"/>
  <c r="AC88" i="12"/>
  <c r="AD88" i="12" s="1"/>
  <c r="AA7" i="12"/>
  <c r="AB7" i="12" s="1"/>
  <c r="Z7" i="12"/>
  <c r="AB144" i="12"/>
  <c r="AC144" i="12"/>
  <c r="AD144" i="12" s="1"/>
  <c r="AB93" i="12"/>
  <c r="AC93" i="12"/>
  <c r="AD93" i="12" s="1"/>
  <c r="AB101" i="12"/>
  <c r="AC101" i="12"/>
  <c r="AD101" i="12" s="1"/>
  <c r="AT32" i="12"/>
  <c r="AS32" i="12"/>
  <c r="AB151" i="12"/>
  <c r="AC151" i="12"/>
  <c r="AD151" i="12" s="1"/>
  <c r="AT93" i="12"/>
  <c r="AS93" i="12"/>
  <c r="AB45" i="12"/>
  <c r="AC45" i="12"/>
  <c r="AB105" i="12"/>
  <c r="AC105" i="12"/>
  <c r="AT184" i="12"/>
  <c r="AS184" i="12"/>
  <c r="AD57" i="12"/>
  <c r="AT154" i="12"/>
  <c r="AS154" i="12"/>
  <c r="AB149" i="12"/>
  <c r="AC149" i="12"/>
  <c r="AD149" i="12" s="1"/>
  <c r="AB115" i="12"/>
  <c r="AC115" i="12"/>
  <c r="AD115" i="12" s="1"/>
  <c r="AD66" i="12"/>
  <c r="AB54" i="12"/>
  <c r="AC54" i="12"/>
  <c r="AD54" i="12" s="1"/>
  <c r="AB218" i="12"/>
  <c r="AC218" i="12"/>
  <c r="AB189" i="12"/>
  <c r="AC189" i="12"/>
  <c r="AD189" i="12" s="1"/>
  <c r="AB150" i="12"/>
  <c r="AC150" i="12"/>
  <c r="AB183" i="12"/>
  <c r="AC183" i="12"/>
  <c r="AT164" i="12"/>
  <c r="AS164" i="12"/>
  <c r="AB197" i="12"/>
  <c r="AC197" i="12"/>
  <c r="AD197" i="12" s="1"/>
  <c r="AJ24" i="12"/>
  <c r="AA8" i="12"/>
  <c r="AB8" i="12" s="1"/>
  <c r="Z8" i="12"/>
  <c r="AA10" i="12"/>
  <c r="AB10" i="12" s="1"/>
  <c r="Z10" i="12"/>
  <c r="AB56" i="12"/>
  <c r="AC56" i="12"/>
  <c r="AD56" i="12" s="1"/>
  <c r="AB195" i="12"/>
  <c r="AC195" i="12"/>
  <c r="AD195" i="12" s="1"/>
  <c r="AB206" i="12"/>
  <c r="AC206" i="12"/>
  <c r="AD206" i="12" s="1"/>
  <c r="AB68" i="12"/>
  <c r="AC68" i="12"/>
  <c r="AD68" i="12" s="1"/>
  <c r="AD59" i="12"/>
  <c r="AB165" i="12"/>
  <c r="AC165" i="12"/>
  <c r="AB126" i="12"/>
  <c r="AC126" i="12"/>
  <c r="AB194" i="12"/>
  <c r="AC194" i="12"/>
  <c r="AD194" i="12" s="1"/>
  <c r="AB163" i="12"/>
  <c r="AC163" i="12"/>
  <c r="AD163" i="12" s="1"/>
  <c r="AB51" i="12"/>
  <c r="AC51" i="12"/>
  <c r="AD51" i="12" s="1"/>
  <c r="AB220" i="12"/>
  <c r="AC220" i="12"/>
  <c r="AD220" i="12" s="1"/>
  <c r="AB160" i="12"/>
  <c r="AC160" i="12"/>
  <c r="AB95" i="12"/>
  <c r="AC95" i="12"/>
  <c r="AD95" i="12" s="1"/>
  <c r="AB209" i="12"/>
  <c r="AC209" i="12"/>
  <c r="AD209" i="12" s="1"/>
  <c r="AT109" i="12"/>
  <c r="AB175" i="12"/>
  <c r="AC175" i="12"/>
  <c r="AD175" i="12" s="1"/>
  <c r="AB131" i="12"/>
  <c r="AC131" i="12"/>
  <c r="AD131" i="12" s="1"/>
  <c r="AB168" i="12"/>
  <c r="AC168" i="12"/>
  <c r="AD168" i="12" s="1"/>
  <c r="AB222" i="12"/>
  <c r="AC222" i="12"/>
  <c r="AD222" i="12" s="1"/>
  <c r="AB94" i="12"/>
  <c r="AC94" i="12"/>
  <c r="AD94" i="12" s="1"/>
  <c r="AB75" i="12"/>
  <c r="AC75" i="12"/>
  <c r="AD75" i="12" s="1"/>
  <c r="AB73" i="12"/>
  <c r="AC73" i="12"/>
  <c r="AD73" i="12" s="1"/>
  <c r="AB124" i="12"/>
  <c r="AC124" i="12"/>
  <c r="AD124" i="12" s="1"/>
  <c r="AC15" i="12"/>
  <c r="AD15" i="12" s="1"/>
  <c r="AD148" i="12"/>
  <c r="AT216" i="12"/>
  <c r="AS216" i="12"/>
  <c r="AD179" i="12"/>
  <c r="Z4" i="12"/>
  <c r="AA4" i="12"/>
  <c r="Z20" i="12"/>
  <c r="AA20" i="12"/>
  <c r="AB20" i="12" s="1"/>
  <c r="AB39" i="12"/>
  <c r="AC39" i="12"/>
  <c r="AC22" i="12"/>
  <c r="AD22" i="12" s="1"/>
  <c r="AB52" i="12"/>
  <c r="AC52" i="12"/>
  <c r="AD52" i="12" s="1"/>
  <c r="AB55" i="12"/>
  <c r="AC55" i="12"/>
  <c r="AD55" i="12" s="1"/>
  <c r="AB86" i="12"/>
  <c r="AC86" i="12"/>
  <c r="AD86" i="12" s="1"/>
  <c r="AB104" i="12"/>
  <c r="AC104" i="12"/>
  <c r="AD104" i="12" s="1"/>
  <c r="AB74" i="12"/>
  <c r="AC74" i="12"/>
  <c r="AD74" i="12" s="1"/>
  <c r="AB42" i="12"/>
  <c r="AC42" i="12"/>
  <c r="AD42" i="12" s="1"/>
  <c r="AB143" i="12"/>
  <c r="AC143" i="12"/>
  <c r="AD143" i="12" s="1"/>
  <c r="AB146" i="12"/>
  <c r="AC146" i="12"/>
  <c r="AD146" i="12" s="1"/>
  <c r="AD157" i="12"/>
  <c r="AB178" i="12"/>
  <c r="AC178" i="12"/>
  <c r="AD191" i="12"/>
  <c r="AB225" i="12"/>
  <c r="AC225" i="12"/>
  <c r="AD225" i="12" s="1"/>
  <c r="AT114" i="12"/>
  <c r="AS114" i="12"/>
  <c r="AD219" i="12"/>
  <c r="AB117" i="12"/>
  <c r="AC117" i="12"/>
  <c r="AB198" i="12"/>
  <c r="AC198" i="12"/>
  <c r="AC8" i="12"/>
  <c r="AD8" i="12" s="1"/>
  <c r="AB170" i="12"/>
  <c r="AC170" i="12"/>
  <c r="AD170" i="12" s="1"/>
  <c r="AB98" i="12"/>
  <c r="AC98" i="12"/>
  <c r="AD98" i="12" s="1"/>
  <c r="AB214" i="12"/>
  <c r="AC214" i="12"/>
  <c r="AD214" i="12" s="1"/>
  <c r="AB226" i="12"/>
  <c r="AC226" i="12"/>
  <c r="AD226" i="12" s="1"/>
  <c r="AD77" i="12"/>
  <c r="AB65" i="12"/>
  <c r="AC65" i="12"/>
  <c r="AB103" i="12"/>
  <c r="AC103" i="12"/>
  <c r="AA19" i="12"/>
  <c r="AB19" i="12" s="1"/>
  <c r="Z19" i="12"/>
  <c r="Z21" i="12"/>
  <c r="AA21" i="12"/>
  <c r="AB21" i="12" s="1"/>
  <c r="AC16" i="12"/>
  <c r="AD16" i="12" s="1"/>
  <c r="AB188" i="12"/>
  <c r="AC188" i="12"/>
  <c r="AD188" i="12" s="1"/>
  <c r="AD34" i="12"/>
  <c r="AB177" i="12"/>
  <c r="AC177" i="12"/>
  <c r="AD177" i="12" s="1"/>
  <c r="AT197" i="12" l="1"/>
  <c r="AS91" i="12"/>
  <c r="AS137" i="12"/>
  <c r="AT104" i="12"/>
  <c r="AU104" i="12" s="1"/>
  <c r="AS125" i="12"/>
  <c r="AS205" i="12"/>
  <c r="AT47" i="12"/>
  <c r="AU47" i="12" s="1"/>
  <c r="AS126" i="12"/>
  <c r="AS132" i="12"/>
  <c r="AT42" i="12"/>
  <c r="AT46" i="12"/>
  <c r="AU46" i="12" s="1"/>
  <c r="AS59" i="12"/>
  <c r="AT169" i="12"/>
  <c r="AS40" i="12"/>
  <c r="AS174" i="12"/>
  <c r="AS84" i="12"/>
  <c r="AT97" i="12"/>
  <c r="AU97" i="12" s="1"/>
  <c r="AS67" i="12"/>
  <c r="AS176" i="12"/>
  <c r="AS103" i="12"/>
  <c r="AT69" i="12"/>
  <c r="AU69" i="12" s="1"/>
  <c r="AS134" i="12"/>
  <c r="AT201" i="12"/>
  <c r="AU201" i="12" s="1"/>
  <c r="AS219" i="12"/>
  <c r="AS229" i="12"/>
  <c r="AT160" i="12"/>
  <c r="AU160" i="12" s="1"/>
  <c r="AS177" i="12"/>
  <c r="AT113" i="12"/>
  <c r="AU113" i="12" s="1"/>
  <c r="AS148" i="12"/>
  <c r="AT75" i="12"/>
  <c r="AU75" i="12" s="1"/>
  <c r="AS128" i="12"/>
  <c r="AS127" i="12"/>
  <c r="AS204" i="12"/>
  <c r="AS107" i="12"/>
  <c r="AS141" i="12"/>
  <c r="AT203" i="12"/>
  <c r="AU203" i="12" s="1"/>
  <c r="AS79" i="12"/>
  <c r="AS119" i="12"/>
  <c r="AS175" i="12"/>
  <c r="AT61" i="12"/>
  <c r="AV61" i="12" s="1"/>
  <c r="AT146" i="12"/>
  <c r="AU146" i="12" s="1"/>
  <c r="AS194" i="12"/>
  <c r="AS112" i="12"/>
  <c r="AS193" i="12"/>
  <c r="AS139" i="12"/>
  <c r="AS202" i="12"/>
  <c r="AT207" i="12"/>
  <c r="AU207" i="12" s="1"/>
  <c r="AS136" i="12"/>
  <c r="AS63" i="12"/>
  <c r="AS131" i="12"/>
  <c r="AT123" i="12"/>
  <c r="AV123" i="12" s="1"/>
  <c r="AS98" i="12"/>
  <c r="AT210" i="12"/>
  <c r="AU210" i="12" s="1"/>
  <c r="AT186" i="12"/>
  <c r="AV186" i="12" s="1"/>
  <c r="AT206" i="12"/>
  <c r="AU206" i="12" s="1"/>
  <c r="AS147" i="12"/>
  <c r="AT165" i="12"/>
  <c r="AU165" i="12" s="1"/>
  <c r="AS87" i="12"/>
  <c r="AT99" i="12"/>
  <c r="AU99" i="12" s="1"/>
  <c r="AS143" i="12"/>
  <c r="AS130" i="12"/>
  <c r="AT37" i="12"/>
  <c r="AU37" i="12" s="1"/>
  <c r="AS51" i="12"/>
  <c r="AS50" i="12"/>
  <c r="AS62" i="12"/>
  <c r="AS222" i="12"/>
  <c r="AS189" i="12"/>
  <c r="AS133" i="12"/>
  <c r="AT163" i="12"/>
  <c r="AU163" i="12" s="1"/>
  <c r="AT214" i="12"/>
  <c r="AV214" i="12" s="1"/>
  <c r="AT115" i="12"/>
  <c r="AU115" i="12" s="1"/>
  <c r="AS54" i="12"/>
  <c r="AS179" i="12"/>
  <c r="AS57" i="12"/>
  <c r="AT180" i="12"/>
  <c r="AV180" i="12" s="1"/>
  <c r="AT82" i="12"/>
  <c r="AV82" i="12" s="1"/>
  <c r="AS105" i="12"/>
  <c r="AT182" i="12"/>
  <c r="AU182" i="12" s="1"/>
  <c r="AS168" i="12"/>
  <c r="AS217" i="12"/>
  <c r="AT153" i="12"/>
  <c r="AU153" i="12" s="1"/>
  <c r="AS172" i="12"/>
  <c r="AT181" i="12"/>
  <c r="AU181" i="12" s="1"/>
  <c r="AS208" i="12"/>
  <c r="AT36" i="12"/>
  <c r="AV36" i="12" s="1"/>
  <c r="AS71" i="12"/>
  <c r="AS110" i="12"/>
  <c r="AS200" i="12"/>
  <c r="AS211" i="12"/>
  <c r="AT70" i="12"/>
  <c r="AU70" i="12" s="1"/>
  <c r="AT196" i="12"/>
  <c r="AU196" i="12" s="1"/>
  <c r="AS209" i="12"/>
  <c r="AT170" i="12"/>
  <c r="AS43" i="12"/>
  <c r="AT188" i="12"/>
  <c r="AV188" i="12" s="1"/>
  <c r="AT90" i="12"/>
  <c r="AU90" i="12" s="1"/>
  <c r="AS52" i="12"/>
  <c r="AT53" i="12"/>
  <c r="AU53" i="12" s="1"/>
  <c r="AT72" i="12"/>
  <c r="AU72" i="12" s="1"/>
  <c r="AS120" i="12"/>
  <c r="AS100" i="12"/>
  <c r="AT121" i="12"/>
  <c r="AV121" i="12" s="1"/>
  <c r="AS64" i="12"/>
  <c r="AS45" i="12"/>
  <c r="AS157" i="12"/>
  <c r="AS80" i="12"/>
  <c r="AT215" i="12"/>
  <c r="AU215" i="12" s="1"/>
  <c r="AS190" i="12"/>
  <c r="AT34" i="12"/>
  <c r="AU34" i="12" s="1"/>
  <c r="AT44" i="12"/>
  <c r="AV44" i="12" s="1"/>
  <c r="AS145" i="12"/>
  <c r="AT227" i="12"/>
  <c r="AU227" i="12" s="1"/>
  <c r="AS212" i="12"/>
  <c r="AS167" i="12"/>
  <c r="AS135" i="12"/>
  <c r="AS191" i="12"/>
  <c r="AS77" i="12"/>
  <c r="AT220" i="12"/>
  <c r="AU220" i="12" s="1"/>
  <c r="AT223" i="12"/>
  <c r="AU223" i="12" s="1"/>
  <c r="AS225" i="12"/>
  <c r="AS66" i="12"/>
  <c r="AS83" i="12"/>
  <c r="AT213" i="12"/>
  <c r="AU213" i="12" s="1"/>
  <c r="AT150" i="12"/>
  <c r="AU150" i="12" s="1"/>
  <c r="AT39" i="12"/>
  <c r="AU39" i="12" s="1"/>
  <c r="AS111" i="12"/>
  <c r="AT158" i="12"/>
  <c r="AU158" i="12" s="1"/>
  <c r="AS74" i="12"/>
  <c r="AS152" i="12"/>
  <c r="AT198" i="12"/>
  <c r="AV198" i="12" s="1"/>
  <c r="AS49" i="12"/>
  <c r="AT151" i="12"/>
  <c r="AU151" i="12" s="1"/>
  <c r="AS35" i="12"/>
  <c r="AS228" i="12"/>
  <c r="AS101" i="12"/>
  <c r="AS187" i="12"/>
  <c r="AT183" i="12"/>
  <c r="AU183" i="12" s="1"/>
  <c r="AS33" i="12"/>
  <c r="AS117" i="12"/>
  <c r="AT94" i="12"/>
  <c r="AU94" i="12" s="1"/>
  <c r="AT81" i="12"/>
  <c r="AU81" i="12" s="1"/>
  <c r="AT226" i="12"/>
  <c r="AU226" i="12" s="1"/>
  <c r="AT38" i="12"/>
  <c r="AU38" i="12" s="1"/>
  <c r="AT124" i="12"/>
  <c r="AU124" i="12" s="1"/>
  <c r="AS192" i="12"/>
  <c r="AT221" i="12"/>
  <c r="AS221" i="12"/>
  <c r="AS149" i="12"/>
  <c r="AS106" i="12"/>
  <c r="AS118" i="12"/>
  <c r="AS48" i="12"/>
  <c r="AS41" i="12"/>
  <c r="AT156" i="12"/>
  <c r="AS156" i="12"/>
  <c r="AS155" i="12"/>
  <c r="AT185" i="12"/>
  <c r="AV185" i="12" s="1"/>
  <c r="AS166" i="12"/>
  <c r="AT55" i="12"/>
  <c r="AU55" i="12" s="1"/>
  <c r="AT102" i="12"/>
  <c r="AU102" i="12" s="1"/>
  <c r="AS92" i="12"/>
  <c r="AS76" i="12"/>
  <c r="AT199" i="12"/>
  <c r="AU199" i="12" s="1"/>
  <c r="AS65" i="12"/>
  <c r="AS108" i="12"/>
  <c r="AS173" i="12"/>
  <c r="AS159" i="12"/>
  <c r="AS178" i="12"/>
  <c r="AS85" i="12"/>
  <c r="AS171" i="12"/>
  <c r="AT122" i="12"/>
  <c r="AU122" i="12" s="1"/>
  <c r="AT138" i="12"/>
  <c r="AU138" i="12" s="1"/>
  <c r="AS218" i="12"/>
  <c r="AS224" i="12"/>
  <c r="AC23" i="12"/>
  <c r="AD23" i="12" s="1"/>
  <c r="AU78" i="12"/>
  <c r="AV78" i="12"/>
  <c r="AU168" i="12"/>
  <c r="AV168" i="12"/>
  <c r="AU42" i="12"/>
  <c r="AV42" i="12"/>
  <c r="AU129" i="12"/>
  <c r="AV129" i="12"/>
  <c r="AW129" i="12" s="1"/>
  <c r="AU218" i="12"/>
  <c r="AV218" i="12"/>
  <c r="AU85" i="12"/>
  <c r="AV85" i="12"/>
  <c r="AU62" i="12"/>
  <c r="AV62" i="12"/>
  <c r="AD65" i="12"/>
  <c r="AU114" i="12"/>
  <c r="AV114" i="12"/>
  <c r="AW114" i="12" s="1"/>
  <c r="AU194" i="12"/>
  <c r="AV194" i="12"/>
  <c r="AB4" i="12"/>
  <c r="AA24" i="12"/>
  <c r="H14" i="13" s="1"/>
  <c r="F14" i="13"/>
  <c r="AU35" i="12"/>
  <c r="AV35" i="12"/>
  <c r="AU109" i="12"/>
  <c r="AV109" i="12"/>
  <c r="AD126" i="12"/>
  <c r="AU127" i="12"/>
  <c r="AV127" i="12"/>
  <c r="AW127" i="12" s="1"/>
  <c r="AD45" i="12"/>
  <c r="AU222" i="12"/>
  <c r="AV222" i="12"/>
  <c r="AD85" i="12"/>
  <c r="AD119" i="12"/>
  <c r="AD46" i="12"/>
  <c r="AU143" i="12"/>
  <c r="AV143" i="12"/>
  <c r="AU133" i="12"/>
  <c r="AV133" i="12"/>
  <c r="AW133" i="12" s="1"/>
  <c r="AU200" i="12"/>
  <c r="AV200" i="12"/>
  <c r="AU141" i="12"/>
  <c r="AV141" i="12"/>
  <c r="AD92" i="12"/>
  <c r="AP24" i="12"/>
  <c r="AQ4" i="12" s="1"/>
  <c r="AR4" i="12" s="1"/>
  <c r="AD110" i="12"/>
  <c r="AD153" i="12"/>
  <c r="AU80" i="12"/>
  <c r="AV80" i="12"/>
  <c r="AC4" i="12"/>
  <c r="AU147" i="12"/>
  <c r="AV147" i="12"/>
  <c r="AU67" i="12"/>
  <c r="AV67" i="12"/>
  <c r="AW67" i="12" s="1"/>
  <c r="AD227" i="12"/>
  <c r="AD166" i="12"/>
  <c r="AU56" i="12"/>
  <c r="AV56" i="12"/>
  <c r="AU83" i="12"/>
  <c r="AV83" i="12"/>
  <c r="AU43" i="12"/>
  <c r="AV43" i="12"/>
  <c r="AW43" i="12" s="1"/>
  <c r="AU131" i="12"/>
  <c r="AV131" i="12"/>
  <c r="AU159" i="12"/>
  <c r="AV159" i="12"/>
  <c r="AU130" i="12"/>
  <c r="AV130" i="12"/>
  <c r="AD99" i="12"/>
  <c r="AD139" i="12"/>
  <c r="AC7" i="12"/>
  <c r="AD7" i="12" s="1"/>
  <c r="AU65" i="12"/>
  <c r="AV65" i="12"/>
  <c r="AU108" i="12"/>
  <c r="AV108" i="12"/>
  <c r="AW108" i="12" s="1"/>
  <c r="AU89" i="12"/>
  <c r="AV89" i="12"/>
  <c r="AU50" i="12"/>
  <c r="AV50" i="12"/>
  <c r="AU105" i="12"/>
  <c r="AV105" i="12"/>
  <c r="AU100" i="12"/>
  <c r="AV100" i="12"/>
  <c r="AU88" i="12"/>
  <c r="AV88" i="12"/>
  <c r="AU95" i="12"/>
  <c r="AV95" i="12"/>
  <c r="AU48" i="12"/>
  <c r="AV48" i="12"/>
  <c r="AD44" i="12"/>
  <c r="AD147" i="12"/>
  <c r="AU173" i="12"/>
  <c r="AV173" i="12"/>
  <c r="AC12" i="12"/>
  <c r="AD12" i="12" s="1"/>
  <c r="AD109" i="12"/>
  <c r="AU79" i="12"/>
  <c r="AV79" i="12"/>
  <c r="AU91" i="12"/>
  <c r="AV91" i="12"/>
  <c r="AU64" i="12"/>
  <c r="AV64" i="12"/>
  <c r="AU148" i="12"/>
  <c r="AV148" i="12"/>
  <c r="AU176" i="12"/>
  <c r="AV176" i="12"/>
  <c r="AU179" i="12"/>
  <c r="AV179" i="12"/>
  <c r="AU117" i="12"/>
  <c r="AV117" i="12"/>
  <c r="AU172" i="12"/>
  <c r="AV172" i="12"/>
  <c r="AU93" i="12"/>
  <c r="AV93" i="12"/>
  <c r="AU134" i="12"/>
  <c r="AV134" i="12"/>
  <c r="AU139" i="12"/>
  <c r="AV139" i="12"/>
  <c r="AD198" i="12"/>
  <c r="AU87" i="12"/>
  <c r="AV87" i="12"/>
  <c r="AU216" i="12"/>
  <c r="AV216" i="12"/>
  <c r="AU170" i="12"/>
  <c r="AV170" i="12"/>
  <c r="AW170" i="12" s="1"/>
  <c r="AD165" i="12"/>
  <c r="AU128" i="12"/>
  <c r="AV128" i="12"/>
  <c r="AU166" i="12"/>
  <c r="AV166" i="12"/>
  <c r="AU154" i="12"/>
  <c r="AV154" i="12"/>
  <c r="AC11" i="12"/>
  <c r="AD11" i="12" s="1"/>
  <c r="AU110" i="12"/>
  <c r="AV110" i="12"/>
  <c r="AW110" i="12" s="1"/>
  <c r="AD96" i="12"/>
  <c r="AU40" i="12"/>
  <c r="AV40" i="12"/>
  <c r="AU195" i="12"/>
  <c r="AV195" i="12"/>
  <c r="AC19" i="12"/>
  <c r="AD19" i="12" s="1"/>
  <c r="AU111" i="12"/>
  <c r="AV111" i="12"/>
  <c r="AU136" i="12"/>
  <c r="AV136" i="12"/>
  <c r="AU161" i="12"/>
  <c r="AV161" i="12"/>
  <c r="AU140" i="12"/>
  <c r="AV140" i="12"/>
  <c r="AU41" i="12"/>
  <c r="AV41" i="12"/>
  <c r="AU144" i="12"/>
  <c r="AV144" i="12"/>
  <c r="AU132" i="12"/>
  <c r="AV132" i="12"/>
  <c r="AU73" i="12"/>
  <c r="AV73" i="12"/>
  <c r="AU219" i="12"/>
  <c r="AV219" i="12"/>
  <c r="AU92" i="12"/>
  <c r="AV92" i="12"/>
  <c r="AU98" i="12"/>
  <c r="AV98" i="12"/>
  <c r="AU224" i="12"/>
  <c r="AV224" i="12"/>
  <c r="AU193" i="12"/>
  <c r="AV193" i="12"/>
  <c r="AU101" i="12"/>
  <c r="AV101" i="12"/>
  <c r="AU178" i="12"/>
  <c r="AV178" i="12"/>
  <c r="AU107" i="12"/>
  <c r="AV107" i="12"/>
  <c r="AU96" i="12"/>
  <c r="AV96" i="12"/>
  <c r="AU74" i="12"/>
  <c r="AV74" i="12"/>
  <c r="AU190" i="12"/>
  <c r="AV190" i="12"/>
  <c r="AV181" i="12"/>
  <c r="AU208" i="12"/>
  <c r="AV208" i="12"/>
  <c r="AC9" i="12"/>
  <c r="AD9" i="12" s="1"/>
  <c r="AU197" i="12"/>
  <c r="AV197" i="12"/>
  <c r="AU112" i="12"/>
  <c r="AV112" i="12"/>
  <c r="AU57" i="12"/>
  <c r="AV57" i="12"/>
  <c r="AU225" i="12"/>
  <c r="AV225" i="12"/>
  <c r="AU228" i="12"/>
  <c r="AV228" i="12"/>
  <c r="AU59" i="12"/>
  <c r="AV59" i="12"/>
  <c r="AU125" i="12"/>
  <c r="AV125" i="12"/>
  <c r="AU164" i="12"/>
  <c r="AV164" i="12"/>
  <c r="AD103" i="12"/>
  <c r="AU84" i="12"/>
  <c r="AV84" i="12"/>
  <c r="AD117" i="12"/>
  <c r="AD39" i="12"/>
  <c r="AU137" i="12"/>
  <c r="AV137" i="12"/>
  <c r="AD183" i="12"/>
  <c r="AD221" i="12"/>
  <c r="AU106" i="12"/>
  <c r="AV106" i="12"/>
  <c r="AU187" i="12"/>
  <c r="AV187" i="12"/>
  <c r="AW187" i="12" s="1"/>
  <c r="AU171" i="12"/>
  <c r="AV171" i="12"/>
  <c r="AU152" i="12"/>
  <c r="AV152" i="12"/>
  <c r="AU49" i="12"/>
  <c r="AV49" i="12"/>
  <c r="AC17" i="12"/>
  <c r="AD17" i="12" s="1"/>
  <c r="AD82" i="12"/>
  <c r="AD199" i="12"/>
  <c r="AU116" i="12"/>
  <c r="AV116" i="12"/>
  <c r="AU86" i="12"/>
  <c r="AV86" i="12"/>
  <c r="AW86" i="12" s="1"/>
  <c r="AU145" i="12"/>
  <c r="AV145" i="12"/>
  <c r="AU126" i="12"/>
  <c r="AV126" i="12"/>
  <c r="AD97" i="12"/>
  <c r="AU192" i="12"/>
  <c r="AV192" i="12"/>
  <c r="AU167" i="12"/>
  <c r="AV167" i="12"/>
  <c r="AU169" i="12"/>
  <c r="AV169" i="12"/>
  <c r="AU119" i="12"/>
  <c r="AV119" i="12"/>
  <c r="AU212" i="12"/>
  <c r="AV212" i="12"/>
  <c r="AU174" i="12"/>
  <c r="AV174" i="12"/>
  <c r="AU149" i="12"/>
  <c r="AV149" i="12"/>
  <c r="AW149" i="12" s="1"/>
  <c r="AU175" i="12"/>
  <c r="AV175" i="12"/>
  <c r="AC21" i="12"/>
  <c r="AD21" i="12" s="1"/>
  <c r="AD160" i="12"/>
  <c r="AU52" i="12"/>
  <c r="AV52" i="12"/>
  <c r="AU184" i="12"/>
  <c r="AV184" i="12"/>
  <c r="AW184" i="12" s="1"/>
  <c r="AC10" i="12"/>
  <c r="AD10" i="12" s="1"/>
  <c r="AU103" i="12"/>
  <c r="AV103" i="12"/>
  <c r="AU68" i="12"/>
  <c r="AV68" i="12"/>
  <c r="AU33" i="12"/>
  <c r="AV33" i="12"/>
  <c r="AU202" i="12"/>
  <c r="AV202" i="12"/>
  <c r="AU60" i="12"/>
  <c r="AV60" i="12"/>
  <c r="AU211" i="12"/>
  <c r="AV211" i="12"/>
  <c r="AC6" i="12"/>
  <c r="AD6" i="12" s="1"/>
  <c r="AU229" i="12"/>
  <c r="AV229" i="12"/>
  <c r="AU135" i="12"/>
  <c r="AV135" i="12"/>
  <c r="AU120" i="12"/>
  <c r="AV120" i="12"/>
  <c r="AU45" i="12"/>
  <c r="AV45" i="12"/>
  <c r="AU142" i="12"/>
  <c r="AV142" i="12"/>
  <c r="AU155" i="12"/>
  <c r="AV155" i="12"/>
  <c r="AU209" i="12"/>
  <c r="AV209" i="12"/>
  <c r="AU71" i="12"/>
  <c r="AV71" i="12"/>
  <c r="AU63" i="12"/>
  <c r="AV63" i="12"/>
  <c r="AD178" i="12"/>
  <c r="AU66" i="12"/>
  <c r="AV66" i="12"/>
  <c r="AU157" i="12"/>
  <c r="AV157" i="12"/>
  <c r="AD150" i="12"/>
  <c r="AD218" i="12"/>
  <c r="AD105" i="12"/>
  <c r="AU32" i="12"/>
  <c r="AV32" i="12"/>
  <c r="AU189" i="12"/>
  <c r="AV189" i="12"/>
  <c r="AU77" i="12"/>
  <c r="AV77" i="12"/>
  <c r="AD204" i="12"/>
  <c r="AD71" i="12"/>
  <c r="AU204" i="12"/>
  <c r="AV204" i="12"/>
  <c r="AU54" i="12"/>
  <c r="AV54" i="12"/>
  <c r="AU205" i="12"/>
  <c r="AV205" i="12"/>
  <c r="AU118" i="12"/>
  <c r="AV118" i="12"/>
  <c r="AU162" i="12"/>
  <c r="AV162" i="12"/>
  <c r="AD201" i="12"/>
  <c r="AU76" i="12"/>
  <c r="AV76" i="12"/>
  <c r="AU177" i="12"/>
  <c r="AV177" i="12"/>
  <c r="AW177" i="12" s="1"/>
  <c r="AD128" i="12"/>
  <c r="AD161" i="12"/>
  <c r="AD174" i="12"/>
  <c r="AU58" i="12"/>
  <c r="AV58" i="12"/>
  <c r="AU217" i="12"/>
  <c r="AV217" i="12"/>
  <c r="AU191" i="12"/>
  <c r="AV191" i="12"/>
  <c r="AD215" i="12"/>
  <c r="AD152" i="12"/>
  <c r="AU51" i="12"/>
  <c r="AV51" i="12"/>
  <c r="AD127" i="12"/>
  <c r="AW68" i="12" l="1"/>
  <c r="AW125" i="12"/>
  <c r="AV69" i="12"/>
  <c r="AV206" i="12"/>
  <c r="AW206" i="12" s="1"/>
  <c r="AV201" i="12"/>
  <c r="AV104" i="12"/>
  <c r="AW104" i="12" s="1"/>
  <c r="AV160" i="12"/>
  <c r="AW160" i="12" s="1"/>
  <c r="AV47" i="12"/>
  <c r="AW47" i="12" s="1"/>
  <c r="AV46" i="12"/>
  <c r="AW46" i="12" s="1"/>
  <c r="AV97" i="12"/>
  <c r="AW97" i="12" s="1"/>
  <c r="AW80" i="12"/>
  <c r="AW143" i="12"/>
  <c r="AU36" i="12"/>
  <c r="AW36" i="12" s="1"/>
  <c r="AW217" i="12"/>
  <c r="AW162" i="12"/>
  <c r="AW58" i="12"/>
  <c r="AW118" i="12"/>
  <c r="AW111" i="12"/>
  <c r="AV75" i="12"/>
  <c r="AV53" i="12"/>
  <c r="AW53" i="12" s="1"/>
  <c r="AV113" i="12"/>
  <c r="AU123" i="12"/>
  <c r="AW123" i="12" s="1"/>
  <c r="AW33" i="12"/>
  <c r="AW119" i="12"/>
  <c r="AW152" i="12"/>
  <c r="AV182" i="12"/>
  <c r="AW182" i="12" s="1"/>
  <c r="AW71" i="12"/>
  <c r="AW173" i="12"/>
  <c r="AV34" i="12"/>
  <c r="AW34" i="12" s="1"/>
  <c r="AV37" i="12"/>
  <c r="AW37" i="12" s="1"/>
  <c r="AU82" i="12"/>
  <c r="AW82" i="12" s="1"/>
  <c r="AV55" i="12"/>
  <c r="AW64" i="12"/>
  <c r="AU61" i="12"/>
  <c r="AW61" i="12" s="1"/>
  <c r="AW164" i="12"/>
  <c r="AV146" i="12"/>
  <c r="AW146" i="12" s="1"/>
  <c r="AU44" i="12"/>
  <c r="AW44" i="12" s="1"/>
  <c r="AV203" i="12"/>
  <c r="AW203" i="12" s="1"/>
  <c r="AV207" i="12"/>
  <c r="AW207" i="12" s="1"/>
  <c r="AV90" i="12"/>
  <c r="AW90" i="12" s="1"/>
  <c r="AW45" i="12"/>
  <c r="AW174" i="12"/>
  <c r="AW140" i="12"/>
  <c r="AU180" i="12"/>
  <c r="AW180" i="12" s="1"/>
  <c r="AW120" i="12"/>
  <c r="AW57" i="12"/>
  <c r="AV220" i="12"/>
  <c r="AW220" i="12" s="1"/>
  <c r="AV99" i="12"/>
  <c r="AW99" i="12" s="1"/>
  <c r="AV163" i="12"/>
  <c r="AV158" i="12"/>
  <c r="AW158" i="12" s="1"/>
  <c r="AU186" i="12"/>
  <c r="AW186" i="12" s="1"/>
  <c r="AV196" i="12"/>
  <c r="AW196" i="12" s="1"/>
  <c r="AV210" i="12"/>
  <c r="AW210" i="12" s="1"/>
  <c r="AW157" i="12"/>
  <c r="AW103" i="12"/>
  <c r="AU188" i="12"/>
  <c r="AW188" i="12" s="1"/>
  <c r="AW139" i="12"/>
  <c r="AW179" i="12"/>
  <c r="AW130" i="12"/>
  <c r="AW147" i="12"/>
  <c r="AW42" i="12"/>
  <c r="AV215" i="12"/>
  <c r="AW215" i="12" s="1"/>
  <c r="AV165" i="12"/>
  <c r="AW165" i="12" s="1"/>
  <c r="AU214" i="12"/>
  <c r="AW214" i="12" s="1"/>
  <c r="AV115" i="12"/>
  <c r="AW115" i="12" s="1"/>
  <c r="AV153" i="12"/>
  <c r="AW153" i="12" s="1"/>
  <c r="AU121" i="12"/>
  <c r="AW121" i="12" s="1"/>
  <c r="AW66" i="12"/>
  <c r="AW211" i="12"/>
  <c r="AW134" i="12"/>
  <c r="AW176" i="12"/>
  <c r="AV138" i="12"/>
  <c r="AW138" i="12" s="1"/>
  <c r="AW137" i="12"/>
  <c r="AW190" i="12"/>
  <c r="AW193" i="12"/>
  <c r="AW132" i="12"/>
  <c r="AV150" i="12"/>
  <c r="AW150" i="12" s="1"/>
  <c r="AV70" i="12"/>
  <c r="AW70" i="12" s="1"/>
  <c r="AW76" i="12"/>
  <c r="AV227" i="12"/>
  <c r="AW227" i="12" s="1"/>
  <c r="AW228" i="12"/>
  <c r="AW197" i="12"/>
  <c r="AW195" i="12"/>
  <c r="AW166" i="12"/>
  <c r="AW163" i="12"/>
  <c r="AW91" i="12"/>
  <c r="AW48" i="12"/>
  <c r="AV72" i="12"/>
  <c r="AW72" i="12" s="1"/>
  <c r="AW40" i="12"/>
  <c r="AW128" i="12"/>
  <c r="AW117" i="12"/>
  <c r="AW79" i="12"/>
  <c r="AW95" i="12"/>
  <c r="AW141" i="12"/>
  <c r="AV94" i="12"/>
  <c r="AW94" i="12" s="1"/>
  <c r="AW59" i="12"/>
  <c r="AW112" i="12"/>
  <c r="AW93" i="12"/>
  <c r="AV151" i="12"/>
  <c r="AW151" i="12" s="1"/>
  <c r="AW200" i="12"/>
  <c r="AW194" i="12"/>
  <c r="AV124" i="12"/>
  <c r="AW124" i="12" s="1"/>
  <c r="AV223" i="12"/>
  <c r="AW223" i="12" s="1"/>
  <c r="AV39" i="12"/>
  <c r="AW39" i="12" s="1"/>
  <c r="AW51" i="12"/>
  <c r="AW205" i="12"/>
  <c r="AW209" i="12"/>
  <c r="AW135" i="12"/>
  <c r="AW169" i="12"/>
  <c r="AW159" i="12"/>
  <c r="AW83" i="12"/>
  <c r="AU185" i="12"/>
  <c r="AW185" i="12" s="1"/>
  <c r="AW54" i="12"/>
  <c r="AW77" i="12"/>
  <c r="AW155" i="12"/>
  <c r="AW229" i="12"/>
  <c r="AW167" i="12"/>
  <c r="AW49" i="12"/>
  <c r="AW106" i="12"/>
  <c r="AW84" i="12"/>
  <c r="AW131" i="12"/>
  <c r="AW56" i="12"/>
  <c r="AW109" i="12"/>
  <c r="AV122" i="12"/>
  <c r="AW122" i="12" s="1"/>
  <c r="AV81" i="12"/>
  <c r="AW81" i="12" s="1"/>
  <c r="AU198" i="12"/>
  <c r="AW198" i="12" s="1"/>
  <c r="AV199" i="12"/>
  <c r="AW199" i="12" s="1"/>
  <c r="AV213" i="12"/>
  <c r="AW213" i="12" s="1"/>
  <c r="AV102" i="12"/>
  <c r="AW102" i="12" s="1"/>
  <c r="AW65" i="12"/>
  <c r="AV38" i="12"/>
  <c r="AU156" i="12"/>
  <c r="AV156" i="12"/>
  <c r="AV226" i="12"/>
  <c r="AW226" i="12" s="1"/>
  <c r="AV183" i="12"/>
  <c r="AW183" i="12" s="1"/>
  <c r="AV221" i="12"/>
  <c r="AU221" i="12"/>
  <c r="AX32" i="12"/>
  <c r="AW60" i="12"/>
  <c r="AW145" i="12"/>
  <c r="AW74" i="12"/>
  <c r="AW224" i="12"/>
  <c r="AW216" i="12"/>
  <c r="AT4" i="12"/>
  <c r="AS4" i="12"/>
  <c r="AW32" i="12"/>
  <c r="AG4" i="12"/>
  <c r="AW202" i="12"/>
  <c r="AW175" i="12"/>
  <c r="AW212" i="12"/>
  <c r="AW192" i="12"/>
  <c r="AW171" i="12"/>
  <c r="AW225" i="12"/>
  <c r="AW154" i="12"/>
  <c r="AW172" i="12"/>
  <c r="AW148" i="12"/>
  <c r="AW69" i="12"/>
  <c r="AW208" i="12"/>
  <c r="AW96" i="12"/>
  <c r="AW98" i="12"/>
  <c r="AW144" i="12"/>
  <c r="AW201" i="12"/>
  <c r="AW87" i="12"/>
  <c r="AW88" i="12"/>
  <c r="AW105" i="12"/>
  <c r="AW35" i="12"/>
  <c r="AW62" i="12"/>
  <c r="AW168" i="12"/>
  <c r="AX33" i="12"/>
  <c r="AW52" i="12"/>
  <c r="AW116" i="12"/>
  <c r="AW181" i="12"/>
  <c r="AW107" i="12"/>
  <c r="AW92" i="12"/>
  <c r="AW41" i="12"/>
  <c r="AW100" i="12"/>
  <c r="AW50" i="12"/>
  <c r="AW222" i="12"/>
  <c r="F20" i="13"/>
  <c r="G20" i="13" s="1"/>
  <c r="F18" i="13"/>
  <c r="G18" i="13" s="1"/>
  <c r="G14" i="13"/>
  <c r="AD4" i="12"/>
  <c r="F15" i="13"/>
  <c r="AQ24" i="12"/>
  <c r="AR24" i="12" s="1"/>
  <c r="AS24" i="12" s="1"/>
  <c r="AQ9" i="12"/>
  <c r="AR9" i="12" s="1"/>
  <c r="AQ5" i="12"/>
  <c r="AR5" i="12" s="1"/>
  <c r="AQ7" i="12"/>
  <c r="AR7" i="12" s="1"/>
  <c r="AQ6" i="12"/>
  <c r="AR6" i="12" s="1"/>
  <c r="AQ18" i="12"/>
  <c r="AR18" i="12" s="1"/>
  <c r="AQ11" i="12"/>
  <c r="AR11" i="12" s="1"/>
  <c r="AQ17" i="12"/>
  <c r="AR17" i="12" s="1"/>
  <c r="AQ22" i="12"/>
  <c r="AR22" i="12" s="1"/>
  <c r="AQ10" i="12"/>
  <c r="AR10" i="12" s="1"/>
  <c r="AQ15" i="12"/>
  <c r="AR15" i="12" s="1"/>
  <c r="AQ16" i="12"/>
  <c r="AR16" i="12" s="1"/>
  <c r="AQ19" i="12"/>
  <c r="AR19" i="12" s="1"/>
  <c r="AQ8" i="12"/>
  <c r="AR8" i="12" s="1"/>
  <c r="AQ13" i="12"/>
  <c r="AR13" i="12" s="1"/>
  <c r="AQ12" i="12"/>
  <c r="AR12" i="12" s="1"/>
  <c r="AQ21" i="12"/>
  <c r="AR21" i="12" s="1"/>
  <c r="AQ14" i="12"/>
  <c r="AR14" i="12" s="1"/>
  <c r="AQ20" i="12"/>
  <c r="AR20" i="12" s="1"/>
  <c r="AQ23" i="12"/>
  <c r="AR23" i="12" s="1"/>
  <c r="AW204" i="12"/>
  <c r="AW189" i="12"/>
  <c r="AW178" i="12"/>
  <c r="AW219" i="12"/>
  <c r="AW113" i="12"/>
  <c r="AW161" i="12"/>
  <c r="AW75" i="12"/>
  <c r="AB24" i="12"/>
  <c r="H13" i="13" s="1"/>
  <c r="H20" i="13" s="1"/>
  <c r="F13" i="13"/>
  <c r="AW85" i="12"/>
  <c r="AW78" i="12"/>
  <c r="AW191" i="12"/>
  <c r="AW63" i="12"/>
  <c r="AW142" i="12"/>
  <c r="AW126" i="12"/>
  <c r="AW101" i="12"/>
  <c r="AW73" i="12"/>
  <c r="AW136" i="12"/>
  <c r="AW55" i="12"/>
  <c r="AW89" i="12"/>
  <c r="AW218" i="12"/>
  <c r="AH4" i="12" l="1"/>
  <c r="T16" i="13" s="1"/>
  <c r="U16" i="13" s="1"/>
  <c r="AX187" i="12"/>
  <c r="AX137" i="12"/>
  <c r="AX36" i="12"/>
  <c r="AG21" i="12"/>
  <c r="AX221" i="12"/>
  <c r="AX129" i="12"/>
  <c r="AX39" i="12"/>
  <c r="AG17" i="12"/>
  <c r="AX48" i="12"/>
  <c r="AX131" i="12"/>
  <c r="AX82" i="12"/>
  <c r="AX133" i="12"/>
  <c r="AX214" i="12"/>
  <c r="AX157" i="12"/>
  <c r="AX205" i="12"/>
  <c r="AX155" i="12"/>
  <c r="AX176" i="12"/>
  <c r="AX41" i="12"/>
  <c r="AX125" i="12"/>
  <c r="AX173" i="12"/>
  <c r="AX89" i="12"/>
  <c r="AX35" i="12"/>
  <c r="AX226" i="12"/>
  <c r="AX144" i="12"/>
  <c r="AX180" i="12"/>
  <c r="AX147" i="12"/>
  <c r="AX80" i="12"/>
  <c r="AX203" i="12"/>
  <c r="AX215" i="12"/>
  <c r="AX92" i="12"/>
  <c r="AX228" i="12"/>
  <c r="AX85" i="12"/>
  <c r="AX68" i="12"/>
  <c r="AX223" i="12"/>
  <c r="AX34" i="12"/>
  <c r="AX65" i="12"/>
  <c r="AX172" i="12"/>
  <c r="AX149" i="12"/>
  <c r="AX158" i="12"/>
  <c r="AX210" i="12"/>
  <c r="AX189" i="12"/>
  <c r="AX62" i="12"/>
  <c r="AX142" i="12"/>
  <c r="AX152" i="12"/>
  <c r="AX224" i="12"/>
  <c r="AX175" i="12"/>
  <c r="AX47" i="12"/>
  <c r="AX166" i="12"/>
  <c r="AX209" i="12"/>
  <c r="AX67" i="12"/>
  <c r="AX138" i="12"/>
  <c r="AX54" i="12"/>
  <c r="AX120" i="12"/>
  <c r="AX171" i="12"/>
  <c r="AX163" i="12"/>
  <c r="AX53" i="12"/>
  <c r="AX45" i="12"/>
  <c r="AX227" i="12"/>
  <c r="AX167" i="12"/>
  <c r="AX206" i="12"/>
  <c r="AX225" i="12"/>
  <c r="AX64" i="12"/>
  <c r="AX96" i="12"/>
  <c r="AX140" i="12"/>
  <c r="AX198" i="12"/>
  <c r="AX204" i="12"/>
  <c r="AX56" i="12"/>
  <c r="AX72" i="12"/>
  <c r="AX111" i="12"/>
  <c r="AX70" i="12"/>
  <c r="AX182" i="12"/>
  <c r="AX220" i="12"/>
  <c r="AX127" i="12"/>
  <c r="AX179" i="12"/>
  <c r="AX143" i="12"/>
  <c r="AX42" i="12"/>
  <c r="AX164" i="12"/>
  <c r="AX83" i="12"/>
  <c r="AX168" i="12"/>
  <c r="AX128" i="12"/>
  <c r="AX219" i="12"/>
  <c r="AX76" i="12"/>
  <c r="AX170" i="12"/>
  <c r="AX58" i="12"/>
  <c r="AX95" i="12"/>
  <c r="AX71" i="12"/>
  <c r="AX154" i="12"/>
  <c r="AX184" i="12"/>
  <c r="AX116" i="12"/>
  <c r="AX153" i="12"/>
  <c r="AX177" i="12"/>
  <c r="AX57" i="12"/>
  <c r="AX103" i="12"/>
  <c r="AX229" i="12"/>
  <c r="AX75" i="12"/>
  <c r="AX87" i="12"/>
  <c r="AX211" i="12"/>
  <c r="AX191" i="12"/>
  <c r="AX118" i="12"/>
  <c r="AX146" i="12"/>
  <c r="AX90" i="12"/>
  <c r="AX201" i="12"/>
  <c r="AX190" i="12"/>
  <c r="AX52" i="12"/>
  <c r="AX44" i="12"/>
  <c r="AX200" i="12"/>
  <c r="AX123" i="12"/>
  <c r="AX61" i="12"/>
  <c r="AX74" i="12"/>
  <c r="AX193" i="12"/>
  <c r="AX55" i="12"/>
  <c r="AX195" i="12"/>
  <c r="AX51" i="12"/>
  <c r="AX79" i="12"/>
  <c r="AX78" i="12"/>
  <c r="AX99" i="12"/>
  <c r="AX194" i="12"/>
  <c r="AX63" i="12"/>
  <c r="AX186" i="12"/>
  <c r="AX148" i="12"/>
  <c r="AX119" i="12"/>
  <c r="AX156" i="12"/>
  <c r="AX100" i="12"/>
  <c r="AX66" i="12"/>
  <c r="AX114" i="12"/>
  <c r="AX104" i="12"/>
  <c r="AX160" i="12"/>
  <c r="AX84" i="12"/>
  <c r="AX124" i="12"/>
  <c r="AX159" i="12"/>
  <c r="AX37" i="12"/>
  <c r="AX50" i="12"/>
  <c r="AX141" i="12"/>
  <c r="AX115" i="12"/>
  <c r="AX77" i="12"/>
  <c r="AX93" i="12"/>
  <c r="AX109" i="12"/>
  <c r="AX162" i="12"/>
  <c r="AX222" i="12"/>
  <c r="AX81" i="12"/>
  <c r="AX197" i="12"/>
  <c r="AX139" i="12"/>
  <c r="AX73" i="12"/>
  <c r="AX60" i="12"/>
  <c r="AX122" i="12"/>
  <c r="AX94" i="12"/>
  <c r="AX88" i="12"/>
  <c r="AX40" i="12"/>
  <c r="AX178" i="12"/>
  <c r="AX46" i="12"/>
  <c r="AX218" i="12"/>
  <c r="AX213" i="12"/>
  <c r="AX108" i="12"/>
  <c r="AX97" i="12"/>
  <c r="AX169" i="12"/>
  <c r="AX135" i="12"/>
  <c r="AX110" i="12"/>
  <c r="AX112" i="12"/>
  <c r="AX185" i="12"/>
  <c r="AX101" i="12"/>
  <c r="AX188" i="12"/>
  <c r="AX43" i="12"/>
  <c r="AX121" i="12"/>
  <c r="AX106" i="12"/>
  <c r="AX202" i="12"/>
  <c r="AX38" i="12"/>
  <c r="AX216" i="12"/>
  <c r="AX102" i="12"/>
  <c r="AX183" i="12"/>
  <c r="AX132" i="12"/>
  <c r="AX208" i="12"/>
  <c r="AG20" i="12"/>
  <c r="AX192" i="12"/>
  <c r="AX126" i="12"/>
  <c r="AX217" i="12"/>
  <c r="AX212" i="12"/>
  <c r="AW156" i="12"/>
  <c r="AX134" i="12"/>
  <c r="AX130" i="12"/>
  <c r="AX161" i="12"/>
  <c r="AX49" i="12"/>
  <c r="AX113" i="12"/>
  <c r="AX91" i="12"/>
  <c r="AX165" i="12"/>
  <c r="AX136" i="12"/>
  <c r="AX174" i="12"/>
  <c r="AX105" i="12"/>
  <c r="AX117" i="12"/>
  <c r="AX199" i="12"/>
  <c r="AX98" i="12"/>
  <c r="AX196" i="12"/>
  <c r="AX107" i="12"/>
  <c r="AG13" i="12"/>
  <c r="AG5" i="12"/>
  <c r="AG7" i="12"/>
  <c r="AG18" i="12"/>
  <c r="AG16" i="12"/>
  <c r="AG6" i="12"/>
  <c r="AG9" i="12"/>
  <c r="AG14" i="12"/>
  <c r="AG8" i="12"/>
  <c r="AG23" i="12"/>
  <c r="AG10" i="12"/>
  <c r="AG15" i="12"/>
  <c r="AG11" i="12"/>
  <c r="AG19" i="12"/>
  <c r="AW38" i="12"/>
  <c r="AG12" i="12"/>
  <c r="AG22" i="12"/>
  <c r="AX145" i="12"/>
  <c r="AX59" i="12"/>
  <c r="AX69" i="12"/>
  <c r="AX207" i="12"/>
  <c r="AX150" i="12"/>
  <c r="AX86" i="12"/>
  <c r="AX181" i="12"/>
  <c r="AX151" i="12"/>
  <c r="AW221" i="12"/>
  <c r="F19" i="13"/>
  <c r="G19" i="13" s="1"/>
  <c r="G13" i="13"/>
  <c r="AS23" i="12"/>
  <c r="AT23" i="12"/>
  <c r="AT17" i="12"/>
  <c r="AS17" i="12"/>
  <c r="AS14" i="12"/>
  <c r="AT14" i="12"/>
  <c r="AT21" i="12"/>
  <c r="AS21" i="12"/>
  <c r="AS6" i="12"/>
  <c r="AT6" i="12"/>
  <c r="F16" i="13"/>
  <c r="G16" i="13" s="1"/>
  <c r="F17" i="13"/>
  <c r="G17" i="13" s="1"/>
  <c r="G15" i="13"/>
  <c r="AT10" i="12"/>
  <c r="AS10" i="12"/>
  <c r="AT20" i="12"/>
  <c r="AS20" i="12"/>
  <c r="AS18" i="12"/>
  <c r="AT18" i="12"/>
  <c r="AT12" i="12"/>
  <c r="AS12" i="12"/>
  <c r="AT7" i="12"/>
  <c r="AS7" i="12"/>
  <c r="AT13" i="12"/>
  <c r="AS13" i="12"/>
  <c r="AT5" i="12"/>
  <c r="AS5" i="12"/>
  <c r="AT22" i="12"/>
  <c r="AS22" i="12"/>
  <c r="AS11" i="12"/>
  <c r="AT11" i="12"/>
  <c r="AS8" i="12"/>
  <c r="AT8" i="12"/>
  <c r="AT9" i="12"/>
  <c r="AS9" i="12"/>
  <c r="AT19" i="12"/>
  <c r="AS19" i="12"/>
  <c r="AT16" i="12"/>
  <c r="AS16" i="12"/>
  <c r="AT15" i="12"/>
  <c r="AS15" i="12"/>
  <c r="AU4" i="12"/>
  <c r="AY33" i="12" s="1"/>
  <c r="AV4" i="12"/>
  <c r="T13" i="13"/>
  <c r="AH16" i="12" l="1"/>
  <c r="AH17" i="12"/>
  <c r="AH20" i="12"/>
  <c r="AH12" i="12"/>
  <c r="AH13" i="12"/>
  <c r="AH14" i="12"/>
  <c r="AH5" i="12"/>
  <c r="AH15" i="12"/>
  <c r="AH22" i="12"/>
  <c r="AH21" i="12"/>
  <c r="AH23" i="12"/>
  <c r="AH7" i="12"/>
  <c r="AH9" i="12"/>
  <c r="AH8" i="12"/>
  <c r="AH6" i="12"/>
  <c r="AH11" i="12"/>
  <c r="AH19" i="12"/>
  <c r="AH10" i="12"/>
  <c r="AH18" i="12"/>
  <c r="AU22" i="12"/>
  <c r="AV22" i="12"/>
  <c r="AV11" i="12"/>
  <c r="AU11" i="12"/>
  <c r="AU23" i="12"/>
  <c r="AV23" i="12"/>
  <c r="AV7" i="12"/>
  <c r="AU7" i="12"/>
  <c r="AV16" i="12"/>
  <c r="AU16" i="12"/>
  <c r="U13" i="13"/>
  <c r="AV19" i="12"/>
  <c r="AU19" i="12"/>
  <c r="AU10" i="12"/>
  <c r="AV10" i="12"/>
  <c r="AW10" i="12" s="1"/>
  <c r="AU6" i="12"/>
  <c r="AV6" i="12"/>
  <c r="AW6" i="12" s="1"/>
  <c r="T12" i="13"/>
  <c r="AY32" i="12"/>
  <c r="AV21" i="12"/>
  <c r="AU21" i="12"/>
  <c r="AV9" i="12"/>
  <c r="AU9" i="12"/>
  <c r="AV17" i="12"/>
  <c r="AU17" i="12"/>
  <c r="AV8" i="12"/>
  <c r="AU8" i="12"/>
  <c r="AV5" i="12"/>
  <c r="AU5" i="12"/>
  <c r="AV18" i="12"/>
  <c r="AU18" i="12"/>
  <c r="AV15" i="12"/>
  <c r="AU15" i="12"/>
  <c r="AV20" i="12"/>
  <c r="AU20" i="12"/>
  <c r="AW4" i="12"/>
  <c r="T14" i="13"/>
  <c r="AU13" i="12"/>
  <c r="AV13" i="12"/>
  <c r="AW13" i="12" s="1"/>
  <c r="AV12" i="12"/>
  <c r="AU12" i="12"/>
  <c r="AT24" i="12"/>
  <c r="AV14" i="12"/>
  <c r="AU14" i="12"/>
  <c r="AW23" i="12" l="1"/>
  <c r="AW19" i="12"/>
  <c r="AW11" i="12"/>
  <c r="AW20" i="12"/>
  <c r="AW15" i="12"/>
  <c r="AW21" i="12"/>
  <c r="AW14" i="12"/>
  <c r="AW7" i="12"/>
  <c r="AW9" i="12"/>
  <c r="AW18" i="12"/>
  <c r="AY5" i="12"/>
  <c r="AY123" i="12"/>
  <c r="AY142" i="12"/>
  <c r="AY223" i="12"/>
  <c r="AY63" i="12"/>
  <c r="AY191" i="12"/>
  <c r="AY180" i="12"/>
  <c r="AY36" i="12"/>
  <c r="AY151" i="12"/>
  <c r="AY141" i="12"/>
  <c r="AY213" i="12"/>
  <c r="AY169" i="12"/>
  <c r="AY67" i="12"/>
  <c r="AY72" i="12"/>
  <c r="AY145" i="12"/>
  <c r="AY79" i="12"/>
  <c r="AY109" i="12"/>
  <c r="AY131" i="12"/>
  <c r="AY211" i="12"/>
  <c r="AY166" i="12"/>
  <c r="AY224" i="12"/>
  <c r="AY176" i="12"/>
  <c r="AY90" i="12"/>
  <c r="AY137" i="12"/>
  <c r="AY118" i="12"/>
  <c r="AY153" i="12"/>
  <c r="AY107" i="12"/>
  <c r="AY48" i="12"/>
  <c r="AY229" i="12"/>
  <c r="AY51" i="12"/>
  <c r="AY85" i="12"/>
  <c r="AY93" i="12"/>
  <c r="AY65" i="12"/>
  <c r="AY222" i="12"/>
  <c r="AY43" i="12"/>
  <c r="AY218" i="12"/>
  <c r="AY148" i="12"/>
  <c r="AY74" i="12"/>
  <c r="AY58" i="12"/>
  <c r="AY70" i="12"/>
  <c r="AY136" i="12"/>
  <c r="AY170" i="12"/>
  <c r="AY228" i="12"/>
  <c r="AY158" i="12"/>
  <c r="AY34" i="12"/>
  <c r="AY178" i="12"/>
  <c r="AY163" i="12"/>
  <c r="AY57" i="12"/>
  <c r="AY71" i="12"/>
  <c r="AY96" i="12"/>
  <c r="AY38" i="12"/>
  <c r="AY219" i="12"/>
  <c r="AY185" i="12"/>
  <c r="AY35" i="12"/>
  <c r="AY49" i="12"/>
  <c r="AY171" i="12"/>
  <c r="AY156" i="12"/>
  <c r="AY173" i="12"/>
  <c r="AY203" i="12"/>
  <c r="AY177" i="12"/>
  <c r="AY82" i="12"/>
  <c r="AY139" i="12"/>
  <c r="AY83" i="12"/>
  <c r="AY53" i="12"/>
  <c r="AY207" i="12"/>
  <c r="AY69" i="12"/>
  <c r="AY212" i="12"/>
  <c r="AY66" i="12"/>
  <c r="AY60" i="12"/>
  <c r="AY204" i="12"/>
  <c r="AY210" i="12"/>
  <c r="AY206" i="12"/>
  <c r="AY179" i="12"/>
  <c r="AY87" i="12"/>
  <c r="AY119" i="12"/>
  <c r="AY186" i="12"/>
  <c r="AY215" i="12"/>
  <c r="AY152" i="12"/>
  <c r="AY209" i="12"/>
  <c r="AY40" i="12"/>
  <c r="AY143" i="12"/>
  <c r="AY128" i="12"/>
  <c r="AY47" i="12"/>
  <c r="AY55" i="12"/>
  <c r="AY106" i="12"/>
  <c r="AY198" i="12"/>
  <c r="AY161" i="12"/>
  <c r="AY50" i="12"/>
  <c r="AY52" i="12"/>
  <c r="AY144" i="12"/>
  <c r="AY116" i="12"/>
  <c r="AY181" i="12"/>
  <c r="AY98" i="12"/>
  <c r="AY175" i="12"/>
  <c r="AY226" i="12"/>
  <c r="AY86" i="12"/>
  <c r="AY227" i="12"/>
  <c r="AY133" i="12"/>
  <c r="AY97" i="12"/>
  <c r="AY100" i="12"/>
  <c r="AY125" i="12"/>
  <c r="AY134" i="12"/>
  <c r="AY92" i="12"/>
  <c r="AY62" i="12"/>
  <c r="AY44" i="12"/>
  <c r="AY105" i="12"/>
  <c r="AY138" i="12"/>
  <c r="AY159" i="12"/>
  <c r="AY195" i="12"/>
  <c r="AY110" i="12"/>
  <c r="AY127" i="12"/>
  <c r="AY132" i="12"/>
  <c r="AY201" i="12"/>
  <c r="AY117" i="12"/>
  <c r="AY46" i="12"/>
  <c r="AY197" i="12"/>
  <c r="AY164" i="12"/>
  <c r="AY103" i="12"/>
  <c r="AY208" i="12"/>
  <c r="AY130" i="12"/>
  <c r="AY217" i="12"/>
  <c r="AY184" i="12"/>
  <c r="AY45" i="12"/>
  <c r="AY122" i="12"/>
  <c r="AY205" i="12"/>
  <c r="AY135" i="12"/>
  <c r="AY182" i="12"/>
  <c r="AY108" i="12"/>
  <c r="AY221" i="12"/>
  <c r="AY216" i="12"/>
  <c r="AY155" i="12"/>
  <c r="AY120" i="12"/>
  <c r="AY112" i="12"/>
  <c r="AY199" i="12"/>
  <c r="AY68" i="12"/>
  <c r="AY113" i="12"/>
  <c r="AY73" i="12"/>
  <c r="AY39" i="12"/>
  <c r="AY187" i="12"/>
  <c r="AY76" i="12"/>
  <c r="AY150" i="12"/>
  <c r="AY102" i="12"/>
  <c r="AY214" i="12"/>
  <c r="AY167" i="12"/>
  <c r="AY183" i="12"/>
  <c r="AY220" i="12"/>
  <c r="AY190" i="12"/>
  <c r="AY124" i="12"/>
  <c r="AY89" i="12"/>
  <c r="AY84" i="12"/>
  <c r="AY202" i="12"/>
  <c r="AY168" i="12"/>
  <c r="AY121" i="12"/>
  <c r="AY174" i="12"/>
  <c r="AY94" i="12"/>
  <c r="AY80" i="12"/>
  <c r="AY165" i="12"/>
  <c r="AY115" i="12"/>
  <c r="AY88" i="12"/>
  <c r="AY78" i="12"/>
  <c r="AY146" i="12"/>
  <c r="AY42" i="12"/>
  <c r="AY104" i="12"/>
  <c r="AY75" i="12"/>
  <c r="AY77" i="12"/>
  <c r="AY160" i="12"/>
  <c r="AY95" i="12"/>
  <c r="AY194" i="12"/>
  <c r="AY126" i="12"/>
  <c r="AY200" i="12"/>
  <c r="AY61" i="12"/>
  <c r="AY56" i="12"/>
  <c r="AY149" i="12"/>
  <c r="AY41" i="12"/>
  <c r="AY129" i="12"/>
  <c r="AY59" i="12"/>
  <c r="AY140" i="12"/>
  <c r="AY54" i="12"/>
  <c r="AY99" i="12"/>
  <c r="AY64" i="12"/>
  <c r="AY37" i="12"/>
  <c r="AY193" i="12"/>
  <c r="AY154" i="12"/>
  <c r="AY81" i="12"/>
  <c r="AY196" i="12"/>
  <c r="AY162" i="12"/>
  <c r="AY188" i="12"/>
  <c r="AY192" i="12"/>
  <c r="AY157" i="12"/>
  <c r="AY111" i="12"/>
  <c r="AY225" i="12"/>
  <c r="AY101" i="12"/>
  <c r="AY114" i="12"/>
  <c r="AY189" i="12"/>
  <c r="AY147" i="12"/>
  <c r="AY172" i="12"/>
  <c r="AY91" i="12"/>
  <c r="AW16" i="12"/>
  <c r="AW12" i="12"/>
  <c r="AW5" i="12"/>
  <c r="AU24" i="12"/>
  <c r="AY16" i="12" s="1"/>
  <c r="AY7" i="12"/>
  <c r="AF24" i="12"/>
  <c r="V13" i="13"/>
  <c r="AW8" i="12"/>
  <c r="AW17" i="12"/>
  <c r="U14" i="13"/>
  <c r="T15" i="13"/>
  <c r="U15" i="13" s="1"/>
  <c r="U12" i="13"/>
  <c r="T19" i="13"/>
  <c r="U19" i="13" s="1"/>
  <c r="AW22" i="12"/>
  <c r="AY21" i="12" l="1"/>
  <c r="AY15" i="12"/>
  <c r="AY17" i="12"/>
  <c r="AY6" i="12"/>
  <c r="AY20" i="12"/>
  <c r="AY10" i="12"/>
  <c r="AY13" i="12"/>
  <c r="AY8" i="12"/>
  <c r="AY22" i="12"/>
  <c r="AY11" i="12"/>
  <c r="AY19" i="12"/>
  <c r="AY14" i="12"/>
  <c r="AY9" i="12"/>
  <c r="AZ93" i="12"/>
  <c r="AY23" i="12"/>
  <c r="AZ33" i="12"/>
  <c r="Q15" i="13" s="1"/>
  <c r="AZ168" i="12"/>
  <c r="AZ158" i="12"/>
  <c r="AZ187" i="12"/>
  <c r="AZ228" i="12"/>
  <c r="AZ42" i="12"/>
  <c r="AZ69" i="12"/>
  <c r="AZ91" i="12"/>
  <c r="AZ215" i="12"/>
  <c r="AZ78" i="12"/>
  <c r="AZ100" i="12"/>
  <c r="AZ70" i="12"/>
  <c r="AZ223" i="12"/>
  <c r="AZ75" i="12"/>
  <c r="AZ181" i="12"/>
  <c r="AZ92" i="12"/>
  <c r="AZ180" i="12"/>
  <c r="AZ84" i="12"/>
  <c r="AZ170" i="12"/>
  <c r="AZ149" i="12"/>
  <c r="AZ125" i="12"/>
  <c r="AZ185" i="12"/>
  <c r="AZ124" i="12"/>
  <c r="AZ122" i="12"/>
  <c r="AZ50" i="12"/>
  <c r="AZ53" i="12"/>
  <c r="AZ79" i="12"/>
  <c r="AZ147" i="12"/>
  <c r="AZ154" i="12"/>
  <c r="AZ61" i="12"/>
  <c r="AZ88" i="12"/>
  <c r="AZ190" i="12"/>
  <c r="AZ68" i="12"/>
  <c r="AZ45" i="12"/>
  <c r="AZ127" i="12"/>
  <c r="AZ97" i="12"/>
  <c r="AZ161" i="12"/>
  <c r="AZ119" i="12"/>
  <c r="AZ83" i="12"/>
  <c r="AZ38" i="12"/>
  <c r="AZ58" i="12"/>
  <c r="AZ107" i="12"/>
  <c r="AZ145" i="12"/>
  <c r="AZ142" i="12"/>
  <c r="AZ197" i="12"/>
  <c r="AZ40" i="12"/>
  <c r="AZ182" i="12"/>
  <c r="AZ49" i="12"/>
  <c r="AZ41" i="12"/>
  <c r="AZ152" i="12"/>
  <c r="AZ205" i="12"/>
  <c r="AZ136" i="12"/>
  <c r="AZ113" i="12"/>
  <c r="AZ132" i="12"/>
  <c r="AZ186" i="12"/>
  <c r="AZ219" i="12"/>
  <c r="AZ48" i="12"/>
  <c r="AZ189" i="12"/>
  <c r="AZ193" i="12"/>
  <c r="AZ200" i="12"/>
  <c r="AZ115" i="12"/>
  <c r="AZ220" i="12"/>
  <c r="AZ199" i="12"/>
  <c r="AZ184" i="12"/>
  <c r="AZ110" i="12"/>
  <c r="AZ133" i="12"/>
  <c r="AZ198" i="12"/>
  <c r="AZ87" i="12"/>
  <c r="AZ139" i="12"/>
  <c r="AZ96" i="12"/>
  <c r="AZ74" i="12"/>
  <c r="AZ153" i="12"/>
  <c r="AZ72" i="12"/>
  <c r="AZ123" i="12"/>
  <c r="AZ104" i="12"/>
  <c r="AZ85" i="12"/>
  <c r="AZ134" i="12"/>
  <c r="AZ52" i="12"/>
  <c r="AZ165" i="12"/>
  <c r="AZ59" i="12"/>
  <c r="AZ166" i="12"/>
  <c r="AZ202" i="12"/>
  <c r="AZ211" i="12"/>
  <c r="AZ39" i="12"/>
  <c r="AZ35" i="12"/>
  <c r="AZ196" i="12"/>
  <c r="AZ201" i="12"/>
  <c r="AZ207" i="12"/>
  <c r="W13" i="13"/>
  <c r="T17" i="13"/>
  <c r="U17" i="13" s="1"/>
  <c r="AZ183" i="12"/>
  <c r="AZ227" i="12"/>
  <c r="AZ148" i="12"/>
  <c r="BC24" i="12"/>
  <c r="BB24" i="12"/>
  <c r="AZ101" i="12"/>
  <c r="AZ64" i="12"/>
  <c r="AZ194" i="12"/>
  <c r="AZ80" i="12"/>
  <c r="AZ167" i="12"/>
  <c r="AZ120" i="12"/>
  <c r="AZ130" i="12"/>
  <c r="AZ159" i="12"/>
  <c r="AZ86" i="12"/>
  <c r="AZ55" i="12"/>
  <c r="AZ206" i="12"/>
  <c r="AZ177" i="12"/>
  <c r="AZ57" i="12"/>
  <c r="AZ218" i="12"/>
  <c r="AZ137" i="12"/>
  <c r="AZ169" i="12"/>
  <c r="AY12" i="12"/>
  <c r="AZ108" i="12"/>
  <c r="AZ36" i="12"/>
  <c r="AZ129" i="12"/>
  <c r="AZ209" i="12"/>
  <c r="AZ162" i="12"/>
  <c r="AZ144" i="12"/>
  <c r="AZ51" i="12"/>
  <c r="AZ89" i="12"/>
  <c r="AZ63" i="12"/>
  <c r="AZ56" i="12"/>
  <c r="AZ37" i="12"/>
  <c r="AZ217" i="12"/>
  <c r="AZ179" i="12"/>
  <c r="AZ67" i="12"/>
  <c r="AY18" i="12"/>
  <c r="AZ225" i="12"/>
  <c r="AZ99" i="12"/>
  <c r="AZ95" i="12"/>
  <c r="AZ94" i="12"/>
  <c r="AZ214" i="12"/>
  <c r="AZ155" i="12"/>
  <c r="AZ208" i="12"/>
  <c r="AZ138" i="12"/>
  <c r="AZ226" i="12"/>
  <c r="AZ47" i="12"/>
  <c r="AZ210" i="12"/>
  <c r="AZ203" i="12"/>
  <c r="AZ163" i="12"/>
  <c r="AZ43" i="12"/>
  <c r="AZ90" i="12"/>
  <c r="AZ213" i="12"/>
  <c r="AZ76" i="12"/>
  <c r="AZ171" i="12"/>
  <c r="AZ188" i="12"/>
  <c r="AZ212" i="12"/>
  <c r="AZ135" i="12"/>
  <c r="AZ131" i="12"/>
  <c r="AZ146" i="12"/>
  <c r="AZ229" i="12"/>
  <c r="AZ81" i="12"/>
  <c r="AZ114" i="12"/>
  <c r="AZ112" i="12"/>
  <c r="AZ106" i="12"/>
  <c r="AZ71" i="12"/>
  <c r="AZ111" i="12"/>
  <c r="AZ54" i="12"/>
  <c r="AZ160" i="12"/>
  <c r="AZ174" i="12"/>
  <c r="AZ102" i="12"/>
  <c r="AZ216" i="12"/>
  <c r="AZ103" i="12"/>
  <c r="AZ105" i="12"/>
  <c r="AZ175" i="12"/>
  <c r="AZ128" i="12"/>
  <c r="AZ204" i="12"/>
  <c r="AZ173" i="12"/>
  <c r="AZ178" i="12"/>
  <c r="AZ222" i="12"/>
  <c r="AZ176" i="12"/>
  <c r="AZ141" i="12"/>
  <c r="AZ192" i="12"/>
  <c r="AZ62" i="12"/>
  <c r="AZ66" i="12"/>
  <c r="AZ46" i="12"/>
  <c r="AZ116" i="12"/>
  <c r="AZ117" i="12"/>
  <c r="AZ191" i="12"/>
  <c r="AZ73" i="12"/>
  <c r="AZ109" i="12"/>
  <c r="AZ172" i="12"/>
  <c r="AZ126" i="12"/>
  <c r="AZ195" i="12"/>
  <c r="AZ82" i="12"/>
  <c r="AZ118" i="12"/>
  <c r="V12" i="13"/>
  <c r="AY4" i="12"/>
  <c r="AZ157" i="12"/>
  <c r="AZ140" i="12"/>
  <c r="AZ77" i="12"/>
  <c r="AZ121" i="12"/>
  <c r="AZ150" i="12"/>
  <c r="AZ221" i="12"/>
  <c r="AZ164" i="12"/>
  <c r="AZ44" i="12"/>
  <c r="AZ98" i="12"/>
  <c r="AZ143" i="12"/>
  <c r="AZ60" i="12"/>
  <c r="AZ156" i="12"/>
  <c r="AZ34" i="12"/>
  <c r="AZ65" i="12"/>
  <c r="AZ224" i="12"/>
  <c r="AZ151" i="12"/>
  <c r="AZ32" i="12"/>
  <c r="Q14" i="13" s="1"/>
  <c r="Q12" i="13" s="1"/>
  <c r="W12" i="13" l="1"/>
  <c r="T18" i="13"/>
  <c r="U18" i="13" s="1"/>
  <c r="V19" i="13"/>
  <c r="W19" i="13" s="1"/>
  <c r="C229" i="9" l="1"/>
  <c r="B229" i="9"/>
  <c r="C228" i="9"/>
  <c r="B228" i="9"/>
  <c r="C227" i="9"/>
  <c r="B227" i="9"/>
  <c r="C226" i="9"/>
  <c r="B226" i="9"/>
  <c r="C225" i="9"/>
  <c r="B225" i="9"/>
  <c r="C224" i="9"/>
  <c r="B224" i="9"/>
  <c r="C223" i="9"/>
  <c r="B223" i="9"/>
  <c r="C222" i="9"/>
  <c r="B222" i="9"/>
  <c r="C221" i="9"/>
  <c r="B221" i="9"/>
  <c r="C220" i="9"/>
  <c r="B220" i="9"/>
  <c r="C219" i="9"/>
  <c r="B219" i="9"/>
  <c r="C218" i="9"/>
  <c r="B218" i="9"/>
  <c r="C217" i="9"/>
  <c r="B217" i="9"/>
  <c r="C216" i="9"/>
  <c r="B216" i="9"/>
  <c r="C215" i="9"/>
  <c r="B215" i="9"/>
  <c r="C214" i="9"/>
  <c r="B214" i="9"/>
  <c r="C213" i="9"/>
  <c r="B213" i="9"/>
  <c r="C212" i="9"/>
  <c r="B212" i="9"/>
  <c r="C211" i="9"/>
  <c r="B211" i="9"/>
  <c r="C210" i="9"/>
  <c r="B210" i="9"/>
  <c r="C209" i="9"/>
  <c r="B209" i="9"/>
  <c r="C208" i="9"/>
  <c r="B208" i="9"/>
  <c r="C207" i="9"/>
  <c r="B207" i="9"/>
  <c r="C206" i="9"/>
  <c r="B206" i="9"/>
  <c r="C205" i="9"/>
  <c r="B205" i="9"/>
  <c r="C204" i="9"/>
  <c r="B204" i="9"/>
  <c r="C203" i="9"/>
  <c r="B203" i="9"/>
  <c r="C202" i="9"/>
  <c r="B202" i="9"/>
  <c r="C201" i="9"/>
  <c r="B201" i="9"/>
  <c r="C200" i="9"/>
  <c r="B200" i="9"/>
  <c r="C199" i="9"/>
  <c r="B199" i="9"/>
  <c r="C198" i="9"/>
  <c r="B198" i="9"/>
  <c r="C197" i="9"/>
  <c r="B197" i="9"/>
  <c r="C196" i="9"/>
  <c r="B196" i="9"/>
  <c r="C195" i="9"/>
  <c r="B195" i="9"/>
  <c r="C194" i="9"/>
  <c r="B194" i="9"/>
  <c r="C193" i="9"/>
  <c r="B193" i="9"/>
  <c r="C192" i="9"/>
  <c r="B192" i="9"/>
  <c r="C191" i="9"/>
  <c r="B191" i="9"/>
  <c r="C190" i="9"/>
  <c r="B190" i="9"/>
  <c r="C189" i="9"/>
  <c r="B189" i="9"/>
  <c r="C188" i="9"/>
  <c r="B188" i="9"/>
  <c r="C187" i="9"/>
  <c r="B187" i="9"/>
  <c r="C186" i="9"/>
  <c r="B186" i="9"/>
  <c r="C185" i="9"/>
  <c r="B185" i="9"/>
  <c r="C184" i="9"/>
  <c r="B184" i="9"/>
  <c r="C183" i="9"/>
  <c r="B183" i="9"/>
  <c r="C182" i="9"/>
  <c r="B182" i="9"/>
  <c r="C181" i="9"/>
  <c r="B181" i="9"/>
  <c r="C180" i="9"/>
  <c r="B180" i="9"/>
  <c r="C179" i="9"/>
  <c r="B179" i="9"/>
  <c r="C178" i="9"/>
  <c r="B178" i="9"/>
  <c r="C177" i="9"/>
  <c r="B177" i="9"/>
  <c r="C176" i="9"/>
  <c r="B176" i="9"/>
  <c r="C175" i="9"/>
  <c r="B175" i="9"/>
  <c r="C174" i="9"/>
  <c r="B174" i="9"/>
  <c r="C173" i="9"/>
  <c r="B173" i="9"/>
  <c r="C172" i="9"/>
  <c r="B172" i="9"/>
  <c r="C171" i="9"/>
  <c r="B171" i="9"/>
  <c r="C170" i="9"/>
  <c r="B170" i="9"/>
  <c r="C169" i="9"/>
  <c r="B169" i="9"/>
  <c r="C168" i="9"/>
  <c r="B168" i="9"/>
  <c r="C167" i="9"/>
  <c r="B167" i="9"/>
  <c r="C166" i="9"/>
  <c r="B166" i="9"/>
  <c r="C165" i="9"/>
  <c r="B165" i="9"/>
  <c r="C164" i="9"/>
  <c r="B164" i="9"/>
  <c r="C163" i="9"/>
  <c r="B163" i="9"/>
  <c r="C162" i="9"/>
  <c r="B162" i="9"/>
  <c r="C161" i="9"/>
  <c r="B161" i="9"/>
  <c r="C160" i="9"/>
  <c r="B160" i="9"/>
  <c r="C159" i="9"/>
  <c r="B159" i="9"/>
  <c r="C158" i="9"/>
  <c r="B158" i="9"/>
  <c r="C157" i="9"/>
  <c r="B157" i="9"/>
  <c r="C156" i="9"/>
  <c r="B156" i="9"/>
  <c r="C155" i="9"/>
  <c r="B155" i="9"/>
  <c r="K154" i="9"/>
  <c r="C154" i="9"/>
  <c r="B154" i="9"/>
  <c r="C153" i="9"/>
  <c r="B153" i="9"/>
  <c r="C152" i="9"/>
  <c r="B152" i="9"/>
  <c r="C151" i="9"/>
  <c r="B151" i="9"/>
  <c r="C150" i="9"/>
  <c r="B150" i="9"/>
  <c r="C149" i="9"/>
  <c r="B149" i="9"/>
  <c r="C148" i="9"/>
  <c r="B148" i="9"/>
  <c r="C147" i="9"/>
  <c r="B147" i="9"/>
  <c r="C146" i="9"/>
  <c r="B146" i="9"/>
  <c r="C145" i="9"/>
  <c r="B145" i="9"/>
  <c r="C144" i="9"/>
  <c r="B144" i="9"/>
  <c r="C143" i="9"/>
  <c r="B143" i="9"/>
  <c r="C142" i="9"/>
  <c r="B142" i="9"/>
  <c r="C141" i="9"/>
  <c r="B141" i="9"/>
  <c r="C140" i="9"/>
  <c r="B140" i="9"/>
  <c r="C139" i="9"/>
  <c r="B139" i="9"/>
  <c r="C138" i="9"/>
  <c r="B138" i="9"/>
  <c r="C137" i="9"/>
  <c r="B137" i="9"/>
  <c r="C136" i="9"/>
  <c r="B136" i="9"/>
  <c r="C135" i="9"/>
  <c r="B135" i="9"/>
  <c r="C134" i="9"/>
  <c r="B134" i="9"/>
  <c r="C133" i="9"/>
  <c r="B133" i="9"/>
  <c r="C132" i="9"/>
  <c r="B132" i="9"/>
  <c r="C131" i="9"/>
  <c r="B131" i="9"/>
  <c r="C130" i="9"/>
  <c r="B130" i="9"/>
  <c r="C129" i="9"/>
  <c r="B129" i="9"/>
  <c r="C128" i="9"/>
  <c r="B128" i="9"/>
  <c r="C127" i="9"/>
  <c r="B127" i="9"/>
  <c r="C126" i="9"/>
  <c r="B126" i="9"/>
  <c r="C125" i="9"/>
  <c r="B125" i="9"/>
  <c r="C124" i="9"/>
  <c r="B124" i="9"/>
  <c r="C123" i="9"/>
  <c r="B123" i="9"/>
  <c r="C122" i="9"/>
  <c r="B122" i="9"/>
  <c r="C121" i="9"/>
  <c r="B121" i="9"/>
  <c r="C120" i="9"/>
  <c r="B120" i="9"/>
  <c r="C119" i="9"/>
  <c r="B119" i="9"/>
  <c r="C118" i="9"/>
  <c r="B118" i="9"/>
  <c r="C117" i="9"/>
  <c r="B117" i="9"/>
  <c r="C116" i="9"/>
  <c r="B116" i="9"/>
  <c r="C115" i="9"/>
  <c r="B115" i="9"/>
  <c r="C114" i="9"/>
  <c r="B114" i="9"/>
  <c r="C113" i="9"/>
  <c r="B113" i="9"/>
  <c r="C112" i="9"/>
  <c r="B112" i="9"/>
  <c r="C111" i="9"/>
  <c r="B111" i="9"/>
  <c r="C110" i="9"/>
  <c r="B110" i="9"/>
  <c r="C109" i="9"/>
  <c r="B109" i="9"/>
  <c r="C108" i="9"/>
  <c r="B108" i="9"/>
  <c r="C107" i="9"/>
  <c r="B107" i="9"/>
  <c r="C106" i="9"/>
  <c r="B106" i="9"/>
  <c r="C105" i="9"/>
  <c r="B105" i="9"/>
  <c r="C104" i="9"/>
  <c r="B104" i="9"/>
  <c r="C103" i="9"/>
  <c r="B103" i="9"/>
  <c r="C102" i="9"/>
  <c r="B102" i="9"/>
  <c r="C101" i="9"/>
  <c r="B101" i="9"/>
  <c r="C100" i="9"/>
  <c r="B100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G85" i="9"/>
  <c r="C85" i="9"/>
  <c r="B85" i="9"/>
  <c r="C84" i="9"/>
  <c r="B84" i="9"/>
  <c r="C83" i="9"/>
  <c r="B83" i="9"/>
  <c r="C82" i="9"/>
  <c r="B82" i="9"/>
  <c r="C81" i="9"/>
  <c r="B81" i="9"/>
  <c r="L80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L66" i="9"/>
  <c r="C66" i="9"/>
  <c r="B66" i="9"/>
  <c r="C65" i="9"/>
  <c r="B65" i="9"/>
  <c r="C64" i="9"/>
  <c r="B64" i="9"/>
  <c r="C63" i="9"/>
  <c r="B63" i="9"/>
  <c r="C62" i="9"/>
  <c r="B62" i="9"/>
  <c r="I61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L49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K42" i="9"/>
  <c r="C42" i="9"/>
  <c r="B42" i="9"/>
  <c r="C41" i="9"/>
  <c r="B41" i="9"/>
  <c r="C40" i="9"/>
  <c r="B40" i="9"/>
  <c r="L39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K33" i="9" s="1"/>
  <c r="B33" i="9"/>
  <c r="C32" i="9"/>
  <c r="B32" i="9"/>
  <c r="J30" i="9"/>
  <c r="D30" i="9"/>
  <c r="B30" i="9" s="1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J24" i="9"/>
  <c r="E24" i="9"/>
  <c r="D24" i="9"/>
  <c r="F23" i="9"/>
  <c r="D23" i="9"/>
  <c r="B23" i="9"/>
  <c r="F22" i="9"/>
  <c r="D22" i="9"/>
  <c r="B22" i="9"/>
  <c r="F21" i="9"/>
  <c r="D21" i="9"/>
  <c r="B21" i="9"/>
  <c r="F20" i="9"/>
  <c r="D20" i="9" s="1"/>
  <c r="K20" i="9" s="1"/>
  <c r="B20" i="9"/>
  <c r="F19" i="9"/>
  <c r="D19" i="9"/>
  <c r="B19" i="9"/>
  <c r="J18" i="9"/>
  <c r="F18" i="9"/>
  <c r="D18" i="9" s="1"/>
  <c r="I18" i="9" s="1"/>
  <c r="B18" i="9"/>
  <c r="F17" i="9"/>
  <c r="D17" i="9" s="1"/>
  <c r="B17" i="9"/>
  <c r="J16" i="9"/>
  <c r="I16" i="9"/>
  <c r="F16" i="9"/>
  <c r="D16" i="9"/>
  <c r="H16" i="9" s="1"/>
  <c r="B16" i="9"/>
  <c r="F15" i="9"/>
  <c r="D15" i="9"/>
  <c r="B15" i="9"/>
  <c r="F14" i="9"/>
  <c r="D14" i="9"/>
  <c r="B14" i="9"/>
  <c r="F13" i="9"/>
  <c r="B13" i="9"/>
  <c r="L12" i="9"/>
  <c r="K12" i="9"/>
  <c r="N12" i="9" s="1"/>
  <c r="F12" i="9"/>
  <c r="D12" i="9"/>
  <c r="B12" i="9"/>
  <c r="K11" i="9"/>
  <c r="J11" i="9"/>
  <c r="F11" i="9"/>
  <c r="D11" i="9"/>
  <c r="B11" i="9"/>
  <c r="J10" i="9"/>
  <c r="I10" i="9"/>
  <c r="F10" i="9"/>
  <c r="D10" i="9"/>
  <c r="B10" i="9"/>
  <c r="H9" i="9"/>
  <c r="F9" i="9"/>
  <c r="D9" i="9"/>
  <c r="G9" i="9" s="1"/>
  <c r="B9" i="9"/>
  <c r="F8" i="9"/>
  <c r="D8" i="9"/>
  <c r="B8" i="9"/>
  <c r="F7" i="9"/>
  <c r="F6" i="9"/>
  <c r="O23" i="10" s="1"/>
  <c r="D6" i="9"/>
  <c r="F4" i="9"/>
  <c r="D4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B2" i="9"/>
  <c r="O200" i="8"/>
  <c r="B200" i="8"/>
  <c r="O199" i="8"/>
  <c r="B199" i="8"/>
  <c r="O198" i="8"/>
  <c r="B198" i="8"/>
  <c r="O197" i="8"/>
  <c r="B197" i="8"/>
  <c r="O196" i="8"/>
  <c r="B196" i="8"/>
  <c r="O195" i="8"/>
  <c r="B195" i="8"/>
  <c r="O194" i="8"/>
  <c r="B194" i="8"/>
  <c r="O193" i="8"/>
  <c r="B193" i="8"/>
  <c r="O192" i="8"/>
  <c r="B192" i="8"/>
  <c r="O191" i="8"/>
  <c r="B191" i="8"/>
  <c r="O190" i="8"/>
  <c r="B190" i="8"/>
  <c r="O189" i="8"/>
  <c r="B189" i="8"/>
  <c r="O188" i="8"/>
  <c r="B188" i="8"/>
  <c r="O187" i="8"/>
  <c r="B187" i="8"/>
  <c r="O186" i="8"/>
  <c r="B186" i="8"/>
  <c r="O185" i="8"/>
  <c r="B185" i="8"/>
  <c r="O184" i="8"/>
  <c r="B184" i="8"/>
  <c r="O183" i="8"/>
  <c r="B183" i="8"/>
  <c r="O182" i="8"/>
  <c r="B182" i="8"/>
  <c r="O181" i="8"/>
  <c r="B181" i="8"/>
  <c r="O180" i="8"/>
  <c r="B180" i="8"/>
  <c r="O179" i="8"/>
  <c r="B179" i="8"/>
  <c r="O178" i="8"/>
  <c r="B178" i="8"/>
  <c r="O177" i="8"/>
  <c r="B177" i="8"/>
  <c r="O176" i="8"/>
  <c r="B176" i="8"/>
  <c r="O175" i="8"/>
  <c r="B175" i="8"/>
  <c r="O174" i="8"/>
  <c r="B174" i="8"/>
  <c r="O173" i="8"/>
  <c r="B173" i="8"/>
  <c r="O172" i="8"/>
  <c r="B172" i="8"/>
  <c r="O171" i="8"/>
  <c r="B171" i="8"/>
  <c r="O170" i="8"/>
  <c r="B170" i="8"/>
  <c r="O169" i="8"/>
  <c r="B169" i="8"/>
  <c r="O168" i="8"/>
  <c r="B168" i="8"/>
  <c r="O167" i="8"/>
  <c r="B167" i="8"/>
  <c r="O166" i="8"/>
  <c r="B166" i="8"/>
  <c r="O165" i="8"/>
  <c r="B165" i="8"/>
  <c r="O164" i="8"/>
  <c r="B164" i="8"/>
  <c r="O163" i="8"/>
  <c r="B163" i="8"/>
  <c r="O162" i="8"/>
  <c r="B162" i="8"/>
  <c r="O161" i="8"/>
  <c r="B161" i="8"/>
  <c r="O160" i="8"/>
  <c r="B160" i="8"/>
  <c r="O159" i="8"/>
  <c r="B159" i="8"/>
  <c r="O158" i="8"/>
  <c r="B158" i="8"/>
  <c r="O157" i="8"/>
  <c r="B157" i="8"/>
  <c r="O156" i="8"/>
  <c r="B156" i="8"/>
  <c r="O155" i="8"/>
  <c r="B155" i="8"/>
  <c r="O154" i="8"/>
  <c r="B154" i="8"/>
  <c r="O153" i="8"/>
  <c r="B153" i="8"/>
  <c r="O152" i="8"/>
  <c r="B152" i="8"/>
  <c r="O151" i="8"/>
  <c r="B151" i="8"/>
  <c r="O150" i="8"/>
  <c r="B150" i="8"/>
  <c r="O149" i="8"/>
  <c r="B149" i="8"/>
  <c r="O148" i="8"/>
  <c r="B148" i="8"/>
  <c r="O147" i="8"/>
  <c r="B147" i="8"/>
  <c r="O146" i="8"/>
  <c r="B146" i="8"/>
  <c r="O145" i="8"/>
  <c r="B145" i="8"/>
  <c r="O144" i="8"/>
  <c r="B144" i="8"/>
  <c r="O143" i="8"/>
  <c r="B143" i="8"/>
  <c r="O142" i="8"/>
  <c r="B142" i="8"/>
  <c r="O141" i="8"/>
  <c r="B141" i="8"/>
  <c r="O140" i="8"/>
  <c r="B140" i="8"/>
  <c r="O139" i="8"/>
  <c r="B139" i="8"/>
  <c r="O138" i="8"/>
  <c r="B138" i="8"/>
  <c r="O137" i="8"/>
  <c r="B137" i="8"/>
  <c r="O136" i="8"/>
  <c r="B136" i="8"/>
  <c r="O135" i="8"/>
  <c r="B135" i="8"/>
  <c r="O134" i="8"/>
  <c r="B134" i="8"/>
  <c r="O133" i="8"/>
  <c r="B133" i="8"/>
  <c r="O132" i="8"/>
  <c r="B132" i="8"/>
  <c r="O131" i="8"/>
  <c r="B131" i="8"/>
  <c r="O130" i="8"/>
  <c r="B130" i="8"/>
  <c r="O129" i="8"/>
  <c r="B129" i="8"/>
  <c r="O128" i="8"/>
  <c r="B128" i="8"/>
  <c r="O127" i="8"/>
  <c r="B127" i="8"/>
  <c r="O126" i="8"/>
  <c r="B126" i="8"/>
  <c r="O125" i="8"/>
  <c r="B125" i="8"/>
  <c r="O124" i="8"/>
  <c r="B124" i="8"/>
  <c r="O123" i="8"/>
  <c r="B123" i="8"/>
  <c r="O122" i="8"/>
  <c r="B122" i="8"/>
  <c r="O121" i="8"/>
  <c r="B121" i="8"/>
  <c r="O120" i="8"/>
  <c r="B120" i="8"/>
  <c r="O119" i="8"/>
  <c r="B119" i="8"/>
  <c r="O118" i="8"/>
  <c r="B118" i="8"/>
  <c r="O117" i="8"/>
  <c r="B117" i="8"/>
  <c r="O116" i="8"/>
  <c r="B116" i="8"/>
  <c r="O115" i="8"/>
  <c r="B115" i="8"/>
  <c r="O114" i="8"/>
  <c r="B114" i="8"/>
  <c r="O113" i="8"/>
  <c r="B113" i="8"/>
  <c r="O112" i="8"/>
  <c r="B112" i="8"/>
  <c r="O111" i="8"/>
  <c r="B111" i="8"/>
  <c r="O110" i="8"/>
  <c r="B110" i="8"/>
  <c r="O109" i="8"/>
  <c r="B109" i="8"/>
  <c r="O108" i="8"/>
  <c r="B108" i="8"/>
  <c r="O107" i="8"/>
  <c r="B107" i="8"/>
  <c r="O106" i="8"/>
  <c r="B106" i="8"/>
  <c r="O105" i="8"/>
  <c r="B105" i="8"/>
  <c r="O104" i="8"/>
  <c r="B104" i="8"/>
  <c r="O103" i="8"/>
  <c r="B103" i="8"/>
  <c r="O102" i="8"/>
  <c r="B102" i="8"/>
  <c r="O101" i="8"/>
  <c r="B101" i="8"/>
  <c r="O100" i="8"/>
  <c r="B100" i="8"/>
  <c r="O99" i="8"/>
  <c r="B99" i="8"/>
  <c r="O98" i="8"/>
  <c r="B98" i="8"/>
  <c r="O97" i="8"/>
  <c r="B97" i="8"/>
  <c r="O96" i="8"/>
  <c r="B96" i="8"/>
  <c r="O95" i="8"/>
  <c r="B95" i="8"/>
  <c r="O94" i="8"/>
  <c r="B94" i="8"/>
  <c r="O93" i="8"/>
  <c r="B93" i="8"/>
  <c r="O92" i="8"/>
  <c r="B92" i="8"/>
  <c r="O91" i="8"/>
  <c r="B91" i="8"/>
  <c r="O90" i="8"/>
  <c r="B90" i="8"/>
  <c r="O89" i="8"/>
  <c r="B89" i="8"/>
  <c r="O88" i="8"/>
  <c r="B88" i="8"/>
  <c r="O87" i="8"/>
  <c r="B87" i="8"/>
  <c r="O86" i="8"/>
  <c r="B86" i="8"/>
  <c r="O85" i="8"/>
  <c r="B85" i="8"/>
  <c r="O84" i="8"/>
  <c r="B84" i="8"/>
  <c r="O83" i="8"/>
  <c r="B83" i="8"/>
  <c r="O82" i="8"/>
  <c r="B82" i="8"/>
  <c r="O81" i="8"/>
  <c r="B81" i="8"/>
  <c r="O80" i="8"/>
  <c r="B80" i="8"/>
  <c r="O79" i="8"/>
  <c r="B79" i="8"/>
  <c r="O78" i="8"/>
  <c r="B78" i="8"/>
  <c r="O77" i="8"/>
  <c r="B77" i="8"/>
  <c r="O76" i="8"/>
  <c r="B76" i="8"/>
  <c r="O75" i="8"/>
  <c r="B75" i="8"/>
  <c r="O74" i="8"/>
  <c r="B74" i="8"/>
  <c r="O73" i="8"/>
  <c r="B73" i="8"/>
  <c r="O72" i="8"/>
  <c r="B72" i="8"/>
  <c r="O71" i="8"/>
  <c r="B71" i="8"/>
  <c r="O70" i="8"/>
  <c r="B70" i="8"/>
  <c r="O69" i="8"/>
  <c r="B69" i="8"/>
  <c r="O68" i="8"/>
  <c r="B68" i="8"/>
  <c r="O67" i="8"/>
  <c r="B67" i="8"/>
  <c r="O66" i="8"/>
  <c r="B66" i="8"/>
  <c r="O65" i="8"/>
  <c r="B65" i="8"/>
  <c r="O64" i="8"/>
  <c r="B64" i="8"/>
  <c r="O63" i="8"/>
  <c r="B63" i="8"/>
  <c r="O62" i="8"/>
  <c r="B62" i="8"/>
  <c r="O61" i="8"/>
  <c r="B61" i="8"/>
  <c r="O60" i="8"/>
  <c r="B60" i="8"/>
  <c r="O59" i="8"/>
  <c r="B59" i="8"/>
  <c r="O58" i="8"/>
  <c r="B58" i="8"/>
  <c r="O57" i="8"/>
  <c r="B57" i="8"/>
  <c r="O56" i="8"/>
  <c r="B56" i="8"/>
  <c r="O55" i="8"/>
  <c r="B55" i="8"/>
  <c r="O54" i="8"/>
  <c r="B54" i="8"/>
  <c r="O53" i="8"/>
  <c r="B53" i="8"/>
  <c r="O52" i="8"/>
  <c r="B52" i="8"/>
  <c r="O51" i="8"/>
  <c r="B51" i="8"/>
  <c r="O50" i="8"/>
  <c r="B50" i="8"/>
  <c r="O49" i="8"/>
  <c r="B49" i="8"/>
  <c r="O48" i="8"/>
  <c r="B48" i="8"/>
  <c r="O47" i="8"/>
  <c r="B47" i="8"/>
  <c r="O46" i="8"/>
  <c r="B46" i="8"/>
  <c r="O45" i="8"/>
  <c r="B45" i="8"/>
  <c r="O44" i="8"/>
  <c r="B44" i="8"/>
  <c r="O43" i="8"/>
  <c r="B43" i="8"/>
  <c r="O42" i="8"/>
  <c r="B42" i="8"/>
  <c r="O41" i="8"/>
  <c r="B41" i="8"/>
  <c r="O40" i="8"/>
  <c r="B40" i="8"/>
  <c r="O39" i="8"/>
  <c r="B39" i="8"/>
  <c r="O38" i="8"/>
  <c r="B38" i="8"/>
  <c r="O37" i="8"/>
  <c r="B37" i="8"/>
  <c r="O36" i="8"/>
  <c r="B36" i="8"/>
  <c r="O35" i="8"/>
  <c r="B35" i="8"/>
  <c r="O34" i="8"/>
  <c r="B34" i="8"/>
  <c r="O33" i="8"/>
  <c r="B33" i="8"/>
  <c r="O32" i="8"/>
  <c r="B32" i="8"/>
  <c r="O31" i="8"/>
  <c r="B31" i="8"/>
  <c r="O30" i="8"/>
  <c r="B30" i="8"/>
  <c r="O29" i="8"/>
  <c r="B29" i="8"/>
  <c r="O28" i="8"/>
  <c r="B28" i="8"/>
  <c r="O27" i="8"/>
  <c r="B27" i="8"/>
  <c r="O26" i="8"/>
  <c r="B26" i="8"/>
  <c r="O25" i="8"/>
  <c r="B25" i="8"/>
  <c r="O24" i="8"/>
  <c r="B24" i="8"/>
  <c r="O23" i="8"/>
  <c r="B23" i="8"/>
  <c r="O22" i="8"/>
  <c r="B22" i="8"/>
  <c r="O21" i="8"/>
  <c r="B21" i="8"/>
  <c r="O20" i="8"/>
  <c r="B20" i="8"/>
  <c r="O19" i="8"/>
  <c r="B19" i="8"/>
  <c r="O18" i="8"/>
  <c r="B18" i="8"/>
  <c r="O17" i="8"/>
  <c r="B17" i="8"/>
  <c r="O16" i="8"/>
  <c r="B16" i="8"/>
  <c r="O15" i="8"/>
  <c r="B15" i="8"/>
  <c r="O14" i="8"/>
  <c r="B14" i="8"/>
  <c r="O13" i="8"/>
  <c r="B13" i="8"/>
  <c r="O12" i="8"/>
  <c r="B12" i="8"/>
  <c r="O11" i="8"/>
  <c r="B11" i="8"/>
  <c r="O10" i="8"/>
  <c r="B10" i="8"/>
  <c r="O9" i="8"/>
  <c r="B9" i="8"/>
  <c r="O8" i="8"/>
  <c r="B8" i="8"/>
  <c r="O7" i="8"/>
  <c r="B7" i="8"/>
  <c r="O6" i="8"/>
  <c r="B6" i="8"/>
  <c r="I179" i="9" s="1"/>
  <c r="O5" i="8"/>
  <c r="H8" i="9" s="1"/>
  <c r="B5" i="8"/>
  <c r="O4" i="8"/>
  <c r="B4" i="8"/>
  <c r="Y3" i="8" a="1"/>
  <c r="Y3" i="8" s="1"/>
  <c r="F5" i="9" s="1"/>
  <c r="O3" i="8"/>
  <c r="B3" i="8"/>
  <c r="O17" i="10" l="1"/>
  <c r="D5" i="9"/>
  <c r="N154" i="9"/>
  <c r="M85" i="9"/>
  <c r="O85" i="9" s="1"/>
  <c r="K4" i="9"/>
  <c r="I4" i="9"/>
  <c r="H4" i="9"/>
  <c r="G4" i="9"/>
  <c r="L4" i="9"/>
  <c r="J4" i="9"/>
  <c r="J36" i="9"/>
  <c r="L14" i="9"/>
  <c r="K59" i="9"/>
  <c r="H92" i="9"/>
  <c r="L21" i="9"/>
  <c r="L10" i="9"/>
  <c r="L18" i="9"/>
  <c r="L11" i="9"/>
  <c r="N11" i="9" s="1"/>
  <c r="J9" i="9"/>
  <c r="G21" i="9"/>
  <c r="H17" i="9"/>
  <c r="L16" i="9"/>
  <c r="J21" i="9"/>
  <c r="K10" i="9"/>
  <c r="L9" i="9"/>
  <c r="J8" i="9"/>
  <c r="I17" i="9"/>
  <c r="K21" i="9"/>
  <c r="N21" i="9" s="1"/>
  <c r="K18" i="9"/>
  <c r="N18" i="9" s="1"/>
  <c r="K17" i="9"/>
  <c r="K8" i="9"/>
  <c r="N8" i="9" s="1"/>
  <c r="J17" i="9"/>
  <c r="K9" i="9"/>
  <c r="N9" i="9" s="1"/>
  <c r="I8" i="9"/>
  <c r="K16" i="9"/>
  <c r="H15" i="9"/>
  <c r="J15" i="9"/>
  <c r="L15" i="9"/>
  <c r="G15" i="9"/>
  <c r="K15" i="9"/>
  <c r="N15" i="9" s="1"/>
  <c r="I15" i="9"/>
  <c r="L23" i="9"/>
  <c r="L82" i="9"/>
  <c r="H74" i="9"/>
  <c r="J79" i="9"/>
  <c r="J139" i="9"/>
  <c r="I45" i="9"/>
  <c r="L47" i="9"/>
  <c r="L133" i="9"/>
  <c r="G38" i="9"/>
  <c r="G109" i="9"/>
  <c r="I35" i="9"/>
  <c r="L36" i="9"/>
  <c r="G176" i="9"/>
  <c r="K89" i="9"/>
  <c r="N89" i="9" s="1"/>
  <c r="K70" i="9"/>
  <c r="N70" i="9" s="1"/>
  <c r="H47" i="9"/>
  <c r="K35" i="9"/>
  <c r="K85" i="9"/>
  <c r="H35" i="9"/>
  <c r="K51" i="9"/>
  <c r="L35" i="9"/>
  <c r="K139" i="9"/>
  <c r="J145" i="9"/>
  <c r="J133" i="9"/>
  <c r="K91" i="9"/>
  <c r="N91" i="9" s="1"/>
  <c r="H79" i="9"/>
  <c r="G47" i="9"/>
  <c r="J91" i="9"/>
  <c r="H106" i="9"/>
  <c r="I24" i="9"/>
  <c r="L43" i="9"/>
  <c r="G17" i="9"/>
  <c r="I9" i="9"/>
  <c r="J6" i="9"/>
  <c r="H6" i="9"/>
  <c r="L6" i="9"/>
  <c r="K6" i="9"/>
  <c r="N6" i="9" s="1"/>
  <c r="G6" i="9"/>
  <c r="I6" i="9"/>
  <c r="L113" i="9"/>
  <c r="G8" i="9"/>
  <c r="O29" i="10"/>
  <c r="D7" i="9"/>
  <c r="K22" i="9"/>
  <c r="N22" i="9" s="1"/>
  <c r="L81" i="9"/>
  <c r="K44" i="9"/>
  <c r="M9" i="9"/>
  <c r="J71" i="9"/>
  <c r="I71" i="9"/>
  <c r="G71" i="9"/>
  <c r="L71" i="9"/>
  <c r="K71" i="9"/>
  <c r="N71" i="9" s="1"/>
  <c r="H71" i="9"/>
  <c r="O11" i="10"/>
  <c r="C34" i="10"/>
  <c r="J12" i="9"/>
  <c r="H18" i="9"/>
  <c r="G41" i="9"/>
  <c r="L130" i="9"/>
  <c r="L8" i="9"/>
  <c r="D13" i="9"/>
  <c r="L17" i="9"/>
  <c r="G19" i="9"/>
  <c r="J20" i="9"/>
  <c r="G32" i="9"/>
  <c r="P85" i="9" s="1"/>
  <c r="G33" i="9"/>
  <c r="L34" i="9"/>
  <c r="J37" i="9"/>
  <c r="L37" i="9"/>
  <c r="K37" i="9"/>
  <c r="N37" i="9" s="1"/>
  <c r="H37" i="9"/>
  <c r="I41" i="9"/>
  <c r="I43" i="9"/>
  <c r="L45" i="9"/>
  <c r="L51" i="9"/>
  <c r="L59" i="9"/>
  <c r="L70" i="9"/>
  <c r="I74" i="9"/>
  <c r="L38" i="9"/>
  <c r="G43" i="9"/>
  <c r="N33" i="9"/>
  <c r="H41" i="9"/>
  <c r="H52" i="9"/>
  <c r="J84" i="9"/>
  <c r="L84" i="9"/>
  <c r="K84" i="9"/>
  <c r="N84" i="9" s="1"/>
  <c r="H84" i="9"/>
  <c r="I84" i="9"/>
  <c r="G84" i="9"/>
  <c r="H186" i="9"/>
  <c r="G186" i="9"/>
  <c r="L186" i="9"/>
  <c r="K186" i="9"/>
  <c r="I186" i="9"/>
  <c r="J186" i="9"/>
  <c r="H14" i="9"/>
  <c r="H19" i="9"/>
  <c r="L20" i="9"/>
  <c r="N20" i="9" s="1"/>
  <c r="I32" i="9"/>
  <c r="I33" i="9"/>
  <c r="I37" i="9"/>
  <c r="H40" i="9"/>
  <c r="L48" i="9"/>
  <c r="J52" i="9"/>
  <c r="K63" i="9"/>
  <c r="N63" i="9" s="1"/>
  <c r="K68" i="9"/>
  <c r="L86" i="9"/>
  <c r="J105" i="9"/>
  <c r="I20" i="9"/>
  <c r="H43" i="9"/>
  <c r="L64" i="9"/>
  <c r="K64" i="9"/>
  <c r="N64" i="9" s="1"/>
  <c r="J64" i="9"/>
  <c r="I64" i="9"/>
  <c r="H64" i="9"/>
  <c r="G64" i="9"/>
  <c r="G37" i="9"/>
  <c r="L41" i="9"/>
  <c r="G12" i="9"/>
  <c r="I14" i="9"/>
  <c r="I19" i="9"/>
  <c r="K32" i="9"/>
  <c r="J33" i="9"/>
  <c r="K36" i="9"/>
  <c r="I40" i="9"/>
  <c r="L42" i="9"/>
  <c r="N42" i="9" s="1"/>
  <c r="J42" i="9"/>
  <c r="J44" i="9"/>
  <c r="L44" i="9"/>
  <c r="K53" i="9"/>
  <c r="H57" i="9"/>
  <c r="L63" i="9"/>
  <c r="J67" i="9"/>
  <c r="G67" i="9"/>
  <c r="L67" i="9"/>
  <c r="K67" i="9"/>
  <c r="N67" i="9" s="1"/>
  <c r="I67" i="9"/>
  <c r="L68" i="9"/>
  <c r="J90" i="9"/>
  <c r="I90" i="9"/>
  <c r="L90" i="9"/>
  <c r="H90" i="9"/>
  <c r="K90" i="9"/>
  <c r="N90" i="9" s="1"/>
  <c r="J100" i="9"/>
  <c r="I100" i="9"/>
  <c r="L100" i="9"/>
  <c r="H100" i="9"/>
  <c r="L137" i="9"/>
  <c r="K137" i="9"/>
  <c r="N137" i="9" s="1"/>
  <c r="J137" i="9"/>
  <c r="I137" i="9"/>
  <c r="H137" i="9"/>
  <c r="G137" i="9"/>
  <c r="J130" i="9"/>
  <c r="I130" i="9"/>
  <c r="H130" i="9"/>
  <c r="G130" i="9"/>
  <c r="K130" i="9"/>
  <c r="N130" i="9" s="1"/>
  <c r="I226" i="9"/>
  <c r="I220" i="9"/>
  <c r="G219" i="9"/>
  <c r="J214" i="9"/>
  <c r="I207" i="9"/>
  <c r="H206" i="9"/>
  <c r="J219" i="9"/>
  <c r="K207" i="9"/>
  <c r="L226" i="9"/>
  <c r="I219" i="9"/>
  <c r="H207" i="9"/>
  <c r="J226" i="9"/>
  <c r="L220" i="9"/>
  <c r="L206" i="9"/>
  <c r="K226" i="9"/>
  <c r="N226" i="9" s="1"/>
  <c r="J221" i="9"/>
  <c r="H215" i="9"/>
  <c r="G213" i="9"/>
  <c r="I202" i="9"/>
  <c r="G198" i="9"/>
  <c r="J193" i="9"/>
  <c r="J191" i="9"/>
  <c r="I184" i="9"/>
  <c r="H182" i="9"/>
  <c r="G180" i="9"/>
  <c r="L177" i="9"/>
  <c r="H174" i="9"/>
  <c r="J171" i="9"/>
  <c r="K168" i="9"/>
  <c r="J167" i="9"/>
  <c r="I166" i="9"/>
  <c r="L225" i="9"/>
  <c r="H221" i="9"/>
  <c r="G215" i="9"/>
  <c r="J206" i="9"/>
  <c r="L195" i="9"/>
  <c r="I191" i="9"/>
  <c r="G182" i="9"/>
  <c r="K177" i="9"/>
  <c r="N177" i="9" s="1"/>
  <c r="G174" i="9"/>
  <c r="L172" i="9"/>
  <c r="J168" i="9"/>
  <c r="H166" i="9"/>
  <c r="G162" i="9"/>
  <c r="J225" i="9"/>
  <c r="G221" i="9"/>
  <c r="G206" i="9"/>
  <c r="G202" i="9"/>
  <c r="I225" i="9"/>
  <c r="K220" i="9"/>
  <c r="N220" i="9" s="1"/>
  <c r="L212" i="9"/>
  <c r="G195" i="9"/>
  <c r="I177" i="9"/>
  <c r="J172" i="9"/>
  <c r="H168" i="9"/>
  <c r="K164" i="9"/>
  <c r="K160" i="9"/>
  <c r="N160" i="9" s="1"/>
  <c r="H225" i="9"/>
  <c r="I216" i="9"/>
  <c r="I215" i="9"/>
  <c r="L213" i="9"/>
  <c r="I203" i="9"/>
  <c r="I196" i="9"/>
  <c r="K189" i="9"/>
  <c r="L182" i="9"/>
  <c r="L180" i="9"/>
  <c r="H170" i="9"/>
  <c r="L168" i="9"/>
  <c r="H160" i="9"/>
  <c r="G159" i="9"/>
  <c r="K155" i="9"/>
  <c r="N155" i="9" s="1"/>
  <c r="G225" i="9"/>
  <c r="L219" i="9"/>
  <c r="I214" i="9"/>
  <c r="J213" i="9"/>
  <c r="L205" i="9"/>
  <c r="H203" i="9"/>
  <c r="H196" i="9"/>
  <c r="I189" i="9"/>
  <c r="K182" i="9"/>
  <c r="N182" i="9" s="1"/>
  <c r="I180" i="9"/>
  <c r="G170" i="9"/>
  <c r="I168" i="9"/>
  <c r="G160" i="9"/>
  <c r="J155" i="9"/>
  <c r="J227" i="9"/>
  <c r="K219" i="9"/>
  <c r="N219" i="9" s="1"/>
  <c r="G217" i="9"/>
  <c r="H213" i="9"/>
  <c r="K205" i="9"/>
  <c r="G199" i="9"/>
  <c r="G189" i="9"/>
  <c r="J182" i="9"/>
  <c r="J181" i="9"/>
  <c r="G169" i="9"/>
  <c r="G168" i="9"/>
  <c r="H227" i="9"/>
  <c r="J220" i="9"/>
  <c r="H219" i="9"/>
  <c r="L209" i="9"/>
  <c r="J205" i="9"/>
  <c r="L191" i="9"/>
  <c r="I182" i="9"/>
  <c r="K167" i="9"/>
  <c r="L164" i="9"/>
  <c r="L162" i="9"/>
  <c r="H155" i="9"/>
  <c r="I198" i="9"/>
  <c r="L187" i="9"/>
  <c r="G184" i="9"/>
  <c r="I178" i="9"/>
  <c r="L170" i="9"/>
  <c r="J164" i="9"/>
  <c r="I162" i="9"/>
  <c r="L160" i="9"/>
  <c r="J157" i="9"/>
  <c r="L155" i="9"/>
  <c r="H150" i="9"/>
  <c r="H148" i="9"/>
  <c r="H146" i="9"/>
  <c r="H144" i="9"/>
  <c r="H142" i="9"/>
  <c r="H138" i="9"/>
  <c r="H198" i="9"/>
  <c r="K187" i="9"/>
  <c r="H178" i="9"/>
  <c r="K172" i="9"/>
  <c r="N172" i="9" s="1"/>
  <c r="K170" i="9"/>
  <c r="I164" i="9"/>
  <c r="H162" i="9"/>
  <c r="J160" i="9"/>
  <c r="I157" i="9"/>
  <c r="I155" i="9"/>
  <c r="G150" i="9"/>
  <c r="G148" i="9"/>
  <c r="G146" i="9"/>
  <c r="G144" i="9"/>
  <c r="G142" i="9"/>
  <c r="G138" i="9"/>
  <c r="L215" i="9"/>
  <c r="H208" i="9"/>
  <c r="L196" i="9"/>
  <c r="G194" i="9"/>
  <c r="J187" i="9"/>
  <c r="G178" i="9"/>
  <c r="L174" i="9"/>
  <c r="I172" i="9"/>
  <c r="J170" i="9"/>
  <c r="H164" i="9"/>
  <c r="I160" i="9"/>
  <c r="L159" i="9"/>
  <c r="H157" i="9"/>
  <c r="G155" i="9"/>
  <c r="L153" i="9"/>
  <c r="L140" i="9"/>
  <c r="L136" i="9"/>
  <c r="J215" i="9"/>
  <c r="I209" i="9"/>
  <c r="K196" i="9"/>
  <c r="N196" i="9" s="1"/>
  <c r="K193" i="9"/>
  <c r="N193" i="9" s="1"/>
  <c r="I187" i="9"/>
  <c r="K174" i="9"/>
  <c r="H172" i="9"/>
  <c r="I170" i="9"/>
  <c r="L166" i="9"/>
  <c r="G164" i="9"/>
  <c r="K159" i="9"/>
  <c r="N159" i="9" s="1"/>
  <c r="G157" i="9"/>
  <c r="K153" i="9"/>
  <c r="N153" i="9" s="1"/>
  <c r="K140" i="9"/>
  <c r="N140" i="9" s="1"/>
  <c r="K136" i="9"/>
  <c r="N136" i="9" s="1"/>
  <c r="K162" i="9"/>
  <c r="N162" i="9" s="1"/>
  <c r="H153" i="9"/>
  <c r="J149" i="9"/>
  <c r="L148" i="9"/>
  <c r="J143" i="9"/>
  <c r="L142" i="9"/>
  <c r="K138" i="9"/>
  <c r="L223" i="9"/>
  <c r="K184" i="9"/>
  <c r="J162" i="9"/>
  <c r="G153" i="9"/>
  <c r="I149" i="9"/>
  <c r="K148" i="9"/>
  <c r="N148" i="9" s="1"/>
  <c r="I143" i="9"/>
  <c r="K142" i="9"/>
  <c r="J138" i="9"/>
  <c r="H127" i="9"/>
  <c r="K122" i="9"/>
  <c r="H119" i="9"/>
  <c r="K114" i="9"/>
  <c r="H111" i="9"/>
  <c r="K106" i="9"/>
  <c r="N106" i="9" s="1"/>
  <c r="H98" i="9"/>
  <c r="H97" i="9"/>
  <c r="H86" i="9"/>
  <c r="H85" i="9"/>
  <c r="H80" i="9"/>
  <c r="J202" i="9"/>
  <c r="K195" i="9"/>
  <c r="I158" i="9"/>
  <c r="I148" i="9"/>
  <c r="I142" i="9"/>
  <c r="L204" i="9"/>
  <c r="J196" i="9"/>
  <c r="J192" i="9"/>
  <c r="J188" i="9"/>
  <c r="L178" i="9"/>
  <c r="I174" i="9"/>
  <c r="J159" i="9"/>
  <c r="I153" i="9"/>
  <c r="L146" i="9"/>
  <c r="I139" i="9"/>
  <c r="J136" i="9"/>
  <c r="G135" i="9"/>
  <c r="G121" i="9"/>
  <c r="G119" i="9"/>
  <c r="H118" i="9"/>
  <c r="G117" i="9"/>
  <c r="H116" i="9"/>
  <c r="H114" i="9"/>
  <c r="J113" i="9"/>
  <c r="L111" i="9"/>
  <c r="G102" i="9"/>
  <c r="J97" i="9"/>
  <c r="G89" i="9"/>
  <c r="G80" i="9"/>
  <c r="G204" i="9"/>
  <c r="L202" i="9"/>
  <c r="K199" i="9"/>
  <c r="N199" i="9" s="1"/>
  <c r="I192" i="9"/>
  <c r="K178" i="9"/>
  <c r="N178" i="9" s="1"/>
  <c r="I159" i="9"/>
  <c r="K146" i="9"/>
  <c r="H139" i="9"/>
  <c r="I136" i="9"/>
  <c r="I113" i="9"/>
  <c r="K111" i="9"/>
  <c r="N111" i="9" s="1"/>
  <c r="L108" i="9"/>
  <c r="L105" i="9"/>
  <c r="G97" i="9"/>
  <c r="H192" i="9"/>
  <c r="J178" i="9"/>
  <c r="K166" i="9"/>
  <c r="N166" i="9" s="1"/>
  <c r="H159" i="9"/>
  <c r="K158" i="9"/>
  <c r="J146" i="9"/>
  <c r="J140" i="9"/>
  <c r="H136" i="9"/>
  <c r="H113" i="9"/>
  <c r="J111" i="9"/>
  <c r="K108" i="9"/>
  <c r="N108" i="9" s="1"/>
  <c r="K105" i="9"/>
  <c r="N105" i="9" s="1"/>
  <c r="L96" i="9"/>
  <c r="G192" i="9"/>
  <c r="J175" i="9"/>
  <c r="J166" i="9"/>
  <c r="L222" i="9"/>
  <c r="I222" i="9"/>
  <c r="K203" i="9"/>
  <c r="N203" i="9" s="1"/>
  <c r="J173" i="9"/>
  <c r="I151" i="9"/>
  <c r="K144" i="9"/>
  <c r="N144" i="9" s="1"/>
  <c r="L138" i="9"/>
  <c r="H135" i="9"/>
  <c r="K129" i="9"/>
  <c r="H122" i="9"/>
  <c r="J119" i="9"/>
  <c r="K116" i="9"/>
  <c r="N116" i="9" s="1"/>
  <c r="L216" i="9"/>
  <c r="G193" i="9"/>
  <c r="H173" i="9"/>
  <c r="G166" i="9"/>
  <c r="K163" i="9"/>
  <c r="L150" i="9"/>
  <c r="J144" i="9"/>
  <c r="I138" i="9"/>
  <c r="J129" i="9"/>
  <c r="L127" i="9"/>
  <c r="H105" i="9"/>
  <c r="J95" i="9"/>
  <c r="J222" i="9"/>
  <c r="L176" i="9"/>
  <c r="G173" i="9"/>
  <c r="G171" i="9"/>
  <c r="H158" i="9"/>
  <c r="L157" i="9"/>
  <c r="K150" i="9"/>
  <c r="N150" i="9" s="1"/>
  <c r="J147" i="9"/>
  <c r="I144" i="9"/>
  <c r="I129" i="9"/>
  <c r="K127" i="9"/>
  <c r="N127" i="9" s="1"/>
  <c r="K123" i="9"/>
  <c r="G105" i="9"/>
  <c r="K176" i="9"/>
  <c r="N176" i="9" s="1"/>
  <c r="G158" i="9"/>
  <c r="K157" i="9"/>
  <c r="K156" i="9"/>
  <c r="N156" i="9" s="1"/>
  <c r="J150" i="9"/>
  <c r="I147" i="9"/>
  <c r="I140" i="9"/>
  <c r="H129" i="9"/>
  <c r="J127" i="9"/>
  <c r="J123" i="9"/>
  <c r="K120" i="9"/>
  <c r="J117" i="9"/>
  <c r="L207" i="9"/>
  <c r="J200" i="9"/>
  <c r="K191" i="9"/>
  <c r="N191" i="9" s="1"/>
  <c r="J176" i="9"/>
  <c r="J174" i="9"/>
  <c r="J156" i="9"/>
  <c r="I150" i="9"/>
  <c r="H140" i="9"/>
  <c r="G129" i="9"/>
  <c r="G127" i="9"/>
  <c r="I123" i="9"/>
  <c r="L121" i="9"/>
  <c r="H120" i="9"/>
  <c r="H117" i="9"/>
  <c r="H200" i="9"/>
  <c r="J198" i="9"/>
  <c r="L179" i="9"/>
  <c r="G167" i="9"/>
  <c r="J151" i="9"/>
  <c r="I146" i="9"/>
  <c r="I145" i="9"/>
  <c r="I133" i="9"/>
  <c r="L124" i="9"/>
  <c r="H123" i="9"/>
  <c r="J121" i="9"/>
  <c r="G103" i="9"/>
  <c r="H96" i="9"/>
  <c r="I89" i="9"/>
  <c r="L69" i="9"/>
  <c r="L56" i="9"/>
  <c r="G140" i="9"/>
  <c r="K135" i="9"/>
  <c r="H133" i="9"/>
  <c r="K124" i="9"/>
  <c r="N124" i="9" s="1"/>
  <c r="G123" i="9"/>
  <c r="I121" i="9"/>
  <c r="L119" i="9"/>
  <c r="L94" i="9"/>
  <c r="H89" i="9"/>
  <c r="K69" i="9"/>
  <c r="N69" i="9" s="1"/>
  <c r="K56" i="9"/>
  <c r="J135" i="9"/>
  <c r="G133" i="9"/>
  <c r="H124" i="9"/>
  <c r="H121" i="9"/>
  <c r="K119" i="9"/>
  <c r="N119" i="9" s="1"/>
  <c r="L118" i="9"/>
  <c r="I107" i="9"/>
  <c r="G101" i="9"/>
  <c r="K94" i="9"/>
  <c r="N94" i="9" s="1"/>
  <c r="I69" i="9"/>
  <c r="J56" i="9"/>
  <c r="I135" i="9"/>
  <c r="K118" i="9"/>
  <c r="N118" i="9" s="1"/>
  <c r="H107" i="9"/>
  <c r="H94" i="9"/>
  <c r="H69" i="9"/>
  <c r="I56" i="9"/>
  <c r="G136" i="9"/>
  <c r="L116" i="9"/>
  <c r="G111" i="9"/>
  <c r="L97" i="9"/>
  <c r="G94" i="9"/>
  <c r="L85" i="9"/>
  <c r="J153" i="9"/>
  <c r="J148" i="9"/>
  <c r="J142" i="9"/>
  <c r="L129" i="9"/>
  <c r="H102" i="9"/>
  <c r="K95" i="9"/>
  <c r="N95" i="9" s="1"/>
  <c r="J85" i="9"/>
  <c r="I200" i="9"/>
  <c r="L131" i="9"/>
  <c r="K103" i="9"/>
  <c r="K102" i="9"/>
  <c r="L93" i="9"/>
  <c r="G86" i="9"/>
  <c r="K81" i="9"/>
  <c r="J68" i="9"/>
  <c r="K66" i="9"/>
  <c r="N66" i="9" s="1"/>
  <c r="G52" i="9"/>
  <c r="I51" i="9"/>
  <c r="H45" i="9"/>
  <c r="G40" i="9"/>
  <c r="I39" i="9"/>
  <c r="G35" i="9"/>
  <c r="J103" i="9"/>
  <c r="L95" i="9"/>
  <c r="K93" i="9"/>
  <c r="J81" i="9"/>
  <c r="L78" i="9"/>
  <c r="I68" i="9"/>
  <c r="J66" i="9"/>
  <c r="L55" i="9"/>
  <c r="I103" i="9"/>
  <c r="I95" i="9"/>
  <c r="I81" i="9"/>
  <c r="K78" i="9"/>
  <c r="K75" i="9"/>
  <c r="H68" i="9"/>
  <c r="I66" i="9"/>
  <c r="H62" i="9"/>
  <c r="G60" i="9"/>
  <c r="K55" i="9"/>
  <c r="H54" i="9"/>
  <c r="I48" i="9"/>
  <c r="G39" i="9"/>
  <c r="L203" i="9"/>
  <c r="J177" i="9"/>
  <c r="H108" i="9"/>
  <c r="G104" i="9"/>
  <c r="H103" i="9"/>
  <c r="H95" i="9"/>
  <c r="H81" i="9"/>
  <c r="H75" i="9"/>
  <c r="G68" i="9"/>
  <c r="H66" i="9"/>
  <c r="G62" i="9"/>
  <c r="H56" i="9"/>
  <c r="I55" i="9"/>
  <c r="G54" i="9"/>
  <c r="G177" i="9"/>
  <c r="K97" i="9"/>
  <c r="N97" i="9" s="1"/>
  <c r="K96" i="9"/>
  <c r="L74" i="9"/>
  <c r="G66" i="9"/>
  <c r="G56" i="9"/>
  <c r="H55" i="9"/>
  <c r="K121" i="9"/>
  <c r="N121" i="9" s="1"/>
  <c r="I105" i="9"/>
  <c r="L98" i="9"/>
  <c r="K80" i="9"/>
  <c r="N80" i="9" s="1"/>
  <c r="J74" i="9"/>
  <c r="K57" i="9"/>
  <c r="K49" i="9"/>
  <c r="N49" i="9" s="1"/>
  <c r="I47" i="9"/>
  <c r="J22" i="9"/>
  <c r="I22" i="9"/>
  <c r="H22" i="9"/>
  <c r="G22" i="9"/>
  <c r="H32" i="9"/>
  <c r="K74" i="9"/>
  <c r="J92" i="9"/>
  <c r="I92" i="9"/>
  <c r="L92" i="9"/>
  <c r="K92" i="9"/>
  <c r="N92" i="9" s="1"/>
  <c r="G92" i="9"/>
  <c r="J110" i="9"/>
  <c r="I110" i="9"/>
  <c r="G110" i="9"/>
  <c r="L110" i="9"/>
  <c r="K110" i="9"/>
  <c r="H110" i="9"/>
  <c r="G11" i="9"/>
  <c r="H12" i="9"/>
  <c r="J14" i="9"/>
  <c r="G18" i="9"/>
  <c r="J19" i="9"/>
  <c r="L22" i="9"/>
  <c r="L33" i="9"/>
  <c r="G36" i="9"/>
  <c r="J40" i="9"/>
  <c r="G42" i="9"/>
  <c r="G44" i="9"/>
  <c r="L53" i="9"/>
  <c r="I57" i="9"/>
  <c r="H67" i="9"/>
  <c r="G90" i="9"/>
  <c r="G100" i="9"/>
  <c r="L115" i="9"/>
  <c r="I115" i="9"/>
  <c r="H115" i="9"/>
  <c r="G115" i="9"/>
  <c r="K115" i="9"/>
  <c r="N115" i="9" s="1"/>
  <c r="J115" i="9"/>
  <c r="V67" i="10"/>
  <c r="M27" i="10"/>
  <c r="M24" i="10"/>
  <c r="M26" i="10"/>
  <c r="M25" i="10"/>
  <c r="J41" i="9"/>
  <c r="K41" i="9"/>
  <c r="N41" i="9" s="1"/>
  <c r="G10" i="9"/>
  <c r="H11" i="9"/>
  <c r="I12" i="9"/>
  <c r="K14" i="9"/>
  <c r="G16" i="9"/>
  <c r="K19" i="9"/>
  <c r="K23" i="9"/>
  <c r="J23" i="9"/>
  <c r="I23" i="9"/>
  <c r="H23" i="9"/>
  <c r="G23" i="9"/>
  <c r="H36" i="9"/>
  <c r="K40" i="9"/>
  <c r="H42" i="9"/>
  <c r="H44" i="9"/>
  <c r="H46" i="9"/>
  <c r="L46" i="9"/>
  <c r="K46" i="9"/>
  <c r="J46" i="9"/>
  <c r="I46" i="9"/>
  <c r="G46" i="9"/>
  <c r="H49" i="9"/>
  <c r="L57" i="9"/>
  <c r="G72" i="9"/>
  <c r="G76" i="9"/>
  <c r="K100" i="9"/>
  <c r="N100" i="9" s="1"/>
  <c r="G113" i="9"/>
  <c r="L154" i="9"/>
  <c r="J154" i="9"/>
  <c r="I154" i="9"/>
  <c r="G154" i="9"/>
  <c r="H50" i="9"/>
  <c r="G50" i="9"/>
  <c r="L50" i="9"/>
  <c r="K50" i="9"/>
  <c r="J50" i="9"/>
  <c r="I50" i="9"/>
  <c r="J43" i="9"/>
  <c r="K43" i="9"/>
  <c r="N43" i="9" s="1"/>
  <c r="H20" i="9"/>
  <c r="G20" i="9"/>
  <c r="J59" i="9"/>
  <c r="G59" i="9"/>
  <c r="I59" i="9"/>
  <c r="H59" i="9"/>
  <c r="L32" i="9"/>
  <c r="J32" i="9"/>
  <c r="K34" i="9"/>
  <c r="N34" i="9" s="1"/>
  <c r="J34" i="9"/>
  <c r="I34" i="9"/>
  <c r="H34" i="9"/>
  <c r="G34" i="9"/>
  <c r="G14" i="9"/>
  <c r="H33" i="9"/>
  <c r="G172" i="9"/>
  <c r="H10" i="9"/>
  <c r="I11" i="9"/>
  <c r="L19" i="9"/>
  <c r="I36" i="9"/>
  <c r="K39" i="9"/>
  <c r="N39" i="9" s="1"/>
  <c r="L40" i="9"/>
  <c r="I42" i="9"/>
  <c r="I44" i="9"/>
  <c r="I49" i="9"/>
  <c r="H61" i="9"/>
  <c r="H76" i="9"/>
  <c r="K83" i="9"/>
  <c r="L83" i="9"/>
  <c r="J83" i="9"/>
  <c r="I83" i="9"/>
  <c r="H83" i="9"/>
  <c r="G83" i="9"/>
  <c r="I85" i="9"/>
  <c r="G98" i="9"/>
  <c r="K113" i="9"/>
  <c r="L144" i="9"/>
  <c r="H154" i="9"/>
  <c r="G179" i="9"/>
  <c r="L72" i="9"/>
  <c r="K72" i="9"/>
  <c r="N72" i="9" s="1"/>
  <c r="J72" i="9"/>
  <c r="I72" i="9"/>
  <c r="H72" i="9"/>
  <c r="H38" i="9"/>
  <c r="L54" i="9"/>
  <c r="K54" i="9"/>
  <c r="N54" i="9" s="1"/>
  <c r="I54" i="9"/>
  <c r="L62" i="9"/>
  <c r="K62" i="9"/>
  <c r="N62" i="9" s="1"/>
  <c r="J62" i="9"/>
  <c r="J75" i="9"/>
  <c r="I75" i="9"/>
  <c r="G75" i="9"/>
  <c r="G95" i="9"/>
  <c r="J126" i="9"/>
  <c r="I126" i="9"/>
  <c r="G126" i="9"/>
  <c r="L126" i="9"/>
  <c r="K126" i="9"/>
  <c r="N126" i="9" s="1"/>
  <c r="H126" i="9"/>
  <c r="J128" i="9"/>
  <c r="I128" i="9"/>
  <c r="G128" i="9"/>
  <c r="L128" i="9"/>
  <c r="H128" i="9"/>
  <c r="I38" i="9"/>
  <c r="J39" i="9"/>
  <c r="H48" i="9"/>
  <c r="G48" i="9"/>
  <c r="J60" i="9"/>
  <c r="I60" i="9"/>
  <c r="L60" i="9"/>
  <c r="K60" i="9"/>
  <c r="N60" i="9" s="1"/>
  <c r="H60" i="9"/>
  <c r="K128" i="9"/>
  <c r="J38" i="9"/>
  <c r="J53" i="9"/>
  <c r="G53" i="9"/>
  <c r="H70" i="9"/>
  <c r="G70" i="9"/>
  <c r="H21" i="9"/>
  <c r="J35" i="9"/>
  <c r="K38" i="9"/>
  <c r="N38" i="9" s="1"/>
  <c r="H39" i="9"/>
  <c r="J45" i="9"/>
  <c r="K45" i="9"/>
  <c r="G45" i="9"/>
  <c r="J48" i="9"/>
  <c r="J51" i="9"/>
  <c r="H51" i="9"/>
  <c r="G51" i="9"/>
  <c r="L52" i="9"/>
  <c r="K52" i="9"/>
  <c r="N52" i="9" s="1"/>
  <c r="I52" i="9"/>
  <c r="H53" i="9"/>
  <c r="J54" i="9"/>
  <c r="I62" i="9"/>
  <c r="I70" i="9"/>
  <c r="L75" i="9"/>
  <c r="I21" i="9"/>
  <c r="K48" i="9"/>
  <c r="I53" i="9"/>
  <c r="J70" i="9"/>
  <c r="K76" i="9"/>
  <c r="J76" i="9"/>
  <c r="L76" i="9"/>
  <c r="I76" i="9"/>
  <c r="J104" i="9"/>
  <c r="I104" i="9"/>
  <c r="H58" i="9"/>
  <c r="G58" i="9"/>
  <c r="J65" i="9"/>
  <c r="G65" i="9"/>
  <c r="J77" i="9"/>
  <c r="I77" i="9"/>
  <c r="G77" i="9"/>
  <c r="K87" i="9"/>
  <c r="J87" i="9"/>
  <c r="H87" i="9"/>
  <c r="L87" i="9"/>
  <c r="K99" i="9"/>
  <c r="N99" i="9" s="1"/>
  <c r="J99" i="9"/>
  <c r="H99" i="9"/>
  <c r="H104" i="9"/>
  <c r="I127" i="9"/>
  <c r="L152" i="9"/>
  <c r="H152" i="9"/>
  <c r="G152" i="9"/>
  <c r="K152" i="9"/>
  <c r="N152" i="9" s="1"/>
  <c r="J152" i="9"/>
  <c r="I152" i="9"/>
  <c r="I58" i="9"/>
  <c r="H65" i="9"/>
  <c r="H77" i="9"/>
  <c r="G87" i="9"/>
  <c r="G99" i="9"/>
  <c r="K104" i="9"/>
  <c r="N104" i="9" s="1"/>
  <c r="J58" i="9"/>
  <c r="J63" i="9"/>
  <c r="G63" i="9"/>
  <c r="I65" i="9"/>
  <c r="K77" i="9"/>
  <c r="H78" i="9"/>
  <c r="G78" i="9"/>
  <c r="I87" i="9"/>
  <c r="L91" i="9"/>
  <c r="H91" i="9"/>
  <c r="I99" i="9"/>
  <c r="L104" i="9"/>
  <c r="L125" i="9"/>
  <c r="K125" i="9"/>
  <c r="N125" i="9" s="1"/>
  <c r="I125" i="9"/>
  <c r="J125" i="9"/>
  <c r="H125" i="9"/>
  <c r="G125" i="9"/>
  <c r="J134" i="9"/>
  <c r="I134" i="9"/>
  <c r="H134" i="9"/>
  <c r="G134" i="9"/>
  <c r="L134" i="9"/>
  <c r="K134" i="9"/>
  <c r="N134" i="9" s="1"/>
  <c r="H224" i="9"/>
  <c r="G224" i="9"/>
  <c r="L224" i="9"/>
  <c r="J224" i="9"/>
  <c r="I224" i="9"/>
  <c r="J49" i="9"/>
  <c r="K58" i="9"/>
  <c r="N58" i="9" s="1"/>
  <c r="H63" i="9"/>
  <c r="K65" i="9"/>
  <c r="N65" i="9" s="1"/>
  <c r="J73" i="9"/>
  <c r="I73" i="9"/>
  <c r="G73" i="9"/>
  <c r="K73" i="9"/>
  <c r="H73" i="9"/>
  <c r="L77" i="9"/>
  <c r="I78" i="9"/>
  <c r="L79" i="9"/>
  <c r="K79" i="9"/>
  <c r="N79" i="9" s="1"/>
  <c r="I79" i="9"/>
  <c r="J82" i="9"/>
  <c r="I82" i="9"/>
  <c r="H82" i="9"/>
  <c r="G82" i="9"/>
  <c r="G91" i="9"/>
  <c r="J93" i="9"/>
  <c r="I93" i="9"/>
  <c r="H93" i="9"/>
  <c r="L99" i="9"/>
  <c r="J112" i="9"/>
  <c r="I112" i="9"/>
  <c r="G112" i="9"/>
  <c r="L112" i="9"/>
  <c r="K112" i="9"/>
  <c r="N112" i="9" s="1"/>
  <c r="H112" i="9"/>
  <c r="K224" i="9"/>
  <c r="J47" i="9"/>
  <c r="K47" i="9"/>
  <c r="N47" i="9" s="1"/>
  <c r="G49" i="9"/>
  <c r="J55" i="9"/>
  <c r="G55" i="9"/>
  <c r="L58" i="9"/>
  <c r="J61" i="9"/>
  <c r="G61" i="9"/>
  <c r="L61" i="9"/>
  <c r="K61" i="9"/>
  <c r="N61" i="9" s="1"/>
  <c r="I63" i="9"/>
  <c r="L65" i="9"/>
  <c r="L73" i="9"/>
  <c r="G74" i="9"/>
  <c r="J78" i="9"/>
  <c r="G79" i="9"/>
  <c r="G81" i="9"/>
  <c r="K82" i="9"/>
  <c r="I91" i="9"/>
  <c r="G93" i="9"/>
  <c r="I176" i="9"/>
  <c r="K229" i="9"/>
  <c r="H229" i="9"/>
  <c r="G229" i="9"/>
  <c r="L229" i="9"/>
  <c r="J229" i="9"/>
  <c r="L141" i="9"/>
  <c r="K141" i="9"/>
  <c r="J141" i="9"/>
  <c r="I141" i="9"/>
  <c r="H141" i="9"/>
  <c r="I229" i="9"/>
  <c r="L107" i="9"/>
  <c r="K107" i="9"/>
  <c r="N107" i="9" s="1"/>
  <c r="J107" i="9"/>
  <c r="J132" i="9"/>
  <c r="I132" i="9"/>
  <c r="H132" i="9"/>
  <c r="G132" i="9"/>
  <c r="G141" i="9"/>
  <c r="L101" i="9"/>
  <c r="J101" i="9"/>
  <c r="K101" i="9"/>
  <c r="N101" i="9" s="1"/>
  <c r="I101" i="9"/>
  <c r="H101" i="9"/>
  <c r="G107" i="9"/>
  <c r="K132" i="9"/>
  <c r="L109" i="9"/>
  <c r="K109" i="9"/>
  <c r="N109" i="9" s="1"/>
  <c r="I109" i="9"/>
  <c r="J109" i="9"/>
  <c r="H109" i="9"/>
  <c r="I111" i="9"/>
  <c r="L132" i="9"/>
  <c r="K133" i="9"/>
  <c r="N133" i="9" s="1"/>
  <c r="H228" i="9"/>
  <c r="G228" i="9"/>
  <c r="L228" i="9"/>
  <c r="K228" i="9"/>
  <c r="N228" i="9" s="1"/>
  <c r="I228" i="9"/>
  <c r="J228" i="9"/>
  <c r="J88" i="9"/>
  <c r="I88" i="9"/>
  <c r="L88" i="9"/>
  <c r="H88" i="9"/>
  <c r="I97" i="9"/>
  <c r="J131" i="9"/>
  <c r="I131" i="9"/>
  <c r="G131" i="9"/>
  <c r="G88" i="9"/>
  <c r="L89" i="9"/>
  <c r="J89" i="9"/>
  <c r="J102" i="9"/>
  <c r="I102" i="9"/>
  <c r="L102" i="9"/>
  <c r="L117" i="9"/>
  <c r="K117" i="9"/>
  <c r="N117" i="9" s="1"/>
  <c r="I117" i="9"/>
  <c r="J118" i="9"/>
  <c r="I118" i="9"/>
  <c r="G118" i="9"/>
  <c r="I119" i="9"/>
  <c r="H131" i="9"/>
  <c r="L156" i="9"/>
  <c r="H156" i="9"/>
  <c r="G156" i="9"/>
  <c r="H185" i="9"/>
  <c r="K185" i="9"/>
  <c r="N185" i="9" s="1"/>
  <c r="J185" i="9"/>
  <c r="G185" i="9"/>
  <c r="I185" i="9"/>
  <c r="J57" i="9"/>
  <c r="G57" i="9"/>
  <c r="J69" i="9"/>
  <c r="G69" i="9"/>
  <c r="K88" i="9"/>
  <c r="N88" i="9" s="1"/>
  <c r="J94" i="9"/>
  <c r="I94" i="9"/>
  <c r="L103" i="9"/>
  <c r="J120" i="9"/>
  <c r="I120" i="9"/>
  <c r="G120" i="9"/>
  <c r="L120" i="9"/>
  <c r="L123" i="9"/>
  <c r="K131" i="9"/>
  <c r="N131" i="9" s="1"/>
  <c r="I156" i="9"/>
  <c r="L185" i="9"/>
  <c r="J80" i="9"/>
  <c r="J86" i="9"/>
  <c r="I86" i="9"/>
  <c r="J98" i="9"/>
  <c r="I98" i="9"/>
  <c r="J106" i="9"/>
  <c r="I106" i="9"/>
  <c r="G106" i="9"/>
  <c r="J114" i="9"/>
  <c r="I114" i="9"/>
  <c r="G114" i="9"/>
  <c r="J122" i="9"/>
  <c r="I122" i="9"/>
  <c r="G122" i="9"/>
  <c r="J96" i="9"/>
  <c r="I96" i="9"/>
  <c r="L139" i="9"/>
  <c r="I80" i="9"/>
  <c r="K86" i="9"/>
  <c r="G96" i="9"/>
  <c r="K98" i="9"/>
  <c r="N98" i="9" s="1"/>
  <c r="L106" i="9"/>
  <c r="J108" i="9"/>
  <c r="I108" i="9"/>
  <c r="G108" i="9"/>
  <c r="L114" i="9"/>
  <c r="J116" i="9"/>
  <c r="I116" i="9"/>
  <c r="G116" i="9"/>
  <c r="L122" i="9"/>
  <c r="J124" i="9"/>
  <c r="I124" i="9"/>
  <c r="G124" i="9"/>
  <c r="L135" i="9"/>
  <c r="G139" i="9"/>
  <c r="L165" i="9"/>
  <c r="K165" i="9"/>
  <c r="N165" i="9" s="1"/>
  <c r="J165" i="9"/>
  <c r="H165" i="9"/>
  <c r="I165" i="9"/>
  <c r="G165" i="9"/>
  <c r="H183" i="9"/>
  <c r="L183" i="9"/>
  <c r="K183" i="9"/>
  <c r="J183" i="9"/>
  <c r="I183" i="9"/>
  <c r="G183" i="9"/>
  <c r="L192" i="9"/>
  <c r="K192" i="9"/>
  <c r="N192" i="9" s="1"/>
  <c r="L194" i="9"/>
  <c r="K194" i="9"/>
  <c r="I194" i="9"/>
  <c r="K208" i="9"/>
  <c r="J208" i="9"/>
  <c r="I208" i="9"/>
  <c r="G208" i="9"/>
  <c r="L143" i="9"/>
  <c r="K143" i="9"/>
  <c r="N143" i="9" s="1"/>
  <c r="L145" i="9"/>
  <c r="K145" i="9"/>
  <c r="N145" i="9" s="1"/>
  <c r="L147" i="9"/>
  <c r="K147" i="9"/>
  <c r="N147" i="9" s="1"/>
  <c r="L149" i="9"/>
  <c r="K149" i="9"/>
  <c r="N149" i="9" s="1"/>
  <c r="L151" i="9"/>
  <c r="K151" i="9"/>
  <c r="N151" i="9" s="1"/>
  <c r="L161" i="9"/>
  <c r="J161" i="9"/>
  <c r="H161" i="9"/>
  <c r="I161" i="9"/>
  <c r="L163" i="9"/>
  <c r="H163" i="9"/>
  <c r="G163" i="9"/>
  <c r="H197" i="9"/>
  <c r="L197" i="9"/>
  <c r="K197" i="9"/>
  <c r="N197" i="9" s="1"/>
  <c r="J197" i="9"/>
  <c r="I197" i="9"/>
  <c r="K223" i="9"/>
  <c r="N223" i="9" s="1"/>
  <c r="H223" i="9"/>
  <c r="G223" i="9"/>
  <c r="G143" i="9"/>
  <c r="G145" i="9"/>
  <c r="G147" i="9"/>
  <c r="G149" i="9"/>
  <c r="G151" i="9"/>
  <c r="G161" i="9"/>
  <c r="I163" i="9"/>
  <c r="L175" i="9"/>
  <c r="K175" i="9"/>
  <c r="I175" i="9"/>
  <c r="H175" i="9"/>
  <c r="J190" i="9"/>
  <c r="I190" i="9"/>
  <c r="G190" i="9"/>
  <c r="L190" i="9"/>
  <c r="K190" i="9"/>
  <c r="N190" i="9" s="1"/>
  <c r="H190" i="9"/>
  <c r="H194" i="9"/>
  <c r="G197" i="9"/>
  <c r="K200" i="9"/>
  <c r="L200" i="9"/>
  <c r="L208" i="9"/>
  <c r="I223" i="9"/>
  <c r="H143" i="9"/>
  <c r="H145" i="9"/>
  <c r="H147" i="9"/>
  <c r="H149" i="9"/>
  <c r="H151" i="9"/>
  <c r="K161" i="9"/>
  <c r="J163" i="9"/>
  <c r="L173" i="9"/>
  <c r="K173" i="9"/>
  <c r="N173" i="9" s="1"/>
  <c r="I173" i="9"/>
  <c r="G175" i="9"/>
  <c r="J194" i="9"/>
  <c r="G200" i="9"/>
  <c r="J223" i="9"/>
  <c r="L169" i="9"/>
  <c r="K169" i="9"/>
  <c r="N169" i="9" s="1"/>
  <c r="I169" i="9"/>
  <c r="H181" i="9"/>
  <c r="I181" i="9"/>
  <c r="G181" i="9"/>
  <c r="H199" i="9"/>
  <c r="L199" i="9"/>
  <c r="L217" i="9"/>
  <c r="J217" i="9"/>
  <c r="K217" i="9"/>
  <c r="N217" i="9" s="1"/>
  <c r="I217" i="9"/>
  <c r="L188" i="9"/>
  <c r="K188" i="9"/>
  <c r="N188" i="9" s="1"/>
  <c r="I188" i="9"/>
  <c r="G196" i="9"/>
  <c r="H201" i="9"/>
  <c r="L201" i="9"/>
  <c r="K201" i="9"/>
  <c r="N201" i="9" s="1"/>
  <c r="J201" i="9"/>
  <c r="I201" i="9"/>
  <c r="I211" i="9"/>
  <c r="G211" i="9"/>
  <c r="L211" i="9"/>
  <c r="J211" i="9"/>
  <c r="H169" i="9"/>
  <c r="K181" i="9"/>
  <c r="H187" i="9"/>
  <c r="G188" i="9"/>
  <c r="I199" i="9"/>
  <c r="G201" i="9"/>
  <c r="K210" i="9"/>
  <c r="L210" i="9"/>
  <c r="J210" i="9"/>
  <c r="H210" i="9"/>
  <c r="I210" i="9"/>
  <c r="G210" i="9"/>
  <c r="H211" i="9"/>
  <c r="H217" i="9"/>
  <c r="Q217" i="9" s="1"/>
  <c r="L158" i="9"/>
  <c r="J158" i="9"/>
  <c r="J169" i="9"/>
  <c r="H179" i="9"/>
  <c r="K179" i="9"/>
  <c r="N179" i="9" s="1"/>
  <c r="J179" i="9"/>
  <c r="L181" i="9"/>
  <c r="G187" i="9"/>
  <c r="H188" i="9"/>
  <c r="Q188" i="9" s="1"/>
  <c r="J199" i="9"/>
  <c r="K211" i="9"/>
  <c r="N211" i="9" s="1"/>
  <c r="L167" i="9"/>
  <c r="I167" i="9"/>
  <c r="L171" i="9"/>
  <c r="K171" i="9"/>
  <c r="N171" i="9" s="1"/>
  <c r="I171" i="9"/>
  <c r="L184" i="9"/>
  <c r="J184" i="9"/>
  <c r="H193" i="9"/>
  <c r="Q193" i="9" s="1"/>
  <c r="L193" i="9"/>
  <c r="K202" i="9"/>
  <c r="H218" i="9"/>
  <c r="G218" i="9"/>
  <c r="L218" i="9"/>
  <c r="K218" i="9"/>
  <c r="N218" i="9" s="1"/>
  <c r="I218" i="9"/>
  <c r="H167" i="9"/>
  <c r="H171" i="9"/>
  <c r="K180" i="9"/>
  <c r="N180" i="9" s="1"/>
  <c r="J180" i="9"/>
  <c r="H180" i="9"/>
  <c r="H184" i="9"/>
  <c r="I193" i="9"/>
  <c r="K198" i="9"/>
  <c r="L198" i="9"/>
  <c r="H202" i="9"/>
  <c r="K213" i="9"/>
  <c r="N213" i="9" s="1"/>
  <c r="I213" i="9"/>
  <c r="J218" i="9"/>
  <c r="K227" i="9"/>
  <c r="L227" i="9"/>
  <c r="I227" i="9"/>
  <c r="H189" i="9"/>
  <c r="L189" i="9"/>
  <c r="J189" i="9"/>
  <c r="G205" i="9"/>
  <c r="I205" i="9"/>
  <c r="H205" i="9"/>
  <c r="G209" i="9"/>
  <c r="K209" i="9"/>
  <c r="J209" i="9"/>
  <c r="H209" i="9"/>
  <c r="H222" i="9"/>
  <c r="G222" i="9"/>
  <c r="K222" i="9"/>
  <c r="N222" i="9" s="1"/>
  <c r="G227" i="9"/>
  <c r="H195" i="9"/>
  <c r="K204" i="9"/>
  <c r="H204" i="9"/>
  <c r="H216" i="9"/>
  <c r="G216" i="9"/>
  <c r="H176" i="9"/>
  <c r="H191" i="9"/>
  <c r="I195" i="9"/>
  <c r="I204" i="9"/>
  <c r="J216" i="9"/>
  <c r="H177" i="9"/>
  <c r="G191" i="9"/>
  <c r="J195" i="9"/>
  <c r="J204" i="9"/>
  <c r="K215" i="9"/>
  <c r="N215" i="9" s="1"/>
  <c r="K216" i="9"/>
  <c r="N216" i="9" s="1"/>
  <c r="K221" i="9"/>
  <c r="N221" i="9" s="1"/>
  <c r="L221" i="9"/>
  <c r="I221" i="9"/>
  <c r="K225" i="9"/>
  <c r="N225" i="9" s="1"/>
  <c r="G203" i="9"/>
  <c r="K206" i="9"/>
  <c r="N206" i="9" s="1"/>
  <c r="G207" i="9"/>
  <c r="H214" i="9"/>
  <c r="G214" i="9"/>
  <c r="K214" i="9"/>
  <c r="N214" i="9" s="1"/>
  <c r="H212" i="9"/>
  <c r="G212" i="9"/>
  <c r="K212" i="9"/>
  <c r="I212" i="9"/>
  <c r="J203" i="9"/>
  <c r="I206" i="9"/>
  <c r="J207" i="9"/>
  <c r="J212" i="9"/>
  <c r="L214" i="9"/>
  <c r="H220" i="9"/>
  <c r="G220" i="9"/>
  <c r="H226" i="9"/>
  <c r="G226" i="9"/>
  <c r="P120" i="9" l="1"/>
  <c r="M120" i="9"/>
  <c r="O120" i="9" s="1"/>
  <c r="Q72" i="9"/>
  <c r="X123" i="9"/>
  <c r="Q116" i="9"/>
  <c r="P146" i="9"/>
  <c r="M146" i="9"/>
  <c r="O146" i="9" s="1"/>
  <c r="X171" i="9"/>
  <c r="P64" i="9"/>
  <c r="M64" i="9"/>
  <c r="O64" i="9" s="1"/>
  <c r="N59" i="9"/>
  <c r="Q211" i="9"/>
  <c r="P52" i="9"/>
  <c r="M52" i="9"/>
  <c r="O52" i="9" s="1"/>
  <c r="P117" i="9"/>
  <c r="M117" i="9"/>
  <c r="O117" i="9" s="1"/>
  <c r="P137" i="9"/>
  <c r="M137" i="9"/>
  <c r="O137" i="9" s="1"/>
  <c r="Q191" i="9"/>
  <c r="P176" i="9"/>
  <c r="M176" i="9"/>
  <c r="O176" i="9" s="1"/>
  <c r="P58" i="9"/>
  <c r="M58" i="9"/>
  <c r="O58" i="9" s="1"/>
  <c r="X162" i="9"/>
  <c r="P149" i="9"/>
  <c r="M149" i="9"/>
  <c r="O149" i="9" s="1"/>
  <c r="P131" i="9"/>
  <c r="M131" i="9"/>
  <c r="O131" i="9" s="1"/>
  <c r="M141" i="9"/>
  <c r="O141" i="9" s="1"/>
  <c r="P141" i="9"/>
  <c r="M229" i="9"/>
  <c r="O229" i="9" s="1"/>
  <c r="P229" i="9"/>
  <c r="Q93" i="9"/>
  <c r="Q63" i="9"/>
  <c r="Q224" i="9"/>
  <c r="Q125" i="9"/>
  <c r="P99" i="9"/>
  <c r="M99" i="9"/>
  <c r="O99" i="9" s="1"/>
  <c r="N87" i="9"/>
  <c r="X70" i="9"/>
  <c r="Q39" i="9"/>
  <c r="Q70" i="9"/>
  <c r="P95" i="9"/>
  <c r="M95" i="9"/>
  <c r="O95" i="9" s="1"/>
  <c r="L30" i="9"/>
  <c r="N40" i="9"/>
  <c r="N19" i="9"/>
  <c r="X41" i="9"/>
  <c r="N110" i="9"/>
  <c r="Q95" i="9"/>
  <c r="N93" i="9"/>
  <c r="P86" i="9"/>
  <c r="M86" i="9"/>
  <c r="O86" i="9" s="1"/>
  <c r="N56" i="9"/>
  <c r="X174" i="9"/>
  <c r="X150" i="9"/>
  <c r="P80" i="9"/>
  <c r="M80" i="9"/>
  <c r="O80" i="9" s="1"/>
  <c r="P135" i="9"/>
  <c r="M135" i="9"/>
  <c r="O135" i="9" s="1"/>
  <c r="N114" i="9"/>
  <c r="M194" i="9"/>
  <c r="O194" i="9" s="1"/>
  <c r="P194" i="9"/>
  <c r="X160" i="9"/>
  <c r="Q148" i="9"/>
  <c r="Q155" i="9"/>
  <c r="P169" i="9"/>
  <c r="M169" i="9"/>
  <c r="O169" i="9" s="1"/>
  <c r="M206" i="9"/>
  <c r="O206" i="9" s="1"/>
  <c r="P206" i="9"/>
  <c r="X206" i="9"/>
  <c r="Q207" i="9"/>
  <c r="Q137" i="9"/>
  <c r="M67" i="9"/>
  <c r="O67" i="9" s="1"/>
  <c r="P67" i="9"/>
  <c r="X42" i="9"/>
  <c r="M84" i="9"/>
  <c r="O84" i="9" s="1"/>
  <c r="P84" i="9"/>
  <c r="M43" i="9"/>
  <c r="O43" i="9" s="1"/>
  <c r="P43" i="9"/>
  <c r="Q37" i="9"/>
  <c r="K13" i="9"/>
  <c r="J13" i="9"/>
  <c r="I13" i="9"/>
  <c r="H13" i="9"/>
  <c r="G13" i="9"/>
  <c r="L13" i="9"/>
  <c r="M33" i="10"/>
  <c r="M32" i="10"/>
  <c r="V68" i="10"/>
  <c r="M30" i="10"/>
  <c r="M31" i="10"/>
  <c r="M17" i="9"/>
  <c r="O17" i="9" s="1"/>
  <c r="N139" i="9"/>
  <c r="P109" i="9"/>
  <c r="M109" i="9"/>
  <c r="O109" i="9" s="1"/>
  <c r="P15" i="9"/>
  <c r="M15" i="9"/>
  <c r="O15" i="9" s="1"/>
  <c r="X209" i="9"/>
  <c r="P188" i="9"/>
  <c r="M188" i="9"/>
  <c r="O188" i="9" s="1"/>
  <c r="X62" i="9"/>
  <c r="P127" i="9"/>
  <c r="M127" i="9"/>
  <c r="O127" i="9" s="1"/>
  <c r="M195" i="9"/>
  <c r="O195" i="9" s="1"/>
  <c r="P195" i="9"/>
  <c r="M20" i="9"/>
  <c r="O20" i="9" s="1"/>
  <c r="P44" i="9"/>
  <c r="M44" i="9"/>
  <c r="O44" i="9" s="1"/>
  <c r="Q66" i="9"/>
  <c r="Q121" i="9"/>
  <c r="Q97" i="9"/>
  <c r="Q138" i="9"/>
  <c r="Q64" i="9"/>
  <c r="Q79" i="9"/>
  <c r="M224" i="9"/>
  <c r="O224" i="9" s="1"/>
  <c r="P224" i="9"/>
  <c r="Q129" i="9"/>
  <c r="Q192" i="9"/>
  <c r="Q142" i="9"/>
  <c r="P186" i="9"/>
  <c r="M186" i="9"/>
  <c r="O186" i="9" s="1"/>
  <c r="X17" i="9"/>
  <c r="X76" i="9"/>
  <c r="P128" i="9"/>
  <c r="M128" i="9"/>
  <c r="O128" i="9" s="1"/>
  <c r="X23" i="9"/>
  <c r="M140" i="9"/>
  <c r="O140" i="9" s="1"/>
  <c r="P140" i="9"/>
  <c r="Q227" i="9"/>
  <c r="P180" i="9"/>
  <c r="M180" i="9"/>
  <c r="O180" i="9" s="1"/>
  <c r="N68" i="9"/>
  <c r="N181" i="9"/>
  <c r="P190" i="9"/>
  <c r="M190" i="9"/>
  <c r="O190" i="9" s="1"/>
  <c r="M208" i="9"/>
  <c r="O208" i="9" s="1"/>
  <c r="P208" i="9"/>
  <c r="P79" i="9"/>
  <c r="M79" i="9"/>
  <c r="O79" i="9" s="1"/>
  <c r="Q152" i="9"/>
  <c r="Q53" i="9"/>
  <c r="Q83" i="9"/>
  <c r="Q42" i="9"/>
  <c r="Q110" i="9"/>
  <c r="Q62" i="9"/>
  <c r="X135" i="9"/>
  <c r="M204" i="9"/>
  <c r="O204" i="9" s="1"/>
  <c r="P204" i="9"/>
  <c r="P157" i="9"/>
  <c r="M157" i="9"/>
  <c r="O157" i="9" s="1"/>
  <c r="P202" i="9"/>
  <c r="M202" i="9"/>
  <c r="O202" i="9" s="1"/>
  <c r="I7" i="9"/>
  <c r="L7" i="9"/>
  <c r="L24" i="9" s="1"/>
  <c r="J7" i="9"/>
  <c r="H7" i="9"/>
  <c r="K7" i="9"/>
  <c r="G7" i="9"/>
  <c r="P19" i="9" s="1"/>
  <c r="X145" i="9"/>
  <c r="Q169" i="9"/>
  <c r="M191" i="9"/>
  <c r="O191" i="9" s="1"/>
  <c r="P191" i="9"/>
  <c r="Q184" i="9"/>
  <c r="Q161" i="9"/>
  <c r="X124" i="9"/>
  <c r="P77" i="9"/>
  <c r="M77" i="9"/>
  <c r="O77" i="9" s="1"/>
  <c r="M164" i="9"/>
  <c r="O164" i="9" s="1"/>
  <c r="P164" i="9"/>
  <c r="Q150" i="9"/>
  <c r="Q225" i="9"/>
  <c r="P130" i="9"/>
  <c r="M130" i="9"/>
  <c r="O130" i="9" s="1"/>
  <c r="Q218" i="9"/>
  <c r="M145" i="9"/>
  <c r="O145" i="9" s="1"/>
  <c r="P145" i="9"/>
  <c r="X161" i="9"/>
  <c r="N208" i="9"/>
  <c r="P183" i="9"/>
  <c r="M183" i="9"/>
  <c r="O183" i="9" s="1"/>
  <c r="X165" i="9"/>
  <c r="X57" i="9"/>
  <c r="X131" i="9"/>
  <c r="Q141" i="9"/>
  <c r="N229" i="9"/>
  <c r="Q112" i="9"/>
  <c r="X93" i="9"/>
  <c r="Q78" i="9"/>
  <c r="Q77" i="9"/>
  <c r="Q104" i="9"/>
  <c r="P48" i="9"/>
  <c r="M48" i="9"/>
  <c r="O48" i="9" s="1"/>
  <c r="X128" i="9"/>
  <c r="P75" i="9"/>
  <c r="M75" i="9"/>
  <c r="O75" i="9" s="1"/>
  <c r="Q33" i="9"/>
  <c r="Q59" i="9"/>
  <c r="X43" i="9"/>
  <c r="P46" i="9"/>
  <c r="M46" i="9"/>
  <c r="O46" i="9" s="1"/>
  <c r="M16" i="9"/>
  <c r="P16" i="9"/>
  <c r="T26" i="10"/>
  <c r="O26" i="10"/>
  <c r="S26" i="10" s="1"/>
  <c r="P104" i="9"/>
  <c r="M104" i="9"/>
  <c r="O104" i="9" s="1"/>
  <c r="N75" i="9"/>
  <c r="X103" i="9"/>
  <c r="N102" i="9"/>
  <c r="P94" i="9"/>
  <c r="M94" i="9"/>
  <c r="O94" i="9" s="1"/>
  <c r="Q89" i="9"/>
  <c r="Q96" i="9"/>
  <c r="Q200" i="9"/>
  <c r="N157" i="9"/>
  <c r="P171" i="9"/>
  <c r="M171" i="9"/>
  <c r="O171" i="9" s="1"/>
  <c r="P166" i="9"/>
  <c r="M166" i="9"/>
  <c r="O166" i="9" s="1"/>
  <c r="Q136" i="9"/>
  <c r="N122" i="9"/>
  <c r="P155" i="9"/>
  <c r="M155" i="9"/>
  <c r="O155" i="9" s="1"/>
  <c r="Q208" i="9"/>
  <c r="X182" i="9"/>
  <c r="Q160" i="9"/>
  <c r="Q221" i="9"/>
  <c r="X193" i="9"/>
  <c r="X137" i="9"/>
  <c r="X186" i="9"/>
  <c r="Q71" i="9"/>
  <c r="M6" i="9"/>
  <c r="O6" i="9" s="1"/>
  <c r="P6" i="9"/>
  <c r="N51" i="9"/>
  <c r="M4" i="9"/>
  <c r="X4" i="9" s="1"/>
  <c r="P212" i="9"/>
  <c r="M212" i="9"/>
  <c r="O212" i="9" s="1"/>
  <c r="Q163" i="9"/>
  <c r="Q91" i="9"/>
  <c r="Q128" i="9"/>
  <c r="Q105" i="9"/>
  <c r="P174" i="9"/>
  <c r="M174" i="9"/>
  <c r="O174" i="9" s="1"/>
  <c r="P47" i="9"/>
  <c r="M47" i="9"/>
  <c r="O47" i="9" s="1"/>
  <c r="Q74" i="9"/>
  <c r="P203" i="9"/>
  <c r="M203" i="9"/>
  <c r="O203" i="9" s="1"/>
  <c r="N209" i="9"/>
  <c r="P187" i="9"/>
  <c r="M187" i="9"/>
  <c r="O187" i="9" s="1"/>
  <c r="Q223" i="9"/>
  <c r="X86" i="9"/>
  <c r="Q134" i="9"/>
  <c r="X48" i="9"/>
  <c r="Q54" i="9"/>
  <c r="Q133" i="9"/>
  <c r="Q122" i="9"/>
  <c r="X188" i="9"/>
  <c r="P148" i="9"/>
  <c r="M148" i="9"/>
  <c r="O148" i="9" s="1"/>
  <c r="M219" i="9"/>
  <c r="O219" i="9" s="1"/>
  <c r="P219" i="9"/>
  <c r="Q17" i="9"/>
  <c r="Q202" i="9"/>
  <c r="M210" i="9"/>
  <c r="O210" i="9" s="1"/>
  <c r="P210" i="9"/>
  <c r="Q143" i="9"/>
  <c r="X58" i="9"/>
  <c r="Q61" i="9"/>
  <c r="Q46" i="9"/>
  <c r="P115" i="9"/>
  <c r="M115" i="9"/>
  <c r="O115" i="9" s="1"/>
  <c r="N55" i="9"/>
  <c r="N135" i="9"/>
  <c r="X129" i="9"/>
  <c r="Q118" i="9"/>
  <c r="X20" i="9"/>
  <c r="M21" i="9"/>
  <c r="O21" i="9" s="1"/>
  <c r="Q187" i="9"/>
  <c r="Q183" i="9"/>
  <c r="P118" i="9"/>
  <c r="M118" i="9"/>
  <c r="O118" i="9" s="1"/>
  <c r="Q87" i="9"/>
  <c r="Q44" i="9"/>
  <c r="Q75" i="9"/>
  <c r="P133" i="9"/>
  <c r="M133" i="9"/>
  <c r="O133" i="9" s="1"/>
  <c r="Q135" i="9"/>
  <c r="P119" i="9"/>
  <c r="M119" i="9"/>
  <c r="O119" i="9" s="1"/>
  <c r="Q144" i="9"/>
  <c r="X64" i="9"/>
  <c r="X204" i="9"/>
  <c r="N198" i="9"/>
  <c r="P165" i="9"/>
  <c r="M165" i="9"/>
  <c r="O165" i="9" s="1"/>
  <c r="X120" i="9"/>
  <c r="Q109" i="9"/>
  <c r="N224" i="9"/>
  <c r="P125" i="9"/>
  <c r="M125" i="9"/>
  <c r="O125" i="9" s="1"/>
  <c r="N76" i="9"/>
  <c r="P154" i="9"/>
  <c r="M154" i="9"/>
  <c r="O154" i="9" s="1"/>
  <c r="M225" i="9"/>
  <c r="O225" i="9" s="1"/>
  <c r="P225" i="9"/>
  <c r="Q182" i="9"/>
  <c r="X195" i="9"/>
  <c r="P222" i="9"/>
  <c r="M222" i="9"/>
  <c r="O222" i="9" s="1"/>
  <c r="P228" i="9"/>
  <c r="M228" i="9"/>
  <c r="O228" i="9" s="1"/>
  <c r="P78" i="9"/>
  <c r="M78" i="9"/>
  <c r="O78" i="9" s="1"/>
  <c r="P53" i="9"/>
  <c r="M53" i="9"/>
  <c r="O53" i="9" s="1"/>
  <c r="N96" i="9"/>
  <c r="P170" i="9"/>
  <c r="M170" i="9"/>
  <c r="O170" i="9" s="1"/>
  <c r="X191" i="9"/>
  <c r="Q90" i="9"/>
  <c r="N227" i="9"/>
  <c r="X169" i="9"/>
  <c r="P143" i="9"/>
  <c r="M143" i="9"/>
  <c r="O143" i="9" s="1"/>
  <c r="P116" i="9"/>
  <c r="M116" i="9"/>
  <c r="O116" i="9" s="1"/>
  <c r="P156" i="9"/>
  <c r="M156" i="9"/>
  <c r="O156" i="9" s="1"/>
  <c r="N77" i="9"/>
  <c r="Q65" i="9"/>
  <c r="M51" i="9"/>
  <c r="O51" i="9" s="1"/>
  <c r="P51" i="9"/>
  <c r="X35" i="9"/>
  <c r="Q48" i="9"/>
  <c r="Q126" i="9"/>
  <c r="M179" i="9"/>
  <c r="O179" i="9" s="1"/>
  <c r="P179" i="9"/>
  <c r="P14" i="9"/>
  <c r="M14" i="9"/>
  <c r="O14" i="9" s="1"/>
  <c r="Q36" i="9"/>
  <c r="N14" i="9"/>
  <c r="M100" i="9"/>
  <c r="O100" i="9" s="1"/>
  <c r="P100" i="9"/>
  <c r="M110" i="9"/>
  <c r="O110" i="9" s="1"/>
  <c r="P110" i="9"/>
  <c r="X92" i="9"/>
  <c r="N57" i="9"/>
  <c r="P177" i="9"/>
  <c r="M177" i="9"/>
  <c r="O177" i="9" s="1"/>
  <c r="Q108" i="9"/>
  <c r="N78" i="9"/>
  <c r="P35" i="9"/>
  <c r="M35" i="9"/>
  <c r="O35" i="9" s="1"/>
  <c r="N103" i="9"/>
  <c r="P103" i="9"/>
  <c r="M103" i="9"/>
  <c r="O103" i="9" s="1"/>
  <c r="Q117" i="9"/>
  <c r="P158" i="9"/>
  <c r="M158" i="9"/>
  <c r="O158" i="9" s="1"/>
  <c r="P173" i="9"/>
  <c r="M173" i="9"/>
  <c r="O173" i="9" s="1"/>
  <c r="Q173" i="9"/>
  <c r="X140" i="9"/>
  <c r="M102" i="9"/>
  <c r="O102" i="9" s="1"/>
  <c r="P102" i="9"/>
  <c r="N195" i="9"/>
  <c r="Q127" i="9"/>
  <c r="Q157" i="9"/>
  <c r="N170" i="9"/>
  <c r="X157" i="9"/>
  <c r="N167" i="9"/>
  <c r="M189" i="9"/>
  <c r="O189" i="9" s="1"/>
  <c r="P189" i="9"/>
  <c r="N164" i="9"/>
  <c r="P162" i="9"/>
  <c r="M162" i="9"/>
  <c r="O162" i="9" s="1"/>
  <c r="P198" i="9"/>
  <c r="M198" i="9"/>
  <c r="O198" i="9" s="1"/>
  <c r="N207" i="9"/>
  <c r="X67" i="9"/>
  <c r="Q43" i="9"/>
  <c r="Q84" i="9"/>
  <c r="W63" i="10"/>
  <c r="M12" i="10"/>
  <c r="M13" i="10"/>
  <c r="V65" i="10"/>
  <c r="M14" i="10"/>
  <c r="M15" i="10"/>
  <c r="O9" i="9"/>
  <c r="Q35" i="9"/>
  <c r="X15" i="9"/>
  <c r="H24" i="9"/>
  <c r="E34" i="10" s="1"/>
  <c r="C40" i="10" s="1"/>
  <c r="Q4" i="9"/>
  <c r="Q190" i="9"/>
  <c r="P185" i="9"/>
  <c r="M185" i="9"/>
  <c r="O185" i="9" s="1"/>
  <c r="X224" i="9"/>
  <c r="Q60" i="9"/>
  <c r="Q76" i="9"/>
  <c r="M217" i="9"/>
  <c r="O217" i="9" s="1"/>
  <c r="P217" i="9"/>
  <c r="X221" i="9"/>
  <c r="Q52" i="9"/>
  <c r="Q145" i="9"/>
  <c r="Q11" i="9"/>
  <c r="Q69" i="9"/>
  <c r="Q174" i="9"/>
  <c r="M108" i="9"/>
  <c r="O108" i="9" s="1"/>
  <c r="P108" i="9"/>
  <c r="N82" i="9"/>
  <c r="X82" i="9"/>
  <c r="P45" i="9"/>
  <c r="M45" i="9"/>
  <c r="O45" i="9" s="1"/>
  <c r="P50" i="9"/>
  <c r="M50" i="9"/>
  <c r="O50" i="9" s="1"/>
  <c r="Q94" i="9"/>
  <c r="Q98" i="9"/>
  <c r="P150" i="9"/>
  <c r="M150" i="9"/>
  <c r="O150" i="9" s="1"/>
  <c r="M184" i="9"/>
  <c r="O184" i="9" s="1"/>
  <c r="P184" i="9"/>
  <c r="X33" i="9"/>
  <c r="Q41" i="9"/>
  <c r="M227" i="9"/>
  <c r="O227" i="9" s="1"/>
  <c r="P227" i="9"/>
  <c r="Q185" i="9"/>
  <c r="P61" i="9"/>
  <c r="M61" i="9"/>
  <c r="O61" i="9" s="1"/>
  <c r="M152" i="9"/>
  <c r="O152" i="9" s="1"/>
  <c r="P152" i="9"/>
  <c r="X54" i="9"/>
  <c r="P60" i="9"/>
  <c r="M60" i="9"/>
  <c r="O60" i="9" s="1"/>
  <c r="X142" i="9"/>
  <c r="P97" i="9"/>
  <c r="M97" i="9"/>
  <c r="O97" i="9" s="1"/>
  <c r="X100" i="9"/>
  <c r="N32" i="9"/>
  <c r="K30" i="9"/>
  <c r="N30" i="9" s="1"/>
  <c r="Q186" i="9"/>
  <c r="X9" i="9"/>
  <c r="M218" i="9"/>
  <c r="O218" i="9" s="1"/>
  <c r="P218" i="9"/>
  <c r="M151" i="9"/>
  <c r="O151" i="9" s="1"/>
  <c r="P151" i="9"/>
  <c r="M106" i="9"/>
  <c r="O106" i="9" s="1"/>
  <c r="P106" i="9"/>
  <c r="X87" i="9"/>
  <c r="N23" i="9"/>
  <c r="Q81" i="9"/>
  <c r="N184" i="9"/>
  <c r="M160" i="9"/>
  <c r="O160" i="9" s="1"/>
  <c r="P160" i="9"/>
  <c r="Q201" i="9"/>
  <c r="Q210" i="9"/>
  <c r="X190" i="9"/>
  <c r="M122" i="9"/>
  <c r="O122" i="9" s="1"/>
  <c r="P122" i="9"/>
  <c r="Q229" i="9"/>
  <c r="N163" i="9"/>
  <c r="Q113" i="9"/>
  <c r="P89" i="9"/>
  <c r="M89" i="9"/>
  <c r="O89" i="9" s="1"/>
  <c r="Q119" i="9"/>
  <c r="Q162" i="9"/>
  <c r="P159" i="9"/>
  <c r="M159" i="9"/>
  <c r="O159" i="9" s="1"/>
  <c r="M215" i="9"/>
  <c r="O215" i="9" s="1"/>
  <c r="P215" i="9"/>
  <c r="M8" i="9"/>
  <c r="O8" i="9" s="1"/>
  <c r="P8" i="9"/>
  <c r="P38" i="9"/>
  <c r="M38" i="9"/>
  <c r="O38" i="9" s="1"/>
  <c r="L5" i="9"/>
  <c r="K5" i="9"/>
  <c r="N5" i="9" s="1"/>
  <c r="H5" i="9"/>
  <c r="Q10" i="9" s="1"/>
  <c r="J5" i="9"/>
  <c r="I5" i="9"/>
  <c r="G5" i="9"/>
  <c r="P20" i="9" s="1"/>
  <c r="Q214" i="9"/>
  <c r="Q216" i="9"/>
  <c r="X180" i="9"/>
  <c r="Q222" i="9"/>
  <c r="N210" i="9"/>
  <c r="Q199" i="9"/>
  <c r="X223" i="9"/>
  <c r="N200" i="9"/>
  <c r="Q175" i="9"/>
  <c r="X183" i="9"/>
  <c r="M96" i="9"/>
  <c r="O96" i="9" s="1"/>
  <c r="P96" i="9"/>
  <c r="Q156" i="9"/>
  <c r="Q88" i="9"/>
  <c r="Q228" i="9"/>
  <c r="N132" i="9"/>
  <c r="Q132" i="9"/>
  <c r="X141" i="9"/>
  <c r="M55" i="9"/>
  <c r="O55" i="9" s="1"/>
  <c r="P55" i="9"/>
  <c r="Q73" i="9"/>
  <c r="N48" i="9"/>
  <c r="Q51" i="9"/>
  <c r="Q154" i="9"/>
  <c r="P59" i="9"/>
  <c r="M59" i="9"/>
  <c r="O59" i="9" s="1"/>
  <c r="P90" i="9"/>
  <c r="M90" i="9"/>
  <c r="O90" i="9" s="1"/>
  <c r="M18" i="9"/>
  <c r="N74" i="9"/>
  <c r="X74" i="9"/>
  <c r="P54" i="9"/>
  <c r="M54" i="9"/>
  <c r="O54" i="9" s="1"/>
  <c r="P111" i="9"/>
  <c r="M111" i="9"/>
  <c r="O111" i="9" s="1"/>
  <c r="P101" i="9"/>
  <c r="M101" i="9"/>
  <c r="O101" i="9" s="1"/>
  <c r="X121" i="9"/>
  <c r="Q120" i="9"/>
  <c r="P193" i="9"/>
  <c r="M193" i="9"/>
  <c r="O193" i="9" s="1"/>
  <c r="Q139" i="9"/>
  <c r="Q172" i="9"/>
  <c r="P138" i="9"/>
  <c r="M138" i="9"/>
  <c r="O138" i="9" s="1"/>
  <c r="M199" i="9"/>
  <c r="O199" i="9" s="1"/>
  <c r="P199" i="9"/>
  <c r="Q170" i="9"/>
  <c r="Q168" i="9"/>
  <c r="Q166" i="9"/>
  <c r="X219" i="9"/>
  <c r="Q130" i="9"/>
  <c r="M12" i="9"/>
  <c r="O12" i="9" s="1"/>
  <c r="P12" i="9"/>
  <c r="Q40" i="9"/>
  <c r="P9" i="9"/>
  <c r="Q106" i="9"/>
  <c r="N85" i="9"/>
  <c r="Y63" i="10"/>
  <c r="M20" i="10"/>
  <c r="M18" i="10"/>
  <c r="M21" i="10"/>
  <c r="M19" i="10"/>
  <c r="V66" i="10"/>
  <c r="Q147" i="9"/>
  <c r="Q131" i="9"/>
  <c r="Q86" i="9"/>
  <c r="Q198" i="9"/>
  <c r="X214" i="9"/>
  <c r="Q195" i="9"/>
  <c r="M175" i="9"/>
  <c r="O175" i="9" s="1"/>
  <c r="P175" i="9"/>
  <c r="X185" i="9"/>
  <c r="P49" i="9"/>
  <c r="M49" i="9"/>
  <c r="O49" i="9" s="1"/>
  <c r="P92" i="9"/>
  <c r="M92" i="9"/>
  <c r="O92" i="9" s="1"/>
  <c r="X66" i="9"/>
  <c r="P192" i="9"/>
  <c r="M192" i="9"/>
  <c r="O192" i="9" s="1"/>
  <c r="Q219" i="9"/>
  <c r="M10" i="9"/>
  <c r="P10" i="9"/>
  <c r="Q55" i="9"/>
  <c r="Q140" i="9"/>
  <c r="P153" i="9"/>
  <c r="M153" i="9"/>
  <c r="O153" i="9" s="1"/>
  <c r="X220" i="9"/>
  <c r="P182" i="9"/>
  <c r="M182" i="9"/>
  <c r="O182" i="9" s="1"/>
  <c r="Q176" i="9"/>
  <c r="Q181" i="9"/>
  <c r="X69" i="9"/>
  <c r="X47" i="9"/>
  <c r="N45" i="9"/>
  <c r="P83" i="9"/>
  <c r="M83" i="9"/>
  <c r="O83" i="9" s="1"/>
  <c r="M11" i="9"/>
  <c r="X151" i="9"/>
  <c r="X155" i="9"/>
  <c r="M19" i="9"/>
  <c r="O19" i="9" s="1"/>
  <c r="X133" i="9"/>
  <c r="P57" i="9"/>
  <c r="M57" i="9"/>
  <c r="O57" i="9" s="1"/>
  <c r="M88" i="9"/>
  <c r="O88" i="9" s="1"/>
  <c r="P88" i="9"/>
  <c r="Q58" i="9"/>
  <c r="P70" i="9"/>
  <c r="M70" i="9"/>
  <c r="O70" i="9" s="1"/>
  <c r="X126" i="9"/>
  <c r="N81" i="9"/>
  <c r="M167" i="9"/>
  <c r="O167" i="9" s="1"/>
  <c r="P167" i="9"/>
  <c r="X144" i="9"/>
  <c r="Q111" i="9"/>
  <c r="Q146" i="9"/>
  <c r="Q18" i="9"/>
  <c r="P216" i="9"/>
  <c r="M216" i="9"/>
  <c r="O216" i="9" s="1"/>
  <c r="Q179" i="9"/>
  <c r="P74" i="9"/>
  <c r="M74" i="9"/>
  <c r="O74" i="9" s="1"/>
  <c r="P87" i="9"/>
  <c r="M87" i="9"/>
  <c r="O87" i="9" s="1"/>
  <c r="T25" i="10"/>
  <c r="O25" i="10"/>
  <c r="S25" i="10" s="1"/>
  <c r="Q68" i="9"/>
  <c r="N138" i="9"/>
  <c r="M221" i="9"/>
  <c r="O221" i="9" s="1"/>
  <c r="P221" i="9"/>
  <c r="Q14" i="9"/>
  <c r="Q180" i="9"/>
  <c r="X203" i="9"/>
  <c r="Q177" i="9"/>
  <c r="M205" i="9"/>
  <c r="O205" i="9" s="1"/>
  <c r="P205" i="9"/>
  <c r="P207" i="9"/>
  <c r="M207" i="9"/>
  <c r="O207" i="9" s="1"/>
  <c r="N161" i="9"/>
  <c r="Q226" i="9"/>
  <c r="Q204" i="9"/>
  <c r="Q171" i="9"/>
  <c r="N202" i="9"/>
  <c r="P201" i="9"/>
  <c r="M201" i="9"/>
  <c r="O201" i="9" s="1"/>
  <c r="M211" i="9"/>
  <c r="O211" i="9" s="1"/>
  <c r="P211" i="9"/>
  <c r="P200" i="9"/>
  <c r="M200" i="9"/>
  <c r="O200" i="9" s="1"/>
  <c r="Q151" i="9"/>
  <c r="P197" i="9"/>
  <c r="M197" i="9"/>
  <c r="O197" i="9" s="1"/>
  <c r="Q197" i="9"/>
  <c r="N194" i="9"/>
  <c r="N183" i="9"/>
  <c r="P139" i="9"/>
  <c r="M139" i="9"/>
  <c r="O139" i="9" s="1"/>
  <c r="N86" i="9"/>
  <c r="X94" i="9"/>
  <c r="P107" i="9"/>
  <c r="M107" i="9"/>
  <c r="O107" i="9" s="1"/>
  <c r="N141" i="9"/>
  <c r="M112" i="9"/>
  <c r="O112" i="9" s="1"/>
  <c r="P112" i="9"/>
  <c r="P91" i="9"/>
  <c r="M91" i="9"/>
  <c r="O91" i="9" s="1"/>
  <c r="N73" i="9"/>
  <c r="P134" i="9"/>
  <c r="M134" i="9"/>
  <c r="O134" i="9" s="1"/>
  <c r="M63" i="9"/>
  <c r="O63" i="9" s="1"/>
  <c r="P63" i="9"/>
  <c r="Q99" i="9"/>
  <c r="X77" i="9"/>
  <c r="X104" i="9"/>
  <c r="X38" i="9"/>
  <c r="P34" i="9"/>
  <c r="M34" i="9"/>
  <c r="O34" i="9" s="1"/>
  <c r="N50" i="9"/>
  <c r="N46" i="9"/>
  <c r="P23" i="9"/>
  <c r="M23" i="9"/>
  <c r="O23" i="9" s="1"/>
  <c r="Q67" i="9"/>
  <c r="H30" i="9"/>
  <c r="Q32" i="9"/>
  <c r="P40" i="9"/>
  <c r="M40" i="9"/>
  <c r="O40" i="9" s="1"/>
  <c r="Q123" i="9"/>
  <c r="P105" i="9"/>
  <c r="M105" i="9"/>
  <c r="O105" i="9" s="1"/>
  <c r="X222" i="9"/>
  <c r="N158" i="9"/>
  <c r="N146" i="9"/>
  <c r="X113" i="9"/>
  <c r="Q80" i="9"/>
  <c r="N142" i="9"/>
  <c r="X149" i="9"/>
  <c r="N174" i="9"/>
  <c r="P142" i="9"/>
  <c r="M142" i="9"/>
  <c r="O142" i="9" s="1"/>
  <c r="Q178" i="9"/>
  <c r="N205" i="9"/>
  <c r="Q196" i="9"/>
  <c r="X167" i="9"/>
  <c r="M213" i="9"/>
  <c r="O213" i="9" s="1"/>
  <c r="P213" i="9"/>
  <c r="Q206" i="9"/>
  <c r="Q57" i="9"/>
  <c r="N186" i="9"/>
  <c r="P41" i="9"/>
  <c r="M41" i="9"/>
  <c r="O41" i="9" s="1"/>
  <c r="C35" i="10"/>
  <c r="N35" i="9"/>
  <c r="Q15" i="9"/>
  <c r="N10" i="9"/>
  <c r="M223" i="9"/>
  <c r="O223" i="9" s="1"/>
  <c r="P223" i="9"/>
  <c r="X116" i="9"/>
  <c r="P69" i="9"/>
  <c r="M69" i="9"/>
  <c r="O69" i="9" s="1"/>
  <c r="Q82" i="9"/>
  <c r="M126" i="9"/>
  <c r="O126" i="9" s="1"/>
  <c r="P126" i="9"/>
  <c r="Q34" i="9"/>
  <c r="P62" i="9"/>
  <c r="M62" i="9"/>
  <c r="O62" i="9" s="1"/>
  <c r="X170" i="9"/>
  <c r="N189" i="9"/>
  <c r="Q100" i="9"/>
  <c r="Q189" i="9"/>
  <c r="P181" i="9"/>
  <c r="M181" i="9"/>
  <c r="O181" i="9" s="1"/>
  <c r="P98" i="9"/>
  <c r="M98" i="9"/>
  <c r="O98" i="9" s="1"/>
  <c r="P76" i="9"/>
  <c r="M76" i="9"/>
  <c r="O76" i="9" s="1"/>
  <c r="Q102" i="9"/>
  <c r="P129" i="9"/>
  <c r="M129" i="9"/>
  <c r="O129" i="9" s="1"/>
  <c r="P32" i="9"/>
  <c r="M32" i="9"/>
  <c r="O32" i="9" s="1"/>
  <c r="G30" i="9"/>
  <c r="Q220" i="9"/>
  <c r="P209" i="9"/>
  <c r="M209" i="9"/>
  <c r="O209" i="9" s="1"/>
  <c r="P124" i="9"/>
  <c r="M124" i="9"/>
  <c r="O124" i="9" s="1"/>
  <c r="Q20" i="9"/>
  <c r="P72" i="9"/>
  <c r="M72" i="9"/>
  <c r="O72" i="9" s="1"/>
  <c r="P42" i="9"/>
  <c r="M42" i="9"/>
  <c r="O42" i="9" s="1"/>
  <c r="P68" i="9"/>
  <c r="M68" i="9"/>
  <c r="O68" i="9" s="1"/>
  <c r="Q124" i="9"/>
  <c r="N129" i="9"/>
  <c r="X227" i="9"/>
  <c r="Q212" i="9"/>
  <c r="M161" i="9"/>
  <c r="O161" i="9" s="1"/>
  <c r="P161" i="9"/>
  <c r="X114" i="9"/>
  <c r="P81" i="9"/>
  <c r="M81" i="9"/>
  <c r="O81" i="9" s="1"/>
  <c r="Q50" i="9"/>
  <c r="Q115" i="9"/>
  <c r="P56" i="9"/>
  <c r="M56" i="9"/>
  <c r="O56" i="9" s="1"/>
  <c r="Q107" i="9"/>
  <c r="P178" i="9"/>
  <c r="M178" i="9"/>
  <c r="O178" i="9" s="1"/>
  <c r="Q19" i="9"/>
  <c r="P36" i="9"/>
  <c r="M36" i="9"/>
  <c r="O36" i="9" s="1"/>
  <c r="P66" i="9"/>
  <c r="M66" i="9"/>
  <c r="O66" i="9" s="1"/>
  <c r="X148" i="9"/>
  <c r="X156" i="9"/>
  <c r="P121" i="9"/>
  <c r="M121" i="9"/>
  <c r="O121" i="9" s="1"/>
  <c r="P168" i="9"/>
  <c r="M168" i="9"/>
  <c r="O168" i="9" s="1"/>
  <c r="N17" i="9"/>
  <c r="M214" i="9"/>
  <c r="O214" i="9" s="1"/>
  <c r="P214" i="9"/>
  <c r="Q205" i="9"/>
  <c r="P196" i="9"/>
  <c r="M196" i="9"/>
  <c r="O196" i="9" s="1"/>
  <c r="P147" i="9"/>
  <c r="M147" i="9"/>
  <c r="O147" i="9" s="1"/>
  <c r="Q165" i="9"/>
  <c r="M132" i="9"/>
  <c r="O132" i="9" s="1"/>
  <c r="P132" i="9"/>
  <c r="M172" i="9"/>
  <c r="O172" i="9" s="1"/>
  <c r="P172" i="9"/>
  <c r="Q49" i="9"/>
  <c r="Q103" i="9"/>
  <c r="X56" i="9"/>
  <c r="X198" i="9"/>
  <c r="X176" i="9"/>
  <c r="Q158" i="9"/>
  <c r="P226" i="9"/>
  <c r="M226" i="9"/>
  <c r="O226" i="9" s="1"/>
  <c r="P220" i="9"/>
  <c r="M220" i="9"/>
  <c r="O220" i="9" s="1"/>
  <c r="N212" i="9"/>
  <c r="N204" i="9"/>
  <c r="Q209" i="9"/>
  <c r="X189" i="9"/>
  <c r="Q167" i="9"/>
  <c r="X199" i="9"/>
  <c r="X194" i="9"/>
  <c r="Q149" i="9"/>
  <c r="Q194" i="9"/>
  <c r="N175" i="9"/>
  <c r="P163" i="9"/>
  <c r="M163" i="9"/>
  <c r="O163" i="9" s="1"/>
  <c r="M114" i="9"/>
  <c r="O114" i="9" s="1"/>
  <c r="P114" i="9"/>
  <c r="Q101" i="9"/>
  <c r="X132" i="9"/>
  <c r="P93" i="9"/>
  <c r="M93" i="9"/>
  <c r="O93" i="9" s="1"/>
  <c r="P82" i="9"/>
  <c r="M82" i="9"/>
  <c r="O82" i="9" s="1"/>
  <c r="M73" i="9"/>
  <c r="O73" i="9" s="1"/>
  <c r="P73" i="9"/>
  <c r="X99" i="9"/>
  <c r="P65" i="9"/>
  <c r="M65" i="9"/>
  <c r="O65" i="9" s="1"/>
  <c r="Q21" i="9"/>
  <c r="N128" i="9"/>
  <c r="Q38" i="9"/>
  <c r="N113" i="9"/>
  <c r="N83" i="9"/>
  <c r="P113" i="9"/>
  <c r="M113" i="9"/>
  <c r="O113" i="9" s="1"/>
  <c r="Q23" i="9"/>
  <c r="X115" i="9"/>
  <c r="X14" i="9"/>
  <c r="M22" i="9"/>
  <c r="O22" i="9" s="1"/>
  <c r="Q56" i="9"/>
  <c r="P39" i="9"/>
  <c r="M39" i="9"/>
  <c r="O39" i="9" s="1"/>
  <c r="Q45" i="9"/>
  <c r="X85" i="9"/>
  <c r="M136" i="9"/>
  <c r="O136" i="9" s="1"/>
  <c r="P136" i="9"/>
  <c r="P123" i="9"/>
  <c r="M123" i="9"/>
  <c r="O123" i="9" s="1"/>
  <c r="N120" i="9"/>
  <c r="N123" i="9"/>
  <c r="Q159" i="9"/>
  <c r="Q114" i="9"/>
  <c r="Q85" i="9"/>
  <c r="Q153" i="9"/>
  <c r="Q164" i="9"/>
  <c r="P144" i="9"/>
  <c r="M144" i="9"/>
  <c r="O144" i="9" s="1"/>
  <c r="N187" i="9"/>
  <c r="Q213" i="9"/>
  <c r="Q203" i="9"/>
  <c r="N168" i="9"/>
  <c r="Q215" i="9"/>
  <c r="N53" i="9"/>
  <c r="N36" i="9"/>
  <c r="M37" i="9"/>
  <c r="O37" i="9" s="1"/>
  <c r="P37" i="9"/>
  <c r="X84" i="9"/>
  <c r="P33" i="9"/>
  <c r="M33" i="9"/>
  <c r="O33" i="9" s="1"/>
  <c r="M71" i="9"/>
  <c r="O71" i="9" s="1"/>
  <c r="P71" i="9"/>
  <c r="N44" i="9"/>
  <c r="Q6" i="9"/>
  <c r="X91" i="9"/>
  <c r="Q47" i="9"/>
  <c r="X79" i="9"/>
  <c r="N16" i="9"/>
  <c r="X21" i="9"/>
  <c r="Q92" i="9"/>
  <c r="K24" i="9"/>
  <c r="N4" i="9"/>
  <c r="O32" i="10" l="1"/>
  <c r="S32" i="10" s="1"/>
  <c r="N13" i="9"/>
  <c r="X127" i="9"/>
  <c r="X168" i="9"/>
  <c r="X215" i="9"/>
  <c r="X117" i="9"/>
  <c r="X134" i="9"/>
  <c r="P18" i="9"/>
  <c r="X59" i="9"/>
  <c r="X8" i="9"/>
  <c r="W65" i="10"/>
  <c r="X143" i="9"/>
  <c r="X80" i="9"/>
  <c r="X88" i="9"/>
  <c r="X44" i="9"/>
  <c r="X110" i="9"/>
  <c r="T33" i="10"/>
  <c r="O33" i="10"/>
  <c r="P33" i="10" s="1"/>
  <c r="S33" i="10" s="1"/>
  <c r="X109" i="9"/>
  <c r="X73" i="9"/>
  <c r="X139" i="9"/>
  <c r="X65" i="9"/>
  <c r="X178" i="9"/>
  <c r="X184" i="9"/>
  <c r="X105" i="9"/>
  <c r="O18" i="9"/>
  <c r="X18" i="9"/>
  <c r="X210" i="9"/>
  <c r="O24" i="10"/>
  <c r="X205" i="9"/>
  <c r="X166" i="9"/>
  <c r="X147" i="9"/>
  <c r="C41" i="10"/>
  <c r="X172" i="9"/>
  <c r="X159" i="9"/>
  <c r="T19" i="10"/>
  <c r="O19" i="10"/>
  <c r="S19" i="10" s="1"/>
  <c r="X138" i="9"/>
  <c r="X53" i="9"/>
  <c r="M5" i="9"/>
  <c r="P5" i="9"/>
  <c r="D35" i="10"/>
  <c r="X196" i="9"/>
  <c r="T13" i="10"/>
  <c r="O13" i="10"/>
  <c r="S13" i="10" s="1"/>
  <c r="X200" i="9"/>
  <c r="X61" i="9"/>
  <c r="X83" i="9"/>
  <c r="X107" i="9"/>
  <c r="X12" i="9"/>
  <c r="O12" i="10"/>
  <c r="R220" i="9"/>
  <c r="R203" i="9"/>
  <c r="AF182" i="9"/>
  <c r="R182" i="9"/>
  <c r="AF177" i="9"/>
  <c r="R177" i="9"/>
  <c r="R214" i="9"/>
  <c r="R212" i="9"/>
  <c r="AF172" i="9"/>
  <c r="AF213" i="9"/>
  <c r="R196" i="9"/>
  <c r="R219" i="9"/>
  <c r="AF206" i="9"/>
  <c r="R204" i="9"/>
  <c r="AF162" i="9"/>
  <c r="AF221" i="9"/>
  <c r="AF196" i="9"/>
  <c r="S184" i="9"/>
  <c r="S166" i="9"/>
  <c r="AF153" i="9"/>
  <c r="R226" i="9"/>
  <c r="S193" i="9"/>
  <c r="AF189" i="9"/>
  <c r="R184" i="9"/>
  <c r="AF180" i="9"/>
  <c r="S174" i="9"/>
  <c r="AF167" i="9"/>
  <c r="S158" i="9"/>
  <c r="S157" i="9"/>
  <c r="S198" i="9"/>
  <c r="R193" i="9"/>
  <c r="R176" i="9"/>
  <c r="AF168" i="9"/>
  <c r="S221" i="9"/>
  <c r="S202" i="9"/>
  <c r="R198" i="9"/>
  <c r="S171" i="9"/>
  <c r="AF164" i="9"/>
  <c r="AF158" i="9"/>
  <c r="AF157" i="9"/>
  <c r="R215" i="9"/>
  <c r="R189" i="9"/>
  <c r="AF176" i="9"/>
  <c r="AF171" i="9"/>
  <c r="AF191" i="9"/>
  <c r="AF160" i="9"/>
  <c r="AF195" i="9"/>
  <c r="AF159" i="9"/>
  <c r="R158" i="9"/>
  <c r="S138" i="9"/>
  <c r="AF211" i="9"/>
  <c r="AF204" i="9"/>
  <c r="S179" i="9"/>
  <c r="R171" i="9"/>
  <c r="S150" i="9"/>
  <c r="S148" i="9"/>
  <c r="S146" i="9"/>
  <c r="S144" i="9"/>
  <c r="S142" i="9"/>
  <c r="AF138" i="9"/>
  <c r="AF199" i="9"/>
  <c r="AF175" i="9"/>
  <c r="AF174" i="9"/>
  <c r="AF170" i="9"/>
  <c r="AF148" i="9"/>
  <c r="AF142" i="9"/>
  <c r="S136" i="9"/>
  <c r="S188" i="9"/>
  <c r="S163" i="9"/>
  <c r="S161" i="9"/>
  <c r="AF147" i="9"/>
  <c r="S129" i="9"/>
  <c r="R124" i="9"/>
  <c r="R121" i="9"/>
  <c r="R116" i="9"/>
  <c r="R113" i="9"/>
  <c r="R108" i="9"/>
  <c r="R105" i="9"/>
  <c r="R206" i="9"/>
  <c r="AF145" i="9"/>
  <c r="AF117" i="9"/>
  <c r="AF113" i="9"/>
  <c r="AF96" i="9"/>
  <c r="S95" i="9"/>
  <c r="AF193" i="9"/>
  <c r="S167" i="9"/>
  <c r="S165" i="9"/>
  <c r="AF151" i="9"/>
  <c r="S98" i="9"/>
  <c r="AF194" i="9"/>
  <c r="R179" i="9"/>
  <c r="R167" i="9"/>
  <c r="R165" i="9"/>
  <c r="R129" i="9"/>
  <c r="S127" i="9"/>
  <c r="AF111" i="9"/>
  <c r="R98" i="9"/>
  <c r="S85" i="9"/>
  <c r="AF81" i="9"/>
  <c r="S164" i="9"/>
  <c r="S162" i="9"/>
  <c r="R207" i="9"/>
  <c r="S201" i="9"/>
  <c r="R195" i="9"/>
  <c r="R180" i="9"/>
  <c r="R178" i="9"/>
  <c r="AF149" i="9"/>
  <c r="S123" i="9"/>
  <c r="R117" i="9"/>
  <c r="R201" i="9"/>
  <c r="S121" i="9"/>
  <c r="R103" i="9"/>
  <c r="S86" i="9"/>
  <c r="R191" i="9"/>
  <c r="R143" i="9"/>
  <c r="S140" i="9"/>
  <c r="S131" i="9"/>
  <c r="R106" i="9"/>
  <c r="AF105" i="9"/>
  <c r="S169" i="9"/>
  <c r="S159" i="9"/>
  <c r="S155" i="9"/>
  <c r="R131" i="9"/>
  <c r="AF119" i="9"/>
  <c r="AF198" i="9"/>
  <c r="S187" i="9"/>
  <c r="R169" i="9"/>
  <c r="S160" i="9"/>
  <c r="R149" i="9"/>
  <c r="R145" i="9"/>
  <c r="S139" i="9"/>
  <c r="R194" i="9"/>
  <c r="S181" i="9"/>
  <c r="S172" i="9"/>
  <c r="R161" i="9"/>
  <c r="S170" i="9"/>
  <c r="AF155" i="9"/>
  <c r="R120" i="9"/>
  <c r="S111" i="9"/>
  <c r="R97" i="9"/>
  <c r="R85" i="9"/>
  <c r="R57" i="9"/>
  <c r="AF178" i="9"/>
  <c r="AF136" i="9"/>
  <c r="AF129" i="9"/>
  <c r="S117" i="9"/>
  <c r="R111" i="9"/>
  <c r="S107" i="9"/>
  <c r="S102" i="9"/>
  <c r="S141" i="9"/>
  <c r="R127" i="9"/>
  <c r="R102" i="9"/>
  <c r="AF82" i="9"/>
  <c r="R68" i="9"/>
  <c r="S211" i="9"/>
  <c r="R147" i="9"/>
  <c r="S88" i="9"/>
  <c r="R80" i="9"/>
  <c r="S153" i="9"/>
  <c r="AF144" i="9"/>
  <c r="R114" i="9"/>
  <c r="AF94" i="9"/>
  <c r="AF89" i="9"/>
  <c r="R88" i="9"/>
  <c r="R61" i="9"/>
  <c r="AF150" i="9"/>
  <c r="AF131" i="9"/>
  <c r="S113" i="9"/>
  <c r="S109" i="9"/>
  <c r="S103" i="9"/>
  <c r="AF97" i="9"/>
  <c r="R69" i="9"/>
  <c r="AF52" i="9"/>
  <c r="S49" i="9"/>
  <c r="R47" i="9"/>
  <c r="AF146" i="9"/>
  <c r="AF140" i="9"/>
  <c r="S96" i="9"/>
  <c r="AF88" i="9"/>
  <c r="S87" i="9"/>
  <c r="AF99" i="9"/>
  <c r="AF98" i="9"/>
  <c r="S89" i="9"/>
  <c r="AF79" i="9"/>
  <c r="S74" i="9"/>
  <c r="AF68" i="9"/>
  <c r="AF40" i="9"/>
  <c r="R40" i="9"/>
  <c r="R35" i="9"/>
  <c r="R188" i="9"/>
  <c r="AF184" i="9"/>
  <c r="AF121" i="9"/>
  <c r="S105" i="9"/>
  <c r="S97" i="9"/>
  <c r="R89" i="9"/>
  <c r="R74" i="9"/>
  <c r="R63" i="9"/>
  <c r="S45" i="9"/>
  <c r="S180" i="9"/>
  <c r="AF166" i="9"/>
  <c r="AF85" i="9"/>
  <c r="R77" i="9"/>
  <c r="R45" i="9"/>
  <c r="AF141" i="9"/>
  <c r="S135" i="9"/>
  <c r="R79" i="9"/>
  <c r="AF56" i="9"/>
  <c r="S52" i="9"/>
  <c r="S48" i="9"/>
  <c r="AF45" i="9"/>
  <c r="R132" i="9"/>
  <c r="AF125" i="9"/>
  <c r="AF86" i="9"/>
  <c r="R73" i="9"/>
  <c r="R56" i="9"/>
  <c r="S79" i="9"/>
  <c r="S133" i="9"/>
  <c r="S46" i="9"/>
  <c r="AF78" i="9"/>
  <c r="S58" i="9"/>
  <c r="S54" i="9"/>
  <c r="R52" i="9"/>
  <c r="R119" i="9"/>
  <c r="AF48" i="9"/>
  <c r="AF102" i="9"/>
  <c r="AF38" i="9"/>
  <c r="R122" i="9"/>
  <c r="R86" i="9"/>
  <c r="R81" i="9"/>
  <c r="R58" i="9"/>
  <c r="R51" i="9"/>
  <c r="AF152" i="9"/>
  <c r="S206" i="9"/>
  <c r="AF143" i="9"/>
  <c r="S82" i="9"/>
  <c r="S78" i="9"/>
  <c r="S190" i="9"/>
  <c r="R109" i="9"/>
  <c r="R101" i="9"/>
  <c r="AF123" i="9"/>
  <c r="S168" i="9"/>
  <c r="AF127" i="9"/>
  <c r="AF95" i="9"/>
  <c r="R82" i="9"/>
  <c r="R78" i="9"/>
  <c r="R38" i="9"/>
  <c r="R151" i="9"/>
  <c r="AF80" i="9"/>
  <c r="S60" i="9"/>
  <c r="R65" i="9"/>
  <c r="S36" i="9"/>
  <c r="S42" i="9"/>
  <c r="S119" i="9"/>
  <c r="S101" i="9"/>
  <c r="S47" i="9"/>
  <c r="AF58" i="9"/>
  <c r="R53" i="9"/>
  <c r="S76" i="9"/>
  <c r="AF165" i="9"/>
  <c r="S143" i="9"/>
  <c r="AF100" i="9"/>
  <c r="AF59" i="9"/>
  <c r="S34" i="9"/>
  <c r="S32" i="9"/>
  <c r="R126" i="9"/>
  <c r="AF51" i="9"/>
  <c r="R136" i="9"/>
  <c r="S152" i="9"/>
  <c r="S63" i="9"/>
  <c r="S134" i="9"/>
  <c r="R224" i="9"/>
  <c r="S112" i="9"/>
  <c r="AF55" i="9"/>
  <c r="R153" i="9"/>
  <c r="S185" i="9"/>
  <c r="R95" i="9"/>
  <c r="R135" i="9"/>
  <c r="S183" i="9"/>
  <c r="R142" i="9"/>
  <c r="R150" i="9"/>
  <c r="S223" i="9"/>
  <c r="R181" i="9"/>
  <c r="R157" i="9"/>
  <c r="S213" i="9"/>
  <c r="S196" i="9"/>
  <c r="AF207" i="9"/>
  <c r="AF216" i="9"/>
  <c r="R64" i="9"/>
  <c r="AF39" i="9"/>
  <c r="S72" i="9"/>
  <c r="R48" i="9"/>
  <c r="R140" i="9"/>
  <c r="R112" i="9"/>
  <c r="R156" i="9"/>
  <c r="AF106" i="9"/>
  <c r="S214" i="9"/>
  <c r="R222" i="9"/>
  <c r="AF217" i="9"/>
  <c r="R164" i="9"/>
  <c r="AF227" i="9"/>
  <c r="R76" i="9"/>
  <c r="S229" i="9"/>
  <c r="AF120" i="9"/>
  <c r="S66" i="9"/>
  <c r="S126" i="9"/>
  <c r="AF73" i="9"/>
  <c r="AF139" i="9"/>
  <c r="AF208" i="9"/>
  <c r="S212" i="9"/>
  <c r="AF134" i="9"/>
  <c r="AF133" i="9"/>
  <c r="R190" i="9"/>
  <c r="R71" i="9"/>
  <c r="AF33" i="9"/>
  <c r="AF70" i="9"/>
  <c r="S100" i="9"/>
  <c r="AF110" i="9"/>
  <c r="S59" i="9"/>
  <c r="S33" i="9"/>
  <c r="S83" i="9"/>
  <c r="R39" i="9"/>
  <c r="S51" i="9"/>
  <c r="R152" i="9"/>
  <c r="S55" i="9"/>
  <c r="R66" i="9"/>
  <c r="S125" i="9"/>
  <c r="S182" i="9"/>
  <c r="R185" i="9"/>
  <c r="R123" i="9"/>
  <c r="AF116" i="9"/>
  <c r="R223" i="9"/>
  <c r="S189" i="9"/>
  <c r="S210" i="9"/>
  <c r="R213" i="9"/>
  <c r="AF205" i="9"/>
  <c r="R209" i="9"/>
  <c r="S207" i="9"/>
  <c r="AF188" i="9"/>
  <c r="R202" i="9"/>
  <c r="S205" i="9"/>
  <c r="S204" i="9"/>
  <c r="AF226" i="9"/>
  <c r="R168" i="9"/>
  <c r="R211" i="9"/>
  <c r="AF202" i="9"/>
  <c r="S178" i="9"/>
  <c r="AF47" i="9"/>
  <c r="AF92" i="9"/>
  <c r="R59" i="9"/>
  <c r="S62" i="9"/>
  <c r="AF57" i="9"/>
  <c r="S216" i="9"/>
  <c r="R32" i="9"/>
  <c r="AF91" i="9"/>
  <c r="S61" i="9"/>
  <c r="R107" i="9"/>
  <c r="AF201" i="9"/>
  <c r="S108" i="9"/>
  <c r="R218" i="9"/>
  <c r="AF87" i="9"/>
  <c r="R208" i="9"/>
  <c r="S176" i="9"/>
  <c r="S40" i="9"/>
  <c r="AF36" i="9"/>
  <c r="R72" i="9"/>
  <c r="AF101" i="9"/>
  <c r="R163" i="9"/>
  <c r="R187" i="9"/>
  <c r="AF220" i="9"/>
  <c r="AF93" i="9"/>
  <c r="AF112" i="9"/>
  <c r="AF107" i="9"/>
  <c r="R160" i="9"/>
  <c r="S220" i="9"/>
  <c r="S149" i="9"/>
  <c r="S41" i="9"/>
  <c r="S110" i="9"/>
  <c r="R33" i="9"/>
  <c r="S154" i="9"/>
  <c r="R83" i="9"/>
  <c r="R54" i="9"/>
  <c r="AF75" i="9"/>
  <c r="S39" i="9"/>
  <c r="S99" i="9"/>
  <c r="S93" i="9"/>
  <c r="AF66" i="9"/>
  <c r="AF185" i="9"/>
  <c r="S116" i="9"/>
  <c r="AF197" i="9"/>
  <c r="AF223" i="9"/>
  <c r="S219" i="9"/>
  <c r="R144" i="9"/>
  <c r="S175" i="9"/>
  <c r="R166" i="9"/>
  <c r="AF222" i="9"/>
  <c r="S177" i="9"/>
  <c r="S67" i="9"/>
  <c r="R43" i="9"/>
  <c r="R104" i="9"/>
  <c r="R199" i="9"/>
  <c r="S225" i="9"/>
  <c r="S227" i="9"/>
  <c r="R225" i="9"/>
  <c r="AF137" i="9"/>
  <c r="AF72" i="9"/>
  <c r="S128" i="9"/>
  <c r="R174" i="9"/>
  <c r="AF124" i="9"/>
  <c r="S192" i="9"/>
  <c r="R162" i="9"/>
  <c r="S173" i="9"/>
  <c r="R210" i="9"/>
  <c r="AF209" i="9"/>
  <c r="AF225" i="9"/>
  <c r="AF60" i="9"/>
  <c r="S224" i="9"/>
  <c r="S84" i="9"/>
  <c r="R137" i="9"/>
  <c r="R118" i="9"/>
  <c r="S80" i="9"/>
  <c r="AF163" i="9"/>
  <c r="AF173" i="9"/>
  <c r="AF187" i="9"/>
  <c r="R170" i="9"/>
  <c r="S203" i="9"/>
  <c r="R34" i="9"/>
  <c r="AF44" i="9"/>
  <c r="AF62" i="9"/>
  <c r="R87" i="9"/>
  <c r="R133" i="9"/>
  <c r="S69" i="9"/>
  <c r="AF114" i="9"/>
  <c r="AF183" i="9"/>
  <c r="AF215" i="9"/>
  <c r="S71" i="9"/>
  <c r="R46" i="9"/>
  <c r="S65" i="9"/>
  <c r="R139" i="9"/>
  <c r="R138" i="9"/>
  <c r="S186" i="9"/>
  <c r="R41" i="9"/>
  <c r="R42" i="9"/>
  <c r="S90" i="9"/>
  <c r="AF130" i="9"/>
  <c r="R154" i="9"/>
  <c r="S37" i="9"/>
  <c r="AF54" i="9"/>
  <c r="S75" i="9"/>
  <c r="AF53" i="9"/>
  <c r="AF104" i="9"/>
  <c r="AF77" i="9"/>
  <c r="R99" i="9"/>
  <c r="AF49" i="9"/>
  <c r="AF74" i="9"/>
  <c r="R93" i="9"/>
  <c r="R55" i="9"/>
  <c r="S68" i="9"/>
  <c r="S147" i="9"/>
  <c r="AF132" i="9"/>
  <c r="AF228" i="9"/>
  <c r="S94" i="9"/>
  <c r="AF122" i="9"/>
  <c r="S194" i="9"/>
  <c r="AF200" i="9"/>
  <c r="R221" i="9"/>
  <c r="S226" i="9"/>
  <c r="R50" i="9"/>
  <c r="R84" i="9"/>
  <c r="S151" i="9"/>
  <c r="AF192" i="9"/>
  <c r="AF218" i="9"/>
  <c r="AF210" i="9"/>
  <c r="R67" i="9"/>
  <c r="S92" i="9"/>
  <c r="AF41" i="9"/>
  <c r="R197" i="9"/>
  <c r="AF169" i="9"/>
  <c r="AF179" i="9"/>
  <c r="AF34" i="9"/>
  <c r="S70" i="9"/>
  <c r="AF229" i="9"/>
  <c r="S209" i="9"/>
  <c r="AF219" i="9"/>
  <c r="AF126" i="9"/>
  <c r="R70" i="9"/>
  <c r="AF212" i="9"/>
  <c r="S115" i="9"/>
  <c r="S50" i="9"/>
  <c r="R128" i="9"/>
  <c r="R229" i="9"/>
  <c r="R155" i="9"/>
  <c r="S217" i="9"/>
  <c r="R186" i="9"/>
  <c r="AF50" i="9"/>
  <c r="R100" i="9"/>
  <c r="AF76" i="9"/>
  <c r="AF135" i="9"/>
  <c r="S43" i="9"/>
  <c r="S64" i="9"/>
  <c r="AF42" i="9"/>
  <c r="AF67" i="9"/>
  <c r="R90" i="9"/>
  <c r="S130" i="9"/>
  <c r="R110" i="9"/>
  <c r="R115" i="9"/>
  <c r="R37" i="9"/>
  <c r="S38" i="9"/>
  <c r="S53" i="9"/>
  <c r="S35" i="9"/>
  <c r="R60" i="9"/>
  <c r="S104" i="9"/>
  <c r="S77" i="9"/>
  <c r="R134" i="9"/>
  <c r="R49" i="9"/>
  <c r="S132" i="9"/>
  <c r="S228" i="9"/>
  <c r="AF156" i="9"/>
  <c r="R94" i="9"/>
  <c r="S145" i="9"/>
  <c r="S122" i="9"/>
  <c r="R175" i="9"/>
  <c r="S200" i="9"/>
  <c r="S199" i="9"/>
  <c r="S222" i="9"/>
  <c r="AF214" i="9"/>
  <c r="AF154" i="9"/>
  <c r="R75" i="9"/>
  <c r="R141" i="9"/>
  <c r="AF103" i="9"/>
  <c r="R200" i="9"/>
  <c r="R159" i="9"/>
  <c r="R205" i="9"/>
  <c r="AF84" i="9"/>
  <c r="AF224" i="9"/>
  <c r="R96" i="9"/>
  <c r="S118" i="9"/>
  <c r="AF108" i="9"/>
  <c r="R227" i="9"/>
  <c r="R216" i="9"/>
  <c r="S44" i="9"/>
  <c r="S137" i="9"/>
  <c r="R92" i="9"/>
  <c r="S124" i="9"/>
  <c r="R173" i="9"/>
  <c r="R44" i="9"/>
  <c r="AF69" i="9"/>
  <c r="R148" i="9"/>
  <c r="AF161" i="9"/>
  <c r="S215" i="9"/>
  <c r="AF46" i="9"/>
  <c r="AF65" i="9"/>
  <c r="R91" i="9"/>
  <c r="S120" i="9"/>
  <c r="R36" i="9"/>
  <c r="AF109" i="9"/>
  <c r="AF63" i="9"/>
  <c r="S73" i="9"/>
  <c r="S114" i="9"/>
  <c r="AF181" i="9"/>
  <c r="AF90" i="9"/>
  <c r="R130" i="9"/>
  <c r="AF115" i="9"/>
  <c r="S56" i="9"/>
  <c r="AF43" i="9"/>
  <c r="AF83" i="9"/>
  <c r="AF128" i="9"/>
  <c r="R172" i="9"/>
  <c r="R125" i="9"/>
  <c r="AF61" i="9"/>
  <c r="R228" i="9"/>
  <c r="AF118" i="9"/>
  <c r="S156" i="9"/>
  <c r="S57" i="9"/>
  <c r="S106" i="9"/>
  <c r="S81" i="9"/>
  <c r="R192" i="9"/>
  <c r="R146" i="9"/>
  <c r="S197" i="9"/>
  <c r="R217" i="9"/>
  <c r="S218" i="9"/>
  <c r="AF64" i="9"/>
  <c r="S208" i="9"/>
  <c r="AF203" i="9"/>
  <c r="R62" i="9"/>
  <c r="S91" i="9"/>
  <c r="R183" i="9"/>
  <c r="AF71" i="9"/>
  <c r="AF186" i="9"/>
  <c r="AF190" i="9"/>
  <c r="S191" i="9"/>
  <c r="S195" i="9"/>
  <c r="X153" i="9"/>
  <c r="O18" i="10"/>
  <c r="X202" i="9"/>
  <c r="X218" i="9"/>
  <c r="X192" i="9"/>
  <c r="X213" i="9"/>
  <c r="X5" i="9"/>
  <c r="AZ23" i="9"/>
  <c r="AZ4" i="9"/>
  <c r="AZ20" i="9"/>
  <c r="AZ19" i="9"/>
  <c r="O4" i="9"/>
  <c r="AZ14" i="9"/>
  <c r="AZ5" i="9"/>
  <c r="W66" i="10" s="1"/>
  <c r="AZ15" i="9"/>
  <c r="AZ9" i="9"/>
  <c r="AZ21" i="9"/>
  <c r="AZ16" i="9"/>
  <c r="AZ6" i="9"/>
  <c r="W67" i="10" s="1"/>
  <c r="AZ8" i="9"/>
  <c r="AZ10" i="9"/>
  <c r="AZ18" i="9"/>
  <c r="AZ22" i="9"/>
  <c r="AZ17" i="9"/>
  <c r="AZ12" i="9"/>
  <c r="AZ11" i="9"/>
  <c r="X36" i="9"/>
  <c r="X71" i="9"/>
  <c r="X13" i="9"/>
  <c r="X187" i="9"/>
  <c r="X32" i="9"/>
  <c r="X95" i="9"/>
  <c r="X164" i="9"/>
  <c r="X158" i="9"/>
  <c r="X108" i="9"/>
  <c r="X49" i="9"/>
  <c r="X136" i="9"/>
  <c r="X217" i="9"/>
  <c r="X146" i="9"/>
  <c r="X163" i="9"/>
  <c r="X197" i="9"/>
  <c r="P21" i="9"/>
  <c r="X34" i="9"/>
  <c r="G24" i="9"/>
  <c r="N7" i="9"/>
  <c r="X101" i="9"/>
  <c r="X51" i="9"/>
  <c r="P13" i="9"/>
  <c r="M13" i="9"/>
  <c r="O13" i="9" s="1"/>
  <c r="X60" i="9"/>
  <c r="X212" i="9"/>
  <c r="X229" i="9"/>
  <c r="O15" i="10"/>
  <c r="S15" i="10" s="1"/>
  <c r="O31" i="10"/>
  <c r="S31" i="10" s="1"/>
  <c r="T31" i="10"/>
  <c r="P30" i="9"/>
  <c r="O14" i="10"/>
  <c r="S14" i="10" s="1"/>
  <c r="X112" i="9"/>
  <c r="O21" i="10"/>
  <c r="S21" i="10" s="1"/>
  <c r="X125" i="9"/>
  <c r="X228" i="9"/>
  <c r="X63" i="9"/>
  <c r="O16" i="9"/>
  <c r="X16" i="9"/>
  <c r="O20" i="10"/>
  <c r="S20" i="10" s="1"/>
  <c r="X81" i="9"/>
  <c r="P7" i="9"/>
  <c r="M7" i="9"/>
  <c r="O7" i="9" s="1"/>
  <c r="X6" i="9"/>
  <c r="X39" i="9"/>
  <c r="Q5" i="9"/>
  <c r="D34" i="10"/>
  <c r="D40" i="10" s="1"/>
  <c r="X181" i="9"/>
  <c r="N24" i="9"/>
  <c r="X90" i="9"/>
  <c r="X75" i="9"/>
  <c r="Q8" i="9"/>
  <c r="Q24" i="9" s="1"/>
  <c r="X216" i="9"/>
  <c r="X96" i="9"/>
  <c r="O11" i="9"/>
  <c r="X11" i="9"/>
  <c r="X89" i="9"/>
  <c r="X119" i="9"/>
  <c r="Q9" i="9"/>
  <c r="X46" i="9"/>
  <c r="X45" i="9"/>
  <c r="X55" i="9"/>
  <c r="X37" i="9"/>
  <c r="X19" i="9"/>
  <c r="X106" i="9"/>
  <c r="X40" i="9"/>
  <c r="X102" i="9"/>
  <c r="P4" i="9"/>
  <c r="X173" i="9"/>
  <c r="X154" i="9"/>
  <c r="X118" i="9"/>
  <c r="Q7" i="9"/>
  <c r="Q12" i="9"/>
  <c r="Q13" i="9"/>
  <c r="X52" i="9"/>
  <c r="X78" i="9"/>
  <c r="X226" i="9"/>
  <c r="X175" i="9"/>
  <c r="X97" i="9"/>
  <c r="O10" i="9"/>
  <c r="X10" i="9"/>
  <c r="O27" i="10"/>
  <c r="S27" i="10" s="1"/>
  <c r="X201" i="9"/>
  <c r="P22" i="9"/>
  <c r="X98" i="9"/>
  <c r="X177" i="9"/>
  <c r="X130" i="9"/>
  <c r="X211" i="9"/>
  <c r="M30" i="9"/>
  <c r="O30" i="9" s="1"/>
  <c r="X152" i="9"/>
  <c r="Q16" i="9"/>
  <c r="X122" i="9"/>
  <c r="X207" i="9"/>
  <c r="X22" i="9"/>
  <c r="P11" i="9"/>
  <c r="Q22" i="9"/>
  <c r="X50" i="9"/>
  <c r="X208" i="9"/>
  <c r="X225" i="9"/>
  <c r="X68" i="9"/>
  <c r="X179" i="9"/>
  <c r="X72" i="9"/>
  <c r="P17" i="9"/>
  <c r="X111" i="9"/>
  <c r="AI109" i="9" l="1"/>
  <c r="AJ109" i="9" s="1"/>
  <c r="AP109" i="9" s="1"/>
  <c r="AI218" i="9"/>
  <c r="AJ218" i="9" s="1"/>
  <c r="AP218" i="9" s="1"/>
  <c r="AH149" i="9"/>
  <c r="AI70" i="9"/>
  <c r="AJ70" i="9" s="1"/>
  <c r="AP70" i="9" s="1"/>
  <c r="AH54" i="9"/>
  <c r="AG191" i="9"/>
  <c r="T191" i="9"/>
  <c r="U191" i="9" s="1"/>
  <c r="AH150" i="9"/>
  <c r="AI128" i="9"/>
  <c r="AJ128" i="9" s="1"/>
  <c r="AP128" i="9" s="1"/>
  <c r="AI192" i="9"/>
  <c r="AJ192" i="9" s="1"/>
  <c r="AP192" i="9" s="1"/>
  <c r="AI188" i="9"/>
  <c r="AJ188" i="9" s="1"/>
  <c r="AP188" i="9" s="1"/>
  <c r="AH102" i="9"/>
  <c r="AH120" i="9"/>
  <c r="AH229" i="9"/>
  <c r="AH145" i="9"/>
  <c r="AH173" i="9"/>
  <c r="T150" i="9"/>
  <c r="U150" i="9" s="1"/>
  <c r="AG150" i="9"/>
  <c r="AH141" i="9"/>
  <c r="AG92" i="9"/>
  <c r="T92" i="9"/>
  <c r="U92" i="9" s="1"/>
  <c r="AG43" i="9"/>
  <c r="T43" i="9"/>
  <c r="AI120" i="9"/>
  <c r="AJ120" i="9" s="1"/>
  <c r="AP120" i="9" s="1"/>
  <c r="AH52" i="9"/>
  <c r="AG207" i="9"/>
  <c r="T207" i="9"/>
  <c r="U207" i="9" s="1"/>
  <c r="AI83" i="9"/>
  <c r="AJ83" i="9" s="1"/>
  <c r="AP83" i="9" s="1"/>
  <c r="AH151" i="9"/>
  <c r="AH207" i="9"/>
  <c r="AI119" i="9"/>
  <c r="AJ119" i="9" s="1"/>
  <c r="AP119" i="9" s="1"/>
  <c r="AI186" i="9"/>
  <c r="AJ186" i="9" s="1"/>
  <c r="AP186" i="9" s="1"/>
  <c r="AG110" i="9"/>
  <c r="T110" i="9"/>
  <c r="U110" i="9" s="1"/>
  <c r="AH80" i="9"/>
  <c r="T209" i="9"/>
  <c r="U209" i="9" s="1"/>
  <c r="AG209" i="9"/>
  <c r="T126" i="9"/>
  <c r="AG126" i="9"/>
  <c r="AH46" i="9"/>
  <c r="AH153" i="9"/>
  <c r="AI170" i="9"/>
  <c r="AJ170" i="9" s="1"/>
  <c r="AP170" i="9" s="1"/>
  <c r="Y118" i="9"/>
  <c r="AH81" i="9"/>
  <c r="AG93" i="9"/>
  <c r="T93" i="9"/>
  <c r="U93" i="9" s="1"/>
  <c r="AH42" i="9"/>
  <c r="AI115" i="9"/>
  <c r="AJ115" i="9" s="1"/>
  <c r="AP115" i="9" s="1"/>
  <c r="AI46" i="9"/>
  <c r="AJ46" i="9" s="1"/>
  <c r="AP46" i="9" s="1"/>
  <c r="T227" i="9"/>
  <c r="U227" i="9" s="1"/>
  <c r="AG227" i="9"/>
  <c r="AI154" i="9"/>
  <c r="AJ154" i="9" s="1"/>
  <c r="AP154" i="9" s="1"/>
  <c r="T49" i="9"/>
  <c r="U49" i="9" s="1"/>
  <c r="AG49" i="9"/>
  <c r="T90" i="9"/>
  <c r="U90" i="9" s="1"/>
  <c r="AG90" i="9"/>
  <c r="T229" i="9"/>
  <c r="AG229" i="9"/>
  <c r="AI179" i="9"/>
  <c r="AJ179" i="9" s="1"/>
  <c r="AP179" i="9" s="1"/>
  <c r="AH226" i="9"/>
  <c r="AI74" i="9"/>
  <c r="AJ74" i="9" s="1"/>
  <c r="AP74" i="9" s="1"/>
  <c r="AG42" i="9"/>
  <c r="T42" i="9"/>
  <c r="U42" i="9" s="1"/>
  <c r="T133" i="9"/>
  <c r="AG133" i="9"/>
  <c r="T137" i="9"/>
  <c r="U137" i="9" s="1"/>
  <c r="AG137" i="9"/>
  <c r="AH128" i="9"/>
  <c r="T166" i="9"/>
  <c r="U166" i="9" s="1"/>
  <c r="AG166" i="9"/>
  <c r="AI75" i="9"/>
  <c r="AJ75" i="9" s="1"/>
  <c r="AP75" i="9" s="1"/>
  <c r="AI93" i="9"/>
  <c r="AJ93" i="9" s="1"/>
  <c r="AP93" i="9" s="1"/>
  <c r="AH108" i="9"/>
  <c r="AH178" i="9"/>
  <c r="AG213" i="9"/>
  <c r="T213" i="9"/>
  <c r="U213" i="9" s="1"/>
  <c r="AH51" i="9"/>
  <c r="AI134" i="9"/>
  <c r="AJ134" i="9" s="1"/>
  <c r="AP134" i="9" s="1"/>
  <c r="AG164" i="9"/>
  <c r="T164" i="9"/>
  <c r="U164" i="9" s="1"/>
  <c r="AI216" i="9"/>
  <c r="AJ216" i="9" s="1"/>
  <c r="AP216" i="9" s="1"/>
  <c r="AH185" i="9"/>
  <c r="AH34" i="9"/>
  <c r="AH36" i="9"/>
  <c r="AF37" i="9"/>
  <c r="T86" i="9"/>
  <c r="U86" i="9" s="1"/>
  <c r="AG86" i="9"/>
  <c r="AH79" i="9"/>
  <c r="AI141" i="9"/>
  <c r="AJ141" i="9" s="1"/>
  <c r="AP141" i="9" s="1"/>
  <c r="AI121" i="9"/>
  <c r="AJ121" i="9" s="1"/>
  <c r="AP121" i="9" s="1"/>
  <c r="AI99" i="9"/>
  <c r="AJ99" i="9" s="1"/>
  <c r="AP99" i="9" s="1"/>
  <c r="AH109" i="9"/>
  <c r="AH88" i="9"/>
  <c r="AI129" i="9"/>
  <c r="AJ129" i="9" s="1"/>
  <c r="AP129" i="9" s="1"/>
  <c r="AH181" i="9"/>
  <c r="AH159" i="9"/>
  <c r="AG201" i="9"/>
  <c r="T201" i="9"/>
  <c r="AH85" i="9"/>
  <c r="AH167" i="9"/>
  <c r="T121" i="9"/>
  <c r="U121" i="9" s="1"/>
  <c r="AG121" i="9"/>
  <c r="AI175" i="9"/>
  <c r="AJ175" i="9" s="1"/>
  <c r="AP175" i="9" s="1"/>
  <c r="AH138" i="9"/>
  <c r="AI164" i="9"/>
  <c r="AJ164" i="9" s="1"/>
  <c r="AP164" i="9" s="1"/>
  <c r="AH174" i="9"/>
  <c r="T204" i="9"/>
  <c r="U204" i="9" s="1"/>
  <c r="AG204" i="9"/>
  <c r="T203" i="9"/>
  <c r="U203" i="9" s="1"/>
  <c r="AG203" i="9"/>
  <c r="Y159" i="9"/>
  <c r="Y210" i="9"/>
  <c r="Y8" i="9"/>
  <c r="Y22" i="9"/>
  <c r="AH124" i="9"/>
  <c r="AI54" i="9"/>
  <c r="AJ54" i="9" s="1"/>
  <c r="AP54" i="9" s="1"/>
  <c r="AI57" i="9"/>
  <c r="AJ57" i="9" s="1"/>
  <c r="AP57" i="9" s="1"/>
  <c r="AI58" i="9"/>
  <c r="AJ58" i="9" s="1"/>
  <c r="AP58" i="9" s="1"/>
  <c r="AI68" i="9"/>
  <c r="AJ68" i="9" s="1"/>
  <c r="AP68" i="9" s="1"/>
  <c r="T206" i="9"/>
  <c r="U206" i="9" s="1"/>
  <c r="AG206" i="9"/>
  <c r="AG214" i="9"/>
  <c r="T214" i="9"/>
  <c r="U214" i="9" s="1"/>
  <c r="AG94" i="9"/>
  <c r="T94" i="9"/>
  <c r="AI215" i="9"/>
  <c r="AJ215" i="9" s="1"/>
  <c r="AP215" i="9" s="1"/>
  <c r="AH220" i="9"/>
  <c r="AI33" i="9"/>
  <c r="AJ33" i="9" s="1"/>
  <c r="AP33" i="9" s="1"/>
  <c r="AH47" i="9"/>
  <c r="AI52" i="9"/>
  <c r="AJ52" i="9" s="1"/>
  <c r="AP52" i="9" s="1"/>
  <c r="T171" i="9"/>
  <c r="AG171" i="9"/>
  <c r="AH198" i="9"/>
  <c r="Y212" i="9"/>
  <c r="AI190" i="9"/>
  <c r="AJ190" i="9" s="1"/>
  <c r="AP190" i="9" s="1"/>
  <c r="AI156" i="9"/>
  <c r="AJ156" i="9" s="1"/>
  <c r="AP156" i="9" s="1"/>
  <c r="T154" i="9"/>
  <c r="U154" i="9" s="1"/>
  <c r="AG154" i="9"/>
  <c r="AH67" i="9"/>
  <c r="AG66" i="9"/>
  <c r="T66" i="9"/>
  <c r="U66" i="9" s="1"/>
  <c r="AI127" i="9"/>
  <c r="AJ127" i="9" s="1"/>
  <c r="AP127" i="9" s="1"/>
  <c r="AG89" i="9"/>
  <c r="T89" i="9"/>
  <c r="U89" i="9" s="1"/>
  <c r="AH107" i="9"/>
  <c r="AG108" i="9"/>
  <c r="T108" i="9"/>
  <c r="AH157" i="9"/>
  <c r="T91" i="9"/>
  <c r="U91" i="9" s="1"/>
  <c r="AG91" i="9"/>
  <c r="AH70" i="9"/>
  <c r="AI114" i="9"/>
  <c r="AJ114" i="9" s="1"/>
  <c r="AP114" i="9" s="1"/>
  <c r="AI87" i="9"/>
  <c r="AJ87" i="9" s="1"/>
  <c r="AP87" i="9" s="1"/>
  <c r="T190" i="9"/>
  <c r="AG190" i="9"/>
  <c r="AH119" i="9"/>
  <c r="AG79" i="9"/>
  <c r="T79" i="9"/>
  <c r="AI97" i="9"/>
  <c r="AJ97" i="9" s="1"/>
  <c r="AP97" i="9" s="1"/>
  <c r="AG131" i="9"/>
  <c r="T131" i="9"/>
  <c r="AI151" i="9"/>
  <c r="AJ151" i="9" s="1"/>
  <c r="AP151" i="9" s="1"/>
  <c r="AI221" i="9"/>
  <c r="AJ221" i="9" s="1"/>
  <c r="AP221" i="9" s="1"/>
  <c r="X7" i="9"/>
  <c r="Y46" i="9"/>
  <c r="Y146" i="9"/>
  <c r="Y202" i="9"/>
  <c r="AG216" i="9"/>
  <c r="T216" i="9"/>
  <c r="AG50" i="9"/>
  <c r="T50" i="9"/>
  <c r="U50" i="9" s="1"/>
  <c r="AI222" i="9"/>
  <c r="AJ222" i="9" s="1"/>
  <c r="AP222" i="9" s="1"/>
  <c r="AI47" i="9"/>
  <c r="AJ47" i="9" s="1"/>
  <c r="AP47" i="9" s="1"/>
  <c r="T64" i="9"/>
  <c r="U64" i="9" s="1"/>
  <c r="AG64" i="9"/>
  <c r="T81" i="9"/>
  <c r="AG81" i="9"/>
  <c r="AI98" i="9"/>
  <c r="AJ98" i="9" s="1"/>
  <c r="AP98" i="9" s="1"/>
  <c r="AH117" i="9"/>
  <c r="AI81" i="9"/>
  <c r="AJ81" i="9" s="1"/>
  <c r="AP81" i="9" s="1"/>
  <c r="AI211" i="9"/>
  <c r="AJ211" i="9" s="1"/>
  <c r="AP211" i="9" s="1"/>
  <c r="Y181" i="9"/>
  <c r="Y217" i="9"/>
  <c r="Y226" i="9"/>
  <c r="AI108" i="9"/>
  <c r="AJ108" i="9" s="1"/>
  <c r="AP108" i="9" s="1"/>
  <c r="AI169" i="9"/>
  <c r="AJ169" i="9" s="1"/>
  <c r="AP169" i="9" s="1"/>
  <c r="AG87" i="9"/>
  <c r="T87" i="9"/>
  <c r="U87" i="9" s="1"/>
  <c r="AI220" i="9"/>
  <c r="AJ220" i="9" s="1"/>
  <c r="AP220" i="9" s="1"/>
  <c r="T39" i="9"/>
  <c r="U39" i="9" s="1"/>
  <c r="AG39" i="9"/>
  <c r="AG153" i="9"/>
  <c r="T153" i="9"/>
  <c r="U153" i="9" s="1"/>
  <c r="T122" i="9"/>
  <c r="U122" i="9" s="1"/>
  <c r="AG122" i="9"/>
  <c r="AH87" i="9"/>
  <c r="T147" i="9"/>
  <c r="AG147" i="9"/>
  <c r="T98" i="9"/>
  <c r="AG98" i="9"/>
  <c r="AI199" i="9"/>
  <c r="AJ199" i="9" s="1"/>
  <c r="AP199" i="9" s="1"/>
  <c r="AH171" i="9"/>
  <c r="AG220" i="9"/>
  <c r="T220" i="9"/>
  <c r="U220" i="9" s="1"/>
  <c r="Y172" i="9"/>
  <c r="Y59" i="9"/>
  <c r="Y228" i="9"/>
  <c r="T159" i="9"/>
  <c r="U159" i="9" s="1"/>
  <c r="AG159" i="9"/>
  <c r="AH71" i="9"/>
  <c r="AG202" i="9"/>
  <c r="T202" i="9"/>
  <c r="U202" i="9" s="1"/>
  <c r="AG82" i="9"/>
  <c r="T82" i="9"/>
  <c r="U82" i="9" s="1"/>
  <c r="AH49" i="9"/>
  <c r="AG179" i="9"/>
  <c r="T179" i="9"/>
  <c r="U179" i="9" s="1"/>
  <c r="AG193" i="9"/>
  <c r="T193" i="9"/>
  <c r="U193" i="9" s="1"/>
  <c r="Y138" i="9"/>
  <c r="Y68" i="9"/>
  <c r="Y229" i="9"/>
  <c r="AG200" i="9"/>
  <c r="T200" i="9"/>
  <c r="AH147" i="9"/>
  <c r="AI66" i="9"/>
  <c r="AJ66" i="9" s="1"/>
  <c r="AP66" i="9" s="1"/>
  <c r="AG48" i="9"/>
  <c r="T48" i="9"/>
  <c r="U48" i="9" s="1"/>
  <c r="AI95" i="9"/>
  <c r="AJ95" i="9" s="1"/>
  <c r="AP95" i="9" s="1"/>
  <c r="AH74" i="9"/>
  <c r="AI198" i="9"/>
  <c r="AJ198" i="9" s="1"/>
  <c r="AP198" i="9" s="1"/>
  <c r="AI142" i="9"/>
  <c r="AJ142" i="9" s="1"/>
  <c r="AP142" i="9" s="1"/>
  <c r="AH184" i="9"/>
  <c r="Y201" i="9"/>
  <c r="Y197" i="9"/>
  <c r="T146" i="9"/>
  <c r="U146" i="9" s="1"/>
  <c r="AG146" i="9"/>
  <c r="AG115" i="9"/>
  <c r="T115" i="9"/>
  <c r="U115" i="9" s="1"/>
  <c r="AI183" i="9"/>
  <c r="AJ183" i="9" s="1"/>
  <c r="AP183" i="9" s="1"/>
  <c r="T160" i="9"/>
  <c r="U160" i="9" s="1"/>
  <c r="AG160" i="9"/>
  <c r="AG71" i="9"/>
  <c r="T71" i="9"/>
  <c r="AH101" i="9"/>
  <c r="AI56" i="9"/>
  <c r="AJ56" i="9" s="1"/>
  <c r="AP56" i="9" s="1"/>
  <c r="AI144" i="9"/>
  <c r="AJ144" i="9" s="1"/>
  <c r="AP144" i="9" s="1"/>
  <c r="AH98" i="9"/>
  <c r="AG215" i="9"/>
  <c r="T215" i="9"/>
  <c r="Y117" i="9"/>
  <c r="AI43" i="9"/>
  <c r="AJ43" i="9" s="1"/>
  <c r="AP43" i="9" s="1"/>
  <c r="AH217" i="9"/>
  <c r="AI130" i="9"/>
  <c r="AJ130" i="9" s="1"/>
  <c r="AP130" i="9" s="1"/>
  <c r="AI107" i="9"/>
  <c r="AJ107" i="9" s="1"/>
  <c r="AP107" i="9" s="1"/>
  <c r="T135" i="9"/>
  <c r="U135" i="9" s="1"/>
  <c r="AG135" i="9"/>
  <c r="AI204" i="9"/>
  <c r="AJ204" i="9" s="1"/>
  <c r="AP204" i="9" s="1"/>
  <c r="O30" i="10"/>
  <c r="Y175" i="9"/>
  <c r="AI71" i="9"/>
  <c r="AJ71" i="9" s="1"/>
  <c r="AP71" i="9" s="1"/>
  <c r="T75" i="9"/>
  <c r="U75" i="9" s="1"/>
  <c r="AG75" i="9"/>
  <c r="AI34" i="9"/>
  <c r="AJ34" i="9" s="1"/>
  <c r="AP34" i="9" s="1"/>
  <c r="T174" i="9"/>
  <c r="AG174" i="9"/>
  <c r="AG218" i="9"/>
  <c r="T218" i="9"/>
  <c r="U218" i="9" s="1"/>
  <c r="AI227" i="9"/>
  <c r="AJ227" i="9" s="1"/>
  <c r="AP227" i="9" s="1"/>
  <c r="AI123" i="9"/>
  <c r="AJ123" i="9" s="1"/>
  <c r="AP123" i="9" s="1"/>
  <c r="AH105" i="9"/>
  <c r="AH172" i="9"/>
  <c r="AH165" i="9"/>
  <c r="AI167" i="9"/>
  <c r="AJ167" i="9" s="1"/>
  <c r="AP167" i="9" s="1"/>
  <c r="Y154" i="9"/>
  <c r="Y173" i="9"/>
  <c r="Y51" i="9"/>
  <c r="AH57" i="9"/>
  <c r="AI214" i="9"/>
  <c r="AJ214" i="9" s="1"/>
  <c r="AP214" i="9" s="1"/>
  <c r="T221" i="9"/>
  <c r="U221" i="9" s="1"/>
  <c r="AG221" i="9"/>
  <c r="AH84" i="9"/>
  <c r="AI201" i="9"/>
  <c r="AJ201" i="9" s="1"/>
  <c r="AP201" i="9" s="1"/>
  <c r="AF32" i="9"/>
  <c r="AI59" i="9"/>
  <c r="AJ59" i="9" s="1"/>
  <c r="AP59" i="9" s="1"/>
  <c r="T56" i="9"/>
  <c r="AG56" i="9"/>
  <c r="AH113" i="9"/>
  <c r="AI136" i="9"/>
  <c r="AJ136" i="9" s="1"/>
  <c r="AP136" i="9" s="1"/>
  <c r="T117" i="9"/>
  <c r="AG117" i="9"/>
  <c r="T124" i="9"/>
  <c r="AG124" i="9"/>
  <c r="T158" i="9"/>
  <c r="AG158" i="9"/>
  <c r="AI180" i="9"/>
  <c r="AJ180" i="9" s="1"/>
  <c r="AP180" i="9" s="1"/>
  <c r="AI206" i="9"/>
  <c r="AJ206" i="9" s="1"/>
  <c r="AP206" i="9" s="1"/>
  <c r="Y110" i="9"/>
  <c r="Y127" i="9"/>
  <c r="Y208" i="9"/>
  <c r="Y211" i="9"/>
  <c r="Y89" i="9"/>
  <c r="X30" i="9"/>
  <c r="Y55" i="9" s="1"/>
  <c r="AG62" i="9"/>
  <c r="T62" i="9"/>
  <c r="U62" i="9" s="1"/>
  <c r="AH156" i="9"/>
  <c r="AI90" i="9"/>
  <c r="AJ90" i="9" s="1"/>
  <c r="AP90" i="9" s="1"/>
  <c r="AI161" i="9"/>
  <c r="AJ161" i="9" s="1"/>
  <c r="AP161" i="9" s="1"/>
  <c r="AH118" i="9"/>
  <c r="AH222" i="9"/>
  <c r="AH77" i="9"/>
  <c r="AI42" i="9"/>
  <c r="AJ42" i="9" s="1"/>
  <c r="AP42" i="9" s="1"/>
  <c r="AH50" i="9"/>
  <c r="AG197" i="9"/>
  <c r="T197" i="9"/>
  <c r="U197" i="9" s="1"/>
  <c r="AI200" i="9"/>
  <c r="AJ200" i="9" s="1"/>
  <c r="AP200" i="9" s="1"/>
  <c r="AG99" i="9"/>
  <c r="T99" i="9"/>
  <c r="U99" i="9" s="1"/>
  <c r="AH186" i="9"/>
  <c r="AI62" i="9"/>
  <c r="AJ62" i="9" s="1"/>
  <c r="AP62" i="9" s="1"/>
  <c r="AH224" i="9"/>
  <c r="AI137" i="9"/>
  <c r="AJ137" i="9" s="1"/>
  <c r="AP137" i="9" s="1"/>
  <c r="T144" i="9"/>
  <c r="U144" i="9" s="1"/>
  <c r="AG144" i="9"/>
  <c r="T83" i="9"/>
  <c r="U83" i="9" s="1"/>
  <c r="AG83" i="9"/>
  <c r="AG187" i="9"/>
  <c r="T187" i="9"/>
  <c r="AG107" i="9"/>
  <c r="T107" i="9"/>
  <c r="U107" i="9" s="1"/>
  <c r="AG211" i="9"/>
  <c r="T211" i="9"/>
  <c r="U211" i="9" s="1"/>
  <c r="AH189" i="9"/>
  <c r="AH83" i="9"/>
  <c r="AH212" i="9"/>
  <c r="AG222" i="9"/>
  <c r="T222" i="9"/>
  <c r="U222" i="9" s="1"/>
  <c r="AH196" i="9"/>
  <c r="AI55" i="9"/>
  <c r="AJ55" i="9" s="1"/>
  <c r="AP55" i="9" s="1"/>
  <c r="AI100" i="9"/>
  <c r="AJ100" i="9" s="1"/>
  <c r="AP100" i="9" s="1"/>
  <c r="AH60" i="9"/>
  <c r="AG109" i="9"/>
  <c r="T109" i="9"/>
  <c r="U109" i="9" s="1"/>
  <c r="AI38" i="9"/>
  <c r="AJ38" i="9" s="1"/>
  <c r="AP38" i="9" s="1"/>
  <c r="AG73" i="9"/>
  <c r="T73" i="9"/>
  <c r="U73" i="9" s="1"/>
  <c r="AG77" i="9"/>
  <c r="T77" i="9"/>
  <c r="U77" i="9" s="1"/>
  <c r="AG188" i="9"/>
  <c r="T188" i="9"/>
  <c r="U188" i="9" s="1"/>
  <c r="AI88" i="9"/>
  <c r="AJ88" i="9" s="1"/>
  <c r="AP88" i="9" s="1"/>
  <c r="AI131" i="9"/>
  <c r="AJ131" i="9" s="1"/>
  <c r="AP131" i="9" s="1"/>
  <c r="AH211" i="9"/>
  <c r="AI178" i="9"/>
  <c r="AJ178" i="9" s="1"/>
  <c r="AP178" i="9" s="1"/>
  <c r="AH139" i="9"/>
  <c r="AI105" i="9"/>
  <c r="AJ105" i="9" s="1"/>
  <c r="AP105" i="9" s="1"/>
  <c r="AH123" i="9"/>
  <c r="AI111" i="9"/>
  <c r="AJ111" i="9" s="1"/>
  <c r="AP111" i="9" s="1"/>
  <c r="AH95" i="9"/>
  <c r="AH129" i="9"/>
  <c r="AI138" i="9"/>
  <c r="AJ138" i="9" s="1"/>
  <c r="AP138" i="9" s="1"/>
  <c r="AI159" i="9"/>
  <c r="AJ159" i="9" s="1"/>
  <c r="AP159" i="9" s="1"/>
  <c r="T198" i="9"/>
  <c r="U198" i="9" s="1"/>
  <c r="AG198" i="9"/>
  <c r="AG184" i="9"/>
  <c r="T184" i="9"/>
  <c r="T219" i="9"/>
  <c r="U219" i="9" s="1"/>
  <c r="AG219" i="9"/>
  <c r="Y196" i="9"/>
  <c r="Y44" i="9"/>
  <c r="AG217" i="9"/>
  <c r="T217" i="9"/>
  <c r="U217" i="9" s="1"/>
  <c r="AI219" i="9"/>
  <c r="AJ219" i="9" s="1"/>
  <c r="AP219" i="9" s="1"/>
  <c r="AH40" i="9"/>
  <c r="T140" i="9"/>
  <c r="U140" i="9" s="1"/>
  <c r="AG140" i="9"/>
  <c r="AH48" i="9"/>
  <c r="AH187" i="9"/>
  <c r="AI176" i="9"/>
  <c r="AJ176" i="9" s="1"/>
  <c r="AP176" i="9" s="1"/>
  <c r="Y143" i="9"/>
  <c r="Y81" i="9"/>
  <c r="AH191" i="9"/>
  <c r="AI50" i="9"/>
  <c r="AJ50" i="9" s="1"/>
  <c r="AP50" i="9" s="1"/>
  <c r="AI173" i="9"/>
  <c r="AJ173" i="9" s="1"/>
  <c r="AP173" i="9" s="1"/>
  <c r="AH176" i="9"/>
  <c r="T142" i="9"/>
  <c r="U142" i="9" s="1"/>
  <c r="AG142" i="9"/>
  <c r="AI152" i="9"/>
  <c r="AJ152" i="9" s="1"/>
  <c r="AP152" i="9" s="1"/>
  <c r="AG114" i="9"/>
  <c r="T114" i="9"/>
  <c r="AI194" i="9"/>
  <c r="AJ194" i="9" s="1"/>
  <c r="AP194" i="9" s="1"/>
  <c r="AG189" i="9"/>
  <c r="T189" i="9"/>
  <c r="U189" i="9" s="1"/>
  <c r="AG177" i="9"/>
  <c r="T177" i="9"/>
  <c r="U177" i="9" s="1"/>
  <c r="Y83" i="9"/>
  <c r="Y90" i="9"/>
  <c r="Y164" i="9"/>
  <c r="AZ7" i="9"/>
  <c r="W68" i="10" s="1"/>
  <c r="AH137" i="9"/>
  <c r="AI229" i="9"/>
  <c r="AJ229" i="9" s="1"/>
  <c r="AP229" i="9" s="1"/>
  <c r="AI163" i="9"/>
  <c r="AJ163" i="9" s="1"/>
  <c r="AP163" i="9" s="1"/>
  <c r="T208" i="9"/>
  <c r="AG208" i="9"/>
  <c r="AH72" i="9"/>
  <c r="T51" i="9"/>
  <c r="U51" i="9" s="1"/>
  <c r="AG51" i="9"/>
  <c r="AI79" i="9"/>
  <c r="AJ79" i="9" s="1"/>
  <c r="AP79" i="9" s="1"/>
  <c r="AH86" i="9"/>
  <c r="AI148" i="9"/>
  <c r="AJ148" i="9" s="1"/>
  <c r="AP148" i="9" s="1"/>
  <c r="AI196" i="9"/>
  <c r="AJ196" i="9" s="1"/>
  <c r="AP196" i="9" s="1"/>
  <c r="Y60" i="9"/>
  <c r="Y218" i="9"/>
  <c r="AG141" i="9"/>
  <c r="T141" i="9"/>
  <c r="U141" i="9" s="1"/>
  <c r="AG84" i="9"/>
  <c r="T84" i="9"/>
  <c r="AH177" i="9"/>
  <c r="AH55" i="9"/>
  <c r="AI39" i="9"/>
  <c r="AJ39" i="9" s="1"/>
  <c r="AP39" i="9" s="1"/>
  <c r="AG58" i="9"/>
  <c r="T58" i="9"/>
  <c r="U58" i="9" s="1"/>
  <c r="AH89" i="9"/>
  <c r="AG111" i="9"/>
  <c r="T111" i="9"/>
  <c r="AG103" i="9"/>
  <c r="T103" i="9"/>
  <c r="U103" i="9" s="1"/>
  <c r="AI157" i="9"/>
  <c r="AJ157" i="9" s="1"/>
  <c r="AP157" i="9" s="1"/>
  <c r="AG182" i="9"/>
  <c r="T182" i="9"/>
  <c r="U182" i="9" s="1"/>
  <c r="Y109" i="9"/>
  <c r="AI65" i="9"/>
  <c r="AJ65" i="9" s="1"/>
  <c r="AP65" i="9" s="1"/>
  <c r="T155" i="9"/>
  <c r="U155" i="9" s="1"/>
  <c r="AG155" i="9"/>
  <c r="AH69" i="9"/>
  <c r="AI112" i="9"/>
  <c r="AJ112" i="9" s="1"/>
  <c r="AP112" i="9" s="1"/>
  <c r="T152" i="9"/>
  <c r="U152" i="9" s="1"/>
  <c r="AG152" i="9"/>
  <c r="AH32" i="9"/>
  <c r="AH133" i="9"/>
  <c r="AH103" i="9"/>
  <c r="AH155" i="9"/>
  <c r="AG116" i="9"/>
  <c r="T116" i="9"/>
  <c r="U116" i="9" s="1"/>
  <c r="AI158" i="9"/>
  <c r="AJ158" i="9" s="1"/>
  <c r="AP158" i="9" s="1"/>
  <c r="Y139" i="9"/>
  <c r="AH106" i="9"/>
  <c r="Y97" i="9"/>
  <c r="Y119" i="9"/>
  <c r="AH215" i="9"/>
  <c r="T128" i="9"/>
  <c r="AG128" i="9"/>
  <c r="AG41" i="9"/>
  <c r="T41" i="9"/>
  <c r="U41" i="9" s="1"/>
  <c r="AH175" i="9"/>
  <c r="AH210" i="9"/>
  <c r="AI207" i="9"/>
  <c r="AJ207" i="9" s="1"/>
  <c r="AP207" i="9" s="1"/>
  <c r="AG101" i="9"/>
  <c r="T101" i="9"/>
  <c r="U101" i="9" s="1"/>
  <c r="AI184" i="9"/>
  <c r="AJ184" i="9" s="1"/>
  <c r="AP184" i="9" s="1"/>
  <c r="AH169" i="9"/>
  <c r="Y168" i="9"/>
  <c r="Y102" i="9"/>
  <c r="Y112" i="9"/>
  <c r="AZ13" i="9"/>
  <c r="AI203" i="9"/>
  <c r="AJ203" i="9" s="1"/>
  <c r="AP203" i="9" s="1"/>
  <c r="AI118" i="9"/>
  <c r="AJ118" i="9" s="1"/>
  <c r="AP118" i="9" s="1"/>
  <c r="AI181" i="9"/>
  <c r="AJ181" i="9" s="1"/>
  <c r="AP181" i="9" s="1"/>
  <c r="T148" i="9"/>
  <c r="U148" i="9" s="1"/>
  <c r="AG148" i="9"/>
  <c r="T96" i="9"/>
  <c r="U96" i="9" s="1"/>
  <c r="AG96" i="9"/>
  <c r="AH199" i="9"/>
  <c r="AH104" i="9"/>
  <c r="AH64" i="9"/>
  <c r="AH115" i="9"/>
  <c r="AI41" i="9"/>
  <c r="AJ41" i="9" s="1"/>
  <c r="AP41" i="9" s="1"/>
  <c r="AH194" i="9"/>
  <c r="AI77" i="9"/>
  <c r="AJ77" i="9" s="1"/>
  <c r="AP77" i="9" s="1"/>
  <c r="T138" i="9"/>
  <c r="U138" i="9" s="1"/>
  <c r="AG138" i="9"/>
  <c r="AI44" i="9"/>
  <c r="AJ44" i="9" s="1"/>
  <c r="AP44" i="9" s="1"/>
  <c r="AI60" i="9"/>
  <c r="AJ60" i="9" s="1"/>
  <c r="AP60" i="9" s="1"/>
  <c r="T225" i="9"/>
  <c r="U225" i="9" s="1"/>
  <c r="AG225" i="9"/>
  <c r="AH219" i="9"/>
  <c r="AH154" i="9"/>
  <c r="AG163" i="9"/>
  <c r="T163" i="9"/>
  <c r="AH61" i="9"/>
  <c r="AG168" i="9"/>
  <c r="T168" i="9"/>
  <c r="U168" i="9" s="1"/>
  <c r="T223" i="9"/>
  <c r="U223" i="9" s="1"/>
  <c r="AG223" i="9"/>
  <c r="AH33" i="9"/>
  <c r="AI208" i="9"/>
  <c r="AJ208" i="9" s="1"/>
  <c r="AP208" i="9" s="1"/>
  <c r="AH214" i="9"/>
  <c r="AH213" i="9"/>
  <c r="AH112" i="9"/>
  <c r="AH143" i="9"/>
  <c r="AI80" i="9"/>
  <c r="AJ80" i="9" s="1"/>
  <c r="AP80" i="9" s="1"/>
  <c r="AH190" i="9"/>
  <c r="U190" i="9"/>
  <c r="AI102" i="9"/>
  <c r="AJ102" i="9" s="1"/>
  <c r="AP102" i="9" s="1"/>
  <c r="AI86" i="9"/>
  <c r="AJ86" i="9" s="1"/>
  <c r="AP86" i="9" s="1"/>
  <c r="AI85" i="9"/>
  <c r="AJ85" i="9" s="1"/>
  <c r="AP85" i="9" s="1"/>
  <c r="T35" i="9"/>
  <c r="AG35" i="9"/>
  <c r="AH96" i="9"/>
  <c r="AI150" i="9"/>
  <c r="AJ150" i="9" s="1"/>
  <c r="AP150" i="9" s="1"/>
  <c r="T68" i="9"/>
  <c r="U68" i="9" s="1"/>
  <c r="AG68" i="9"/>
  <c r="T57" i="9"/>
  <c r="U57" i="9" s="1"/>
  <c r="AG57" i="9"/>
  <c r="T145" i="9"/>
  <c r="AG145" i="9"/>
  <c r="AG106" i="9"/>
  <c r="T106" i="9"/>
  <c r="U106" i="9" s="1"/>
  <c r="AI149" i="9"/>
  <c r="AJ149" i="9" s="1"/>
  <c r="AP149" i="9" s="1"/>
  <c r="AH127" i="9"/>
  <c r="AI96" i="9"/>
  <c r="AJ96" i="9" s="1"/>
  <c r="AP96" i="9" s="1"/>
  <c r="AI147" i="9"/>
  <c r="AJ147" i="9" s="1"/>
  <c r="AP147" i="9" s="1"/>
  <c r="AH142" i="9"/>
  <c r="AI195" i="9"/>
  <c r="AJ195" i="9" s="1"/>
  <c r="AP195" i="9" s="1"/>
  <c r="AH202" i="9"/>
  <c r="AI189" i="9"/>
  <c r="AJ189" i="9" s="1"/>
  <c r="AP189" i="9" s="1"/>
  <c r="T196" i="9"/>
  <c r="AG196" i="9"/>
  <c r="D41" i="10"/>
  <c r="Y105" i="9"/>
  <c r="AI187" i="9"/>
  <c r="AJ187" i="9" s="1"/>
  <c r="AP187" i="9" s="1"/>
  <c r="AH152" i="9"/>
  <c r="AI94" i="9"/>
  <c r="AJ94" i="9" s="1"/>
  <c r="AP94" i="9" s="1"/>
  <c r="AH136" i="9"/>
  <c r="AG36" i="9"/>
  <c r="T36" i="9"/>
  <c r="U36" i="9" s="1"/>
  <c r="U7" i="9" s="1"/>
  <c r="T162" i="9"/>
  <c r="U162" i="9" s="1"/>
  <c r="AG162" i="9"/>
  <c r="AH125" i="9"/>
  <c r="AG74" i="9"/>
  <c r="T74" i="9"/>
  <c r="U74" i="9" s="1"/>
  <c r="T105" i="9"/>
  <c r="AG105" i="9"/>
  <c r="Y192" i="9"/>
  <c r="T186" i="9"/>
  <c r="AG186" i="9"/>
  <c r="AH93" i="9"/>
  <c r="AI51" i="9"/>
  <c r="AJ51" i="9" s="1"/>
  <c r="AP51" i="9" s="1"/>
  <c r="AH170" i="9"/>
  <c r="Y163" i="9"/>
  <c r="AH44" i="9"/>
  <c r="AH99" i="9"/>
  <c r="T113" i="9"/>
  <c r="U113" i="9" s="1"/>
  <c r="AG113" i="9"/>
  <c r="AH132" i="9"/>
  <c r="T118" i="9"/>
  <c r="AG118" i="9"/>
  <c r="AI133" i="9"/>
  <c r="AJ133" i="9" s="1"/>
  <c r="AP133" i="9" s="1"/>
  <c r="AI162" i="9"/>
  <c r="AJ162" i="9" s="1"/>
  <c r="AP162" i="9" s="1"/>
  <c r="AH91" i="9"/>
  <c r="AI67" i="9"/>
  <c r="AJ67" i="9" s="1"/>
  <c r="AP67" i="9" s="1"/>
  <c r="AG54" i="9"/>
  <c r="T54" i="9"/>
  <c r="U54" i="9" s="1"/>
  <c r="T194" i="9"/>
  <c r="AG194" i="9"/>
  <c r="Y111" i="9"/>
  <c r="Y49" i="9"/>
  <c r="AH208" i="9"/>
  <c r="AH114" i="9"/>
  <c r="AI69" i="9"/>
  <c r="AJ69" i="9" s="1"/>
  <c r="AP69" i="9" s="1"/>
  <c r="AI224" i="9"/>
  <c r="AJ224" i="9" s="1"/>
  <c r="AP224" i="9" s="1"/>
  <c r="AG60" i="9"/>
  <c r="T60" i="9"/>
  <c r="AH43" i="9"/>
  <c r="AI212" i="9"/>
  <c r="AJ212" i="9" s="1"/>
  <c r="AP212" i="9" s="1"/>
  <c r="AH92" i="9"/>
  <c r="AI122" i="9"/>
  <c r="AJ122" i="9" s="1"/>
  <c r="AP122" i="9" s="1"/>
  <c r="AI104" i="9"/>
  <c r="AJ104" i="9" s="1"/>
  <c r="AP104" i="9" s="1"/>
  <c r="AG139" i="9"/>
  <c r="T139" i="9"/>
  <c r="U139" i="9" s="1"/>
  <c r="T34" i="9"/>
  <c r="U34" i="9" s="1"/>
  <c r="AG34" i="9"/>
  <c r="AI225" i="9"/>
  <c r="AJ225" i="9" s="1"/>
  <c r="AP225" i="9" s="1"/>
  <c r="AH227" i="9"/>
  <c r="AI223" i="9"/>
  <c r="AJ223" i="9" s="1"/>
  <c r="AP223" i="9" s="1"/>
  <c r="AG33" i="9"/>
  <c r="T33" i="9"/>
  <c r="U33" i="9" s="1"/>
  <c r="AI101" i="9"/>
  <c r="AJ101" i="9" s="1"/>
  <c r="AP101" i="9" s="1"/>
  <c r="AI91" i="9"/>
  <c r="AJ91" i="9" s="1"/>
  <c r="AP91" i="9" s="1"/>
  <c r="AI226" i="9"/>
  <c r="AJ226" i="9" s="1"/>
  <c r="AP226" i="9" s="1"/>
  <c r="AI116" i="9"/>
  <c r="AJ116" i="9" s="1"/>
  <c r="AP116" i="9" s="1"/>
  <c r="AH59" i="9"/>
  <c r="AI139" i="9"/>
  <c r="AJ139" i="9" s="1"/>
  <c r="AP139" i="9" s="1"/>
  <c r="AI106" i="9"/>
  <c r="AJ106" i="9" s="1"/>
  <c r="AP106" i="9" s="1"/>
  <c r="T157" i="9"/>
  <c r="U157" i="9" s="1"/>
  <c r="AG157" i="9"/>
  <c r="AG224" i="9"/>
  <c r="T224" i="9"/>
  <c r="U224" i="9" s="1"/>
  <c r="AI165" i="9"/>
  <c r="AJ165" i="9" s="1"/>
  <c r="AP165" i="9" s="1"/>
  <c r="T151" i="9"/>
  <c r="AG151" i="9"/>
  <c r="AH78" i="9"/>
  <c r="AI48" i="9"/>
  <c r="AJ48" i="9" s="1"/>
  <c r="AP48" i="9" s="1"/>
  <c r="AI125" i="9"/>
  <c r="AJ125" i="9" s="1"/>
  <c r="AP125" i="9" s="1"/>
  <c r="AI166" i="9"/>
  <c r="AJ166" i="9" s="1"/>
  <c r="AP166" i="9" s="1"/>
  <c r="AF35" i="9"/>
  <c r="AI140" i="9"/>
  <c r="AJ140" i="9" s="1"/>
  <c r="AP140" i="9" s="1"/>
  <c r="T61" i="9"/>
  <c r="AG61" i="9"/>
  <c r="AI82" i="9"/>
  <c r="AJ82" i="9" s="1"/>
  <c r="AP82" i="9" s="1"/>
  <c r="T85" i="9"/>
  <c r="U85" i="9" s="1"/>
  <c r="AG85" i="9"/>
  <c r="T149" i="9"/>
  <c r="U149" i="9" s="1"/>
  <c r="AG149" i="9"/>
  <c r="AH131" i="9"/>
  <c r="T178" i="9"/>
  <c r="U178" i="9" s="1"/>
  <c r="AG178" i="9"/>
  <c r="T129" i="9"/>
  <c r="U129" i="9" s="1"/>
  <c r="AG129" i="9"/>
  <c r="AI113" i="9"/>
  <c r="AJ113" i="9" s="1"/>
  <c r="AP113" i="9" s="1"/>
  <c r="AH161" i="9"/>
  <c r="AH144" i="9"/>
  <c r="AI160" i="9"/>
  <c r="AJ160" i="9" s="1"/>
  <c r="AP160" i="9" s="1"/>
  <c r="AH221" i="9"/>
  <c r="AH193" i="9"/>
  <c r="AI213" i="9"/>
  <c r="AJ213" i="9" s="1"/>
  <c r="AP213" i="9" s="1"/>
  <c r="Y147" i="9"/>
  <c r="Y184" i="9"/>
  <c r="Y88" i="9"/>
  <c r="Y179" i="9"/>
  <c r="Y37" i="9"/>
  <c r="T172" i="9"/>
  <c r="U172" i="9" s="1"/>
  <c r="AG172" i="9"/>
  <c r="AG100" i="9"/>
  <c r="T100" i="9"/>
  <c r="U100" i="9" s="1"/>
  <c r="AI185" i="9"/>
  <c r="AJ185" i="9" s="1"/>
  <c r="AP185" i="9" s="1"/>
  <c r="AH66" i="9"/>
  <c r="T63" i="9"/>
  <c r="U63" i="9" s="1"/>
  <c r="AG63" i="9"/>
  <c r="AH201" i="9"/>
  <c r="AH166" i="9"/>
  <c r="Y205" i="9"/>
  <c r="Y207" i="9"/>
  <c r="AH197" i="9"/>
  <c r="AG37" i="9"/>
  <c r="T37" i="9"/>
  <c r="U37" i="9" s="1"/>
  <c r="U6" i="9" s="1"/>
  <c r="AH37" i="9"/>
  <c r="AH62" i="9"/>
  <c r="T136" i="9"/>
  <c r="U136" i="9" s="1"/>
  <c r="AG136" i="9"/>
  <c r="AH58" i="9"/>
  <c r="AI155" i="9"/>
  <c r="AJ155" i="9" s="1"/>
  <c r="AP155" i="9" s="1"/>
  <c r="Y122" i="9"/>
  <c r="AI103" i="9"/>
  <c r="AJ103" i="9" s="1"/>
  <c r="AP103" i="9" s="1"/>
  <c r="AH68" i="9"/>
  <c r="AH192" i="9"/>
  <c r="T59" i="9"/>
  <c r="AG59" i="9"/>
  <c r="AH183" i="9"/>
  <c r="AI78" i="9"/>
  <c r="AJ78" i="9" s="1"/>
  <c r="AP78" i="9" s="1"/>
  <c r="T69" i="9"/>
  <c r="U69" i="9" s="1"/>
  <c r="AG69" i="9"/>
  <c r="AH162" i="9"/>
  <c r="AH179" i="9"/>
  <c r="AI177" i="9"/>
  <c r="AJ177" i="9" s="1"/>
  <c r="AP177" i="9" s="1"/>
  <c r="Y125" i="9"/>
  <c r="AG192" i="9"/>
  <c r="T192" i="9"/>
  <c r="U192" i="9" s="1"/>
  <c r="AH228" i="9"/>
  <c r="AG55" i="9"/>
  <c r="T55" i="9"/>
  <c r="U55" i="9" s="1"/>
  <c r="AI124" i="9"/>
  <c r="AJ124" i="9" s="1"/>
  <c r="AP124" i="9" s="1"/>
  <c r="AI92" i="9"/>
  <c r="AJ92" i="9" s="1"/>
  <c r="AP92" i="9" s="1"/>
  <c r="AG76" i="9"/>
  <c r="T76" i="9"/>
  <c r="U76" i="9" s="1"/>
  <c r="AH168" i="9"/>
  <c r="AH97" i="9"/>
  <c r="AG161" i="9"/>
  <c r="T161" i="9"/>
  <c r="U161" i="9" s="1"/>
  <c r="AH164" i="9"/>
  <c r="AH158" i="9"/>
  <c r="Y71" i="9"/>
  <c r="AH56" i="9"/>
  <c r="AH130" i="9"/>
  <c r="AH90" i="9"/>
  <c r="AH39" i="9"/>
  <c r="AI205" i="9"/>
  <c r="AJ205" i="9" s="1"/>
  <c r="AP205" i="9" s="1"/>
  <c r="T95" i="9"/>
  <c r="U95" i="9" s="1"/>
  <c r="AG95" i="9"/>
  <c r="AH135" i="9"/>
  <c r="AG80" i="9"/>
  <c r="T80" i="9"/>
  <c r="AH121" i="9"/>
  <c r="AI174" i="9"/>
  <c r="AJ174" i="9" s="1"/>
  <c r="AP174" i="9" s="1"/>
  <c r="AI182" i="9"/>
  <c r="AJ182" i="9" s="1"/>
  <c r="AP182" i="9" s="1"/>
  <c r="Y152" i="9"/>
  <c r="AG183" i="9"/>
  <c r="T183" i="9"/>
  <c r="U183" i="9" s="1"/>
  <c r="AG130" i="9"/>
  <c r="T130" i="9"/>
  <c r="AG134" i="9"/>
  <c r="T134" i="9"/>
  <c r="U134" i="9" s="1"/>
  <c r="AI49" i="9"/>
  <c r="AJ49" i="9" s="1"/>
  <c r="AP49" i="9" s="1"/>
  <c r="AI72" i="9"/>
  <c r="AJ72" i="9" s="1"/>
  <c r="AP72" i="9" s="1"/>
  <c r="AI202" i="9"/>
  <c r="AJ202" i="9" s="1"/>
  <c r="AP202" i="9" s="1"/>
  <c r="AI217" i="9"/>
  <c r="AJ217" i="9" s="1"/>
  <c r="AP217" i="9" s="1"/>
  <c r="AG65" i="9"/>
  <c r="T65" i="9"/>
  <c r="U65" i="9" s="1"/>
  <c r="T45" i="9"/>
  <c r="U45" i="9" s="1"/>
  <c r="AG45" i="9"/>
  <c r="AI193" i="9"/>
  <c r="AJ193" i="9" s="1"/>
  <c r="AP193" i="9" s="1"/>
  <c r="Y130" i="9"/>
  <c r="Y40" i="9"/>
  <c r="Y39" i="9"/>
  <c r="Y187" i="9"/>
  <c r="AG228" i="9"/>
  <c r="T228" i="9"/>
  <c r="U228" i="9" s="1"/>
  <c r="AH200" i="9"/>
  <c r="Y106" i="9"/>
  <c r="Y96" i="9"/>
  <c r="Y6" i="9"/>
  <c r="M24" i="9"/>
  <c r="P24" i="9"/>
  <c r="E35" i="10"/>
  <c r="D39" i="10" s="1"/>
  <c r="Y108" i="9"/>
  <c r="Y36" i="9"/>
  <c r="Y153" i="9"/>
  <c r="AI64" i="9"/>
  <c r="AJ64" i="9" s="1"/>
  <c r="AP64" i="9" s="1"/>
  <c r="AI61" i="9"/>
  <c r="AJ61" i="9" s="1"/>
  <c r="AP61" i="9" s="1"/>
  <c r="AH73" i="9"/>
  <c r="AG44" i="9"/>
  <c r="T44" i="9"/>
  <c r="U44" i="9" s="1"/>
  <c r="AI84" i="9"/>
  <c r="AJ84" i="9" s="1"/>
  <c r="AP84" i="9" s="1"/>
  <c r="AG175" i="9"/>
  <c r="T175" i="9"/>
  <c r="U175" i="9" s="1"/>
  <c r="AH35" i="9"/>
  <c r="AI135" i="9"/>
  <c r="AJ135" i="9" s="1"/>
  <c r="AP135" i="9" s="1"/>
  <c r="T70" i="9"/>
  <c r="U70" i="9" s="1"/>
  <c r="AG70" i="9"/>
  <c r="AG67" i="9"/>
  <c r="T67" i="9"/>
  <c r="U67" i="9" s="1"/>
  <c r="AH94" i="9"/>
  <c r="AI53" i="9"/>
  <c r="AJ53" i="9" s="1"/>
  <c r="AP53" i="9" s="1"/>
  <c r="AH65" i="9"/>
  <c r="AH203" i="9"/>
  <c r="AI209" i="9"/>
  <c r="AJ209" i="9" s="1"/>
  <c r="AP209" i="9" s="1"/>
  <c r="AH225" i="9"/>
  <c r="AI197" i="9"/>
  <c r="AJ197" i="9" s="1"/>
  <c r="AP197" i="9" s="1"/>
  <c r="AH110" i="9"/>
  <c r="T72" i="9"/>
  <c r="U72" i="9" s="1"/>
  <c r="AG72" i="9"/>
  <c r="AG32" i="9"/>
  <c r="T32" i="9"/>
  <c r="U32" i="9" s="1"/>
  <c r="AH204" i="9"/>
  <c r="AG123" i="9"/>
  <c r="T123" i="9"/>
  <c r="U123" i="9" s="1"/>
  <c r="AI110" i="9"/>
  <c r="AJ110" i="9" s="1"/>
  <c r="AP110" i="9" s="1"/>
  <c r="AI73" i="9"/>
  <c r="AJ73" i="9" s="1"/>
  <c r="AP73" i="9" s="1"/>
  <c r="T156" i="9"/>
  <c r="U156" i="9" s="1"/>
  <c r="AG156" i="9"/>
  <c r="AG181" i="9"/>
  <c r="T181" i="9"/>
  <c r="U181" i="9" s="1"/>
  <c r="AH134" i="9"/>
  <c r="AH76" i="9"/>
  <c r="AG38" i="9"/>
  <c r="T38" i="9"/>
  <c r="AH82" i="9"/>
  <c r="AG119" i="9"/>
  <c r="T119" i="9"/>
  <c r="U119" i="9" s="1"/>
  <c r="AG132" i="9"/>
  <c r="T132" i="9"/>
  <c r="U132" i="9" s="1"/>
  <c r="AH180" i="9"/>
  <c r="T40" i="9"/>
  <c r="U40" i="9" s="1"/>
  <c r="AG40" i="9"/>
  <c r="AI146" i="9"/>
  <c r="AJ146" i="9" s="1"/>
  <c r="AP146" i="9" s="1"/>
  <c r="T88" i="9"/>
  <c r="AG88" i="9"/>
  <c r="T102" i="9"/>
  <c r="U102" i="9" s="1"/>
  <c r="AG102" i="9"/>
  <c r="T97" i="9"/>
  <c r="AG97" i="9"/>
  <c r="AH160" i="9"/>
  <c r="AH140" i="9"/>
  <c r="T180" i="9"/>
  <c r="U180" i="9" s="1"/>
  <c r="AG180" i="9"/>
  <c r="AG165" i="9"/>
  <c r="T165" i="9"/>
  <c r="U165" i="9" s="1"/>
  <c r="AI117" i="9"/>
  <c r="AJ117" i="9" s="1"/>
  <c r="AP117" i="9" s="1"/>
  <c r="AH163" i="9"/>
  <c r="AH146" i="9"/>
  <c r="AI191" i="9"/>
  <c r="AJ191" i="9" s="1"/>
  <c r="AP191" i="9" s="1"/>
  <c r="AI168" i="9"/>
  <c r="AJ168" i="9" s="1"/>
  <c r="AP168" i="9" s="1"/>
  <c r="AG226" i="9"/>
  <c r="T226" i="9"/>
  <c r="AI172" i="9"/>
  <c r="AJ172" i="9" s="1"/>
  <c r="AP172" i="9" s="1"/>
  <c r="BA19" i="9"/>
  <c r="BA24" i="9"/>
  <c r="Y69" i="10" s="1"/>
  <c r="BA17" i="9"/>
  <c r="BA14" i="9"/>
  <c r="BA5" i="9"/>
  <c r="Y66" i="10" s="1"/>
  <c r="BA9" i="9"/>
  <c r="BA23" i="9"/>
  <c r="BA7" i="9"/>
  <c r="Y68" i="10" s="1"/>
  <c r="BA10" i="9"/>
  <c r="BA11" i="9"/>
  <c r="BA16" i="9"/>
  <c r="BA6" i="9"/>
  <c r="Y67" i="10" s="1"/>
  <c r="BA22" i="9"/>
  <c r="BA21" i="9"/>
  <c r="BA18" i="9"/>
  <c r="BA20" i="9"/>
  <c r="BA15" i="9"/>
  <c r="BA8" i="9"/>
  <c r="BA13" i="9"/>
  <c r="BA12" i="9"/>
  <c r="O5" i="9"/>
  <c r="BA4" i="9"/>
  <c r="Y65" i="10" s="1"/>
  <c r="Y178" i="9"/>
  <c r="Y80" i="9"/>
  <c r="Y52" i="9"/>
  <c r="AH195" i="9"/>
  <c r="AH38" i="9"/>
  <c r="AI132" i="9"/>
  <c r="AJ132" i="9" s="1"/>
  <c r="AP132" i="9" s="1"/>
  <c r="T104" i="9"/>
  <c r="U104" i="9" s="1"/>
  <c r="AG104" i="9"/>
  <c r="AH182" i="9"/>
  <c r="AH206" i="9"/>
  <c r="T120" i="9"/>
  <c r="U120" i="9" s="1"/>
  <c r="AG120" i="9"/>
  <c r="Y134" i="9"/>
  <c r="Y75" i="9"/>
  <c r="AH209" i="9"/>
  <c r="Y72" i="9"/>
  <c r="Y177" i="9"/>
  <c r="Y78" i="9"/>
  <c r="Y19" i="9"/>
  <c r="Y216" i="9"/>
  <c r="Y34" i="9"/>
  <c r="Y158" i="9"/>
  <c r="Y5" i="9"/>
  <c r="AH218" i="9"/>
  <c r="T125" i="9"/>
  <c r="AG125" i="9"/>
  <c r="AI63" i="9"/>
  <c r="AJ63" i="9" s="1"/>
  <c r="AP63" i="9" s="1"/>
  <c r="T173" i="9"/>
  <c r="U173" i="9" s="1"/>
  <c r="AG173" i="9"/>
  <c r="T205" i="9"/>
  <c r="U205" i="9" s="1"/>
  <c r="AG205" i="9"/>
  <c r="AH122" i="9"/>
  <c r="AH53" i="9"/>
  <c r="AI76" i="9"/>
  <c r="AJ76" i="9" s="1"/>
  <c r="AP76" i="9" s="1"/>
  <c r="AI126" i="9"/>
  <c r="AJ126" i="9" s="1"/>
  <c r="AP126" i="9" s="1"/>
  <c r="AI210" i="9"/>
  <c r="AJ210" i="9" s="1"/>
  <c r="AP210" i="9" s="1"/>
  <c r="AI228" i="9"/>
  <c r="AJ228" i="9" s="1"/>
  <c r="AP228" i="9" s="1"/>
  <c r="AH75" i="9"/>
  <c r="T46" i="9"/>
  <c r="AG46" i="9"/>
  <c r="T170" i="9"/>
  <c r="U170" i="9" s="1"/>
  <c r="AG170" i="9"/>
  <c r="T210" i="9"/>
  <c r="AG210" i="9"/>
  <c r="AG199" i="9"/>
  <c r="T199" i="9"/>
  <c r="U199" i="9" s="1"/>
  <c r="AH116" i="9"/>
  <c r="AH41" i="9"/>
  <c r="AI36" i="9"/>
  <c r="AJ36" i="9" s="1"/>
  <c r="AP36" i="9" s="1"/>
  <c r="AH216" i="9"/>
  <c r="AH205" i="9"/>
  <c r="AG185" i="9"/>
  <c r="T185" i="9"/>
  <c r="U185" i="9" s="1"/>
  <c r="AH100" i="9"/>
  <c r="AH126" i="9"/>
  <c r="U126" i="9"/>
  <c r="AG112" i="9"/>
  <c r="T112" i="9"/>
  <c r="U112" i="9" s="1"/>
  <c r="AH223" i="9"/>
  <c r="AH63" i="9"/>
  <c r="T53" i="9"/>
  <c r="U53" i="9" s="1"/>
  <c r="AG53" i="9"/>
  <c r="AG78" i="9"/>
  <c r="T78" i="9"/>
  <c r="AI143" i="9"/>
  <c r="AJ143" i="9" s="1"/>
  <c r="AP143" i="9" s="1"/>
  <c r="T52" i="9"/>
  <c r="AG52" i="9"/>
  <c r="AI45" i="9"/>
  <c r="AJ45" i="9" s="1"/>
  <c r="AP45" i="9" s="1"/>
  <c r="AH45" i="9"/>
  <c r="AI40" i="9"/>
  <c r="AJ40" i="9" s="1"/>
  <c r="AP40" i="9" s="1"/>
  <c r="T47" i="9"/>
  <c r="U47" i="9" s="1"/>
  <c r="AG47" i="9"/>
  <c r="AI89" i="9"/>
  <c r="AJ89" i="9" s="1"/>
  <c r="AP89" i="9" s="1"/>
  <c r="T127" i="9"/>
  <c r="AG127" i="9"/>
  <c r="U111" i="9"/>
  <c r="AH111" i="9"/>
  <c r="AG169" i="9"/>
  <c r="T169" i="9"/>
  <c r="T143" i="9"/>
  <c r="U143" i="9" s="1"/>
  <c r="AG143" i="9"/>
  <c r="AG195" i="9"/>
  <c r="T195" i="9"/>
  <c r="T167" i="9"/>
  <c r="AG167" i="9"/>
  <c r="AI145" i="9"/>
  <c r="AJ145" i="9" s="1"/>
  <c r="AP145" i="9" s="1"/>
  <c r="AH188" i="9"/>
  <c r="AH148" i="9"/>
  <c r="AI171" i="9"/>
  <c r="AJ171" i="9" s="1"/>
  <c r="AP171" i="9" s="1"/>
  <c r="AG176" i="9"/>
  <c r="T176" i="9"/>
  <c r="AI153" i="9"/>
  <c r="AJ153" i="9" s="1"/>
  <c r="AP153" i="9" s="1"/>
  <c r="AG212" i="9"/>
  <c r="T212" i="9"/>
  <c r="Y53" i="9"/>
  <c r="Y166" i="9"/>
  <c r="X24" i="9"/>
  <c r="Y13" i="9" s="1"/>
  <c r="Z55" i="9" l="1"/>
  <c r="AA55" i="9"/>
  <c r="U5" i="9"/>
  <c r="AA13" i="9"/>
  <c r="AB13" i="9" s="1"/>
  <c r="Z13" i="9"/>
  <c r="V54" i="9"/>
  <c r="W54" i="9" s="1"/>
  <c r="AA139" i="9"/>
  <c r="Z139" i="9"/>
  <c r="Z81" i="9"/>
  <c r="AA81" i="9"/>
  <c r="V73" i="9"/>
  <c r="W73" i="9" s="1"/>
  <c r="V83" i="9"/>
  <c r="W83" i="9" s="1"/>
  <c r="V99" i="9"/>
  <c r="W99" i="9" s="1"/>
  <c r="V62" i="9"/>
  <c r="W62" i="9" s="1"/>
  <c r="Y18" i="9"/>
  <c r="Z173" i="9"/>
  <c r="AA173" i="9"/>
  <c r="U105" i="9"/>
  <c r="V105" i="9" s="1"/>
  <c r="W105" i="9" s="1"/>
  <c r="V135" i="9"/>
  <c r="W135" i="9" s="1"/>
  <c r="AA197" i="9"/>
  <c r="Z197" i="9"/>
  <c r="V48" i="9"/>
  <c r="W48" i="9" s="1"/>
  <c r="AA138" i="9"/>
  <c r="Z138" i="9"/>
  <c r="V202" i="9"/>
  <c r="W202" i="9" s="1"/>
  <c r="V220" i="9"/>
  <c r="W220" i="9" s="1"/>
  <c r="Z146" i="9"/>
  <c r="AA146" i="9"/>
  <c r="V213" i="9"/>
  <c r="W213" i="9" s="1"/>
  <c r="Y65" i="9"/>
  <c r="V92" i="9"/>
  <c r="W92" i="9" s="1"/>
  <c r="Z49" i="9"/>
  <c r="AA49" i="9"/>
  <c r="AA89" i="9"/>
  <c r="Z89" i="9"/>
  <c r="AA19" i="9"/>
  <c r="AB19" i="9" s="1"/>
  <c r="Z19" i="9"/>
  <c r="AA226" i="9"/>
  <c r="Z226" i="9"/>
  <c r="V66" i="9"/>
  <c r="W66" i="9" s="1"/>
  <c r="AA8" i="9"/>
  <c r="AB8" i="9" s="1"/>
  <c r="Z8" i="9"/>
  <c r="AA118" i="9"/>
  <c r="Z118" i="9"/>
  <c r="U169" i="9"/>
  <c r="V169" i="9" s="1"/>
  <c r="W169" i="9" s="1"/>
  <c r="T9" i="9"/>
  <c r="T8" i="9"/>
  <c r="T22" i="9"/>
  <c r="T10" i="9"/>
  <c r="T16" i="9"/>
  <c r="T21" i="9"/>
  <c r="T19" i="9"/>
  <c r="T15" i="9"/>
  <c r="T20" i="9"/>
  <c r="T11" i="9"/>
  <c r="T17" i="9"/>
  <c r="T23" i="9"/>
  <c r="T14" i="9"/>
  <c r="T18" i="9"/>
  <c r="T12" i="9"/>
  <c r="T13" i="9"/>
  <c r="Z40" i="9"/>
  <c r="AA40" i="9"/>
  <c r="U130" i="9"/>
  <c r="V130" i="9" s="1"/>
  <c r="W130" i="9" s="1"/>
  <c r="AA207" i="9"/>
  <c r="Z207" i="9"/>
  <c r="U133" i="9"/>
  <c r="V133" i="9" s="1"/>
  <c r="W133" i="9" s="1"/>
  <c r="AA130" i="9"/>
  <c r="Z130" i="9"/>
  <c r="V55" i="9"/>
  <c r="W55" i="9" s="1"/>
  <c r="V219" i="9"/>
  <c r="W219" i="9" s="1"/>
  <c r="AA110" i="9"/>
  <c r="Z110" i="9"/>
  <c r="Z68" i="9"/>
  <c r="AA68" i="9"/>
  <c r="AA96" i="9"/>
  <c r="Z96" i="9"/>
  <c r="AA152" i="9"/>
  <c r="Z152" i="9"/>
  <c r="V85" i="9"/>
  <c r="W85" i="9" s="1"/>
  <c r="V223" i="9"/>
  <c r="W223" i="9" s="1"/>
  <c r="V101" i="9"/>
  <c r="W101" i="9" s="1"/>
  <c r="V111" i="9"/>
  <c r="W111" i="9" s="1"/>
  <c r="V177" i="9"/>
  <c r="W177" i="9" s="1"/>
  <c r="AA143" i="9"/>
  <c r="Z143" i="9"/>
  <c r="V211" i="9"/>
  <c r="W211" i="9" s="1"/>
  <c r="AA154" i="9"/>
  <c r="Z154" i="9"/>
  <c r="AA201" i="9"/>
  <c r="Z201" i="9"/>
  <c r="V87" i="9"/>
  <c r="W87" i="9" s="1"/>
  <c r="AA46" i="9"/>
  <c r="Z46" i="9"/>
  <c r="V203" i="9"/>
  <c r="W203" i="9" s="1"/>
  <c r="V166" i="9"/>
  <c r="W166" i="9" s="1"/>
  <c r="V207" i="9"/>
  <c r="W207" i="9" s="1"/>
  <c r="AA216" i="9"/>
  <c r="Z216" i="9"/>
  <c r="AA36" i="9"/>
  <c r="Z36" i="9"/>
  <c r="AA88" i="9"/>
  <c r="Z88" i="9"/>
  <c r="V139" i="9"/>
  <c r="W139" i="9" s="1"/>
  <c r="Z44" i="9"/>
  <c r="AA44" i="9"/>
  <c r="AA212" i="9"/>
  <c r="Z212" i="9"/>
  <c r="AI37" i="9"/>
  <c r="AJ37" i="9" s="1"/>
  <c r="AP37" i="9" s="1"/>
  <c r="Z80" i="9"/>
  <c r="AA80" i="9"/>
  <c r="AA39" i="9"/>
  <c r="Z39" i="9"/>
  <c r="AI35" i="9"/>
  <c r="AJ35" i="9" s="1"/>
  <c r="AP35" i="9" s="1"/>
  <c r="Z192" i="9"/>
  <c r="AA192" i="9"/>
  <c r="V77" i="9"/>
  <c r="W77" i="9" s="1"/>
  <c r="V82" i="9"/>
  <c r="W82" i="9" s="1"/>
  <c r="Z217" i="9"/>
  <c r="AA217" i="9"/>
  <c r="AA210" i="9"/>
  <c r="Z210" i="9"/>
  <c r="AA177" i="9"/>
  <c r="Z177" i="9"/>
  <c r="V140" i="9"/>
  <c r="W140" i="9" s="1"/>
  <c r="AA181" i="9"/>
  <c r="Z181" i="9"/>
  <c r="AA72" i="9"/>
  <c r="Z72" i="9"/>
  <c r="V100" i="9"/>
  <c r="W100" i="9" s="1"/>
  <c r="AA83" i="9"/>
  <c r="Z83" i="9"/>
  <c r="AA51" i="9"/>
  <c r="Z51" i="9"/>
  <c r="Z202" i="9"/>
  <c r="AA202" i="9"/>
  <c r="U56" i="9"/>
  <c r="V56" i="9" s="1"/>
  <c r="W56" i="9" s="1"/>
  <c r="V224" i="9"/>
  <c r="W224" i="9" s="1"/>
  <c r="V165" i="9"/>
  <c r="W165" i="9" s="1"/>
  <c r="V72" i="9"/>
  <c r="W72" i="9" s="1"/>
  <c r="Y4" i="9"/>
  <c r="Y23" i="9"/>
  <c r="Y14" i="9"/>
  <c r="Y21" i="9"/>
  <c r="Y17" i="9"/>
  <c r="Y9" i="9"/>
  <c r="Y15" i="9"/>
  <c r="Y20" i="9"/>
  <c r="V199" i="9"/>
  <c r="W199" i="9" s="1"/>
  <c r="V102" i="9"/>
  <c r="W102" i="9" s="1"/>
  <c r="U35" i="9"/>
  <c r="U4" i="9" s="1"/>
  <c r="AA106" i="9"/>
  <c r="Z106" i="9"/>
  <c r="AA71" i="9"/>
  <c r="Z71" i="9"/>
  <c r="U201" i="9"/>
  <c r="V201" i="9" s="1"/>
  <c r="W201" i="9" s="1"/>
  <c r="V129" i="9"/>
  <c r="W129" i="9" s="1"/>
  <c r="V74" i="9"/>
  <c r="W74" i="9" s="1"/>
  <c r="V57" i="9"/>
  <c r="W57" i="9" s="1"/>
  <c r="V168" i="9"/>
  <c r="W168" i="9" s="1"/>
  <c r="U194" i="9"/>
  <c r="V194" i="9" s="1"/>
  <c r="W194" i="9" s="1"/>
  <c r="Y10" i="9"/>
  <c r="V142" i="9"/>
  <c r="W142" i="9" s="1"/>
  <c r="U196" i="9"/>
  <c r="V196" i="9" s="1"/>
  <c r="W196" i="9" s="1"/>
  <c r="V144" i="9"/>
  <c r="W144" i="9" s="1"/>
  <c r="Y225" i="9"/>
  <c r="U98" i="9"/>
  <c r="V98" i="9" s="1"/>
  <c r="W98" i="9" s="1"/>
  <c r="U184" i="9"/>
  <c r="V184" i="9" s="1"/>
  <c r="W184" i="9" s="1"/>
  <c r="V193" i="9"/>
  <c r="W193" i="9" s="1"/>
  <c r="U171" i="9"/>
  <c r="V171" i="9" s="1"/>
  <c r="W171" i="9" s="1"/>
  <c r="Y7" i="9"/>
  <c r="V89" i="9"/>
  <c r="W89" i="9" s="1"/>
  <c r="V154" i="9"/>
  <c r="W154" i="9" s="1"/>
  <c r="Y213" i="9"/>
  <c r="U128" i="9"/>
  <c r="V128" i="9" s="1"/>
  <c r="W128" i="9" s="1"/>
  <c r="U46" i="9"/>
  <c r="V46" i="9" s="1"/>
  <c r="W46" i="9" s="1"/>
  <c r="Y107" i="9"/>
  <c r="AA168" i="9"/>
  <c r="Z168" i="9"/>
  <c r="AA175" i="9"/>
  <c r="Z175" i="9"/>
  <c r="V227" i="9"/>
  <c r="W227" i="9" s="1"/>
  <c r="V173" i="9"/>
  <c r="W173" i="9" s="1"/>
  <c r="V32" i="9"/>
  <c r="W32" i="9" s="1"/>
  <c r="T5" i="9"/>
  <c r="V161" i="9"/>
  <c r="W161" i="9" s="1"/>
  <c r="V162" i="9"/>
  <c r="W162" i="9" s="1"/>
  <c r="AA97" i="9"/>
  <c r="Z97" i="9"/>
  <c r="Z218" i="9"/>
  <c r="AA218" i="9"/>
  <c r="AA147" i="9"/>
  <c r="Z147" i="9"/>
  <c r="V36" i="9"/>
  <c r="W36" i="9" s="1"/>
  <c r="T7" i="9"/>
  <c r="V103" i="9"/>
  <c r="W103" i="9" s="1"/>
  <c r="AA59" i="9"/>
  <c r="Z59" i="9"/>
  <c r="Z178" i="9"/>
  <c r="AA178" i="9"/>
  <c r="V155" i="9"/>
  <c r="W155" i="9" s="1"/>
  <c r="V146" i="9"/>
  <c r="W146" i="9" s="1"/>
  <c r="V39" i="9"/>
  <c r="W39" i="9" s="1"/>
  <c r="Z159" i="9"/>
  <c r="AA159" i="9"/>
  <c r="V40" i="9"/>
  <c r="W40" i="9" s="1"/>
  <c r="V70" i="9"/>
  <c r="W70" i="9" s="1"/>
  <c r="O24" i="9"/>
  <c r="AZ24" i="9"/>
  <c r="W69" i="10" s="1"/>
  <c r="AA205" i="9"/>
  <c r="Z205" i="9"/>
  <c r="AA163" i="9"/>
  <c r="Z163" i="9"/>
  <c r="V90" i="9"/>
  <c r="W90" i="9" s="1"/>
  <c r="V110" i="9"/>
  <c r="W110" i="9" s="1"/>
  <c r="U145" i="9"/>
  <c r="V145" i="9" s="1"/>
  <c r="W145" i="9" s="1"/>
  <c r="AA6" i="9"/>
  <c r="AB6" i="9" s="1"/>
  <c r="Z6" i="9"/>
  <c r="U97" i="9"/>
  <c r="V97" i="9" s="1"/>
  <c r="W97" i="9" s="1"/>
  <c r="V136" i="9"/>
  <c r="W136" i="9" s="1"/>
  <c r="V185" i="9"/>
  <c r="W185" i="9" s="1"/>
  <c r="V104" i="9"/>
  <c r="W104" i="9" s="1"/>
  <c r="Z75" i="9"/>
  <c r="AA75" i="9"/>
  <c r="AA166" i="9"/>
  <c r="Z166" i="9"/>
  <c r="AA134" i="9"/>
  <c r="Z134" i="9"/>
  <c r="V132" i="9"/>
  <c r="W132" i="9" s="1"/>
  <c r="U200" i="9"/>
  <c r="V200" i="9" s="1"/>
  <c r="W200" i="9" s="1"/>
  <c r="V95" i="9"/>
  <c r="W95" i="9" s="1"/>
  <c r="Y16" i="9"/>
  <c r="V76" i="9"/>
  <c r="W76" i="9" s="1"/>
  <c r="V69" i="9"/>
  <c r="W69" i="9" s="1"/>
  <c r="V172" i="9"/>
  <c r="W172" i="9" s="1"/>
  <c r="U114" i="9"/>
  <c r="V114" i="9" s="1"/>
  <c r="W114" i="9" s="1"/>
  <c r="U127" i="9"/>
  <c r="V127" i="9" s="1"/>
  <c r="W127" i="9" s="1"/>
  <c r="AA112" i="9"/>
  <c r="Z112" i="9"/>
  <c r="V116" i="9"/>
  <c r="W116" i="9" s="1"/>
  <c r="AA109" i="9"/>
  <c r="Z109" i="9"/>
  <c r="V217" i="9"/>
  <c r="W217" i="9" s="1"/>
  <c r="Y32" i="9"/>
  <c r="U84" i="9"/>
  <c r="V84" i="9" s="1"/>
  <c r="W84" i="9" s="1"/>
  <c r="Y215" i="9"/>
  <c r="V75" i="9"/>
  <c r="W75" i="9" s="1"/>
  <c r="V160" i="9"/>
  <c r="W160" i="9" s="1"/>
  <c r="U71" i="9"/>
  <c r="V71" i="9" s="1"/>
  <c r="W71" i="9" s="1"/>
  <c r="Y61" i="9"/>
  <c r="V121" i="9"/>
  <c r="W121" i="9" s="1"/>
  <c r="U79" i="9"/>
  <c r="V79" i="9" s="1"/>
  <c r="W79" i="9" s="1"/>
  <c r="V49" i="9"/>
  <c r="W49" i="9" s="1"/>
  <c r="V93" i="9"/>
  <c r="W93" i="9" s="1"/>
  <c r="U229" i="9"/>
  <c r="V229" i="9" s="1"/>
  <c r="W229" i="9" s="1"/>
  <c r="V159" i="9"/>
  <c r="W159" i="9" s="1"/>
  <c r="Z22" i="9"/>
  <c r="AA22" i="9"/>
  <c r="AB22" i="9" s="1"/>
  <c r="AA52" i="9"/>
  <c r="Z52" i="9"/>
  <c r="AA108" i="9"/>
  <c r="Z108" i="9"/>
  <c r="AA111" i="9"/>
  <c r="Z111" i="9"/>
  <c r="V51" i="9"/>
  <c r="W51" i="9" s="1"/>
  <c r="Z196" i="9"/>
  <c r="AA196" i="9"/>
  <c r="Z211" i="9"/>
  <c r="AA211" i="9"/>
  <c r="AA228" i="9"/>
  <c r="Z228" i="9"/>
  <c r="V206" i="9"/>
  <c r="W206" i="9" s="1"/>
  <c r="AA78" i="9"/>
  <c r="Z78" i="9"/>
  <c r="U163" i="9"/>
  <c r="V163" i="9" s="1"/>
  <c r="W163" i="9" s="1"/>
  <c r="AA127" i="9"/>
  <c r="Z127" i="9"/>
  <c r="AA172" i="9"/>
  <c r="Z172" i="9"/>
  <c r="V42" i="9"/>
  <c r="W42" i="9" s="1"/>
  <c r="V53" i="9"/>
  <c r="W53" i="9" s="1"/>
  <c r="V183" i="9"/>
  <c r="W183" i="9" s="1"/>
  <c r="U186" i="9"/>
  <c r="V186" i="9" s="1"/>
  <c r="W186" i="9" s="1"/>
  <c r="AA5" i="9"/>
  <c r="Z5" i="9"/>
  <c r="U94" i="9"/>
  <c r="V94" i="9" s="1"/>
  <c r="W94" i="9" s="1"/>
  <c r="V157" i="9"/>
  <c r="W157" i="9" s="1"/>
  <c r="V225" i="9"/>
  <c r="W225" i="9" s="1"/>
  <c r="V96" i="9"/>
  <c r="W96" i="9" s="1"/>
  <c r="Y11" i="9"/>
  <c r="V152" i="9"/>
  <c r="W152" i="9" s="1"/>
  <c r="V182" i="9"/>
  <c r="W182" i="9" s="1"/>
  <c r="V189" i="9"/>
  <c r="W189" i="9" s="1"/>
  <c r="V198" i="9"/>
  <c r="W198" i="9" s="1"/>
  <c r="U118" i="9"/>
  <c r="V118" i="9" s="1"/>
  <c r="W118" i="9" s="1"/>
  <c r="Y165" i="9"/>
  <c r="Y120" i="9"/>
  <c r="Y135" i="9"/>
  <c r="Y189" i="9"/>
  <c r="Y206" i="9"/>
  <c r="Y221" i="9"/>
  <c r="Y198" i="9"/>
  <c r="Y33" i="9"/>
  <c r="Y100" i="9"/>
  <c r="Y227" i="9"/>
  <c r="Y76" i="9"/>
  <c r="Y104" i="9"/>
  <c r="Y70" i="9"/>
  <c r="Y99" i="9"/>
  <c r="Y214" i="9"/>
  <c r="Y116" i="9"/>
  <c r="Y190" i="9"/>
  <c r="Y113" i="9"/>
  <c r="Y142" i="9"/>
  <c r="Y185" i="9"/>
  <c r="Y91" i="9"/>
  <c r="Y128" i="9"/>
  <c r="Y94" i="9"/>
  <c r="Y219" i="9"/>
  <c r="Y62" i="9"/>
  <c r="Y47" i="9"/>
  <c r="Y161" i="9"/>
  <c r="Y188" i="9"/>
  <c r="Y137" i="9"/>
  <c r="Y48" i="9"/>
  <c r="Y199" i="9"/>
  <c r="Y115" i="9"/>
  <c r="Y149" i="9"/>
  <c r="Y38" i="9"/>
  <c r="Y103" i="9"/>
  <c r="Y58" i="9"/>
  <c r="Y169" i="9"/>
  <c r="Y93" i="9"/>
  <c r="Y79" i="9"/>
  <c r="Y148" i="9"/>
  <c r="Y174" i="9"/>
  <c r="Y85" i="9"/>
  <c r="Y156" i="9"/>
  <c r="Y176" i="9"/>
  <c r="Y186" i="9"/>
  <c r="Y141" i="9"/>
  <c r="Y87" i="9"/>
  <c r="Y56" i="9"/>
  <c r="Y171" i="9"/>
  <c r="Y145" i="9"/>
  <c r="Y193" i="9"/>
  <c r="Y86" i="9"/>
  <c r="Y155" i="9"/>
  <c r="Y151" i="9"/>
  <c r="Y124" i="9"/>
  <c r="Y224" i="9"/>
  <c r="Y194" i="9"/>
  <c r="Y67" i="9"/>
  <c r="Y74" i="9"/>
  <c r="Y41" i="9"/>
  <c r="Y77" i="9"/>
  <c r="Y114" i="9"/>
  <c r="Y54" i="9"/>
  <c r="Y82" i="9"/>
  <c r="Y69" i="9"/>
  <c r="Y126" i="9"/>
  <c r="Y131" i="9"/>
  <c r="Y160" i="9"/>
  <c r="Y150" i="9"/>
  <c r="Y191" i="9"/>
  <c r="Y57" i="9"/>
  <c r="Y64" i="9"/>
  <c r="Y123" i="9"/>
  <c r="Y203" i="9"/>
  <c r="Y84" i="9"/>
  <c r="Y144" i="9"/>
  <c r="Y132" i="9"/>
  <c r="Y183" i="9"/>
  <c r="Y66" i="9"/>
  <c r="Y222" i="9"/>
  <c r="Y157" i="9"/>
  <c r="Y140" i="9"/>
  <c r="Y43" i="9"/>
  <c r="Y195" i="9"/>
  <c r="Y133" i="9"/>
  <c r="Y121" i="9"/>
  <c r="Y129" i="9"/>
  <c r="Y167" i="9"/>
  <c r="Y182" i="9"/>
  <c r="Y180" i="9"/>
  <c r="Y223" i="9"/>
  <c r="Y35" i="9"/>
  <c r="Y42" i="9"/>
  <c r="Y209" i="9"/>
  <c r="Y162" i="9"/>
  <c r="Y220" i="9"/>
  <c r="Y92" i="9"/>
  <c r="Y204" i="9"/>
  <c r="Y170" i="9"/>
  <c r="Y200" i="9"/>
  <c r="V122" i="9"/>
  <c r="W122" i="9" s="1"/>
  <c r="U117" i="9"/>
  <c r="V117" i="9" s="1"/>
  <c r="W117" i="9" s="1"/>
  <c r="V214" i="9"/>
  <c r="W214" i="9" s="1"/>
  <c r="V204" i="9"/>
  <c r="W204" i="9" s="1"/>
  <c r="U167" i="9"/>
  <c r="V167" i="9" s="1"/>
  <c r="W167" i="9" s="1"/>
  <c r="U226" i="9"/>
  <c r="V226" i="9" s="1"/>
  <c r="W226" i="9" s="1"/>
  <c r="V126" i="9"/>
  <c r="W126" i="9" s="1"/>
  <c r="V212" i="9"/>
  <c r="W212" i="9" s="1"/>
  <c r="V106" i="9"/>
  <c r="W106" i="9" s="1"/>
  <c r="V209" i="9"/>
  <c r="W209" i="9" s="1"/>
  <c r="AA187" i="9"/>
  <c r="Z187" i="9"/>
  <c r="Z184" i="9"/>
  <c r="AA184" i="9"/>
  <c r="AA105" i="9"/>
  <c r="Z105" i="9"/>
  <c r="U212" i="9"/>
  <c r="E41" i="10"/>
  <c r="C39" i="10"/>
  <c r="AA60" i="9"/>
  <c r="Z60" i="9"/>
  <c r="U59" i="9"/>
  <c r="V59" i="9" s="1"/>
  <c r="W59" i="9" s="1"/>
  <c r="Z90" i="9"/>
  <c r="AA90" i="9"/>
  <c r="U80" i="9"/>
  <c r="V80" i="9" s="1"/>
  <c r="W80" i="9" s="1"/>
  <c r="V45" i="9"/>
  <c r="W45" i="9" s="1"/>
  <c r="U158" i="9"/>
  <c r="V158" i="9" s="1"/>
  <c r="W158" i="9" s="1"/>
  <c r="V192" i="9"/>
  <c r="W192" i="9" s="1"/>
  <c r="Y12" i="9"/>
  <c r="V120" i="9"/>
  <c r="W120" i="9" s="1"/>
  <c r="V175" i="9"/>
  <c r="W175" i="9" s="1"/>
  <c r="V65" i="9"/>
  <c r="W65" i="9" s="1"/>
  <c r="V37" i="9"/>
  <c r="W37" i="9" s="1"/>
  <c r="T6" i="9"/>
  <c r="S6" i="9" s="1"/>
  <c r="V63" i="9"/>
  <c r="W63" i="9" s="1"/>
  <c r="AA37" i="9"/>
  <c r="Z37" i="9"/>
  <c r="U78" i="9"/>
  <c r="V78" i="9" s="1"/>
  <c r="W78" i="9" s="1"/>
  <c r="U125" i="9"/>
  <c r="V125" i="9" s="1"/>
  <c r="W125" i="9" s="1"/>
  <c r="V68" i="9"/>
  <c r="W68" i="9" s="1"/>
  <c r="Z102" i="9"/>
  <c r="AA102" i="9"/>
  <c r="U215" i="9"/>
  <c r="V215" i="9" s="1"/>
  <c r="W215" i="9" s="1"/>
  <c r="V58" i="9"/>
  <c r="W58" i="9" s="1"/>
  <c r="V141" i="9"/>
  <c r="W141" i="9" s="1"/>
  <c r="U176" i="9"/>
  <c r="V176" i="9" s="1"/>
  <c r="W176" i="9" s="1"/>
  <c r="U187" i="9"/>
  <c r="V187" i="9" s="1"/>
  <c r="W187" i="9" s="1"/>
  <c r="V109" i="9"/>
  <c r="W109" i="9" s="1"/>
  <c r="V222" i="9"/>
  <c r="W222" i="9" s="1"/>
  <c r="V107" i="9"/>
  <c r="W107" i="9" s="1"/>
  <c r="Y101" i="9"/>
  <c r="V221" i="9"/>
  <c r="W221" i="9" s="1"/>
  <c r="V179" i="9"/>
  <c r="W179" i="9" s="1"/>
  <c r="V153" i="9"/>
  <c r="W153" i="9" s="1"/>
  <c r="V50" i="9"/>
  <c r="W50" i="9" s="1"/>
  <c r="V91" i="9"/>
  <c r="W91" i="9" s="1"/>
  <c r="U124" i="9"/>
  <c r="V124" i="9" s="1"/>
  <c r="W124" i="9" s="1"/>
  <c r="U88" i="9"/>
  <c r="V88" i="9" s="1"/>
  <c r="W88" i="9" s="1"/>
  <c r="V164" i="9"/>
  <c r="W164" i="9" s="1"/>
  <c r="U108" i="9"/>
  <c r="V108" i="9" s="1"/>
  <c r="W108" i="9" s="1"/>
  <c r="U52" i="9"/>
  <c r="V52" i="9" s="1"/>
  <c r="W52" i="9" s="1"/>
  <c r="V47" i="9"/>
  <c r="W47" i="9" s="1"/>
  <c r="V33" i="9"/>
  <c r="W33" i="9" s="1"/>
  <c r="AA119" i="9"/>
  <c r="Z119" i="9"/>
  <c r="V86" i="9"/>
  <c r="W86" i="9" s="1"/>
  <c r="V191" i="9"/>
  <c r="W191" i="9" s="1"/>
  <c r="V170" i="9"/>
  <c r="W170" i="9" s="1"/>
  <c r="U60" i="9"/>
  <c r="V60" i="9" s="1"/>
  <c r="W60" i="9" s="1"/>
  <c r="V190" i="9"/>
  <c r="W190" i="9" s="1"/>
  <c r="AA164" i="9"/>
  <c r="Z164" i="9"/>
  <c r="Z208" i="9"/>
  <c r="AA208" i="9"/>
  <c r="U151" i="9"/>
  <c r="V151" i="9" s="1"/>
  <c r="W151" i="9" s="1"/>
  <c r="V156" i="9"/>
  <c r="W156" i="9" s="1"/>
  <c r="V44" i="9"/>
  <c r="W44" i="9" s="1"/>
  <c r="V149" i="9"/>
  <c r="W149" i="9" s="1"/>
  <c r="V41" i="9"/>
  <c r="W41" i="9" s="1"/>
  <c r="AA117" i="9"/>
  <c r="Z117" i="9"/>
  <c r="Z229" i="9"/>
  <c r="AA229" i="9"/>
  <c r="V138" i="9"/>
  <c r="W138" i="9" s="1"/>
  <c r="AF19" i="9" a="1"/>
  <c r="AF19" i="9" s="1"/>
  <c r="AF20" i="9" a="1"/>
  <c r="AF20" i="9" s="1"/>
  <c r="AF21" i="9" a="1"/>
  <c r="AF21" i="9" s="1"/>
  <c r="AF22" i="9" a="1"/>
  <c r="AF22" i="9" s="1"/>
  <c r="AF23" i="9" a="1"/>
  <c r="AF23" i="9" s="1"/>
  <c r="AI32" i="9"/>
  <c r="AJ32" i="9" s="1"/>
  <c r="AP32" i="9" s="1"/>
  <c r="AF9" i="9" a="1"/>
  <c r="AF9" i="9" s="1"/>
  <c r="AF10" i="9" a="1"/>
  <c r="AF10" i="9" s="1"/>
  <c r="AF11" i="9" a="1"/>
  <c r="AF11" i="9" s="1"/>
  <c r="AF12" i="9" a="1"/>
  <c r="AF12" i="9" s="1"/>
  <c r="AF14" i="9" a="1"/>
  <c r="AF14" i="9" s="1"/>
  <c r="AF13" i="9" a="1"/>
  <c r="AF13" i="9" s="1"/>
  <c r="AF16" i="9" a="1"/>
  <c r="AF16" i="9" s="1"/>
  <c r="AF18" i="9" a="1"/>
  <c r="AF18" i="9" s="1"/>
  <c r="AF17" i="9" a="1"/>
  <c r="AF17" i="9" s="1"/>
  <c r="AF7" i="9" a="1"/>
  <c r="AF7" i="9" s="1"/>
  <c r="AF15" i="9" a="1"/>
  <c r="AF15" i="9" s="1"/>
  <c r="AF8" i="9" a="1"/>
  <c r="AF8" i="9" s="1"/>
  <c r="V64" i="9"/>
  <c r="W64" i="9" s="1"/>
  <c r="AA53" i="9"/>
  <c r="Z53" i="9"/>
  <c r="V205" i="9"/>
  <c r="W205" i="9" s="1"/>
  <c r="V123" i="9"/>
  <c r="W123" i="9" s="1"/>
  <c r="V178" i="9"/>
  <c r="W178" i="9" s="1"/>
  <c r="V112" i="9"/>
  <c r="W112" i="9" s="1"/>
  <c r="AA158" i="9"/>
  <c r="Z158" i="9"/>
  <c r="U38" i="9"/>
  <c r="V38" i="9" s="1"/>
  <c r="W38" i="9" s="1"/>
  <c r="V180" i="9"/>
  <c r="W180" i="9" s="1"/>
  <c r="V119" i="9"/>
  <c r="W119" i="9" s="1"/>
  <c r="V134" i="9"/>
  <c r="W134" i="9" s="1"/>
  <c r="AA122" i="9"/>
  <c r="Z122" i="9"/>
  <c r="V143" i="9"/>
  <c r="W143" i="9" s="1"/>
  <c r="U216" i="9"/>
  <c r="V216" i="9" s="1"/>
  <c r="W216" i="9" s="1"/>
  <c r="Z34" i="9"/>
  <c r="AA34" i="9"/>
  <c r="U195" i="9"/>
  <c r="V195" i="9" s="1"/>
  <c r="W195" i="9" s="1"/>
  <c r="V181" i="9"/>
  <c r="W181" i="9" s="1"/>
  <c r="V67" i="9"/>
  <c r="W67" i="9" s="1"/>
  <c r="AA153" i="9"/>
  <c r="Z153" i="9"/>
  <c r="V228" i="9"/>
  <c r="W228" i="9" s="1"/>
  <c r="AA125" i="9"/>
  <c r="Z125" i="9"/>
  <c r="AA179" i="9"/>
  <c r="Z179" i="9"/>
  <c r="U131" i="9"/>
  <c r="V131" i="9" s="1"/>
  <c r="W131" i="9" s="1"/>
  <c r="V34" i="9"/>
  <c r="W34" i="9" s="1"/>
  <c r="T4" i="9"/>
  <c r="U43" i="9"/>
  <c r="V43" i="9" s="1"/>
  <c r="W43" i="9" s="1"/>
  <c r="U208" i="9"/>
  <c r="V208" i="9" s="1"/>
  <c r="W208" i="9" s="1"/>
  <c r="V113" i="9"/>
  <c r="W113" i="9" s="1"/>
  <c r="U61" i="9"/>
  <c r="V61" i="9" s="1"/>
  <c r="W61" i="9" s="1"/>
  <c r="V148" i="9"/>
  <c r="W148" i="9" s="1"/>
  <c r="Y50" i="9"/>
  <c r="U210" i="9"/>
  <c r="V210" i="9" s="1"/>
  <c r="W210" i="9" s="1"/>
  <c r="Y136" i="9"/>
  <c r="Y98" i="9"/>
  <c r="V188" i="9"/>
  <c r="W188" i="9" s="1"/>
  <c r="V197" i="9"/>
  <c r="W197" i="9" s="1"/>
  <c r="Y63" i="9"/>
  <c r="V218" i="9"/>
  <c r="W218" i="9" s="1"/>
  <c r="Y95" i="9"/>
  <c r="V115" i="9"/>
  <c r="W115" i="9" s="1"/>
  <c r="U147" i="9"/>
  <c r="V147" i="9" s="1"/>
  <c r="W147" i="9" s="1"/>
  <c r="Y73" i="9"/>
  <c r="U174" i="9"/>
  <c r="V174" i="9" s="1"/>
  <c r="W174" i="9" s="1"/>
  <c r="V137" i="9"/>
  <c r="W137" i="9" s="1"/>
  <c r="U81" i="9"/>
  <c r="V81" i="9" s="1"/>
  <c r="W81" i="9" s="1"/>
  <c r="V150" i="9"/>
  <c r="W150" i="9" s="1"/>
  <c r="Y45" i="9"/>
  <c r="AF5" i="9" l="1" a="1"/>
  <c r="AF5" i="9" s="1"/>
  <c r="BC9" i="9" s="1"/>
  <c r="S5" i="9"/>
  <c r="R18" i="10" s="1"/>
  <c r="S4" i="9"/>
  <c r="AP30" i="9"/>
  <c r="AQ32" i="9" s="1"/>
  <c r="AR32" i="9" s="1"/>
  <c r="AA149" i="9"/>
  <c r="Z149" i="9"/>
  <c r="AA222" i="9"/>
  <c r="Z222" i="9"/>
  <c r="AA12" i="9"/>
  <c r="AB12" i="9" s="1"/>
  <c r="Z12" i="9"/>
  <c r="Z194" i="9"/>
  <c r="AA194" i="9"/>
  <c r="V7" i="9"/>
  <c r="W7" i="9" s="1"/>
  <c r="R7" i="9"/>
  <c r="AB208" i="9"/>
  <c r="AC208" i="9"/>
  <c r="AA224" i="9"/>
  <c r="Z224" i="9"/>
  <c r="AA33" i="9"/>
  <c r="Z33" i="9"/>
  <c r="AB108" i="9"/>
  <c r="AC108" i="9"/>
  <c r="AD108" i="9" s="1"/>
  <c r="AB166" i="9"/>
  <c r="AC166" i="9"/>
  <c r="AD166" i="9" s="1"/>
  <c r="AB106" i="9"/>
  <c r="AC106" i="9"/>
  <c r="AD106" i="9" s="1"/>
  <c r="Z15" i="9"/>
  <c r="AA15" i="9"/>
  <c r="AB15" i="9" s="1"/>
  <c r="AB44" i="9"/>
  <c r="AC44" i="9"/>
  <c r="AD44" i="9" s="1"/>
  <c r="AB216" i="9"/>
  <c r="AC216" i="9"/>
  <c r="R15" i="9"/>
  <c r="AC15" i="9" s="1"/>
  <c r="AB153" i="9"/>
  <c r="AC153" i="9"/>
  <c r="AD153" i="9" s="1"/>
  <c r="AB53" i="9"/>
  <c r="AC53" i="9"/>
  <c r="AD53" i="9" s="1"/>
  <c r="AI18" i="9"/>
  <c r="AJ18" i="9" s="1"/>
  <c r="AP18" i="9" s="1"/>
  <c r="AX18" i="9"/>
  <c r="AK32" i="9"/>
  <c r="AL32" i="9" s="1"/>
  <c r="AM32" i="9" s="1"/>
  <c r="AN32" i="9" s="1"/>
  <c r="AO32" i="9" s="1"/>
  <c r="AA101" i="9"/>
  <c r="Z101" i="9"/>
  <c r="AB37" i="9"/>
  <c r="AC37" i="9"/>
  <c r="AD37" i="9" s="1"/>
  <c r="Z223" i="9"/>
  <c r="AA223" i="9"/>
  <c r="AA66" i="9"/>
  <c r="Z66" i="9"/>
  <c r="AA131" i="9"/>
  <c r="Z131" i="9"/>
  <c r="AA124" i="9"/>
  <c r="Z124" i="9"/>
  <c r="Z156" i="9"/>
  <c r="AA156" i="9"/>
  <c r="Z199" i="9"/>
  <c r="AA199" i="9"/>
  <c r="AA142" i="9"/>
  <c r="Z142" i="9"/>
  <c r="Z198" i="9"/>
  <c r="AA198" i="9"/>
  <c r="AB75" i="9"/>
  <c r="AC75" i="9"/>
  <c r="AB159" i="9"/>
  <c r="AC159" i="9"/>
  <c r="AD159" i="9" s="1"/>
  <c r="AB175" i="9"/>
  <c r="AC175" i="9"/>
  <c r="Z9" i="9"/>
  <c r="AA9" i="9"/>
  <c r="AB9" i="9" s="1"/>
  <c r="AB154" i="9"/>
  <c r="AC154" i="9"/>
  <c r="AD154" i="9" s="1"/>
  <c r="AB110" i="9"/>
  <c r="AC110" i="9"/>
  <c r="AD110" i="9" s="1"/>
  <c r="AB40" i="9"/>
  <c r="AC40" i="9"/>
  <c r="R19" i="9"/>
  <c r="AC19" i="9" s="1"/>
  <c r="AB118" i="9"/>
  <c r="AC118" i="9"/>
  <c r="AI16" i="9"/>
  <c r="AJ16" i="9" s="1"/>
  <c r="AP16" i="9" s="1"/>
  <c r="AX16" i="9"/>
  <c r="AI22" i="9"/>
  <c r="AJ22" i="9" s="1"/>
  <c r="AP22" i="9" s="1"/>
  <c r="AX22" i="9"/>
  <c r="AB102" i="9"/>
  <c r="AC102" i="9"/>
  <c r="Z180" i="9"/>
  <c r="AA180" i="9"/>
  <c r="Z183" i="9"/>
  <c r="AA183" i="9"/>
  <c r="AA126" i="9"/>
  <c r="Z126" i="9"/>
  <c r="Z151" i="9"/>
  <c r="AA151" i="9"/>
  <c r="AA85" i="9"/>
  <c r="Z85" i="9"/>
  <c r="AA48" i="9"/>
  <c r="Z48" i="9"/>
  <c r="AA113" i="9"/>
  <c r="Z113" i="9"/>
  <c r="Z221" i="9"/>
  <c r="AA221" i="9"/>
  <c r="Z11" i="9"/>
  <c r="AA11" i="9"/>
  <c r="AB11" i="9" s="1"/>
  <c r="AB5" i="9"/>
  <c r="I34" i="10" s="1"/>
  <c r="I35" i="10"/>
  <c r="AB211" i="9"/>
  <c r="AC211" i="9"/>
  <c r="AD211" i="9" s="1"/>
  <c r="AB52" i="9"/>
  <c r="AC52" i="9"/>
  <c r="AB112" i="9"/>
  <c r="AC112" i="9"/>
  <c r="AD112" i="9" s="1"/>
  <c r="AB178" i="9"/>
  <c r="AC178" i="9"/>
  <c r="AB147" i="9"/>
  <c r="AC147" i="9"/>
  <c r="AD147" i="9" s="1"/>
  <c r="Z17" i="9"/>
  <c r="AA17" i="9"/>
  <c r="AB17" i="9" s="1"/>
  <c r="AB51" i="9"/>
  <c r="AC51" i="9"/>
  <c r="AD51" i="9" s="1"/>
  <c r="AB181" i="9"/>
  <c r="AC181" i="9"/>
  <c r="AB177" i="9"/>
  <c r="AC177" i="9"/>
  <c r="AD177" i="9" s="1"/>
  <c r="R21" i="9"/>
  <c r="AB158" i="9"/>
  <c r="AC158" i="9"/>
  <c r="AD158" i="9" s="1"/>
  <c r="AI21" i="9"/>
  <c r="AJ21" i="9" s="1"/>
  <c r="AP21" i="9" s="1"/>
  <c r="AX21" i="9"/>
  <c r="AB164" i="9"/>
  <c r="AC164" i="9"/>
  <c r="V6" i="9"/>
  <c r="W6" i="9" s="1"/>
  <c r="R6" i="9"/>
  <c r="AC6" i="9" s="1"/>
  <c r="AB187" i="9"/>
  <c r="AC187" i="9"/>
  <c r="AD187" i="9" s="1"/>
  <c r="Z200" i="9"/>
  <c r="AA200" i="9"/>
  <c r="Z182" i="9"/>
  <c r="AA182" i="9"/>
  <c r="AA132" i="9"/>
  <c r="Z132" i="9"/>
  <c r="AA69" i="9"/>
  <c r="Z69" i="9"/>
  <c r="AA155" i="9"/>
  <c r="Z155" i="9"/>
  <c r="AA174" i="9"/>
  <c r="Z174" i="9"/>
  <c r="Z137" i="9"/>
  <c r="AA137" i="9"/>
  <c r="Z190" i="9"/>
  <c r="AA190" i="9"/>
  <c r="Z206" i="9"/>
  <c r="AA206" i="9"/>
  <c r="Z215" i="9"/>
  <c r="AA215" i="9"/>
  <c r="AB163" i="9"/>
  <c r="AC163" i="9"/>
  <c r="AD163" i="9" s="1"/>
  <c r="Z21" i="9"/>
  <c r="AA21" i="9"/>
  <c r="AB21" i="9" s="1"/>
  <c r="AB39" i="9"/>
  <c r="AC39" i="9"/>
  <c r="AD39" i="9" s="1"/>
  <c r="R16" i="9"/>
  <c r="AA18" i="9"/>
  <c r="AB18" i="9" s="1"/>
  <c r="Z18" i="9"/>
  <c r="AB139" i="9"/>
  <c r="AC139" i="9"/>
  <c r="AB228" i="9"/>
  <c r="AC228" i="9"/>
  <c r="AD228" i="9" s="1"/>
  <c r="AI20" i="9"/>
  <c r="AJ20" i="9" s="1"/>
  <c r="AP20" i="9" s="1"/>
  <c r="AX20" i="9"/>
  <c r="AA167" i="9"/>
  <c r="Z167" i="9"/>
  <c r="Z144" i="9"/>
  <c r="AA144" i="9"/>
  <c r="AA82" i="9"/>
  <c r="Z82" i="9"/>
  <c r="AA86" i="9"/>
  <c r="Z86" i="9"/>
  <c r="AA148" i="9"/>
  <c r="Z148" i="9"/>
  <c r="Z188" i="9"/>
  <c r="AA188" i="9"/>
  <c r="AA116" i="9"/>
  <c r="Z116" i="9"/>
  <c r="Z189" i="9"/>
  <c r="AA189" i="9"/>
  <c r="AB172" i="9"/>
  <c r="AC172" i="9"/>
  <c r="AD172" i="9" s="1"/>
  <c r="AB196" i="9"/>
  <c r="AC196" i="9"/>
  <c r="AB168" i="9"/>
  <c r="AC168" i="9"/>
  <c r="AD168" i="9" s="1"/>
  <c r="AA14" i="9"/>
  <c r="AB14" i="9" s="1"/>
  <c r="Z14" i="9"/>
  <c r="AB83" i="9"/>
  <c r="AC83" i="9"/>
  <c r="AD83" i="9" s="1"/>
  <c r="AB46" i="9"/>
  <c r="AC46" i="9"/>
  <c r="AD46" i="9" s="1"/>
  <c r="R13" i="9"/>
  <c r="AC13" i="9" s="1"/>
  <c r="R10" i="9"/>
  <c r="AB138" i="9"/>
  <c r="AC138" i="9"/>
  <c r="AD138" i="9" s="1"/>
  <c r="Z186" i="9"/>
  <c r="AA186" i="9"/>
  <c r="AI13" i="9"/>
  <c r="AJ13" i="9" s="1"/>
  <c r="AP13" i="9" s="1"/>
  <c r="AX13" i="9"/>
  <c r="AI19" i="9"/>
  <c r="AJ19" i="9" s="1"/>
  <c r="AP19" i="9" s="1"/>
  <c r="AX19" i="9"/>
  <c r="AA170" i="9"/>
  <c r="Z170" i="9"/>
  <c r="AA129" i="9"/>
  <c r="Z129" i="9"/>
  <c r="AA84" i="9"/>
  <c r="Z84" i="9"/>
  <c r="Z54" i="9"/>
  <c r="AA54" i="9"/>
  <c r="AA193" i="9"/>
  <c r="Z193" i="9"/>
  <c r="AA79" i="9"/>
  <c r="Z79" i="9"/>
  <c r="Z161" i="9"/>
  <c r="AA161" i="9"/>
  <c r="AA214" i="9"/>
  <c r="Z214" i="9"/>
  <c r="AA135" i="9"/>
  <c r="Z135" i="9"/>
  <c r="AA32" i="9"/>
  <c r="Z32" i="9"/>
  <c r="AB205" i="9"/>
  <c r="AC205" i="9"/>
  <c r="AD205" i="9" s="1"/>
  <c r="V5" i="9"/>
  <c r="W5" i="9" s="1"/>
  <c r="R5" i="9"/>
  <c r="D36" i="10"/>
  <c r="D37" i="10" s="1"/>
  <c r="AA23" i="9"/>
  <c r="AB23" i="9" s="1"/>
  <c r="Z23" i="9"/>
  <c r="AB80" i="9"/>
  <c r="AC80" i="9"/>
  <c r="AD80" i="9" s="1"/>
  <c r="AB152" i="9"/>
  <c r="AC152" i="9"/>
  <c r="AD152" i="9" s="1"/>
  <c r="R12" i="9"/>
  <c r="R22" i="9"/>
  <c r="AC22" i="9" s="1"/>
  <c r="AI17" i="9"/>
  <c r="AJ17" i="9" s="1"/>
  <c r="AP17" i="9" s="1"/>
  <c r="AX17" i="9"/>
  <c r="AA115" i="9"/>
  <c r="Z115" i="9"/>
  <c r="AI14" i="9"/>
  <c r="AJ14" i="9" s="1"/>
  <c r="AP14" i="9" s="1"/>
  <c r="AX14" i="9"/>
  <c r="AA63" i="9"/>
  <c r="Z63" i="9"/>
  <c r="AA50" i="9"/>
  <c r="Z50" i="9"/>
  <c r="AB179" i="9"/>
  <c r="AC179" i="9"/>
  <c r="AI11" i="9"/>
  <c r="AJ11" i="9" s="1"/>
  <c r="AP11" i="9" s="1"/>
  <c r="AX11" i="9"/>
  <c r="AB60" i="9"/>
  <c r="AC60" i="9"/>
  <c r="AA204" i="9"/>
  <c r="Z204" i="9"/>
  <c r="AA121" i="9"/>
  <c r="Z121" i="9"/>
  <c r="Z203" i="9"/>
  <c r="AA203" i="9"/>
  <c r="AA114" i="9"/>
  <c r="Z114" i="9"/>
  <c r="Z145" i="9"/>
  <c r="AA145" i="9"/>
  <c r="AA93" i="9"/>
  <c r="Z93" i="9"/>
  <c r="AA47" i="9"/>
  <c r="Z47" i="9"/>
  <c r="AA99" i="9"/>
  <c r="Z99" i="9"/>
  <c r="AA120" i="9"/>
  <c r="Z120" i="9"/>
  <c r="AB127" i="9"/>
  <c r="AC127" i="9"/>
  <c r="AB134" i="9"/>
  <c r="AC134" i="9"/>
  <c r="AD134" i="9" s="1"/>
  <c r="Z213" i="9"/>
  <c r="AA213" i="9"/>
  <c r="AA4" i="9"/>
  <c r="Z4" i="9"/>
  <c r="AB88" i="9"/>
  <c r="AC88" i="9"/>
  <c r="AD88" i="9" s="1"/>
  <c r="R18" i="9"/>
  <c r="R8" i="9"/>
  <c r="AC8" i="9" s="1"/>
  <c r="AA65" i="9"/>
  <c r="Z65" i="9"/>
  <c r="AI23" i="9"/>
  <c r="AJ23" i="9" s="1"/>
  <c r="AP23" i="9" s="1"/>
  <c r="AX23" i="9"/>
  <c r="AA35" i="9"/>
  <c r="Z35" i="9"/>
  <c r="Z176" i="9"/>
  <c r="AA176" i="9"/>
  <c r="AA16" i="9"/>
  <c r="AB16" i="9" s="1"/>
  <c r="Z16" i="9"/>
  <c r="AA95" i="9"/>
  <c r="Z95" i="9"/>
  <c r="AA136" i="9"/>
  <c r="Z136" i="9"/>
  <c r="AB122" i="9"/>
  <c r="AC122" i="9"/>
  <c r="AD122" i="9" s="1"/>
  <c r="AI12" i="9"/>
  <c r="AJ12" i="9" s="1"/>
  <c r="AP12" i="9" s="1"/>
  <c r="AX12" i="9"/>
  <c r="Z73" i="9"/>
  <c r="AA73" i="9"/>
  <c r="AB34" i="9"/>
  <c r="AC34" i="9"/>
  <c r="AF6" i="9" a="1"/>
  <c r="AF6" i="9" s="1"/>
  <c r="AA92" i="9"/>
  <c r="Z92" i="9"/>
  <c r="AA133" i="9"/>
  <c r="Z133" i="9"/>
  <c r="AA123" i="9"/>
  <c r="Z123" i="9"/>
  <c r="AA77" i="9"/>
  <c r="Z77" i="9"/>
  <c r="AA171" i="9"/>
  <c r="Z171" i="9"/>
  <c r="AA169" i="9"/>
  <c r="Z169" i="9"/>
  <c r="AA62" i="9"/>
  <c r="Z62" i="9"/>
  <c r="AA70" i="9"/>
  <c r="Z70" i="9"/>
  <c r="AA165" i="9"/>
  <c r="Z165" i="9"/>
  <c r="Z225" i="9"/>
  <c r="AA225" i="9"/>
  <c r="AB71" i="9"/>
  <c r="AC71" i="9"/>
  <c r="AD71" i="9" s="1"/>
  <c r="AB210" i="9"/>
  <c r="AC210" i="9"/>
  <c r="AD210" i="9" s="1"/>
  <c r="AB96" i="9"/>
  <c r="AC96" i="9"/>
  <c r="AD96" i="9" s="1"/>
  <c r="R14" i="9"/>
  <c r="R9" i="9"/>
  <c r="AC9" i="9" s="1"/>
  <c r="AB226" i="9"/>
  <c r="AC226" i="9"/>
  <c r="AB197" i="9"/>
  <c r="AC197" i="9"/>
  <c r="AD197" i="9" s="1"/>
  <c r="V35" i="9"/>
  <c r="W35" i="9" s="1"/>
  <c r="S7" i="9"/>
  <c r="AA98" i="9"/>
  <c r="Z98" i="9"/>
  <c r="AB105" i="9"/>
  <c r="AC105" i="9"/>
  <c r="AD105" i="9" s="1"/>
  <c r="AA157" i="9"/>
  <c r="Z157" i="9"/>
  <c r="AA91" i="9"/>
  <c r="Z91" i="9"/>
  <c r="AB109" i="9"/>
  <c r="AC109" i="9"/>
  <c r="AD109" i="9" s="1"/>
  <c r="AB72" i="9"/>
  <c r="AC72" i="9"/>
  <c r="AD72" i="9" s="1"/>
  <c r="T24" i="9"/>
  <c r="E36" i="10" s="1"/>
  <c r="E37" i="10" s="1"/>
  <c r="V4" i="9"/>
  <c r="W4" i="9" s="1"/>
  <c r="R4" i="9"/>
  <c r="C36" i="10"/>
  <c r="C37" i="10" s="1"/>
  <c r="AB117" i="9"/>
  <c r="AC117" i="9"/>
  <c r="AB184" i="9"/>
  <c r="AC184" i="9"/>
  <c r="Z185" i="9"/>
  <c r="AA185" i="9"/>
  <c r="AI10" i="9"/>
  <c r="AJ10" i="9" s="1"/>
  <c r="AP10" i="9" s="1"/>
  <c r="AX10" i="9"/>
  <c r="Z220" i="9"/>
  <c r="AA220" i="9"/>
  <c r="Z195" i="9"/>
  <c r="AA195" i="9"/>
  <c r="AA64" i="9"/>
  <c r="Z64" i="9"/>
  <c r="AA41" i="9"/>
  <c r="Z41" i="9"/>
  <c r="AA56" i="9"/>
  <c r="Z56" i="9"/>
  <c r="AA58" i="9"/>
  <c r="Z58" i="9"/>
  <c r="Z219" i="9"/>
  <c r="AA219" i="9"/>
  <c r="Z104" i="9"/>
  <c r="AA104" i="9"/>
  <c r="Z61" i="9"/>
  <c r="AA61" i="9"/>
  <c r="AB192" i="9"/>
  <c r="AC192" i="9"/>
  <c r="AD192" i="9" s="1"/>
  <c r="R23" i="9"/>
  <c r="AC23" i="9" s="1"/>
  <c r="AB89" i="9"/>
  <c r="AC89" i="9"/>
  <c r="AD89" i="9" s="1"/>
  <c r="AB55" i="9"/>
  <c r="AC55" i="9"/>
  <c r="AI8" i="9"/>
  <c r="AJ8" i="9" s="1"/>
  <c r="AP8" i="9" s="1"/>
  <c r="AX8" i="9"/>
  <c r="U9" i="9"/>
  <c r="S9" i="9" s="1"/>
  <c r="U10" i="9"/>
  <c r="S10" i="9" s="1"/>
  <c r="U20" i="9"/>
  <c r="S20" i="9" s="1"/>
  <c r="U8" i="9"/>
  <c r="S8" i="9" s="1"/>
  <c r="U12" i="9"/>
  <c r="S12" i="9" s="1"/>
  <c r="U11" i="9"/>
  <c r="S11" i="9" s="1"/>
  <c r="U22" i="9"/>
  <c r="S22" i="9" s="1"/>
  <c r="U23" i="9"/>
  <c r="S23" i="9" s="1"/>
  <c r="U21" i="9"/>
  <c r="S21" i="9" s="1"/>
  <c r="U18" i="9"/>
  <c r="S18" i="9" s="1"/>
  <c r="U15" i="9"/>
  <c r="S15" i="9" s="1"/>
  <c r="U19" i="9"/>
  <c r="S19" i="9" s="1"/>
  <c r="U14" i="9"/>
  <c r="S14" i="9" s="1"/>
  <c r="U16" i="9"/>
  <c r="S16" i="9" s="1"/>
  <c r="U17" i="9"/>
  <c r="S17" i="9" s="1"/>
  <c r="U13" i="9"/>
  <c r="S13" i="9" s="1"/>
  <c r="AI15" i="9"/>
  <c r="AJ15" i="9" s="1"/>
  <c r="AP15" i="9" s="1"/>
  <c r="AX15" i="9"/>
  <c r="AF4" i="9" a="1"/>
  <c r="AF4" i="9" s="1"/>
  <c r="AB229" i="9"/>
  <c r="AC229" i="9"/>
  <c r="AD229" i="9" s="1"/>
  <c r="AB90" i="9"/>
  <c r="AC90" i="9"/>
  <c r="AA162" i="9"/>
  <c r="Z162" i="9"/>
  <c r="Z43" i="9"/>
  <c r="AA43" i="9"/>
  <c r="Z57" i="9"/>
  <c r="AA57" i="9"/>
  <c r="AA74" i="9"/>
  <c r="Z74" i="9"/>
  <c r="AA87" i="9"/>
  <c r="Z87" i="9"/>
  <c r="AA103" i="9"/>
  <c r="Z103" i="9"/>
  <c r="AA94" i="9"/>
  <c r="Z94" i="9"/>
  <c r="AA76" i="9"/>
  <c r="Z76" i="9"/>
  <c r="AB78" i="9"/>
  <c r="AC78" i="9"/>
  <c r="AD78" i="9" s="1"/>
  <c r="AB111" i="9"/>
  <c r="AC111" i="9"/>
  <c r="AD111" i="9" s="1"/>
  <c r="AB59" i="9"/>
  <c r="AC59" i="9"/>
  <c r="AD59" i="9" s="1"/>
  <c r="AB218" i="9"/>
  <c r="AC218" i="9"/>
  <c r="AA107" i="9"/>
  <c r="Z107" i="9"/>
  <c r="AA7" i="9"/>
  <c r="AB7" i="9" s="1"/>
  <c r="Z7" i="9"/>
  <c r="AA10" i="9"/>
  <c r="AB10" i="9" s="1"/>
  <c r="Z10" i="9"/>
  <c r="AB202" i="9"/>
  <c r="AC202" i="9"/>
  <c r="AD202" i="9" s="1"/>
  <c r="AB36" i="9"/>
  <c r="AC36" i="9"/>
  <c r="AD36" i="9" s="1"/>
  <c r="AB143" i="9"/>
  <c r="AC143" i="9"/>
  <c r="AB68" i="9"/>
  <c r="AC68" i="9"/>
  <c r="R17" i="9"/>
  <c r="AC17" i="9" s="1"/>
  <c r="AA42" i="9"/>
  <c r="Z42" i="9"/>
  <c r="Z150" i="9"/>
  <c r="AA150" i="9"/>
  <c r="AA100" i="9"/>
  <c r="Z100" i="9"/>
  <c r="AA20" i="9"/>
  <c r="AB20" i="9" s="1"/>
  <c r="Z20" i="9"/>
  <c r="AB130" i="9"/>
  <c r="AC130" i="9"/>
  <c r="AB207" i="9"/>
  <c r="AC207" i="9"/>
  <c r="AD207" i="9" s="1"/>
  <c r="R20" i="9"/>
  <c r="V20" i="9"/>
  <c r="W20" i="9" s="1"/>
  <c r="AB49" i="9"/>
  <c r="AC49" i="9"/>
  <c r="AD49" i="9" s="1"/>
  <c r="AB146" i="9"/>
  <c r="AC146" i="9"/>
  <c r="AD146" i="9" s="1"/>
  <c r="AB173" i="9"/>
  <c r="AC173" i="9"/>
  <c r="Z160" i="9"/>
  <c r="AA160" i="9"/>
  <c r="AB97" i="9"/>
  <c r="AC97" i="9"/>
  <c r="AD97" i="9" s="1"/>
  <c r="AB125" i="9"/>
  <c r="AC125" i="9"/>
  <c r="AD125" i="9" s="1"/>
  <c r="AA45" i="9"/>
  <c r="Z45" i="9"/>
  <c r="AI7" i="9"/>
  <c r="AJ7" i="9" s="1"/>
  <c r="AP7" i="9" s="1"/>
  <c r="AX7" i="9"/>
  <c r="P30" i="10"/>
  <c r="S29" i="10" s="1"/>
  <c r="AI9" i="9"/>
  <c r="AJ9" i="9" s="1"/>
  <c r="AP9" i="9" s="1"/>
  <c r="AX9" i="9"/>
  <c r="AB119" i="9"/>
  <c r="AC119" i="9"/>
  <c r="AA209" i="9"/>
  <c r="Z209" i="9"/>
  <c r="AA140" i="9"/>
  <c r="Z140" i="9"/>
  <c r="Z191" i="9"/>
  <c r="AA191" i="9"/>
  <c r="AA67" i="9"/>
  <c r="Z67" i="9"/>
  <c r="AA141" i="9"/>
  <c r="Z141" i="9"/>
  <c r="AA38" i="9"/>
  <c r="Z38" i="9"/>
  <c r="AA128" i="9"/>
  <c r="Z128" i="9"/>
  <c r="Z227" i="9"/>
  <c r="AA227" i="9"/>
  <c r="AB217" i="9"/>
  <c r="AC217" i="9"/>
  <c r="AD217" i="9" s="1"/>
  <c r="AB212" i="9"/>
  <c r="AC212" i="9"/>
  <c r="AD212" i="9" s="1"/>
  <c r="AB201" i="9"/>
  <c r="AC201" i="9"/>
  <c r="AD201" i="9" s="1"/>
  <c r="R11" i="9"/>
  <c r="AC11" i="9" s="1"/>
  <c r="AB81" i="9"/>
  <c r="AC81" i="9"/>
  <c r="AD81" i="9" s="1"/>
  <c r="D38" i="10" l="1"/>
  <c r="V18" i="9"/>
  <c r="W18" i="9" s="1"/>
  <c r="AD6" i="9"/>
  <c r="BC4" i="9"/>
  <c r="Z65" i="10" s="1"/>
  <c r="BC18" i="9"/>
  <c r="BC7" i="9"/>
  <c r="Z68" i="10" s="1"/>
  <c r="BC17" i="9"/>
  <c r="BC22" i="9"/>
  <c r="BC15" i="9"/>
  <c r="BC12" i="9"/>
  <c r="BC11" i="9"/>
  <c r="AI5" i="9"/>
  <c r="AJ5" i="9" s="1"/>
  <c r="AP5" i="9" s="1"/>
  <c r="BC16" i="9"/>
  <c r="BC20" i="9"/>
  <c r="BC14" i="9"/>
  <c r="BC8" i="9"/>
  <c r="BC19" i="9"/>
  <c r="P18" i="10"/>
  <c r="S17" i="10" s="1"/>
  <c r="BC21" i="9"/>
  <c r="BC10" i="9"/>
  <c r="BC23" i="9"/>
  <c r="AX5" i="9"/>
  <c r="BC13" i="9"/>
  <c r="BC5" i="9"/>
  <c r="Z66" i="10" s="1"/>
  <c r="V17" i="9"/>
  <c r="W17" i="9" s="1"/>
  <c r="AD17" i="9" s="1"/>
  <c r="V19" i="9"/>
  <c r="W19" i="9" s="1"/>
  <c r="AD19" i="9" s="1"/>
  <c r="AQ35" i="9"/>
  <c r="AR35" i="9" s="1"/>
  <c r="AT35" i="9" s="1"/>
  <c r="AT32" i="9"/>
  <c r="AS32" i="9"/>
  <c r="AI6" i="9"/>
  <c r="AJ6" i="9" s="1"/>
  <c r="AP6" i="9" s="1"/>
  <c r="AX6" i="9"/>
  <c r="P24" i="10"/>
  <c r="S23" i="10" s="1"/>
  <c r="AB65" i="9"/>
  <c r="AC65" i="9"/>
  <c r="AD65" i="9" s="1"/>
  <c r="AB115" i="9"/>
  <c r="AC115" i="9"/>
  <c r="AD115" i="9" s="1"/>
  <c r="AB214" i="9"/>
  <c r="AC214" i="9"/>
  <c r="AD214" i="9" s="1"/>
  <c r="AB129" i="9"/>
  <c r="AC129" i="9"/>
  <c r="AD129" i="9" s="1"/>
  <c r="AB148" i="9"/>
  <c r="AC148" i="9"/>
  <c r="AB113" i="9"/>
  <c r="AC113" i="9"/>
  <c r="AD113" i="9" s="1"/>
  <c r="AB124" i="9"/>
  <c r="AC124" i="9"/>
  <c r="AD124" i="9" s="1"/>
  <c r="AB224" i="9"/>
  <c r="AC224" i="9"/>
  <c r="AD224" i="9" s="1"/>
  <c r="V11" i="9"/>
  <c r="W11" i="9" s="1"/>
  <c r="AD11" i="9" s="1"/>
  <c r="AD119" i="9"/>
  <c r="AC20" i="9"/>
  <c r="AD20" i="9" s="1"/>
  <c r="AB42" i="9"/>
  <c r="AC42" i="9"/>
  <c r="AB169" i="9"/>
  <c r="AC169" i="9"/>
  <c r="AD169" i="9" s="1"/>
  <c r="AD34" i="9"/>
  <c r="AB95" i="9"/>
  <c r="AC95" i="9"/>
  <c r="AD95" i="9" s="1"/>
  <c r="V8" i="9"/>
  <c r="W8" i="9" s="1"/>
  <c r="AD8" i="9" s="1"/>
  <c r="AD127" i="9"/>
  <c r="AB161" i="9"/>
  <c r="AC161" i="9"/>
  <c r="V10" i="9"/>
  <c r="W10" i="9" s="1"/>
  <c r="AD196" i="9"/>
  <c r="AB155" i="9"/>
  <c r="AC155" i="9"/>
  <c r="AD181" i="9"/>
  <c r="AD52" i="9"/>
  <c r="AD102" i="9"/>
  <c r="AD40" i="9"/>
  <c r="AD75" i="9"/>
  <c r="AD208" i="9"/>
  <c r="AB222" i="9"/>
  <c r="AC222" i="9"/>
  <c r="AB62" i="9"/>
  <c r="AC62" i="9"/>
  <c r="AB114" i="9"/>
  <c r="AC114" i="9"/>
  <c r="AD114" i="9" s="1"/>
  <c r="AD179" i="9"/>
  <c r="AB170" i="9"/>
  <c r="AC170" i="9"/>
  <c r="AD170" i="9" s="1"/>
  <c r="AC10" i="9"/>
  <c r="AB86" i="9"/>
  <c r="AC86" i="9"/>
  <c r="AD86" i="9" s="1"/>
  <c r="AD139" i="9"/>
  <c r="AB215" i="9"/>
  <c r="AC215" i="9"/>
  <c r="AD164" i="9"/>
  <c r="AB48" i="9"/>
  <c r="AC48" i="9"/>
  <c r="AD48" i="9" s="1"/>
  <c r="AB131" i="9"/>
  <c r="AC131" i="9"/>
  <c r="AD131" i="9" s="1"/>
  <c r="AB38" i="9"/>
  <c r="AC38" i="9"/>
  <c r="AD38" i="9" s="1"/>
  <c r="AB150" i="9"/>
  <c r="AC150" i="9"/>
  <c r="AD150" i="9" s="1"/>
  <c r="AB84" i="9"/>
  <c r="AC84" i="9"/>
  <c r="AB101" i="9"/>
  <c r="AC101" i="9"/>
  <c r="AB74" i="9"/>
  <c r="AC74" i="9"/>
  <c r="AD74" i="9" s="1"/>
  <c r="V23" i="9"/>
  <c r="W23" i="9" s="1"/>
  <c r="AD23" i="9" s="1"/>
  <c r="AB185" i="9"/>
  <c r="AC185" i="9"/>
  <c r="AD185" i="9" s="1"/>
  <c r="AB198" i="9"/>
  <c r="AC198" i="9"/>
  <c r="AB149" i="9"/>
  <c r="AC149" i="9"/>
  <c r="AB141" i="9"/>
  <c r="AC141" i="9"/>
  <c r="AD141" i="9" s="1"/>
  <c r="AB160" i="9"/>
  <c r="AC160" i="9"/>
  <c r="AD130" i="9"/>
  <c r="AD68" i="9"/>
  <c r="AB41" i="9"/>
  <c r="AC41" i="9"/>
  <c r="AD41" i="9" s="1"/>
  <c r="AD184" i="9"/>
  <c r="AD226" i="9"/>
  <c r="AB225" i="9"/>
  <c r="AC225" i="9"/>
  <c r="AB176" i="9"/>
  <c r="AC176" i="9"/>
  <c r="AD176" i="9" s="1"/>
  <c r="AC18" i="9"/>
  <c r="AB120" i="9"/>
  <c r="AC120" i="9"/>
  <c r="AD120" i="9" s="1"/>
  <c r="AB79" i="9"/>
  <c r="AC79" i="9"/>
  <c r="AD79" i="9" s="1"/>
  <c r="AB82" i="9"/>
  <c r="AC82" i="9"/>
  <c r="AB206" i="9"/>
  <c r="AC206" i="9"/>
  <c r="AB85" i="9"/>
  <c r="AC85" i="9"/>
  <c r="AB66" i="9"/>
  <c r="AC66" i="9"/>
  <c r="AD66" i="9" s="1"/>
  <c r="BC6" i="9"/>
  <c r="Z67" i="10" s="1"/>
  <c r="AB136" i="9"/>
  <c r="AC136" i="9"/>
  <c r="AB174" i="9"/>
  <c r="AC174" i="9"/>
  <c r="AB180" i="9"/>
  <c r="AC180" i="9"/>
  <c r="AB61" i="9"/>
  <c r="AC61" i="9"/>
  <c r="AD61" i="9" s="1"/>
  <c r="AB91" i="9"/>
  <c r="AC91" i="9"/>
  <c r="AD91" i="9" s="1"/>
  <c r="AB77" i="9"/>
  <c r="AC77" i="9"/>
  <c r="AB50" i="9"/>
  <c r="AC50" i="9"/>
  <c r="V22" i="9"/>
  <c r="W22" i="9" s="1"/>
  <c r="AD22" i="9" s="1"/>
  <c r="AB189" i="9"/>
  <c r="AC189" i="9"/>
  <c r="AB144" i="9"/>
  <c r="AC144" i="9"/>
  <c r="AD144" i="9" s="1"/>
  <c r="AB132" i="9"/>
  <c r="AC132" i="9"/>
  <c r="AD132" i="9" s="1"/>
  <c r="J35" i="10"/>
  <c r="I41" i="10"/>
  <c r="J41" i="10" s="1"/>
  <c r="AB151" i="9"/>
  <c r="AC151" i="9"/>
  <c r="AD151" i="9" s="1"/>
  <c r="AB223" i="9"/>
  <c r="AC223" i="9"/>
  <c r="AC7" i="9"/>
  <c r="AD7" i="9" s="1"/>
  <c r="AB140" i="9"/>
  <c r="AC140" i="9"/>
  <c r="AD140" i="9" s="1"/>
  <c r="AB45" i="9"/>
  <c r="AC45" i="9"/>
  <c r="AD45" i="9" s="1"/>
  <c r="AB92" i="9"/>
  <c r="AC92" i="9"/>
  <c r="AB145" i="9"/>
  <c r="AC145" i="9"/>
  <c r="AB57" i="9"/>
  <c r="AC57" i="9"/>
  <c r="AB58" i="9"/>
  <c r="AC58" i="9"/>
  <c r="AD58" i="9" s="1"/>
  <c r="AB43" i="9"/>
  <c r="AC43" i="9"/>
  <c r="AD43" i="9" s="1"/>
  <c r="AB171" i="9"/>
  <c r="AC171" i="9"/>
  <c r="AB73" i="9"/>
  <c r="AC73" i="9"/>
  <c r="AC5" i="9"/>
  <c r="Q18" i="10"/>
  <c r="V13" i="9"/>
  <c r="W13" i="9" s="1"/>
  <c r="AD13" i="9" s="1"/>
  <c r="AB94" i="9"/>
  <c r="AC94" i="9"/>
  <c r="AD94" i="9" s="1"/>
  <c r="AB67" i="9"/>
  <c r="AC67" i="9"/>
  <c r="AD67" i="9" s="1"/>
  <c r="AD173" i="9"/>
  <c r="AD143" i="9"/>
  <c r="AD218" i="9"/>
  <c r="AD90" i="9"/>
  <c r="AB64" i="9"/>
  <c r="AC64" i="9"/>
  <c r="AD64" i="9" s="1"/>
  <c r="AD117" i="9"/>
  <c r="V9" i="9"/>
  <c r="W9" i="9" s="1"/>
  <c r="AD9" i="9" s="1"/>
  <c r="AB99" i="9"/>
  <c r="AC99" i="9"/>
  <c r="AD99" i="9" s="1"/>
  <c r="AB121" i="9"/>
  <c r="AC121" i="9"/>
  <c r="AD121" i="9" s="1"/>
  <c r="AC12" i="9"/>
  <c r="AB193" i="9"/>
  <c r="AC193" i="9"/>
  <c r="AC16" i="9"/>
  <c r="AB190" i="9"/>
  <c r="AC190" i="9"/>
  <c r="AD190" i="9" s="1"/>
  <c r="AB182" i="9"/>
  <c r="AC182" i="9"/>
  <c r="J34" i="10"/>
  <c r="AB142" i="9"/>
  <c r="AC142" i="9"/>
  <c r="AD142" i="9" s="1"/>
  <c r="AQ229" i="9"/>
  <c r="AR229" i="9" s="1"/>
  <c r="AQ79" i="9"/>
  <c r="AR79" i="9" s="1"/>
  <c r="AQ103" i="9"/>
  <c r="AR103" i="9" s="1"/>
  <c r="AQ44" i="9"/>
  <c r="AR44" i="9" s="1"/>
  <c r="AQ76" i="9"/>
  <c r="AR76" i="9" s="1"/>
  <c r="AQ69" i="9"/>
  <c r="AR69" i="9" s="1"/>
  <c r="AQ57" i="9"/>
  <c r="AR57" i="9" s="1"/>
  <c r="AQ213" i="9"/>
  <c r="AR213" i="9" s="1"/>
  <c r="AQ49" i="9"/>
  <c r="AR49" i="9" s="1"/>
  <c r="AQ225" i="9"/>
  <c r="AR225" i="9" s="1"/>
  <c r="AQ113" i="9"/>
  <c r="AR113" i="9" s="1"/>
  <c r="AQ97" i="9"/>
  <c r="AR97" i="9" s="1"/>
  <c r="AQ197" i="9"/>
  <c r="AR197" i="9" s="1"/>
  <c r="AQ169" i="9"/>
  <c r="AR169" i="9" s="1"/>
  <c r="AQ143" i="9"/>
  <c r="AR143" i="9" s="1"/>
  <c r="AQ101" i="9"/>
  <c r="AR101" i="9" s="1"/>
  <c r="AQ167" i="9"/>
  <c r="AR167" i="9" s="1"/>
  <c r="AQ83" i="9"/>
  <c r="AR83" i="9" s="1"/>
  <c r="AQ108" i="9"/>
  <c r="AR108" i="9" s="1"/>
  <c r="AQ153" i="9"/>
  <c r="AR153" i="9" s="1"/>
  <c r="AQ34" i="9"/>
  <c r="AR34" i="9" s="1"/>
  <c r="AQ226" i="9"/>
  <c r="AR226" i="9" s="1"/>
  <c r="AQ220" i="9"/>
  <c r="AR220" i="9" s="1"/>
  <c r="AQ151" i="9"/>
  <c r="AR151" i="9" s="1"/>
  <c r="AQ212" i="9"/>
  <c r="AR212" i="9" s="1"/>
  <c r="AQ155" i="9"/>
  <c r="AR155" i="9" s="1"/>
  <c r="AQ172" i="9"/>
  <c r="AR172" i="9" s="1"/>
  <c r="AQ188" i="9"/>
  <c r="AR188" i="9" s="1"/>
  <c r="AQ166" i="9"/>
  <c r="AR166" i="9" s="1"/>
  <c r="AQ73" i="9"/>
  <c r="AR73" i="9" s="1"/>
  <c r="AQ182" i="9"/>
  <c r="AR182" i="9" s="1"/>
  <c r="AQ104" i="9"/>
  <c r="AR104" i="9" s="1"/>
  <c r="AQ122" i="9"/>
  <c r="AR122" i="9" s="1"/>
  <c r="AQ137" i="9"/>
  <c r="AR137" i="9" s="1"/>
  <c r="AQ89" i="9"/>
  <c r="AR89" i="9" s="1"/>
  <c r="AQ71" i="9"/>
  <c r="AR71" i="9" s="1"/>
  <c r="AQ96" i="9"/>
  <c r="AR96" i="9" s="1"/>
  <c r="AQ43" i="9"/>
  <c r="AR43" i="9" s="1"/>
  <c r="AQ185" i="9"/>
  <c r="AR185" i="9" s="1"/>
  <c r="AQ114" i="9"/>
  <c r="AR114" i="9" s="1"/>
  <c r="AQ141" i="9"/>
  <c r="AR141" i="9" s="1"/>
  <c r="AQ93" i="9"/>
  <c r="AR93" i="9" s="1"/>
  <c r="AQ223" i="9"/>
  <c r="AR223" i="9" s="1"/>
  <c r="AQ121" i="9"/>
  <c r="AR121" i="9" s="1"/>
  <c r="AQ51" i="9"/>
  <c r="AR51" i="9" s="1"/>
  <c r="AQ136" i="9"/>
  <c r="AR136" i="9" s="1"/>
  <c r="AQ138" i="9"/>
  <c r="AR138" i="9" s="1"/>
  <c r="AQ118" i="9"/>
  <c r="AR118" i="9" s="1"/>
  <c r="AQ175" i="9"/>
  <c r="AR175" i="9" s="1"/>
  <c r="AQ152" i="9"/>
  <c r="AR152" i="9" s="1"/>
  <c r="AQ221" i="9"/>
  <c r="AR221" i="9" s="1"/>
  <c r="AQ46" i="9"/>
  <c r="AR46" i="9" s="1"/>
  <c r="AQ123" i="9"/>
  <c r="AR123" i="9" s="1"/>
  <c r="AQ56" i="9"/>
  <c r="AR56" i="9" s="1"/>
  <c r="AQ38" i="9"/>
  <c r="AR38" i="9" s="1"/>
  <c r="AQ67" i="9"/>
  <c r="AR67" i="9" s="1"/>
  <c r="AQ55" i="9"/>
  <c r="AR55" i="9" s="1"/>
  <c r="AQ133" i="9"/>
  <c r="AR133" i="9" s="1"/>
  <c r="AQ58" i="9"/>
  <c r="AR58" i="9" s="1"/>
  <c r="AQ219" i="9"/>
  <c r="AR219" i="9" s="1"/>
  <c r="AQ177" i="9"/>
  <c r="AR177" i="9" s="1"/>
  <c r="AQ63" i="9"/>
  <c r="AR63" i="9" s="1"/>
  <c r="AQ132" i="9"/>
  <c r="AR132" i="9" s="1"/>
  <c r="AQ139" i="9"/>
  <c r="AR139" i="9" s="1"/>
  <c r="AQ90" i="9"/>
  <c r="AR90" i="9" s="1"/>
  <c r="AQ87" i="9"/>
  <c r="AR87" i="9" s="1"/>
  <c r="AQ218" i="9"/>
  <c r="AR218" i="9" s="1"/>
  <c r="AQ181" i="9"/>
  <c r="AR181" i="9" s="1"/>
  <c r="AQ98" i="9"/>
  <c r="AR98" i="9" s="1"/>
  <c r="AQ179" i="9"/>
  <c r="AR179" i="9" s="1"/>
  <c r="AQ70" i="9"/>
  <c r="AR70" i="9" s="1"/>
  <c r="AQ191" i="9"/>
  <c r="AR191" i="9" s="1"/>
  <c r="AQ160" i="9"/>
  <c r="AR160" i="9" s="1"/>
  <c r="AQ150" i="9"/>
  <c r="AR150" i="9" s="1"/>
  <c r="AQ149" i="9"/>
  <c r="AR149" i="9" s="1"/>
  <c r="AQ187" i="9"/>
  <c r="AR187" i="9" s="1"/>
  <c r="AQ195" i="9"/>
  <c r="AR195" i="9" s="1"/>
  <c r="AQ80" i="9"/>
  <c r="AR80" i="9" s="1"/>
  <c r="AQ196" i="9"/>
  <c r="AR196" i="9" s="1"/>
  <c r="AQ184" i="9"/>
  <c r="AR184" i="9" s="1"/>
  <c r="AQ115" i="9"/>
  <c r="AR115" i="9" s="1"/>
  <c r="AQ85" i="9"/>
  <c r="AR85" i="9" s="1"/>
  <c r="AQ81" i="9"/>
  <c r="AR81" i="9" s="1"/>
  <c r="AQ74" i="9"/>
  <c r="AR74" i="9" s="1"/>
  <c r="AQ116" i="9"/>
  <c r="AR116" i="9" s="1"/>
  <c r="AQ45" i="9"/>
  <c r="AR45" i="9" s="1"/>
  <c r="AQ168" i="9"/>
  <c r="AR168" i="9" s="1"/>
  <c r="AQ94" i="9"/>
  <c r="AR94" i="9" s="1"/>
  <c r="AQ163" i="9"/>
  <c r="AR163" i="9" s="1"/>
  <c r="AQ162" i="9"/>
  <c r="AR162" i="9" s="1"/>
  <c r="AQ215" i="9"/>
  <c r="AR215" i="9" s="1"/>
  <c r="AQ42" i="9"/>
  <c r="AR42" i="9" s="1"/>
  <c r="AQ110" i="9"/>
  <c r="AR110" i="9" s="1"/>
  <c r="AQ214" i="9"/>
  <c r="AR214" i="9" s="1"/>
  <c r="AQ174" i="9"/>
  <c r="AR174" i="9" s="1"/>
  <c r="AQ102" i="9"/>
  <c r="AR102" i="9" s="1"/>
  <c r="AQ64" i="9"/>
  <c r="AR64" i="9" s="1"/>
  <c r="AQ202" i="9"/>
  <c r="AR202" i="9" s="1"/>
  <c r="AQ199" i="9"/>
  <c r="AR199" i="9" s="1"/>
  <c r="AQ50" i="9"/>
  <c r="AR50" i="9" s="1"/>
  <c r="AQ207" i="9"/>
  <c r="AR207" i="9" s="1"/>
  <c r="AQ222" i="9"/>
  <c r="AR222" i="9" s="1"/>
  <c r="AQ105" i="9"/>
  <c r="AR105" i="9" s="1"/>
  <c r="AQ86" i="9"/>
  <c r="AR86" i="9" s="1"/>
  <c r="AQ77" i="9"/>
  <c r="AR77" i="9" s="1"/>
  <c r="AQ164" i="9"/>
  <c r="AR164" i="9" s="1"/>
  <c r="AQ178" i="9"/>
  <c r="AR178" i="9" s="1"/>
  <c r="AQ192" i="9"/>
  <c r="AR192" i="9" s="1"/>
  <c r="AQ47" i="9"/>
  <c r="AR47" i="9" s="1"/>
  <c r="AQ99" i="9"/>
  <c r="AR99" i="9" s="1"/>
  <c r="AQ189" i="9"/>
  <c r="AR189" i="9" s="1"/>
  <c r="AQ107" i="9"/>
  <c r="AR107" i="9" s="1"/>
  <c r="AQ208" i="9"/>
  <c r="AR208" i="9" s="1"/>
  <c r="AQ75" i="9"/>
  <c r="AR75" i="9" s="1"/>
  <c r="AQ171" i="9"/>
  <c r="AR171" i="9" s="1"/>
  <c r="AQ156" i="9"/>
  <c r="AR156" i="9" s="1"/>
  <c r="AQ211" i="9"/>
  <c r="AR211" i="9" s="1"/>
  <c r="AQ205" i="9"/>
  <c r="AR205" i="9" s="1"/>
  <c r="AQ60" i="9"/>
  <c r="AR60" i="9" s="1"/>
  <c r="AQ112" i="9"/>
  <c r="AR112" i="9" s="1"/>
  <c r="AQ66" i="9"/>
  <c r="AR66" i="9" s="1"/>
  <c r="AQ159" i="9"/>
  <c r="AR159" i="9" s="1"/>
  <c r="AQ161" i="9"/>
  <c r="AR161" i="9" s="1"/>
  <c r="AQ200" i="9"/>
  <c r="AR200" i="9" s="1"/>
  <c r="AQ203" i="9"/>
  <c r="AR203" i="9" s="1"/>
  <c r="AQ40" i="9"/>
  <c r="AR40" i="9" s="1"/>
  <c r="AQ100" i="9"/>
  <c r="AR100" i="9" s="1"/>
  <c r="AQ217" i="9"/>
  <c r="AR217" i="9" s="1"/>
  <c r="AQ170" i="9"/>
  <c r="AR170" i="9" s="1"/>
  <c r="AQ54" i="9"/>
  <c r="AR54" i="9" s="1"/>
  <c r="AQ145" i="9"/>
  <c r="AR145" i="9" s="1"/>
  <c r="AQ127" i="9"/>
  <c r="AR127" i="9" s="1"/>
  <c r="AQ165" i="9"/>
  <c r="AR165" i="9" s="1"/>
  <c r="AQ88" i="9"/>
  <c r="AR88" i="9" s="1"/>
  <c r="AQ41" i="9"/>
  <c r="AR41" i="9" s="1"/>
  <c r="AQ198" i="9"/>
  <c r="AR198" i="9" s="1"/>
  <c r="AQ180" i="9"/>
  <c r="AR180" i="9" s="1"/>
  <c r="AQ126" i="9"/>
  <c r="AR126" i="9" s="1"/>
  <c r="AQ95" i="9"/>
  <c r="AR95" i="9" s="1"/>
  <c r="AQ53" i="9"/>
  <c r="AR53" i="9" s="1"/>
  <c r="AQ176" i="9"/>
  <c r="AR176" i="9" s="1"/>
  <c r="AQ190" i="9"/>
  <c r="AR190" i="9" s="1"/>
  <c r="AQ124" i="9"/>
  <c r="AR124" i="9" s="1"/>
  <c r="AQ147" i="9"/>
  <c r="AR147" i="9" s="1"/>
  <c r="AQ130" i="9"/>
  <c r="AR130" i="9" s="1"/>
  <c r="AQ144" i="9"/>
  <c r="AR144" i="9" s="1"/>
  <c r="AQ173" i="9"/>
  <c r="AR173" i="9" s="1"/>
  <c r="AQ227" i="9"/>
  <c r="AR227" i="9" s="1"/>
  <c r="AQ134" i="9"/>
  <c r="AR134" i="9" s="1"/>
  <c r="AQ158" i="9"/>
  <c r="AR158" i="9" s="1"/>
  <c r="AQ206" i="9"/>
  <c r="AR206" i="9" s="1"/>
  <c r="AQ128" i="9"/>
  <c r="AR128" i="9" s="1"/>
  <c r="AQ157" i="9"/>
  <c r="AR157" i="9" s="1"/>
  <c r="AQ62" i="9"/>
  <c r="AR62" i="9" s="1"/>
  <c r="AQ59" i="9"/>
  <c r="AR59" i="9" s="1"/>
  <c r="AQ111" i="9"/>
  <c r="AR111" i="9" s="1"/>
  <c r="AQ129" i="9"/>
  <c r="AR129" i="9" s="1"/>
  <c r="AQ183" i="9"/>
  <c r="AR183" i="9" s="1"/>
  <c r="AQ154" i="9"/>
  <c r="AR154" i="9" s="1"/>
  <c r="AQ33" i="9"/>
  <c r="AR33" i="9" s="1"/>
  <c r="AQ120" i="9"/>
  <c r="AR120" i="9" s="1"/>
  <c r="AQ228" i="9"/>
  <c r="AR228" i="9" s="1"/>
  <c r="AQ91" i="9"/>
  <c r="AR91" i="9" s="1"/>
  <c r="AQ109" i="9"/>
  <c r="AR109" i="9" s="1"/>
  <c r="AQ65" i="9"/>
  <c r="AR65" i="9" s="1"/>
  <c r="AQ201" i="9"/>
  <c r="AR201" i="9" s="1"/>
  <c r="AQ140" i="9"/>
  <c r="AR140" i="9" s="1"/>
  <c r="AQ209" i="9"/>
  <c r="AR209" i="9" s="1"/>
  <c r="AQ36" i="9"/>
  <c r="AR36" i="9" s="1"/>
  <c r="AQ204" i="9"/>
  <c r="AR204" i="9" s="1"/>
  <c r="AQ193" i="9"/>
  <c r="AR193" i="9" s="1"/>
  <c r="AQ61" i="9"/>
  <c r="AR61" i="9" s="1"/>
  <c r="AQ82" i="9"/>
  <c r="AR82" i="9" s="1"/>
  <c r="AQ131" i="9"/>
  <c r="AR131" i="9" s="1"/>
  <c r="AQ142" i="9"/>
  <c r="AR142" i="9" s="1"/>
  <c r="AQ117" i="9"/>
  <c r="AR117" i="9" s="1"/>
  <c r="AQ78" i="9"/>
  <c r="AR78" i="9" s="1"/>
  <c r="AQ84" i="9"/>
  <c r="AR84" i="9" s="1"/>
  <c r="AQ39" i="9"/>
  <c r="AR39" i="9" s="1"/>
  <c r="AQ106" i="9"/>
  <c r="AR106" i="9" s="1"/>
  <c r="AQ224" i="9"/>
  <c r="AR224" i="9" s="1"/>
  <c r="AQ92" i="9"/>
  <c r="AR92" i="9" s="1"/>
  <c r="AQ194" i="9"/>
  <c r="AR194" i="9" s="1"/>
  <c r="AQ146" i="9"/>
  <c r="AR146" i="9" s="1"/>
  <c r="AQ148" i="9"/>
  <c r="AR148" i="9" s="1"/>
  <c r="AQ68" i="9"/>
  <c r="AR68" i="9" s="1"/>
  <c r="AQ135" i="9"/>
  <c r="AR135" i="9" s="1"/>
  <c r="AQ52" i="9"/>
  <c r="AR52" i="9" s="1"/>
  <c r="AQ48" i="9"/>
  <c r="AR48" i="9" s="1"/>
  <c r="AQ216" i="9"/>
  <c r="AR216" i="9" s="1"/>
  <c r="AQ119" i="9"/>
  <c r="AR119" i="9" s="1"/>
  <c r="AQ210" i="9"/>
  <c r="AR210" i="9" s="1"/>
  <c r="AQ72" i="9"/>
  <c r="AR72" i="9" s="1"/>
  <c r="AQ125" i="9"/>
  <c r="AR125" i="9" s="1"/>
  <c r="AQ186" i="9"/>
  <c r="AR186" i="9" s="1"/>
  <c r="BB14" i="9"/>
  <c r="BB16" i="9"/>
  <c r="BB17" i="9"/>
  <c r="BB5" i="9"/>
  <c r="X66" i="10" s="1"/>
  <c r="BB8" i="9"/>
  <c r="AI4" i="9"/>
  <c r="AJ4" i="9" s="1"/>
  <c r="BB10" i="9"/>
  <c r="BB23" i="9"/>
  <c r="BB21" i="9"/>
  <c r="BB18" i="9"/>
  <c r="BB11" i="9"/>
  <c r="BB6" i="9"/>
  <c r="X67" i="10" s="1"/>
  <c r="BB20" i="9"/>
  <c r="BB15" i="9"/>
  <c r="BB22" i="9"/>
  <c r="BB7" i="9"/>
  <c r="X68" i="10" s="1"/>
  <c r="BB12" i="9"/>
  <c r="BB9" i="9"/>
  <c r="BB13" i="9"/>
  <c r="BB19" i="9"/>
  <c r="BB4" i="9"/>
  <c r="X65" i="10" s="1"/>
  <c r="AX4" i="9"/>
  <c r="P12" i="10"/>
  <c r="S11" i="10" s="1"/>
  <c r="AB93" i="9"/>
  <c r="AC93" i="9"/>
  <c r="AB135" i="9"/>
  <c r="AC135" i="9"/>
  <c r="AD135" i="9" s="1"/>
  <c r="AC21" i="9"/>
  <c r="AB33" i="9"/>
  <c r="AC33" i="9"/>
  <c r="AD33" i="9" s="1"/>
  <c r="AB128" i="9"/>
  <c r="AC128" i="9"/>
  <c r="AB107" i="9"/>
  <c r="AC107" i="9"/>
  <c r="AD107" i="9" s="1"/>
  <c r="AB157" i="9"/>
  <c r="AC157" i="9"/>
  <c r="AD157" i="9" s="1"/>
  <c r="AB165" i="9"/>
  <c r="AC165" i="9"/>
  <c r="AD165" i="9" s="1"/>
  <c r="AB123" i="9"/>
  <c r="AC123" i="9"/>
  <c r="AD123" i="9" s="1"/>
  <c r="AB35" i="9"/>
  <c r="AC35" i="9"/>
  <c r="AD35" i="9" s="1"/>
  <c r="AB63" i="9"/>
  <c r="AC63" i="9"/>
  <c r="V12" i="9"/>
  <c r="W12" i="9" s="1"/>
  <c r="AB54" i="9"/>
  <c r="AC54" i="9"/>
  <c r="AD54" i="9" s="1"/>
  <c r="V16" i="9"/>
  <c r="W16" i="9" s="1"/>
  <c r="AB199" i="9"/>
  <c r="AC199" i="9"/>
  <c r="AD199" i="9" s="1"/>
  <c r="AB194" i="9"/>
  <c r="AC194" i="9"/>
  <c r="AD194" i="9" s="1"/>
  <c r="C38" i="10"/>
  <c r="R12" i="10"/>
  <c r="AB76" i="9"/>
  <c r="AC76" i="9"/>
  <c r="AB69" i="9"/>
  <c r="AC69" i="9"/>
  <c r="AB162" i="9"/>
  <c r="AC162" i="9"/>
  <c r="AD162" i="9" s="1"/>
  <c r="AC14" i="9"/>
  <c r="AA24" i="9"/>
  <c r="K35" i="10" s="1"/>
  <c r="I39" i="10" s="1"/>
  <c r="J39" i="10" s="1"/>
  <c r="AB4" i="9"/>
  <c r="G35" i="10"/>
  <c r="AB47" i="9"/>
  <c r="AC47" i="9"/>
  <c r="AB204" i="9"/>
  <c r="AC204" i="9"/>
  <c r="AB32" i="9"/>
  <c r="AC32" i="9"/>
  <c r="AB116" i="9"/>
  <c r="AC116" i="9"/>
  <c r="AD116" i="9" s="1"/>
  <c r="AB167" i="9"/>
  <c r="AC167" i="9"/>
  <c r="AD167" i="9" s="1"/>
  <c r="AB137" i="9"/>
  <c r="AC137" i="9"/>
  <c r="AD137" i="9" s="1"/>
  <c r="AB200" i="9"/>
  <c r="AC200" i="9"/>
  <c r="AB126" i="9"/>
  <c r="AC126" i="9"/>
  <c r="V15" i="9"/>
  <c r="W15" i="9" s="1"/>
  <c r="AD15" i="9" s="1"/>
  <c r="U24" i="9"/>
  <c r="AB98" i="9"/>
  <c r="AC98" i="9"/>
  <c r="AD98" i="9" s="1"/>
  <c r="AB209" i="9"/>
  <c r="AC209" i="9"/>
  <c r="AD209" i="9" s="1"/>
  <c r="AB56" i="9"/>
  <c r="AC56" i="9"/>
  <c r="AD56" i="9" s="1"/>
  <c r="AB203" i="9"/>
  <c r="AC203" i="9"/>
  <c r="AB191" i="9"/>
  <c r="AC191" i="9"/>
  <c r="AB103" i="9"/>
  <c r="AC103" i="9"/>
  <c r="AB104" i="9"/>
  <c r="AC104" i="9"/>
  <c r="AD104" i="9" s="1"/>
  <c r="AB195" i="9"/>
  <c r="AC195" i="9"/>
  <c r="AD195" i="9" s="1"/>
  <c r="AB227" i="9"/>
  <c r="AC227" i="9"/>
  <c r="AB100" i="9"/>
  <c r="AC100" i="9"/>
  <c r="AB87" i="9"/>
  <c r="AC87" i="9"/>
  <c r="AD55" i="9"/>
  <c r="AB219" i="9"/>
  <c r="AC219" i="9"/>
  <c r="AD219" i="9" s="1"/>
  <c r="AB220" i="9"/>
  <c r="AC220" i="9"/>
  <c r="AD220" i="9" s="1"/>
  <c r="AC4" i="9"/>
  <c r="Q12" i="10"/>
  <c r="V14" i="9"/>
  <c r="W14" i="9" s="1"/>
  <c r="AB70" i="9"/>
  <c r="AC70" i="9"/>
  <c r="AB133" i="9"/>
  <c r="AC133" i="9"/>
  <c r="AB213" i="9"/>
  <c r="AC213" i="9"/>
  <c r="AD213" i="9" s="1"/>
  <c r="AD60" i="9"/>
  <c r="AB186" i="9"/>
  <c r="AC186" i="9"/>
  <c r="AD186" i="9" s="1"/>
  <c r="AB188" i="9"/>
  <c r="AC188" i="9"/>
  <c r="AD188" i="9" s="1"/>
  <c r="V21" i="9"/>
  <c r="W21" i="9" s="1"/>
  <c r="AD178" i="9"/>
  <c r="AB221" i="9"/>
  <c r="AC221" i="9"/>
  <c r="AD221" i="9" s="1"/>
  <c r="AB183" i="9"/>
  <c r="AC183" i="9"/>
  <c r="AD118" i="9"/>
  <c r="AD175" i="9"/>
  <c r="AB156" i="9"/>
  <c r="AC156" i="9"/>
  <c r="AD156" i="9" s="1"/>
  <c r="AD216" i="9"/>
  <c r="AQ37" i="9"/>
  <c r="AR37" i="9" s="1"/>
  <c r="AD18" i="9" l="1"/>
  <c r="AD10" i="9"/>
  <c r="AJ24" i="9"/>
  <c r="AS35" i="9"/>
  <c r="AD12" i="9"/>
  <c r="AT36" i="9"/>
  <c r="AS36" i="9"/>
  <c r="AT177" i="9"/>
  <c r="AS177" i="9"/>
  <c r="AT210" i="9"/>
  <c r="AS210" i="9"/>
  <c r="AT192" i="9"/>
  <c r="AS192" i="9"/>
  <c r="AT97" i="9"/>
  <c r="AS97" i="9"/>
  <c r="AT178" i="9"/>
  <c r="AS178" i="9"/>
  <c r="AD227" i="9"/>
  <c r="AD203" i="9"/>
  <c r="AD200" i="9"/>
  <c r="AD47" i="9"/>
  <c r="AD63" i="9"/>
  <c r="AP4" i="9"/>
  <c r="AS186" i="9"/>
  <c r="AT186" i="9"/>
  <c r="AS194" i="9"/>
  <c r="AT194" i="9"/>
  <c r="AT193" i="9"/>
  <c r="AS193" i="9"/>
  <c r="AT154" i="9"/>
  <c r="AS154" i="9"/>
  <c r="AT173" i="9"/>
  <c r="AS173" i="9"/>
  <c r="AT41" i="9"/>
  <c r="AS41" i="9"/>
  <c r="AS161" i="9"/>
  <c r="AT161" i="9"/>
  <c r="AS189" i="9"/>
  <c r="AT189" i="9"/>
  <c r="AT199" i="9"/>
  <c r="AS199" i="9"/>
  <c r="AS168" i="9"/>
  <c r="AT168" i="9"/>
  <c r="AT149" i="9"/>
  <c r="AS149" i="9"/>
  <c r="AT132" i="9"/>
  <c r="AS132" i="9"/>
  <c r="AS221" i="9"/>
  <c r="AT221" i="9"/>
  <c r="AS185" i="9"/>
  <c r="AT185" i="9"/>
  <c r="AS172" i="9"/>
  <c r="AT172" i="9"/>
  <c r="AT143" i="9"/>
  <c r="AS143" i="9"/>
  <c r="AT103" i="9"/>
  <c r="AS103" i="9"/>
  <c r="AD193" i="9"/>
  <c r="AD92" i="9"/>
  <c r="AD77" i="9"/>
  <c r="AD136" i="9"/>
  <c r="AD82" i="9"/>
  <c r="AD84" i="9"/>
  <c r="AD148" i="9"/>
  <c r="AD128" i="9"/>
  <c r="AT125" i="9"/>
  <c r="AS125" i="9"/>
  <c r="AT92" i="9"/>
  <c r="AS92" i="9"/>
  <c r="AS204" i="9"/>
  <c r="AT204" i="9"/>
  <c r="AS183" i="9"/>
  <c r="AT183" i="9"/>
  <c r="AT144" i="9"/>
  <c r="AS144" i="9"/>
  <c r="AT88" i="9"/>
  <c r="AS88" i="9"/>
  <c r="AT159" i="9"/>
  <c r="AS159" i="9"/>
  <c r="AT99" i="9"/>
  <c r="AS99" i="9"/>
  <c r="AS202" i="9"/>
  <c r="AT202" i="9"/>
  <c r="AT45" i="9"/>
  <c r="AS45" i="9"/>
  <c r="AT150" i="9"/>
  <c r="AS150" i="9"/>
  <c r="AT63" i="9"/>
  <c r="AS63" i="9"/>
  <c r="AT152" i="9"/>
  <c r="AS152" i="9"/>
  <c r="AS43" i="9"/>
  <c r="AT43" i="9"/>
  <c r="AT155" i="9"/>
  <c r="AS155" i="9"/>
  <c r="AT169" i="9"/>
  <c r="AS169" i="9"/>
  <c r="AT79" i="9"/>
  <c r="AS79" i="9"/>
  <c r="AD171" i="9"/>
  <c r="AD198" i="9"/>
  <c r="AD222" i="9"/>
  <c r="AD161" i="9"/>
  <c r="AT64" i="9"/>
  <c r="AS64" i="9"/>
  <c r="AT118" i="9"/>
  <c r="AS118" i="9"/>
  <c r="AT113" i="9"/>
  <c r="AS113" i="9"/>
  <c r="AT62" i="9"/>
  <c r="AS62" i="9"/>
  <c r="AT85" i="9"/>
  <c r="AS85" i="9"/>
  <c r="AS226" i="9"/>
  <c r="AT226" i="9"/>
  <c r="G39" i="10"/>
  <c r="H39" i="10" s="1"/>
  <c r="H35" i="10"/>
  <c r="AS165" i="9"/>
  <c r="AT165" i="9"/>
  <c r="AT175" i="9"/>
  <c r="AS175" i="9"/>
  <c r="AT147" i="9"/>
  <c r="AS147" i="9"/>
  <c r="AS191" i="9"/>
  <c r="AT191" i="9"/>
  <c r="AT39" i="9"/>
  <c r="AS39" i="9"/>
  <c r="AS174" i="9"/>
  <c r="AT174" i="9"/>
  <c r="AT89" i="9"/>
  <c r="AS89" i="9"/>
  <c r="AU32" i="9"/>
  <c r="AV32" i="9"/>
  <c r="AS201" i="9"/>
  <c r="AT201" i="9"/>
  <c r="AT205" i="9"/>
  <c r="AS205" i="9"/>
  <c r="AS214" i="9"/>
  <c r="AT214" i="9"/>
  <c r="AT136" i="9"/>
  <c r="AS136" i="9"/>
  <c r="AS225" i="9"/>
  <c r="AT225" i="9"/>
  <c r="AT48" i="9"/>
  <c r="AS48" i="9"/>
  <c r="AT78" i="9"/>
  <c r="AS78" i="9"/>
  <c r="AT65" i="9"/>
  <c r="AS65" i="9"/>
  <c r="AT157" i="9"/>
  <c r="AS157" i="9"/>
  <c r="AT176" i="9"/>
  <c r="AS176" i="9"/>
  <c r="AS170" i="9"/>
  <c r="AT170" i="9"/>
  <c r="AS211" i="9"/>
  <c r="AT211" i="9"/>
  <c r="AS77" i="9"/>
  <c r="AT77" i="9"/>
  <c r="AT110" i="9"/>
  <c r="AS110" i="9"/>
  <c r="AT115" i="9"/>
  <c r="AS115" i="9"/>
  <c r="AS98" i="9"/>
  <c r="AT98" i="9"/>
  <c r="AT55" i="9"/>
  <c r="AS55" i="9"/>
  <c r="AS51" i="9"/>
  <c r="AT51" i="9"/>
  <c r="AS122" i="9"/>
  <c r="AT122" i="9"/>
  <c r="AT34" i="9"/>
  <c r="AS34" i="9"/>
  <c r="AS49" i="9"/>
  <c r="AT49" i="9"/>
  <c r="AT37" i="9"/>
  <c r="AS37" i="9"/>
  <c r="AT129" i="9"/>
  <c r="AS129" i="9"/>
  <c r="AS116" i="9"/>
  <c r="AT116" i="9"/>
  <c r="AT229" i="9"/>
  <c r="AS229" i="9"/>
  <c r="AS106" i="9"/>
  <c r="AT106" i="9"/>
  <c r="AT102" i="9"/>
  <c r="AS102" i="9"/>
  <c r="AS145" i="9"/>
  <c r="AT145" i="9"/>
  <c r="AT58" i="9"/>
  <c r="AS58" i="9"/>
  <c r="AD14" i="9"/>
  <c r="AD21" i="9"/>
  <c r="AS216" i="9"/>
  <c r="AT216" i="9"/>
  <c r="AT190" i="9"/>
  <c r="AS190" i="9"/>
  <c r="AT164" i="9"/>
  <c r="AS164" i="9"/>
  <c r="AT133" i="9"/>
  <c r="AS133" i="9"/>
  <c r="AS137" i="9"/>
  <c r="AT137" i="9"/>
  <c r="AD183" i="9"/>
  <c r="AD103" i="9"/>
  <c r="AT52" i="9"/>
  <c r="AS52" i="9"/>
  <c r="AT117" i="9"/>
  <c r="AS117" i="9"/>
  <c r="AT109" i="9"/>
  <c r="AS109" i="9"/>
  <c r="AT128" i="9"/>
  <c r="AS128" i="9"/>
  <c r="AS53" i="9"/>
  <c r="AT53" i="9"/>
  <c r="AT217" i="9"/>
  <c r="AS217" i="9"/>
  <c r="AT156" i="9"/>
  <c r="AS156" i="9"/>
  <c r="AS86" i="9"/>
  <c r="AT86" i="9"/>
  <c r="AT42" i="9"/>
  <c r="AS42" i="9"/>
  <c r="AT184" i="9"/>
  <c r="AS184" i="9"/>
  <c r="AT181" i="9"/>
  <c r="AS181" i="9"/>
  <c r="AS67" i="9"/>
  <c r="AT67" i="9"/>
  <c r="AT121" i="9"/>
  <c r="AS121" i="9"/>
  <c r="AS104" i="9"/>
  <c r="AT104" i="9"/>
  <c r="AT153" i="9"/>
  <c r="AS153" i="9"/>
  <c r="AS213" i="9"/>
  <c r="AT213" i="9"/>
  <c r="AD182" i="9"/>
  <c r="AD223" i="9"/>
  <c r="AD189" i="9"/>
  <c r="AD160" i="9"/>
  <c r="AT130" i="9"/>
  <c r="AS130" i="9"/>
  <c r="AS96" i="9"/>
  <c r="AT96" i="9"/>
  <c r="AT112" i="9"/>
  <c r="AS112" i="9"/>
  <c r="AS151" i="9"/>
  <c r="AT151" i="9"/>
  <c r="AT119" i="9"/>
  <c r="AS119" i="9"/>
  <c r="AT60" i="9"/>
  <c r="AS60" i="9"/>
  <c r="AT138" i="9"/>
  <c r="AS138" i="9"/>
  <c r="AT84" i="9"/>
  <c r="AS84" i="9"/>
  <c r="AT54" i="9"/>
  <c r="AS54" i="9"/>
  <c r="AT179" i="9"/>
  <c r="AS179" i="9"/>
  <c r="AD133" i="9"/>
  <c r="AD87" i="9"/>
  <c r="AD32" i="9"/>
  <c r="AD69" i="9"/>
  <c r="AD93" i="9"/>
  <c r="AT135" i="9"/>
  <c r="AS135" i="9"/>
  <c r="AS142" i="9"/>
  <c r="AT142" i="9"/>
  <c r="AT91" i="9"/>
  <c r="AS91" i="9"/>
  <c r="AS206" i="9"/>
  <c r="AT206" i="9"/>
  <c r="AT95" i="9"/>
  <c r="AS95" i="9"/>
  <c r="AT100" i="9"/>
  <c r="AS100" i="9"/>
  <c r="AS171" i="9"/>
  <c r="AT171" i="9"/>
  <c r="AT105" i="9"/>
  <c r="AS105" i="9"/>
  <c r="AT215" i="9"/>
  <c r="AS215" i="9"/>
  <c r="AS196" i="9"/>
  <c r="AT196" i="9"/>
  <c r="AT218" i="9"/>
  <c r="AS218" i="9"/>
  <c r="AT38" i="9"/>
  <c r="AS38" i="9"/>
  <c r="AT223" i="9"/>
  <c r="AS223" i="9"/>
  <c r="AT182" i="9"/>
  <c r="AS182" i="9"/>
  <c r="AS108" i="9"/>
  <c r="AT108" i="9"/>
  <c r="AT57" i="9"/>
  <c r="AS57" i="9"/>
  <c r="AD57" i="9"/>
  <c r="AD180" i="9"/>
  <c r="AD85" i="9"/>
  <c r="AD4" i="9"/>
  <c r="G36" i="10"/>
  <c r="AT224" i="9"/>
  <c r="AS224" i="9"/>
  <c r="AS160" i="9"/>
  <c r="AT160" i="9"/>
  <c r="AT111" i="9"/>
  <c r="AS111" i="9"/>
  <c r="AT219" i="9"/>
  <c r="AS219" i="9"/>
  <c r="AT59" i="9"/>
  <c r="AS59" i="9"/>
  <c r="AT70" i="9"/>
  <c r="AS70" i="9"/>
  <c r="AU35" i="9"/>
  <c r="AV35" i="9"/>
  <c r="AT68" i="9"/>
  <c r="AS68" i="9"/>
  <c r="AS228" i="9"/>
  <c r="AT228" i="9"/>
  <c r="AT40" i="9"/>
  <c r="AS40" i="9"/>
  <c r="AT222" i="9"/>
  <c r="AS222" i="9"/>
  <c r="AT87" i="9"/>
  <c r="AS87" i="9"/>
  <c r="AT93" i="9"/>
  <c r="AS93" i="9"/>
  <c r="AT73" i="9"/>
  <c r="AS73" i="9"/>
  <c r="AT69" i="9"/>
  <c r="AS69" i="9"/>
  <c r="AD155" i="9"/>
  <c r="AT72" i="9"/>
  <c r="AS72" i="9"/>
  <c r="AT47" i="9"/>
  <c r="AS47" i="9"/>
  <c r="AS212" i="9"/>
  <c r="AT212" i="9"/>
  <c r="AB24" i="9"/>
  <c r="K34" i="10" s="1"/>
  <c r="I40" i="10" s="1"/>
  <c r="J40" i="10" s="1"/>
  <c r="G34" i="10"/>
  <c r="AS209" i="9"/>
  <c r="AT209" i="9"/>
  <c r="AT74" i="9"/>
  <c r="AS74" i="9"/>
  <c r="AT140" i="9"/>
  <c r="AS140" i="9"/>
  <c r="AT81" i="9"/>
  <c r="AS81" i="9"/>
  <c r="AS220" i="9"/>
  <c r="AT220" i="9"/>
  <c r="AK4" i="9"/>
  <c r="AL4" i="9" s="1"/>
  <c r="AM4" i="9" s="1"/>
  <c r="AN4" i="9" s="1"/>
  <c r="AO4" i="9" s="1"/>
  <c r="AT131" i="9"/>
  <c r="AS131" i="9"/>
  <c r="AT158" i="9"/>
  <c r="AS158" i="9"/>
  <c r="AT126" i="9"/>
  <c r="AS126" i="9"/>
  <c r="AT75" i="9"/>
  <c r="AS75" i="9"/>
  <c r="AT162" i="9"/>
  <c r="AS162" i="9"/>
  <c r="AT80" i="9"/>
  <c r="AS80" i="9"/>
  <c r="AT56" i="9"/>
  <c r="AS56" i="9"/>
  <c r="AT83" i="9"/>
  <c r="AS83" i="9"/>
  <c r="AD70" i="9"/>
  <c r="AD100" i="9"/>
  <c r="AD191" i="9"/>
  <c r="AD126" i="9"/>
  <c r="AD204" i="9"/>
  <c r="AD76" i="9"/>
  <c r="AT148" i="9"/>
  <c r="AS148" i="9"/>
  <c r="AT82" i="9"/>
  <c r="AS82" i="9"/>
  <c r="AT120" i="9"/>
  <c r="AS120" i="9"/>
  <c r="AT134" i="9"/>
  <c r="AS134" i="9"/>
  <c r="AT180" i="9"/>
  <c r="AS180" i="9"/>
  <c r="AT203" i="9"/>
  <c r="AS203" i="9"/>
  <c r="AT208" i="9"/>
  <c r="AS208" i="9"/>
  <c r="AT207" i="9"/>
  <c r="AS207" i="9"/>
  <c r="AT163" i="9"/>
  <c r="AS163" i="9"/>
  <c r="AS195" i="9"/>
  <c r="AT195" i="9"/>
  <c r="AT90" i="9"/>
  <c r="AS90" i="9"/>
  <c r="AT123" i="9"/>
  <c r="AS123" i="9"/>
  <c r="AT141" i="9"/>
  <c r="AS141" i="9"/>
  <c r="AS166" i="9"/>
  <c r="AT166" i="9"/>
  <c r="AT167" i="9"/>
  <c r="AS167" i="9"/>
  <c r="AT76" i="9"/>
  <c r="AS76" i="9"/>
  <c r="AD5" i="9"/>
  <c r="I36" i="10"/>
  <c r="AD145" i="9"/>
  <c r="AD50" i="9"/>
  <c r="AD174" i="9"/>
  <c r="AD206" i="9"/>
  <c r="AD101" i="9"/>
  <c r="AT66" i="9"/>
  <c r="AS66" i="9"/>
  <c r="AT197" i="9"/>
  <c r="AS197" i="9"/>
  <c r="AT127" i="9"/>
  <c r="AS127" i="9"/>
  <c r="AS71" i="9"/>
  <c r="AT71" i="9"/>
  <c r="AS124" i="9"/>
  <c r="AT124" i="9"/>
  <c r="AT146" i="9"/>
  <c r="AS146" i="9"/>
  <c r="AT61" i="9"/>
  <c r="AS61" i="9"/>
  <c r="AT33" i="9"/>
  <c r="AS33" i="9"/>
  <c r="AT227" i="9"/>
  <c r="AS227" i="9"/>
  <c r="AT198" i="9"/>
  <c r="AS198" i="9"/>
  <c r="AT200" i="9"/>
  <c r="AS200" i="9"/>
  <c r="AT107" i="9"/>
  <c r="AS107" i="9"/>
  <c r="AT50" i="9"/>
  <c r="AS50" i="9"/>
  <c r="AT94" i="9"/>
  <c r="AS94" i="9"/>
  <c r="AT187" i="9"/>
  <c r="AS187" i="9"/>
  <c r="AS139" i="9"/>
  <c r="AT139" i="9"/>
  <c r="AT46" i="9"/>
  <c r="AS46" i="9"/>
  <c r="AS114" i="9"/>
  <c r="AT114" i="9"/>
  <c r="AS188" i="9"/>
  <c r="AT188" i="9"/>
  <c r="AT101" i="9"/>
  <c r="AS101" i="9"/>
  <c r="AT44" i="9"/>
  <c r="AS44" i="9"/>
  <c r="AD16" i="9"/>
  <c r="AD73" i="9"/>
  <c r="AD225" i="9"/>
  <c r="AD149" i="9"/>
  <c r="AD215" i="9"/>
  <c r="AD62" i="9"/>
  <c r="AD42" i="9"/>
  <c r="AW35" i="9" l="1"/>
  <c r="AU162" i="9"/>
  <c r="AV162" i="9"/>
  <c r="AU156" i="9"/>
  <c r="AV156" i="9"/>
  <c r="AU78" i="9"/>
  <c r="AV78" i="9"/>
  <c r="AU63" i="9"/>
  <c r="AV63" i="9"/>
  <c r="J36" i="10"/>
  <c r="I37" i="10"/>
  <c r="J37" i="10" s="1"/>
  <c r="I38" i="10"/>
  <c r="J38" i="10" s="1"/>
  <c r="AU139" i="9"/>
  <c r="AV139" i="9"/>
  <c r="AU87" i="9"/>
  <c r="AV87" i="9"/>
  <c r="AU130" i="9"/>
  <c r="AV130" i="9"/>
  <c r="AU150" i="9"/>
  <c r="AV150" i="9"/>
  <c r="AW150" i="9" s="1"/>
  <c r="AU40" i="9"/>
  <c r="AV40" i="9"/>
  <c r="AU165" i="9"/>
  <c r="AV165" i="9"/>
  <c r="AU113" i="9"/>
  <c r="AV113" i="9"/>
  <c r="AU169" i="9"/>
  <c r="AV169" i="9"/>
  <c r="AU45" i="9"/>
  <c r="AV45" i="9"/>
  <c r="AU192" i="9"/>
  <c r="AV192" i="9"/>
  <c r="AW192" i="9" s="1"/>
  <c r="AU203" i="9"/>
  <c r="AV203" i="9"/>
  <c r="AU47" i="9"/>
  <c r="AV47" i="9"/>
  <c r="AU147" i="9"/>
  <c r="AV147" i="9"/>
  <c r="AU79" i="9"/>
  <c r="AV79" i="9"/>
  <c r="AU95" i="9"/>
  <c r="AV95" i="9"/>
  <c r="AU183" i="9"/>
  <c r="AV183" i="9"/>
  <c r="AW183" i="9" s="1"/>
  <c r="AU134" i="9"/>
  <c r="AV134" i="9"/>
  <c r="AU181" i="9"/>
  <c r="AV181" i="9"/>
  <c r="AU74" i="9"/>
  <c r="AV74" i="9"/>
  <c r="AU228" i="9"/>
  <c r="AV228" i="9"/>
  <c r="AU57" i="9"/>
  <c r="AV57" i="9"/>
  <c r="AU151" i="9"/>
  <c r="AV151" i="9"/>
  <c r="AW151" i="9" s="1"/>
  <c r="AU213" i="9"/>
  <c r="AV213" i="9"/>
  <c r="AU145" i="9"/>
  <c r="AV145" i="9"/>
  <c r="AU98" i="9"/>
  <c r="AV98" i="9"/>
  <c r="AU174" i="9"/>
  <c r="AV174" i="9"/>
  <c r="AU202" i="9"/>
  <c r="AV202" i="9"/>
  <c r="AU204" i="9"/>
  <c r="AV204" i="9"/>
  <c r="AW204" i="9" s="1"/>
  <c r="AP24" i="9"/>
  <c r="AQ4" i="9" s="1"/>
  <c r="AR4" i="9" s="1"/>
  <c r="AU70" i="9"/>
  <c r="AV70" i="9"/>
  <c r="AW70" i="9" s="1"/>
  <c r="AU121" i="9"/>
  <c r="AV121" i="9"/>
  <c r="AU85" i="9"/>
  <c r="AV85" i="9"/>
  <c r="AU178" i="9"/>
  <c r="AV178" i="9"/>
  <c r="AU81" i="9"/>
  <c r="AV81" i="9"/>
  <c r="AU38" i="9"/>
  <c r="AV38" i="9"/>
  <c r="AU127" i="9"/>
  <c r="AV127" i="9"/>
  <c r="AW127" i="9" s="1"/>
  <c r="AU137" i="9"/>
  <c r="AV137" i="9"/>
  <c r="AU175" i="9"/>
  <c r="AV175" i="9"/>
  <c r="AU186" i="9"/>
  <c r="AV186" i="9"/>
  <c r="AU119" i="9"/>
  <c r="AV119" i="9"/>
  <c r="AU129" i="9"/>
  <c r="AV129" i="9"/>
  <c r="AU101" i="9"/>
  <c r="AV101" i="9"/>
  <c r="AW101" i="9" s="1"/>
  <c r="AU158" i="9"/>
  <c r="AV158" i="9"/>
  <c r="AU209" i="9"/>
  <c r="AV209" i="9"/>
  <c r="AU69" i="9"/>
  <c r="AV69" i="9"/>
  <c r="AU111" i="9"/>
  <c r="AV111" i="9"/>
  <c r="AU108" i="9"/>
  <c r="AV108" i="9"/>
  <c r="AU179" i="9"/>
  <c r="AV179" i="9"/>
  <c r="AW179" i="9" s="1"/>
  <c r="AU184" i="9"/>
  <c r="AV184" i="9"/>
  <c r="AU128" i="9"/>
  <c r="AV128" i="9"/>
  <c r="AU133" i="9"/>
  <c r="AV133" i="9"/>
  <c r="AU37" i="9"/>
  <c r="AX37" i="9" s="1"/>
  <c r="AV37" i="9"/>
  <c r="AU176" i="9"/>
  <c r="AV176" i="9"/>
  <c r="AU136" i="9"/>
  <c r="AV136" i="9"/>
  <c r="AW136" i="9" s="1"/>
  <c r="AU118" i="9"/>
  <c r="AV118" i="9"/>
  <c r="AU155" i="9"/>
  <c r="AV155" i="9"/>
  <c r="AU132" i="9"/>
  <c r="AV132" i="9"/>
  <c r="AU41" i="9"/>
  <c r="AV41" i="9"/>
  <c r="AU210" i="9"/>
  <c r="AV210" i="9"/>
  <c r="AW32" i="9"/>
  <c r="AU189" i="9"/>
  <c r="AV189" i="9"/>
  <c r="AU75" i="9"/>
  <c r="AV75" i="9"/>
  <c r="AU217" i="9"/>
  <c r="AV217" i="9"/>
  <c r="AU225" i="9"/>
  <c r="AV225" i="9"/>
  <c r="AU83" i="9"/>
  <c r="AV83" i="9"/>
  <c r="AU61" i="9"/>
  <c r="AV61" i="9"/>
  <c r="AU66" i="9"/>
  <c r="AV66" i="9"/>
  <c r="AU166" i="9"/>
  <c r="AV166" i="9"/>
  <c r="AU160" i="9"/>
  <c r="AV160" i="9"/>
  <c r="AU215" i="9"/>
  <c r="AV215" i="9"/>
  <c r="AU91" i="9"/>
  <c r="AV91" i="9"/>
  <c r="AU49" i="9"/>
  <c r="AV49" i="9"/>
  <c r="AU214" i="9"/>
  <c r="AV214" i="9"/>
  <c r="AU43" i="9"/>
  <c r="AV43" i="9"/>
  <c r="AU71" i="9"/>
  <c r="AV71" i="9"/>
  <c r="AU138" i="9"/>
  <c r="AV138" i="9"/>
  <c r="AU88" i="9"/>
  <c r="AV88" i="9"/>
  <c r="AU67" i="9"/>
  <c r="AV67" i="9"/>
  <c r="AU194" i="9"/>
  <c r="AV194" i="9"/>
  <c r="AU90" i="9"/>
  <c r="AV90" i="9"/>
  <c r="AU62" i="9"/>
  <c r="AV62" i="9"/>
  <c r="AU144" i="9"/>
  <c r="AV144" i="9"/>
  <c r="AU44" i="9"/>
  <c r="AV44" i="9"/>
  <c r="AU218" i="9"/>
  <c r="AV218" i="9"/>
  <c r="AU161" i="9"/>
  <c r="AV161" i="9"/>
  <c r="AU206" i="9"/>
  <c r="AV206" i="9"/>
  <c r="AU55" i="9"/>
  <c r="AV55" i="9"/>
  <c r="AU33" i="9"/>
  <c r="AX33" i="9" s="1"/>
  <c r="AV33" i="9"/>
  <c r="AU82" i="9"/>
  <c r="AV82" i="9"/>
  <c r="AU56" i="9"/>
  <c r="AV56" i="9"/>
  <c r="AU131" i="9"/>
  <c r="AV131" i="9"/>
  <c r="H34" i="10"/>
  <c r="G40" i="10"/>
  <c r="H40" i="10" s="1"/>
  <c r="AU73" i="9"/>
  <c r="AV73" i="9"/>
  <c r="AU68" i="9"/>
  <c r="AV68" i="9"/>
  <c r="AU142" i="9"/>
  <c r="AV142" i="9"/>
  <c r="AU54" i="9"/>
  <c r="AV54" i="9"/>
  <c r="AU112" i="9"/>
  <c r="AV112" i="9"/>
  <c r="AU153" i="9"/>
  <c r="AV153" i="9"/>
  <c r="AU42" i="9"/>
  <c r="AV42" i="9"/>
  <c r="AU109" i="9"/>
  <c r="AV109" i="9"/>
  <c r="AU164" i="9"/>
  <c r="AV164" i="9"/>
  <c r="AU102" i="9"/>
  <c r="AV102" i="9"/>
  <c r="AU115" i="9"/>
  <c r="AV115" i="9"/>
  <c r="AU157" i="9"/>
  <c r="AV157" i="9"/>
  <c r="AU39" i="9"/>
  <c r="AV39" i="9"/>
  <c r="G41" i="10"/>
  <c r="H41" i="10" s="1"/>
  <c r="AU64" i="9"/>
  <c r="AV64" i="9"/>
  <c r="AU99" i="9"/>
  <c r="AV99" i="9"/>
  <c r="AU92" i="9"/>
  <c r="AV92" i="9"/>
  <c r="AU103" i="9"/>
  <c r="AV103" i="9"/>
  <c r="AU149" i="9"/>
  <c r="AV149" i="9"/>
  <c r="AU173" i="9"/>
  <c r="AV173" i="9"/>
  <c r="AU177" i="9"/>
  <c r="AV177" i="9"/>
  <c r="AU211" i="9"/>
  <c r="AV211" i="9"/>
  <c r="AU185" i="9"/>
  <c r="AV185" i="9"/>
  <c r="AU180" i="9"/>
  <c r="AV180" i="9"/>
  <c r="AU59" i="9"/>
  <c r="AV59" i="9"/>
  <c r="AU60" i="9"/>
  <c r="AV60" i="9"/>
  <c r="AU227" i="9"/>
  <c r="AV227" i="9"/>
  <c r="AU72" i="9"/>
  <c r="AV72" i="9"/>
  <c r="AU170" i="9"/>
  <c r="AV170" i="9"/>
  <c r="AU221" i="9"/>
  <c r="AV221" i="9"/>
  <c r="AU76" i="9"/>
  <c r="AV76" i="9"/>
  <c r="AU219" i="9"/>
  <c r="AV219" i="9"/>
  <c r="AW219" i="9" s="1"/>
  <c r="AU58" i="9"/>
  <c r="AV58" i="9"/>
  <c r="AU197" i="9"/>
  <c r="AV197" i="9"/>
  <c r="AU120" i="9"/>
  <c r="AV120" i="9"/>
  <c r="AU114" i="9"/>
  <c r="AV114" i="9"/>
  <c r="AU182" i="9"/>
  <c r="AV182" i="9"/>
  <c r="AU105" i="9"/>
  <c r="AV105" i="9"/>
  <c r="AW105" i="9" s="1"/>
  <c r="AU96" i="9"/>
  <c r="AV96" i="9"/>
  <c r="AU104" i="9"/>
  <c r="AV104" i="9"/>
  <c r="AU86" i="9"/>
  <c r="AV86" i="9"/>
  <c r="AU106" i="9"/>
  <c r="AV106" i="9"/>
  <c r="K41" i="10"/>
  <c r="AU226" i="9"/>
  <c r="AV226" i="9"/>
  <c r="AU168" i="9"/>
  <c r="AV168" i="9"/>
  <c r="AU52" i="9"/>
  <c r="AV52" i="9"/>
  <c r="AU199" i="9"/>
  <c r="AV199" i="9"/>
  <c r="AU100" i="9"/>
  <c r="AV100" i="9"/>
  <c r="AU51" i="9"/>
  <c r="AV51" i="9"/>
  <c r="AU187" i="9"/>
  <c r="AV187" i="9"/>
  <c r="AU140" i="9"/>
  <c r="AV140" i="9"/>
  <c r="AU126" i="9"/>
  <c r="AV126" i="9"/>
  <c r="AU196" i="9"/>
  <c r="AV196" i="9"/>
  <c r="AU94" i="9"/>
  <c r="AV94" i="9"/>
  <c r="AU163" i="9"/>
  <c r="AV163" i="9"/>
  <c r="AU207" i="9"/>
  <c r="AV207" i="9"/>
  <c r="AU107" i="9"/>
  <c r="AV107" i="9"/>
  <c r="AU124" i="9"/>
  <c r="AV124" i="9"/>
  <c r="AU141" i="9"/>
  <c r="AV141" i="9"/>
  <c r="AU208" i="9"/>
  <c r="AV208" i="9"/>
  <c r="AU148" i="9"/>
  <c r="AV148" i="9"/>
  <c r="AU80" i="9"/>
  <c r="AV80" i="9"/>
  <c r="AU220" i="9"/>
  <c r="AV220" i="9"/>
  <c r="AU212" i="9"/>
  <c r="AV212" i="9"/>
  <c r="AU93" i="9"/>
  <c r="AV93" i="9"/>
  <c r="AU224" i="9"/>
  <c r="AV224" i="9"/>
  <c r="AU171" i="9"/>
  <c r="AV171" i="9"/>
  <c r="AU84" i="9"/>
  <c r="AV84" i="9"/>
  <c r="AU117" i="9"/>
  <c r="AV117" i="9"/>
  <c r="AU190" i="9"/>
  <c r="AV190" i="9"/>
  <c r="AW190" i="9" s="1"/>
  <c r="AU34" i="9"/>
  <c r="AX34" i="9" s="1"/>
  <c r="AV34" i="9"/>
  <c r="AU110" i="9"/>
  <c r="AV110" i="9"/>
  <c r="AU65" i="9"/>
  <c r="AV65" i="9"/>
  <c r="AU205" i="9"/>
  <c r="AV205" i="9"/>
  <c r="AU191" i="9"/>
  <c r="AV191" i="9"/>
  <c r="AU152" i="9"/>
  <c r="AV152" i="9"/>
  <c r="AW152" i="9" s="1"/>
  <c r="AU159" i="9"/>
  <c r="AV159" i="9"/>
  <c r="AU125" i="9"/>
  <c r="AV125" i="9"/>
  <c r="AU143" i="9"/>
  <c r="AV143" i="9"/>
  <c r="AU154" i="9"/>
  <c r="AV154" i="9"/>
  <c r="AU36" i="9"/>
  <c r="AX36" i="9" s="1"/>
  <c r="AV36" i="9"/>
  <c r="AU123" i="9"/>
  <c r="AV123" i="9"/>
  <c r="AW123" i="9" s="1"/>
  <c r="AU229" i="9"/>
  <c r="AV229" i="9"/>
  <c r="AU193" i="9"/>
  <c r="AV193" i="9"/>
  <c r="AU198" i="9"/>
  <c r="AV198" i="9"/>
  <c r="AU116" i="9"/>
  <c r="AV116" i="9"/>
  <c r="AU222" i="9"/>
  <c r="AV222" i="9"/>
  <c r="AU48" i="9"/>
  <c r="AV48" i="9"/>
  <c r="AW48" i="9" s="1"/>
  <c r="AU97" i="9"/>
  <c r="AV97" i="9"/>
  <c r="AU195" i="9"/>
  <c r="AV195" i="9"/>
  <c r="AU53" i="9"/>
  <c r="AV53" i="9"/>
  <c r="AU89" i="9"/>
  <c r="AV89" i="9"/>
  <c r="AU188" i="9"/>
  <c r="AV188" i="9"/>
  <c r="AU167" i="9"/>
  <c r="AV167" i="9"/>
  <c r="AW167" i="9" s="1"/>
  <c r="AU50" i="9"/>
  <c r="AV50" i="9"/>
  <c r="AU146" i="9"/>
  <c r="AV146" i="9"/>
  <c r="AU46" i="9"/>
  <c r="AV46" i="9"/>
  <c r="AU200" i="9"/>
  <c r="AV200" i="9"/>
  <c r="H36" i="10"/>
  <c r="G37" i="10"/>
  <c r="H37" i="10" s="1"/>
  <c r="G38" i="10"/>
  <c r="H38" i="10" s="1"/>
  <c r="AU223" i="9"/>
  <c r="AV223" i="9"/>
  <c r="AU135" i="9"/>
  <c r="AV135" i="9"/>
  <c r="AW135" i="9" s="1"/>
  <c r="AU216" i="9"/>
  <c r="AV216" i="9"/>
  <c r="AU122" i="9"/>
  <c r="AV122" i="9"/>
  <c r="AU77" i="9"/>
  <c r="AV77" i="9"/>
  <c r="AW77" i="9" s="1"/>
  <c r="AU201" i="9"/>
  <c r="AV201" i="9"/>
  <c r="AU172" i="9"/>
  <c r="AV172" i="9"/>
  <c r="AW145" i="9" l="1"/>
  <c r="AW181" i="9"/>
  <c r="AW47" i="9"/>
  <c r="AW165" i="9"/>
  <c r="AW96" i="9"/>
  <c r="AW58" i="9"/>
  <c r="AW227" i="9"/>
  <c r="AW177" i="9"/>
  <c r="AW64" i="9"/>
  <c r="AW41" i="9"/>
  <c r="AW111" i="9"/>
  <c r="AW119" i="9"/>
  <c r="AW81" i="9"/>
  <c r="AW60" i="9"/>
  <c r="AW173" i="9"/>
  <c r="AW188" i="9"/>
  <c r="AW222" i="9"/>
  <c r="AW191" i="9"/>
  <c r="AW117" i="9"/>
  <c r="AW220" i="9"/>
  <c r="AW107" i="9"/>
  <c r="AW140" i="9"/>
  <c r="AW168" i="9"/>
  <c r="AW109" i="9"/>
  <c r="AW68" i="9"/>
  <c r="AW33" i="9"/>
  <c r="AH5" i="9" s="1"/>
  <c r="Y38" i="10" s="1"/>
  <c r="Z38" i="10" s="1"/>
  <c r="AW144" i="9"/>
  <c r="AW138" i="9"/>
  <c r="AW215" i="9"/>
  <c r="AW225" i="9"/>
  <c r="AW172" i="9"/>
  <c r="AW223" i="9"/>
  <c r="AW104" i="9"/>
  <c r="AW197" i="9"/>
  <c r="AW72" i="9"/>
  <c r="AW211" i="9"/>
  <c r="AW99" i="9"/>
  <c r="AW213" i="9"/>
  <c r="AW134" i="9"/>
  <c r="AW203" i="9"/>
  <c r="AW40" i="9"/>
  <c r="AW146" i="9"/>
  <c r="AW195" i="9"/>
  <c r="AW193" i="9"/>
  <c r="AW125" i="9"/>
  <c r="AW110" i="9"/>
  <c r="AW224" i="9"/>
  <c r="AW208" i="9"/>
  <c r="AW94" i="9"/>
  <c r="AW100" i="9"/>
  <c r="AW115" i="9"/>
  <c r="AW131" i="9"/>
  <c r="AW161" i="9"/>
  <c r="AW194" i="9"/>
  <c r="AW214" i="9"/>
  <c r="AW66" i="9"/>
  <c r="AW189" i="9"/>
  <c r="AW112" i="9"/>
  <c r="AW148" i="9"/>
  <c r="AW163" i="9"/>
  <c r="AW51" i="9"/>
  <c r="AW157" i="9"/>
  <c r="AW153" i="9"/>
  <c r="AW206" i="9"/>
  <c r="AW90" i="9"/>
  <c r="AW43" i="9"/>
  <c r="AW166" i="9"/>
  <c r="AW75" i="9"/>
  <c r="AW162" i="9"/>
  <c r="AW132" i="9"/>
  <c r="AW133" i="9"/>
  <c r="AW69" i="9"/>
  <c r="AW186" i="9"/>
  <c r="AW130" i="9"/>
  <c r="AW93" i="9"/>
  <c r="AW141" i="9"/>
  <c r="AW196" i="9"/>
  <c r="AW199" i="9"/>
  <c r="AW102" i="9"/>
  <c r="AW54" i="9"/>
  <c r="AW56" i="9"/>
  <c r="AW218" i="9"/>
  <c r="AW67" i="9"/>
  <c r="AW49" i="9"/>
  <c r="AW61" i="9"/>
  <c r="AW200" i="9"/>
  <c r="AW89" i="9"/>
  <c r="AW116" i="9"/>
  <c r="AW154" i="9"/>
  <c r="AW205" i="9"/>
  <c r="AW84" i="9"/>
  <c r="AW80" i="9"/>
  <c r="AW207" i="9"/>
  <c r="AW187" i="9"/>
  <c r="AW226" i="9"/>
  <c r="AW39" i="9"/>
  <c r="AW42" i="9"/>
  <c r="AW73" i="9"/>
  <c r="AW55" i="9"/>
  <c r="AW62" i="9"/>
  <c r="AW71" i="9"/>
  <c r="AW160" i="9"/>
  <c r="AW217" i="9"/>
  <c r="AX63" i="9"/>
  <c r="AW122" i="9"/>
  <c r="AW155" i="9"/>
  <c r="AW128" i="9"/>
  <c r="AW209" i="9"/>
  <c r="AW175" i="9"/>
  <c r="AW85" i="9"/>
  <c r="AW174" i="9"/>
  <c r="AW228" i="9"/>
  <c r="AW79" i="9"/>
  <c r="AW169" i="9"/>
  <c r="AW87" i="9"/>
  <c r="AW216" i="9"/>
  <c r="AW106" i="9"/>
  <c r="AW114" i="9"/>
  <c r="AW221" i="9"/>
  <c r="AW180" i="9"/>
  <c r="AW103" i="9"/>
  <c r="AW118" i="9"/>
  <c r="AW184" i="9"/>
  <c r="AW158" i="9"/>
  <c r="AW137" i="9"/>
  <c r="AW36" i="9"/>
  <c r="AH7" i="9" s="1"/>
  <c r="AG7" i="9"/>
  <c r="AX142" i="9"/>
  <c r="AX210" i="9"/>
  <c r="AG18" i="9"/>
  <c r="AG16" i="9"/>
  <c r="AW38" i="9"/>
  <c r="AG8" i="9"/>
  <c r="AG17" i="9"/>
  <c r="AG10" i="9"/>
  <c r="AG19" i="9"/>
  <c r="AG9" i="9"/>
  <c r="AG21" i="9"/>
  <c r="AG15" i="9"/>
  <c r="AG12" i="9"/>
  <c r="AG22" i="9"/>
  <c r="AG13" i="9"/>
  <c r="AG14" i="9"/>
  <c r="AG20" i="9"/>
  <c r="AG23" i="9"/>
  <c r="AG11" i="9"/>
  <c r="AX117" i="9"/>
  <c r="AX134" i="9"/>
  <c r="AX120" i="9"/>
  <c r="AX185" i="9"/>
  <c r="AG5" i="9"/>
  <c r="AX98" i="9"/>
  <c r="AX113" i="9"/>
  <c r="AX172" i="9"/>
  <c r="AX93" i="9"/>
  <c r="AX141" i="9"/>
  <c r="AX199" i="9"/>
  <c r="AX102" i="9"/>
  <c r="AX54" i="9"/>
  <c r="AX56" i="9"/>
  <c r="AX218" i="9"/>
  <c r="AX67" i="9"/>
  <c r="AX49" i="9"/>
  <c r="AX61" i="9"/>
  <c r="AX136" i="9"/>
  <c r="AX179" i="9"/>
  <c r="AX101" i="9"/>
  <c r="AX127" i="9"/>
  <c r="AX201" i="9"/>
  <c r="AX126" i="9"/>
  <c r="AX88" i="9"/>
  <c r="AX108" i="9"/>
  <c r="AX227" i="9"/>
  <c r="AX40" i="9"/>
  <c r="AX107" i="9"/>
  <c r="AX109" i="9"/>
  <c r="AX215" i="9"/>
  <c r="AX119" i="9"/>
  <c r="AX50" i="9"/>
  <c r="AX97" i="9"/>
  <c r="AX229" i="9"/>
  <c r="AX159" i="9"/>
  <c r="AX86" i="9"/>
  <c r="AX170" i="9"/>
  <c r="AX92" i="9"/>
  <c r="AX121" i="9"/>
  <c r="AX74" i="9"/>
  <c r="AX147" i="9"/>
  <c r="AX139" i="9"/>
  <c r="AX223" i="9"/>
  <c r="AX196" i="9"/>
  <c r="AW201" i="9"/>
  <c r="AX167" i="9"/>
  <c r="AX48" i="9"/>
  <c r="AX123" i="9"/>
  <c r="AX152" i="9"/>
  <c r="AX190" i="9"/>
  <c r="AW212" i="9"/>
  <c r="AW124" i="9"/>
  <c r="AW126" i="9"/>
  <c r="AW52" i="9"/>
  <c r="AX104" i="9"/>
  <c r="AX197" i="9"/>
  <c r="AX72" i="9"/>
  <c r="AX211" i="9"/>
  <c r="AX99" i="9"/>
  <c r="AW164" i="9"/>
  <c r="AW142" i="9"/>
  <c r="AW82" i="9"/>
  <c r="AW44" i="9"/>
  <c r="AW88" i="9"/>
  <c r="AW91" i="9"/>
  <c r="AW83" i="9"/>
  <c r="AW210" i="9"/>
  <c r="AW176" i="9"/>
  <c r="AW108" i="9"/>
  <c r="AW129" i="9"/>
  <c r="AX32" i="9"/>
  <c r="AX70" i="9"/>
  <c r="AX145" i="9"/>
  <c r="AX181" i="9"/>
  <c r="AX47" i="9"/>
  <c r="AX165" i="9"/>
  <c r="AX60" i="9"/>
  <c r="AX151" i="9"/>
  <c r="AX183" i="9"/>
  <c r="AX192" i="9"/>
  <c r="AX150" i="9"/>
  <c r="AW78" i="9"/>
  <c r="AX124" i="9"/>
  <c r="AX44" i="9"/>
  <c r="AX176" i="9"/>
  <c r="AX188" i="9"/>
  <c r="AX177" i="9"/>
  <c r="AX38" i="9"/>
  <c r="AW63" i="9"/>
  <c r="AX220" i="9"/>
  <c r="AX68" i="9"/>
  <c r="AX138" i="9"/>
  <c r="AX111" i="9"/>
  <c r="AX89" i="9"/>
  <c r="AX154" i="9"/>
  <c r="AX105" i="9"/>
  <c r="AX219" i="9"/>
  <c r="AX173" i="9"/>
  <c r="AX81" i="9"/>
  <c r="AX204" i="9"/>
  <c r="AX122" i="9"/>
  <c r="AW46" i="9"/>
  <c r="AW53" i="9"/>
  <c r="AW198" i="9"/>
  <c r="AW143" i="9"/>
  <c r="AW65" i="9"/>
  <c r="AW171" i="9"/>
  <c r="AX80" i="9"/>
  <c r="AX207" i="9"/>
  <c r="AX187" i="9"/>
  <c r="AX226" i="9"/>
  <c r="AW182" i="9"/>
  <c r="AW76" i="9"/>
  <c r="AW59" i="9"/>
  <c r="AW149" i="9"/>
  <c r="AX39" i="9"/>
  <c r="AX42" i="9"/>
  <c r="AX73" i="9"/>
  <c r="AX55" i="9"/>
  <c r="AX62" i="9"/>
  <c r="AX71" i="9"/>
  <c r="AX160" i="9"/>
  <c r="AX217" i="9"/>
  <c r="AX132" i="9"/>
  <c r="AX133" i="9"/>
  <c r="AX69" i="9"/>
  <c r="AX186" i="9"/>
  <c r="AW178" i="9"/>
  <c r="AW202" i="9"/>
  <c r="AW57" i="9"/>
  <c r="AW95" i="9"/>
  <c r="AW45" i="9"/>
  <c r="AX78" i="9"/>
  <c r="AX202" i="9"/>
  <c r="AX57" i="9"/>
  <c r="AX95" i="9"/>
  <c r="AX45" i="9"/>
  <c r="AX130" i="9"/>
  <c r="AW156" i="9"/>
  <c r="AX52" i="9"/>
  <c r="AX82" i="9"/>
  <c r="AX222" i="9"/>
  <c r="AX58" i="9"/>
  <c r="AX203" i="9"/>
  <c r="AX168" i="9"/>
  <c r="AX225" i="9"/>
  <c r="AX116" i="9"/>
  <c r="AX143" i="9"/>
  <c r="AX182" i="9"/>
  <c r="AX51" i="9"/>
  <c r="AX43" i="9"/>
  <c r="AX128" i="9"/>
  <c r="AX156" i="9"/>
  <c r="AX212" i="9"/>
  <c r="AX164" i="9"/>
  <c r="AX83" i="9"/>
  <c r="AX129" i="9"/>
  <c r="AS4" i="9"/>
  <c r="AT4" i="9"/>
  <c r="AX191" i="9"/>
  <c r="AX64" i="9"/>
  <c r="AW37" i="9"/>
  <c r="AH6" i="9" s="1"/>
  <c r="AG6" i="9"/>
  <c r="AX213" i="9"/>
  <c r="AX77" i="9"/>
  <c r="AX140" i="9"/>
  <c r="AX144" i="9"/>
  <c r="AX41" i="9"/>
  <c r="AX200" i="9"/>
  <c r="AX84" i="9"/>
  <c r="AX53" i="9"/>
  <c r="AX65" i="9"/>
  <c r="AX59" i="9"/>
  <c r="AX216" i="9"/>
  <c r="AX163" i="9"/>
  <c r="AX153" i="9"/>
  <c r="AX206" i="9"/>
  <c r="AX166" i="9"/>
  <c r="AX155" i="9"/>
  <c r="AX209" i="9"/>
  <c r="AX146" i="9"/>
  <c r="AX193" i="9"/>
  <c r="AX110" i="9"/>
  <c r="AX224" i="9"/>
  <c r="AX106" i="9"/>
  <c r="AX114" i="9"/>
  <c r="AX221" i="9"/>
  <c r="AX180" i="9"/>
  <c r="AX103" i="9"/>
  <c r="AX85" i="9"/>
  <c r="AX174" i="9"/>
  <c r="AX228" i="9"/>
  <c r="AX79" i="9"/>
  <c r="AX169" i="9"/>
  <c r="AX87" i="9"/>
  <c r="AX91" i="9"/>
  <c r="AX96" i="9"/>
  <c r="AQ24" i="9"/>
  <c r="AR24" i="9" s="1"/>
  <c r="AS24" i="9" s="1"/>
  <c r="AQ22" i="9"/>
  <c r="AR22" i="9" s="1"/>
  <c r="AQ14" i="9"/>
  <c r="AR14" i="9" s="1"/>
  <c r="AQ5" i="9"/>
  <c r="AR5" i="9" s="1"/>
  <c r="AQ7" i="9"/>
  <c r="AR7" i="9" s="1"/>
  <c r="AQ13" i="9"/>
  <c r="AR13" i="9" s="1"/>
  <c r="AQ9" i="9"/>
  <c r="AR9" i="9" s="1"/>
  <c r="AQ11" i="9"/>
  <c r="AR11" i="9" s="1"/>
  <c r="AQ15" i="9"/>
  <c r="AR15" i="9" s="1"/>
  <c r="AQ16" i="9"/>
  <c r="AR16" i="9" s="1"/>
  <c r="AQ8" i="9"/>
  <c r="AR8" i="9" s="1"/>
  <c r="AQ12" i="9"/>
  <c r="AR12" i="9" s="1"/>
  <c r="AQ19" i="9"/>
  <c r="AR19" i="9" s="1"/>
  <c r="AQ20" i="9"/>
  <c r="AR20" i="9" s="1"/>
  <c r="AQ21" i="9"/>
  <c r="AR21" i="9" s="1"/>
  <c r="AQ23" i="9"/>
  <c r="AR23" i="9" s="1"/>
  <c r="AQ18" i="9"/>
  <c r="AR18" i="9" s="1"/>
  <c r="AQ17" i="9"/>
  <c r="AR17" i="9" s="1"/>
  <c r="AQ10" i="9"/>
  <c r="AR10" i="9" s="1"/>
  <c r="AQ6" i="9"/>
  <c r="AR6" i="9" s="1"/>
  <c r="AX205" i="9"/>
  <c r="AX46" i="9"/>
  <c r="AX198" i="9"/>
  <c r="AX171" i="9"/>
  <c r="AX76" i="9"/>
  <c r="AX149" i="9"/>
  <c r="AX178" i="9"/>
  <c r="AX148" i="9"/>
  <c r="AX157" i="9"/>
  <c r="AX90" i="9"/>
  <c r="AX75" i="9"/>
  <c r="AX175" i="9"/>
  <c r="AX195" i="9"/>
  <c r="AX125" i="9"/>
  <c r="AX135" i="9"/>
  <c r="AW50" i="9"/>
  <c r="AW97" i="9"/>
  <c r="AW229" i="9"/>
  <c r="AW159" i="9"/>
  <c r="AW34" i="9"/>
  <c r="AH4" i="9" s="1"/>
  <c r="W38" i="10" s="1"/>
  <c r="X38" i="10" s="1"/>
  <c r="AG4" i="9"/>
  <c r="AX35" i="9"/>
  <c r="AX208" i="9"/>
  <c r="AX94" i="9"/>
  <c r="AX100" i="9"/>
  <c r="AW86" i="9"/>
  <c r="AW120" i="9"/>
  <c r="AW170" i="9"/>
  <c r="AW185" i="9"/>
  <c r="AW92" i="9"/>
  <c r="AX115" i="9"/>
  <c r="AX112" i="9"/>
  <c r="AX131" i="9"/>
  <c r="AX161" i="9"/>
  <c r="AX194" i="9"/>
  <c r="AX214" i="9"/>
  <c r="AX66" i="9"/>
  <c r="AX189" i="9"/>
  <c r="AX118" i="9"/>
  <c r="AX184" i="9"/>
  <c r="AX158" i="9"/>
  <c r="AX137" i="9"/>
  <c r="AW121" i="9"/>
  <c r="AW98" i="9"/>
  <c r="AW74" i="9"/>
  <c r="AW147" i="9"/>
  <c r="AW113" i="9"/>
  <c r="AW139" i="9"/>
  <c r="AX162" i="9"/>
  <c r="AT23" i="9" l="1"/>
  <c r="AS23" i="9"/>
  <c r="AS19" i="9"/>
  <c r="AT19" i="9"/>
  <c r="AT5" i="9"/>
  <c r="AS5" i="9"/>
  <c r="AH17" i="9"/>
  <c r="AH18" i="9"/>
  <c r="AH8" i="9"/>
  <c r="AH9" i="9"/>
  <c r="AH21" i="9"/>
  <c r="AH11" i="9"/>
  <c r="AH19" i="9"/>
  <c r="AH10" i="9"/>
  <c r="AH13" i="9"/>
  <c r="AH14" i="9"/>
  <c r="AH12" i="9"/>
  <c r="AH22" i="9"/>
  <c r="AH15" i="9"/>
  <c r="AH20" i="9"/>
  <c r="AH16" i="9"/>
  <c r="AH23" i="9"/>
  <c r="AT8" i="9"/>
  <c r="AS8" i="9"/>
  <c r="AS16" i="9"/>
  <c r="AT16" i="9"/>
  <c r="AT15" i="9"/>
  <c r="AS15" i="9"/>
  <c r="AU4" i="9"/>
  <c r="AY35" i="9" s="1"/>
  <c r="AV4" i="9"/>
  <c r="W35" i="10"/>
  <c r="AT21" i="9"/>
  <c r="AS21" i="9"/>
  <c r="AS14" i="9"/>
  <c r="AT14" i="9"/>
  <c r="AT22" i="9"/>
  <c r="AS22" i="9"/>
  <c r="AS11" i="9"/>
  <c r="AT11" i="9"/>
  <c r="AT20" i="9"/>
  <c r="AS20" i="9"/>
  <c r="AT10" i="9"/>
  <c r="AS10" i="9"/>
  <c r="AT9" i="9"/>
  <c r="AS9" i="9"/>
  <c r="AT6" i="9"/>
  <c r="AS6" i="9"/>
  <c r="AT12" i="9"/>
  <c r="AS12" i="9"/>
  <c r="AT17" i="9"/>
  <c r="AS17" i="9"/>
  <c r="AS13" i="9"/>
  <c r="AT13" i="9"/>
  <c r="AT18" i="9"/>
  <c r="AS18" i="9"/>
  <c r="AT7" i="9"/>
  <c r="AS7" i="9"/>
  <c r="AT24" i="9" l="1"/>
  <c r="AA35" i="10" s="1"/>
  <c r="W39" i="10" s="1"/>
  <c r="X39" i="10" s="1"/>
  <c r="AV19" i="9"/>
  <c r="AU19" i="9"/>
  <c r="AW4" i="9"/>
  <c r="W36" i="10"/>
  <c r="W34" i="10"/>
  <c r="W41" i="10" s="1"/>
  <c r="X41" i="10" s="1"/>
  <c r="AY34" i="9"/>
  <c r="AU5" i="9"/>
  <c r="AV5" i="9"/>
  <c r="Y35" i="10"/>
  <c r="AU7" i="9"/>
  <c r="AV7" i="9"/>
  <c r="AW7" i="9" s="1"/>
  <c r="AV20" i="9"/>
  <c r="AU20" i="9"/>
  <c r="AU14" i="9"/>
  <c r="AV14" i="9"/>
  <c r="AU8" i="9"/>
  <c r="AV8" i="9"/>
  <c r="AW8" i="9" s="1"/>
  <c r="X35" i="10"/>
  <c r="AV22" i="9"/>
  <c r="AU22" i="9"/>
  <c r="AV9" i="9"/>
  <c r="AU9" i="9"/>
  <c r="AU15" i="9"/>
  <c r="AV15" i="9"/>
  <c r="AV11" i="9"/>
  <c r="AU11" i="9"/>
  <c r="AV21" i="9"/>
  <c r="AU21" i="9"/>
  <c r="AV10" i="9"/>
  <c r="AU10" i="9"/>
  <c r="AV23" i="9"/>
  <c r="AU23" i="9"/>
  <c r="AU13" i="9"/>
  <c r="AV13" i="9"/>
  <c r="AV17" i="9"/>
  <c r="AU17" i="9"/>
  <c r="AU18" i="9"/>
  <c r="AV18" i="9"/>
  <c r="AU6" i="9"/>
  <c r="AV6" i="9"/>
  <c r="AV12" i="9"/>
  <c r="AU12" i="9"/>
  <c r="AV16" i="9"/>
  <c r="AU16" i="9"/>
  <c r="AW6" i="9" l="1"/>
  <c r="AW18" i="9"/>
  <c r="AW14" i="9"/>
  <c r="AW12" i="9"/>
  <c r="AW15" i="9"/>
  <c r="AW16" i="9"/>
  <c r="AW13" i="9"/>
  <c r="AW10" i="9"/>
  <c r="AY63" i="9"/>
  <c r="AY115" i="9"/>
  <c r="AY97" i="9"/>
  <c r="AY68" i="9"/>
  <c r="AY167" i="9"/>
  <c r="AY139" i="9"/>
  <c r="AY96" i="9"/>
  <c r="AY113" i="9"/>
  <c r="AY214" i="9"/>
  <c r="AY116" i="9"/>
  <c r="AY75" i="9"/>
  <c r="AY49" i="9"/>
  <c r="AY90" i="9"/>
  <c r="AY207" i="9"/>
  <c r="AY77" i="9"/>
  <c r="AY105" i="9"/>
  <c r="AY76" i="9"/>
  <c r="AY228" i="9"/>
  <c r="AY144" i="9"/>
  <c r="AY203" i="9"/>
  <c r="AY58" i="9"/>
  <c r="AY170" i="9"/>
  <c r="AY112" i="9"/>
  <c r="AY124" i="9"/>
  <c r="AY95" i="9"/>
  <c r="AY165" i="9"/>
  <c r="AY187" i="9"/>
  <c r="AY227" i="9"/>
  <c r="AY188" i="9"/>
  <c r="AY189" i="9"/>
  <c r="AY142" i="9"/>
  <c r="AY43" i="9"/>
  <c r="AY106" i="9"/>
  <c r="AY121" i="9"/>
  <c r="AY103" i="9"/>
  <c r="AY72" i="9"/>
  <c r="AY109" i="9"/>
  <c r="AY140" i="9"/>
  <c r="AY127" i="9"/>
  <c r="AY183" i="9"/>
  <c r="AY128" i="9"/>
  <c r="AY215" i="9"/>
  <c r="AY220" i="9"/>
  <c r="AY91" i="9"/>
  <c r="AY166" i="9"/>
  <c r="AY94" i="9"/>
  <c r="AY57" i="9"/>
  <c r="AY149" i="9"/>
  <c r="AY210" i="9"/>
  <c r="AY219" i="9"/>
  <c r="AY229" i="9"/>
  <c r="AY44" i="9"/>
  <c r="AY118" i="9"/>
  <c r="AY41" i="9"/>
  <c r="AY164" i="9"/>
  <c r="AY225" i="9"/>
  <c r="AY199" i="9"/>
  <c r="AY197" i="9"/>
  <c r="AY104" i="9"/>
  <c r="AY136" i="9"/>
  <c r="AY223" i="9"/>
  <c r="AY224" i="9"/>
  <c r="AY99" i="9"/>
  <c r="AY175" i="9"/>
  <c r="AY217" i="9"/>
  <c r="AY222" i="9"/>
  <c r="AY176" i="9"/>
  <c r="AY52" i="9"/>
  <c r="AY145" i="9"/>
  <c r="AY131" i="9"/>
  <c r="AY89" i="9"/>
  <c r="AY117" i="9"/>
  <c r="AY196" i="9"/>
  <c r="AY93" i="9"/>
  <c r="AY172" i="9"/>
  <c r="AY179" i="9"/>
  <c r="AY65" i="9"/>
  <c r="AY111" i="9"/>
  <c r="AY226" i="9"/>
  <c r="AY84" i="9"/>
  <c r="AY54" i="9"/>
  <c r="AY181" i="9"/>
  <c r="AY216" i="9"/>
  <c r="AY152" i="9"/>
  <c r="AY80" i="9"/>
  <c r="AY55" i="9"/>
  <c r="AY46" i="9"/>
  <c r="AY191" i="9"/>
  <c r="AY134" i="9"/>
  <c r="AY81" i="9"/>
  <c r="AY202" i="9"/>
  <c r="AY82" i="9"/>
  <c r="AY190" i="9"/>
  <c r="AY208" i="9"/>
  <c r="AY69" i="9"/>
  <c r="AY154" i="9"/>
  <c r="AY169" i="9"/>
  <c r="AY39" i="9"/>
  <c r="AY102" i="9"/>
  <c r="AY85" i="9"/>
  <c r="AY186" i="9"/>
  <c r="AY66" i="9"/>
  <c r="AY130" i="9"/>
  <c r="AY71" i="9"/>
  <c r="AY62" i="9"/>
  <c r="AY155" i="9"/>
  <c r="AY137" i="9"/>
  <c r="AY184" i="9"/>
  <c r="AY50" i="9"/>
  <c r="AY125" i="9"/>
  <c r="AY146" i="9"/>
  <c r="AY86" i="9"/>
  <c r="AY38" i="9"/>
  <c r="AY194" i="9"/>
  <c r="AY209" i="9"/>
  <c r="AY48" i="9"/>
  <c r="AY205" i="9"/>
  <c r="AY98" i="9"/>
  <c r="AY78" i="9"/>
  <c r="AY174" i="9"/>
  <c r="AY60" i="9"/>
  <c r="AY180" i="9"/>
  <c r="AY156" i="9"/>
  <c r="AY171" i="9"/>
  <c r="AY101" i="9"/>
  <c r="AY59" i="9"/>
  <c r="AY143" i="9"/>
  <c r="AY213" i="9"/>
  <c r="AY87" i="9"/>
  <c r="AY177" i="9"/>
  <c r="AY160" i="9"/>
  <c r="AY79" i="9"/>
  <c r="AY92" i="9"/>
  <c r="AY108" i="9"/>
  <c r="AY148" i="9"/>
  <c r="AY114" i="9"/>
  <c r="AY150" i="9"/>
  <c r="AY218" i="9"/>
  <c r="AY70" i="9"/>
  <c r="AY162" i="9"/>
  <c r="AY132" i="9"/>
  <c r="AY151" i="9"/>
  <c r="AY53" i="9"/>
  <c r="AY158" i="9"/>
  <c r="AY173" i="9"/>
  <c r="AY135" i="9"/>
  <c r="AY67" i="9"/>
  <c r="AY120" i="9"/>
  <c r="AY221" i="9"/>
  <c r="AY45" i="9"/>
  <c r="AY100" i="9"/>
  <c r="AY119" i="9"/>
  <c r="AY107" i="9"/>
  <c r="AY129" i="9"/>
  <c r="AY157" i="9"/>
  <c r="AY42" i="9"/>
  <c r="AY61" i="9"/>
  <c r="AY168" i="9"/>
  <c r="AY88" i="9"/>
  <c r="AY122" i="9"/>
  <c r="AY147" i="9"/>
  <c r="AY198" i="9"/>
  <c r="AY83" i="9"/>
  <c r="AY56" i="9"/>
  <c r="AY206" i="9"/>
  <c r="AY40" i="9"/>
  <c r="AY159" i="9"/>
  <c r="AY211" i="9"/>
  <c r="AY201" i="9"/>
  <c r="AY141" i="9"/>
  <c r="AY64" i="9"/>
  <c r="AY110" i="9"/>
  <c r="AY74" i="9"/>
  <c r="AY200" i="9"/>
  <c r="AY161" i="9"/>
  <c r="AY123" i="9"/>
  <c r="AY73" i="9"/>
  <c r="AY204" i="9"/>
  <c r="AY51" i="9"/>
  <c r="AY185" i="9"/>
  <c r="AY212" i="9"/>
  <c r="AY195" i="9"/>
  <c r="AY47" i="9"/>
  <c r="AY126" i="9"/>
  <c r="AY192" i="9"/>
  <c r="AY193" i="9"/>
  <c r="AY153" i="9"/>
  <c r="AY178" i="9"/>
  <c r="AY182" i="9"/>
  <c r="AY138" i="9"/>
  <c r="AY163" i="9"/>
  <c r="AY133" i="9"/>
  <c r="W37" i="10"/>
  <c r="X37" i="10" s="1"/>
  <c r="X36" i="10"/>
  <c r="X34" i="10"/>
  <c r="AY9" i="9"/>
  <c r="AW20" i="9"/>
  <c r="AW21" i="9"/>
  <c r="AW11" i="9"/>
  <c r="AW9" i="9"/>
  <c r="AW19" i="9"/>
  <c r="AW5" i="9"/>
  <c r="Y36" i="10"/>
  <c r="Y34" i="10"/>
  <c r="Y41" i="10" s="1"/>
  <c r="Z41" i="10" s="1"/>
  <c r="AY33" i="9"/>
  <c r="AY32" i="9"/>
  <c r="AY17" i="9"/>
  <c r="AW17" i="9"/>
  <c r="AY36" i="9"/>
  <c r="AB35" i="10"/>
  <c r="AY37" i="9"/>
  <c r="AU24" i="9"/>
  <c r="AY10" i="9" s="1"/>
  <c r="AW23" i="9"/>
  <c r="AW22" i="9"/>
  <c r="Y39" i="10"/>
  <c r="Z39" i="10" s="1"/>
  <c r="Z35" i="10"/>
  <c r="AY20" i="9" l="1"/>
  <c r="AY23" i="9"/>
  <c r="AY12" i="9"/>
  <c r="AY7" i="9"/>
  <c r="AY13" i="9"/>
  <c r="AZ40" i="9"/>
  <c r="AZ138" i="9"/>
  <c r="AZ204" i="9"/>
  <c r="AY22" i="9"/>
  <c r="AY16" i="9"/>
  <c r="AZ181" i="9"/>
  <c r="AZ178" i="9"/>
  <c r="AZ73" i="9"/>
  <c r="AZ54" i="9"/>
  <c r="AZ84" i="9"/>
  <c r="AZ153" i="9"/>
  <c r="AZ176" i="9"/>
  <c r="AZ147" i="9"/>
  <c r="AZ167" i="9"/>
  <c r="AZ98" i="9"/>
  <c r="AZ94" i="9"/>
  <c r="AZ182" i="9"/>
  <c r="AZ190" i="9"/>
  <c r="AZ214" i="9"/>
  <c r="AZ123" i="9"/>
  <c r="AZ71" i="9"/>
  <c r="AZ52" i="9"/>
  <c r="AZ70" i="9"/>
  <c r="AZ202" i="9"/>
  <c r="AZ164" i="9"/>
  <c r="AZ45" i="9"/>
  <c r="AZ111" i="9"/>
  <c r="AZ41" i="9"/>
  <c r="AZ221" i="9"/>
  <c r="AZ134" i="9"/>
  <c r="AZ76" i="9"/>
  <c r="AY15" i="9"/>
  <c r="AZ126" i="9"/>
  <c r="AZ110" i="9"/>
  <c r="AZ122" i="9"/>
  <c r="AZ120" i="9"/>
  <c r="AZ114" i="9"/>
  <c r="AZ171" i="9"/>
  <c r="AZ86" i="9"/>
  <c r="AZ85" i="9"/>
  <c r="AZ191" i="9"/>
  <c r="AZ179" i="9"/>
  <c r="AZ175" i="9"/>
  <c r="AZ44" i="9"/>
  <c r="AZ183" i="9"/>
  <c r="AZ227" i="9"/>
  <c r="AZ105" i="9"/>
  <c r="AZ68" i="9"/>
  <c r="AZ208" i="9"/>
  <c r="AZ116" i="9"/>
  <c r="AZ107" i="9"/>
  <c r="AZ199" i="9"/>
  <c r="AZ36" i="9"/>
  <c r="T32" i="10" s="1"/>
  <c r="T30" i="10" s="1"/>
  <c r="AZ213" i="9"/>
  <c r="AZ113" i="9"/>
  <c r="AZ143" i="9"/>
  <c r="AZ144" i="9"/>
  <c r="AZ59" i="9"/>
  <c r="AZ228" i="9"/>
  <c r="AZ101" i="9"/>
  <c r="AZ217" i="9"/>
  <c r="AZ47" i="9"/>
  <c r="AZ64" i="9"/>
  <c r="AZ88" i="9"/>
  <c r="AZ67" i="9"/>
  <c r="AZ148" i="9"/>
  <c r="AZ156" i="9"/>
  <c r="AZ146" i="9"/>
  <c r="AZ102" i="9"/>
  <c r="AZ46" i="9"/>
  <c r="AZ172" i="9"/>
  <c r="AZ99" i="9"/>
  <c r="AZ229" i="9"/>
  <c r="AZ127" i="9"/>
  <c r="AZ187" i="9"/>
  <c r="AZ77" i="9"/>
  <c r="AZ97" i="9"/>
  <c r="AZ177" i="9"/>
  <c r="AZ121" i="9"/>
  <c r="AZ62" i="9"/>
  <c r="AZ58" i="9"/>
  <c r="AZ48" i="9"/>
  <c r="AZ225" i="9"/>
  <c r="AZ161" i="9"/>
  <c r="AZ209" i="9"/>
  <c r="AZ220" i="9"/>
  <c r="AZ198" i="9"/>
  <c r="AZ81" i="9"/>
  <c r="AZ139" i="9"/>
  <c r="AZ74" i="9"/>
  <c r="AZ186" i="9"/>
  <c r="AZ188" i="9"/>
  <c r="AA34" i="10"/>
  <c r="AF24" i="9"/>
  <c r="AY4" i="9"/>
  <c r="AZ32" i="9"/>
  <c r="T20" i="10" s="1"/>
  <c r="AZ35" i="9"/>
  <c r="T15" i="10" s="1"/>
  <c r="AY11" i="9"/>
  <c r="AZ195" i="9"/>
  <c r="AZ141" i="9"/>
  <c r="AZ168" i="9"/>
  <c r="AZ135" i="9"/>
  <c r="AZ108" i="9"/>
  <c r="AZ180" i="9"/>
  <c r="AZ125" i="9"/>
  <c r="AZ39" i="9"/>
  <c r="AZ55" i="9"/>
  <c r="AZ93" i="9"/>
  <c r="AZ224" i="9"/>
  <c r="AZ219" i="9"/>
  <c r="AZ140" i="9"/>
  <c r="AZ165" i="9"/>
  <c r="AZ207" i="9"/>
  <c r="AZ115" i="9"/>
  <c r="AZ129" i="9"/>
  <c r="AZ197" i="9"/>
  <c r="AZ87" i="9"/>
  <c r="AZ106" i="9"/>
  <c r="AZ56" i="9"/>
  <c r="AZ82" i="9"/>
  <c r="AZ91" i="9"/>
  <c r="AZ100" i="9"/>
  <c r="AZ226" i="9"/>
  <c r="AZ142" i="9"/>
  <c r="AZ218" i="9"/>
  <c r="AZ215" i="9"/>
  <c r="AZ150" i="9"/>
  <c r="AZ128" i="9"/>
  <c r="AY18" i="9"/>
  <c r="AZ33" i="9"/>
  <c r="T21" i="10" s="1"/>
  <c r="AY14" i="9"/>
  <c r="AZ212" i="9"/>
  <c r="AZ201" i="9"/>
  <c r="AZ61" i="9"/>
  <c r="AZ173" i="9"/>
  <c r="AZ92" i="9"/>
  <c r="AZ60" i="9"/>
  <c r="AZ50" i="9"/>
  <c r="AZ169" i="9"/>
  <c r="AZ80" i="9"/>
  <c r="AZ196" i="9"/>
  <c r="AZ223" i="9"/>
  <c r="AZ210" i="9"/>
  <c r="AZ109" i="9"/>
  <c r="AZ95" i="9"/>
  <c r="AZ90" i="9"/>
  <c r="AZ63" i="9"/>
  <c r="AZ155" i="9"/>
  <c r="AZ170" i="9"/>
  <c r="AZ132" i="9"/>
  <c r="AZ166" i="9"/>
  <c r="AZ162" i="9"/>
  <c r="AZ203" i="9"/>
  <c r="AZ83" i="9"/>
  <c r="AZ130" i="9"/>
  <c r="AZ96" i="9"/>
  <c r="AZ193" i="9"/>
  <c r="AZ66" i="9"/>
  <c r="AZ189" i="9"/>
  <c r="AZ34" i="9"/>
  <c r="T14" i="10" s="1"/>
  <c r="AZ38" i="9"/>
  <c r="AZ118" i="9"/>
  <c r="AZ37" i="9"/>
  <c r="T27" i="10" s="1"/>
  <c r="T24" i="10" s="1"/>
  <c r="Z34" i="10"/>
  <c r="Y40" i="10"/>
  <c r="Z40" i="10" s="1"/>
  <c r="AY21" i="9"/>
  <c r="AZ133" i="9"/>
  <c r="AZ185" i="9"/>
  <c r="AZ211" i="9"/>
  <c r="AZ42" i="9"/>
  <c r="AZ158" i="9"/>
  <c r="AZ79" i="9"/>
  <c r="AZ174" i="9"/>
  <c r="AZ184" i="9"/>
  <c r="AZ154" i="9"/>
  <c r="AZ152" i="9"/>
  <c r="AZ117" i="9"/>
  <c r="AZ136" i="9"/>
  <c r="AZ149" i="9"/>
  <c r="AZ72" i="9"/>
  <c r="AZ124" i="9"/>
  <c r="AZ49" i="9"/>
  <c r="AY8" i="9"/>
  <c r="Z36" i="10"/>
  <c r="Y37" i="10"/>
  <c r="Z37" i="10" s="1"/>
  <c r="AZ151" i="9"/>
  <c r="AZ131" i="9"/>
  <c r="AZ206" i="9"/>
  <c r="AZ205" i="9"/>
  <c r="AZ145" i="9"/>
  <c r="AZ119" i="9"/>
  <c r="AZ43" i="9"/>
  <c r="AZ200" i="9"/>
  <c r="AZ194" i="9"/>
  <c r="AZ222" i="9"/>
  <c r="AZ192" i="9"/>
  <c r="AZ65" i="9"/>
  <c r="AY6" i="9"/>
  <c r="AY5" i="9"/>
  <c r="AY19" i="9"/>
  <c r="AZ163" i="9"/>
  <c r="AZ51" i="9"/>
  <c r="AZ159" i="9"/>
  <c r="AZ157" i="9"/>
  <c r="AZ53" i="9"/>
  <c r="AZ160" i="9"/>
  <c r="AZ78" i="9"/>
  <c r="AZ137" i="9"/>
  <c r="AZ69" i="9"/>
  <c r="AZ216" i="9"/>
  <c r="AZ89" i="9"/>
  <c r="AZ104" i="9"/>
  <c r="AZ57" i="9"/>
  <c r="AZ103" i="9"/>
  <c r="AZ112" i="9"/>
  <c r="AZ75" i="9"/>
  <c r="T12" i="10" l="1"/>
  <c r="T18" i="10"/>
  <c r="BC24" i="9"/>
  <c r="Z69" i="10" s="1"/>
  <c r="BB24" i="9"/>
  <c r="X69" i="10" s="1"/>
  <c r="AB34" i="10"/>
  <c r="AA41" i="10"/>
  <c r="AB41" i="10" s="1"/>
  <c r="W40" i="10"/>
  <c r="X40" i="10" s="1"/>
  <c r="C229" i="6" l="1"/>
  <c r="B229" i="6"/>
  <c r="C228" i="6"/>
  <c r="B228" i="6"/>
  <c r="C227" i="6"/>
  <c r="B227" i="6"/>
  <c r="C226" i="6"/>
  <c r="B226" i="6"/>
  <c r="C225" i="6"/>
  <c r="B225" i="6"/>
  <c r="C224" i="6"/>
  <c r="B224" i="6"/>
  <c r="C223" i="6"/>
  <c r="B223" i="6"/>
  <c r="C222" i="6"/>
  <c r="B222" i="6"/>
  <c r="C221" i="6"/>
  <c r="B221" i="6"/>
  <c r="C220" i="6"/>
  <c r="B220" i="6"/>
  <c r="C219" i="6"/>
  <c r="B219" i="6"/>
  <c r="C218" i="6"/>
  <c r="B218" i="6"/>
  <c r="C217" i="6"/>
  <c r="B217" i="6"/>
  <c r="C216" i="6"/>
  <c r="B216" i="6"/>
  <c r="C215" i="6"/>
  <c r="B215" i="6"/>
  <c r="C214" i="6"/>
  <c r="B214" i="6"/>
  <c r="C213" i="6"/>
  <c r="B213" i="6"/>
  <c r="C212" i="6"/>
  <c r="B212" i="6"/>
  <c r="C211" i="6"/>
  <c r="B21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C204" i="6"/>
  <c r="B204" i="6"/>
  <c r="C203" i="6"/>
  <c r="B203" i="6"/>
  <c r="C202" i="6"/>
  <c r="B202" i="6"/>
  <c r="C201" i="6"/>
  <c r="B201" i="6"/>
  <c r="C200" i="6"/>
  <c r="B200" i="6"/>
  <c r="C199" i="6"/>
  <c r="B199" i="6"/>
  <c r="C198" i="6"/>
  <c r="B198" i="6"/>
  <c r="C197" i="6"/>
  <c r="B197" i="6"/>
  <c r="C196" i="6"/>
  <c r="B196" i="6"/>
  <c r="C195" i="6"/>
  <c r="B195" i="6"/>
  <c r="C194" i="6"/>
  <c r="B194" i="6"/>
  <c r="C193" i="6"/>
  <c r="B193" i="6"/>
  <c r="C192" i="6"/>
  <c r="B192" i="6"/>
  <c r="C191" i="6"/>
  <c r="B191" i="6"/>
  <c r="C190" i="6"/>
  <c r="B190" i="6"/>
  <c r="C189" i="6"/>
  <c r="B189" i="6"/>
  <c r="C188" i="6"/>
  <c r="B188" i="6"/>
  <c r="C187" i="6"/>
  <c r="B187" i="6"/>
  <c r="C186" i="6"/>
  <c r="B186" i="6"/>
  <c r="C185" i="6"/>
  <c r="B185" i="6"/>
  <c r="C184" i="6"/>
  <c r="B184" i="6"/>
  <c r="C183" i="6"/>
  <c r="B183" i="6"/>
  <c r="C182" i="6"/>
  <c r="B182" i="6"/>
  <c r="C181" i="6"/>
  <c r="B181" i="6"/>
  <c r="C180" i="6"/>
  <c r="B180" i="6"/>
  <c r="C179" i="6"/>
  <c r="B179" i="6"/>
  <c r="C178" i="6"/>
  <c r="B178" i="6"/>
  <c r="C177" i="6"/>
  <c r="B177" i="6"/>
  <c r="C176" i="6"/>
  <c r="B176" i="6"/>
  <c r="C175" i="6"/>
  <c r="B175" i="6"/>
  <c r="C174" i="6"/>
  <c r="B174" i="6"/>
  <c r="C173" i="6"/>
  <c r="B173" i="6"/>
  <c r="C172" i="6"/>
  <c r="B172" i="6"/>
  <c r="C171" i="6"/>
  <c r="B171" i="6"/>
  <c r="C170" i="6"/>
  <c r="B170" i="6"/>
  <c r="C169" i="6"/>
  <c r="B169" i="6"/>
  <c r="C168" i="6"/>
  <c r="B168" i="6"/>
  <c r="C167" i="6"/>
  <c r="B167" i="6"/>
  <c r="C166" i="6"/>
  <c r="B166" i="6"/>
  <c r="C165" i="6"/>
  <c r="B165" i="6"/>
  <c r="C164" i="6"/>
  <c r="B164" i="6"/>
  <c r="C163" i="6"/>
  <c r="B163" i="6"/>
  <c r="C162" i="6"/>
  <c r="B162" i="6"/>
  <c r="C161" i="6"/>
  <c r="B161" i="6"/>
  <c r="C160" i="6"/>
  <c r="B160" i="6"/>
  <c r="C159" i="6"/>
  <c r="B159" i="6"/>
  <c r="C158" i="6"/>
  <c r="B158" i="6"/>
  <c r="C157" i="6"/>
  <c r="B157" i="6"/>
  <c r="C156" i="6"/>
  <c r="B156" i="6"/>
  <c r="C155" i="6"/>
  <c r="B155" i="6"/>
  <c r="C154" i="6"/>
  <c r="B154" i="6"/>
  <c r="C153" i="6"/>
  <c r="B153" i="6"/>
  <c r="C152" i="6"/>
  <c r="B152" i="6"/>
  <c r="C151" i="6"/>
  <c r="B151" i="6"/>
  <c r="C150" i="6"/>
  <c r="B150" i="6"/>
  <c r="C149" i="6"/>
  <c r="B149" i="6"/>
  <c r="C148" i="6"/>
  <c r="B148" i="6"/>
  <c r="C147" i="6"/>
  <c r="B147" i="6"/>
  <c r="C146" i="6"/>
  <c r="B146" i="6"/>
  <c r="C145" i="6"/>
  <c r="B145" i="6"/>
  <c r="C144" i="6"/>
  <c r="B144" i="6"/>
  <c r="C143" i="6"/>
  <c r="B143" i="6"/>
  <c r="C142" i="6"/>
  <c r="B142" i="6"/>
  <c r="C141" i="6"/>
  <c r="B141" i="6"/>
  <c r="C140" i="6"/>
  <c r="B140" i="6"/>
  <c r="C139" i="6"/>
  <c r="B139" i="6"/>
  <c r="C138" i="6"/>
  <c r="B138" i="6"/>
  <c r="C137" i="6"/>
  <c r="B137" i="6"/>
  <c r="C136" i="6"/>
  <c r="B136" i="6"/>
  <c r="C135" i="6"/>
  <c r="B135" i="6"/>
  <c r="C134" i="6"/>
  <c r="B134" i="6"/>
  <c r="C133" i="6"/>
  <c r="B133" i="6"/>
  <c r="C132" i="6"/>
  <c r="B132" i="6"/>
  <c r="C131" i="6"/>
  <c r="B131" i="6"/>
  <c r="C130" i="6"/>
  <c r="B130" i="6"/>
  <c r="C129" i="6"/>
  <c r="B129" i="6"/>
  <c r="C128" i="6"/>
  <c r="B128" i="6"/>
  <c r="C127" i="6"/>
  <c r="B127" i="6"/>
  <c r="C126" i="6"/>
  <c r="B126" i="6"/>
  <c r="C125" i="6"/>
  <c r="B125" i="6"/>
  <c r="C124" i="6"/>
  <c r="B124" i="6"/>
  <c r="C123" i="6"/>
  <c r="B123" i="6"/>
  <c r="C122" i="6"/>
  <c r="B122" i="6"/>
  <c r="C121" i="6"/>
  <c r="B121" i="6"/>
  <c r="C120" i="6"/>
  <c r="B120" i="6"/>
  <c r="C119" i="6"/>
  <c r="B119" i="6"/>
  <c r="C118" i="6"/>
  <c r="B118" i="6"/>
  <c r="C117" i="6"/>
  <c r="B117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J30" i="6"/>
  <c r="D30" i="6"/>
  <c r="B30" i="6" s="1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J24" i="6"/>
  <c r="E24" i="6"/>
  <c r="D24" i="6"/>
  <c r="F23" i="6"/>
  <c r="D23" i="6"/>
  <c r="B23" i="6"/>
  <c r="F22" i="6"/>
  <c r="B22" i="6"/>
  <c r="F21" i="6"/>
  <c r="D21" i="6"/>
  <c r="B21" i="6"/>
  <c r="F20" i="6"/>
  <c r="D20" i="6"/>
  <c r="B20" i="6"/>
  <c r="F19" i="6"/>
  <c r="D19" i="6" s="1"/>
  <c r="B19" i="6"/>
  <c r="F18" i="6"/>
  <c r="D18" i="6"/>
  <c r="B18" i="6"/>
  <c r="F17" i="6"/>
  <c r="D17" i="6" s="1"/>
  <c r="B17" i="6"/>
  <c r="F16" i="6"/>
  <c r="D16" i="6" s="1"/>
  <c r="B16" i="6"/>
  <c r="F15" i="6"/>
  <c r="D15" i="6"/>
  <c r="B15" i="6"/>
  <c r="F14" i="6"/>
  <c r="B14" i="6"/>
  <c r="F13" i="6"/>
  <c r="D13" i="6"/>
  <c r="B13" i="6"/>
  <c r="F12" i="6"/>
  <c r="B12" i="6"/>
  <c r="F11" i="6"/>
  <c r="D11" i="6"/>
  <c r="B11" i="6"/>
  <c r="F10" i="6"/>
  <c r="D10" i="6"/>
  <c r="B10" i="6"/>
  <c r="F9" i="6"/>
  <c r="D9" i="6"/>
  <c r="B9" i="6"/>
  <c r="F8" i="6"/>
  <c r="B8" i="6"/>
  <c r="F7" i="6"/>
  <c r="O29" i="7" s="1"/>
  <c r="F6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B2" i="6"/>
  <c r="O200" i="5"/>
  <c r="B200" i="5"/>
  <c r="O199" i="5"/>
  <c r="B199" i="5"/>
  <c r="O198" i="5"/>
  <c r="B198" i="5"/>
  <c r="O197" i="5"/>
  <c r="B197" i="5"/>
  <c r="O196" i="5"/>
  <c r="B196" i="5"/>
  <c r="O195" i="5"/>
  <c r="B195" i="5"/>
  <c r="O194" i="5"/>
  <c r="B194" i="5"/>
  <c r="O193" i="5"/>
  <c r="B193" i="5"/>
  <c r="O192" i="5"/>
  <c r="B192" i="5"/>
  <c r="O191" i="5"/>
  <c r="B191" i="5"/>
  <c r="O190" i="5"/>
  <c r="B190" i="5"/>
  <c r="O189" i="5"/>
  <c r="B189" i="5"/>
  <c r="O188" i="5"/>
  <c r="B188" i="5"/>
  <c r="O187" i="5"/>
  <c r="B187" i="5"/>
  <c r="O186" i="5"/>
  <c r="B186" i="5"/>
  <c r="O185" i="5"/>
  <c r="B185" i="5"/>
  <c r="O184" i="5"/>
  <c r="B184" i="5"/>
  <c r="O183" i="5"/>
  <c r="B183" i="5"/>
  <c r="O182" i="5"/>
  <c r="B182" i="5"/>
  <c r="O181" i="5"/>
  <c r="B181" i="5"/>
  <c r="O180" i="5"/>
  <c r="B180" i="5"/>
  <c r="O179" i="5"/>
  <c r="B179" i="5"/>
  <c r="O178" i="5"/>
  <c r="B178" i="5"/>
  <c r="O177" i="5"/>
  <c r="B177" i="5"/>
  <c r="O176" i="5"/>
  <c r="B176" i="5"/>
  <c r="O175" i="5"/>
  <c r="B175" i="5"/>
  <c r="O174" i="5"/>
  <c r="B174" i="5"/>
  <c r="O173" i="5"/>
  <c r="B173" i="5"/>
  <c r="O172" i="5"/>
  <c r="B172" i="5"/>
  <c r="O171" i="5"/>
  <c r="B171" i="5"/>
  <c r="O170" i="5"/>
  <c r="B170" i="5"/>
  <c r="O169" i="5"/>
  <c r="B169" i="5"/>
  <c r="O168" i="5"/>
  <c r="B168" i="5"/>
  <c r="O167" i="5"/>
  <c r="B167" i="5"/>
  <c r="O166" i="5"/>
  <c r="B166" i="5"/>
  <c r="O165" i="5"/>
  <c r="B165" i="5"/>
  <c r="O164" i="5"/>
  <c r="B164" i="5"/>
  <c r="O163" i="5"/>
  <c r="B163" i="5"/>
  <c r="O162" i="5"/>
  <c r="B162" i="5"/>
  <c r="O161" i="5"/>
  <c r="B161" i="5"/>
  <c r="O160" i="5"/>
  <c r="B160" i="5"/>
  <c r="O159" i="5"/>
  <c r="B159" i="5"/>
  <c r="O158" i="5"/>
  <c r="B158" i="5"/>
  <c r="O157" i="5"/>
  <c r="B157" i="5"/>
  <c r="O156" i="5"/>
  <c r="B156" i="5"/>
  <c r="O155" i="5"/>
  <c r="B155" i="5"/>
  <c r="O154" i="5"/>
  <c r="B154" i="5"/>
  <c r="O153" i="5"/>
  <c r="B153" i="5"/>
  <c r="O152" i="5"/>
  <c r="B152" i="5"/>
  <c r="O151" i="5"/>
  <c r="B151" i="5"/>
  <c r="O150" i="5"/>
  <c r="B150" i="5"/>
  <c r="O149" i="5"/>
  <c r="B149" i="5"/>
  <c r="O148" i="5"/>
  <c r="B148" i="5"/>
  <c r="O147" i="5"/>
  <c r="B147" i="5"/>
  <c r="O146" i="5"/>
  <c r="B146" i="5"/>
  <c r="O145" i="5"/>
  <c r="B145" i="5"/>
  <c r="O144" i="5"/>
  <c r="B144" i="5"/>
  <c r="O143" i="5"/>
  <c r="B143" i="5"/>
  <c r="O142" i="5"/>
  <c r="B142" i="5"/>
  <c r="O141" i="5"/>
  <c r="B141" i="5"/>
  <c r="O140" i="5"/>
  <c r="B140" i="5"/>
  <c r="O139" i="5"/>
  <c r="B139" i="5"/>
  <c r="O138" i="5"/>
  <c r="B138" i="5"/>
  <c r="O137" i="5"/>
  <c r="B137" i="5"/>
  <c r="O136" i="5"/>
  <c r="B136" i="5"/>
  <c r="O135" i="5"/>
  <c r="B135" i="5"/>
  <c r="O134" i="5"/>
  <c r="B134" i="5"/>
  <c r="O133" i="5"/>
  <c r="B133" i="5"/>
  <c r="O132" i="5"/>
  <c r="B132" i="5"/>
  <c r="O131" i="5"/>
  <c r="B131" i="5"/>
  <c r="O130" i="5"/>
  <c r="B130" i="5"/>
  <c r="O129" i="5"/>
  <c r="B129" i="5"/>
  <c r="O128" i="5"/>
  <c r="B128" i="5"/>
  <c r="O127" i="5"/>
  <c r="B127" i="5"/>
  <c r="O126" i="5"/>
  <c r="B126" i="5"/>
  <c r="O125" i="5"/>
  <c r="B125" i="5"/>
  <c r="O124" i="5"/>
  <c r="B124" i="5"/>
  <c r="O123" i="5"/>
  <c r="B123" i="5"/>
  <c r="O122" i="5"/>
  <c r="B122" i="5"/>
  <c r="O121" i="5"/>
  <c r="B121" i="5"/>
  <c r="O120" i="5"/>
  <c r="B120" i="5"/>
  <c r="O119" i="5"/>
  <c r="B119" i="5"/>
  <c r="O118" i="5"/>
  <c r="B118" i="5"/>
  <c r="O117" i="5"/>
  <c r="B117" i="5"/>
  <c r="O116" i="5"/>
  <c r="B116" i="5"/>
  <c r="O115" i="5"/>
  <c r="B115" i="5"/>
  <c r="O114" i="5"/>
  <c r="B114" i="5"/>
  <c r="O113" i="5"/>
  <c r="B113" i="5"/>
  <c r="O112" i="5"/>
  <c r="B112" i="5"/>
  <c r="O111" i="5"/>
  <c r="B111" i="5"/>
  <c r="O110" i="5"/>
  <c r="B110" i="5"/>
  <c r="O109" i="5"/>
  <c r="B109" i="5"/>
  <c r="O108" i="5"/>
  <c r="B108" i="5"/>
  <c r="O107" i="5"/>
  <c r="B107" i="5"/>
  <c r="O106" i="5"/>
  <c r="B106" i="5"/>
  <c r="O105" i="5"/>
  <c r="B105" i="5"/>
  <c r="O104" i="5"/>
  <c r="B104" i="5"/>
  <c r="O103" i="5"/>
  <c r="B103" i="5"/>
  <c r="O102" i="5"/>
  <c r="B102" i="5"/>
  <c r="O101" i="5"/>
  <c r="B101" i="5"/>
  <c r="O100" i="5"/>
  <c r="B100" i="5"/>
  <c r="O99" i="5"/>
  <c r="B99" i="5"/>
  <c r="O98" i="5"/>
  <c r="B98" i="5"/>
  <c r="O97" i="5"/>
  <c r="B97" i="5"/>
  <c r="O96" i="5"/>
  <c r="B96" i="5"/>
  <c r="O95" i="5"/>
  <c r="B95" i="5"/>
  <c r="O94" i="5"/>
  <c r="B94" i="5"/>
  <c r="O93" i="5"/>
  <c r="B93" i="5"/>
  <c r="O92" i="5"/>
  <c r="B92" i="5"/>
  <c r="O91" i="5"/>
  <c r="B91" i="5"/>
  <c r="O90" i="5"/>
  <c r="B90" i="5"/>
  <c r="O89" i="5"/>
  <c r="B89" i="5"/>
  <c r="O88" i="5"/>
  <c r="B88" i="5"/>
  <c r="O87" i="5"/>
  <c r="B87" i="5"/>
  <c r="O86" i="5"/>
  <c r="B86" i="5"/>
  <c r="O85" i="5"/>
  <c r="B85" i="5"/>
  <c r="O84" i="5"/>
  <c r="B84" i="5"/>
  <c r="O83" i="5"/>
  <c r="B83" i="5"/>
  <c r="O82" i="5"/>
  <c r="B82" i="5"/>
  <c r="O81" i="5"/>
  <c r="B81" i="5"/>
  <c r="O80" i="5"/>
  <c r="B80" i="5"/>
  <c r="O79" i="5"/>
  <c r="B79" i="5"/>
  <c r="O78" i="5"/>
  <c r="B78" i="5"/>
  <c r="O77" i="5"/>
  <c r="B77" i="5"/>
  <c r="O76" i="5"/>
  <c r="B76" i="5"/>
  <c r="O75" i="5"/>
  <c r="B75" i="5"/>
  <c r="O74" i="5"/>
  <c r="B74" i="5"/>
  <c r="O73" i="5"/>
  <c r="B73" i="5"/>
  <c r="O72" i="5"/>
  <c r="B72" i="5"/>
  <c r="O71" i="5"/>
  <c r="B71" i="5"/>
  <c r="O70" i="5"/>
  <c r="B70" i="5"/>
  <c r="O69" i="5"/>
  <c r="B69" i="5"/>
  <c r="O68" i="5"/>
  <c r="B68" i="5"/>
  <c r="O67" i="5"/>
  <c r="B67" i="5"/>
  <c r="O66" i="5"/>
  <c r="B66" i="5"/>
  <c r="O65" i="5"/>
  <c r="B65" i="5"/>
  <c r="O64" i="5"/>
  <c r="B64" i="5"/>
  <c r="O63" i="5"/>
  <c r="B63" i="5"/>
  <c r="O62" i="5"/>
  <c r="B62" i="5"/>
  <c r="O61" i="5"/>
  <c r="B61" i="5"/>
  <c r="O60" i="5"/>
  <c r="B60" i="5"/>
  <c r="O59" i="5"/>
  <c r="B59" i="5"/>
  <c r="O58" i="5"/>
  <c r="B58" i="5"/>
  <c r="O57" i="5"/>
  <c r="B57" i="5"/>
  <c r="O56" i="5"/>
  <c r="B56" i="5"/>
  <c r="O55" i="5"/>
  <c r="B55" i="5"/>
  <c r="O54" i="5"/>
  <c r="B54" i="5"/>
  <c r="O53" i="5"/>
  <c r="B53" i="5"/>
  <c r="O52" i="5"/>
  <c r="B52" i="5"/>
  <c r="O51" i="5"/>
  <c r="B51" i="5"/>
  <c r="O50" i="5"/>
  <c r="B50" i="5"/>
  <c r="O49" i="5"/>
  <c r="B49" i="5"/>
  <c r="O48" i="5"/>
  <c r="B48" i="5"/>
  <c r="O47" i="5"/>
  <c r="B47" i="5"/>
  <c r="O46" i="5"/>
  <c r="B46" i="5"/>
  <c r="O45" i="5"/>
  <c r="B45" i="5"/>
  <c r="O44" i="5"/>
  <c r="B44" i="5"/>
  <c r="O43" i="5"/>
  <c r="B43" i="5"/>
  <c r="O42" i="5"/>
  <c r="B42" i="5"/>
  <c r="O41" i="5"/>
  <c r="B41" i="5"/>
  <c r="O40" i="5"/>
  <c r="B40" i="5"/>
  <c r="O39" i="5"/>
  <c r="B39" i="5"/>
  <c r="O38" i="5"/>
  <c r="B38" i="5"/>
  <c r="O37" i="5"/>
  <c r="B37" i="5"/>
  <c r="O36" i="5"/>
  <c r="B36" i="5"/>
  <c r="O35" i="5"/>
  <c r="B35" i="5"/>
  <c r="O34" i="5"/>
  <c r="B34" i="5"/>
  <c r="O33" i="5"/>
  <c r="B33" i="5"/>
  <c r="O32" i="5"/>
  <c r="B32" i="5"/>
  <c r="O31" i="5"/>
  <c r="B31" i="5"/>
  <c r="O30" i="5"/>
  <c r="B30" i="5"/>
  <c r="O29" i="5"/>
  <c r="B29" i="5"/>
  <c r="O28" i="5"/>
  <c r="B28" i="5"/>
  <c r="O27" i="5"/>
  <c r="B27" i="5"/>
  <c r="O26" i="5"/>
  <c r="B26" i="5"/>
  <c r="O25" i="5"/>
  <c r="B25" i="5"/>
  <c r="O24" i="5"/>
  <c r="B24" i="5"/>
  <c r="O23" i="5"/>
  <c r="B23" i="5"/>
  <c r="O22" i="5"/>
  <c r="B22" i="5"/>
  <c r="O21" i="5"/>
  <c r="B21" i="5"/>
  <c r="O20" i="5"/>
  <c r="B20" i="5"/>
  <c r="O19" i="5"/>
  <c r="B19" i="5"/>
  <c r="O18" i="5"/>
  <c r="B18" i="5"/>
  <c r="O17" i="5"/>
  <c r="B17" i="5"/>
  <c r="O16" i="5"/>
  <c r="B16" i="5"/>
  <c r="O15" i="5"/>
  <c r="B15" i="5"/>
  <c r="O14" i="5"/>
  <c r="B14" i="5"/>
  <c r="O13" i="5"/>
  <c r="B13" i="5"/>
  <c r="O12" i="5"/>
  <c r="B12" i="5"/>
  <c r="O11" i="5"/>
  <c r="B11" i="5"/>
  <c r="O10" i="5"/>
  <c r="B10" i="5"/>
  <c r="O9" i="5"/>
  <c r="J16" i="6" s="1"/>
  <c r="B9" i="5"/>
  <c r="O8" i="5"/>
  <c r="B8" i="5"/>
  <c r="O7" i="5"/>
  <c r="B7" i="5"/>
  <c r="O6" i="5"/>
  <c r="B6" i="5"/>
  <c r="O5" i="5"/>
  <c r="B5" i="5"/>
  <c r="O4" i="5"/>
  <c r="B4" i="5"/>
  <c r="Y3" i="5"/>
  <c r="F5" i="6" s="1"/>
  <c r="Y3" i="5" a="1"/>
  <c r="F4" i="6" s="1"/>
  <c r="O3" i="5"/>
  <c r="J19" i="6" s="1"/>
  <c r="B3" i="5"/>
  <c r="O17" i="7" l="1"/>
  <c r="D5" i="6"/>
  <c r="G16" i="6"/>
  <c r="L13" i="6"/>
  <c r="K13" i="6"/>
  <c r="N13" i="6" s="1"/>
  <c r="H13" i="6"/>
  <c r="I13" i="6"/>
  <c r="G13" i="6"/>
  <c r="K9" i="6"/>
  <c r="N9" i="6" s="1"/>
  <c r="L9" i="6"/>
  <c r="J10" i="6"/>
  <c r="I10" i="6"/>
  <c r="H10" i="6"/>
  <c r="K10" i="6"/>
  <c r="N10" i="6" s="1"/>
  <c r="G10" i="6"/>
  <c r="J13" i="6"/>
  <c r="J15" i="6"/>
  <c r="G15" i="6"/>
  <c r="L20" i="6"/>
  <c r="L10" i="6"/>
  <c r="H15" i="6"/>
  <c r="D8" i="6"/>
  <c r="I15" i="6"/>
  <c r="L17" i="6"/>
  <c r="K17" i="6"/>
  <c r="J17" i="6"/>
  <c r="G9" i="6"/>
  <c r="H228" i="6"/>
  <c r="K218" i="6"/>
  <c r="I217" i="6"/>
  <c r="I210" i="6"/>
  <c r="I208" i="6"/>
  <c r="G228" i="6"/>
  <c r="H218" i="6"/>
  <c r="H217" i="6"/>
  <c r="K229" i="6"/>
  <c r="N229" i="6" s="1"/>
  <c r="L228" i="6"/>
  <c r="J229" i="6"/>
  <c r="K228" i="6"/>
  <c r="I221" i="6"/>
  <c r="L218" i="6"/>
  <c r="H226" i="6"/>
  <c r="J221" i="6"/>
  <c r="J217" i="6"/>
  <c r="J210" i="6"/>
  <c r="H208" i="6"/>
  <c r="L206" i="6"/>
  <c r="L202" i="6"/>
  <c r="G226" i="6"/>
  <c r="G217" i="6"/>
  <c r="H210" i="6"/>
  <c r="G208" i="6"/>
  <c r="K206" i="6"/>
  <c r="K202" i="6"/>
  <c r="G218" i="6"/>
  <c r="G210" i="6"/>
  <c r="J206" i="6"/>
  <c r="J202" i="6"/>
  <c r="I206" i="6"/>
  <c r="L225" i="6"/>
  <c r="H225" i="6"/>
  <c r="G211" i="6"/>
  <c r="H206" i="6"/>
  <c r="I194" i="6"/>
  <c r="G206" i="6"/>
  <c r="K227" i="6"/>
  <c r="L204" i="6"/>
  <c r="L200" i="6"/>
  <c r="L217" i="6"/>
  <c r="K204" i="6"/>
  <c r="I202" i="6"/>
  <c r="K200" i="6"/>
  <c r="N200" i="6" s="1"/>
  <c r="K217" i="6"/>
  <c r="N217" i="6" s="1"/>
  <c r="J204" i="6"/>
  <c r="H202" i="6"/>
  <c r="J200" i="6"/>
  <c r="I225" i="6"/>
  <c r="L221" i="6"/>
  <c r="L216" i="6"/>
  <c r="K212" i="6"/>
  <c r="N212" i="6" s="1"/>
  <c r="K209" i="6"/>
  <c r="K221" i="6"/>
  <c r="N221" i="6" s="1"/>
  <c r="H216" i="6"/>
  <c r="J215" i="6"/>
  <c r="K216" i="6"/>
  <c r="N216" i="6" s="1"/>
  <c r="K214" i="6"/>
  <c r="L210" i="6"/>
  <c r="J209" i="6"/>
  <c r="L208" i="6"/>
  <c r="K203" i="6"/>
  <c r="I201" i="6"/>
  <c r="I198" i="6"/>
  <c r="I195" i="6"/>
  <c r="H214" i="6"/>
  <c r="K210" i="6"/>
  <c r="N210" i="6" s="1"/>
  <c r="K208" i="6"/>
  <c r="N208" i="6" s="1"/>
  <c r="J203" i="6"/>
  <c r="H201" i="6"/>
  <c r="H195" i="6"/>
  <c r="G214" i="6"/>
  <c r="J208" i="6"/>
  <c r="G201" i="6"/>
  <c r="K199" i="6"/>
  <c r="G195" i="6"/>
  <c r="L194" i="6"/>
  <c r="G182" i="6"/>
  <c r="G180" i="6"/>
  <c r="G178" i="6"/>
  <c r="J199" i="6"/>
  <c r="K194" i="6"/>
  <c r="L192" i="6"/>
  <c r="L212" i="6"/>
  <c r="J194" i="6"/>
  <c r="K192" i="6"/>
  <c r="N192" i="6" s="1"/>
  <c r="I215" i="6"/>
  <c r="J207" i="6"/>
  <c r="H204" i="6"/>
  <c r="G202" i="6"/>
  <c r="I192" i="6"/>
  <c r="H215" i="6"/>
  <c r="G204" i="6"/>
  <c r="I200" i="6"/>
  <c r="L197" i="6"/>
  <c r="K226" i="6"/>
  <c r="L213" i="6"/>
  <c r="K197" i="6"/>
  <c r="N197" i="6" s="1"/>
  <c r="K196" i="6"/>
  <c r="N196" i="6" s="1"/>
  <c r="K215" i="6"/>
  <c r="L198" i="6"/>
  <c r="H197" i="6"/>
  <c r="G196" i="6"/>
  <c r="J195" i="6"/>
  <c r="J192" i="6"/>
  <c r="J190" i="6"/>
  <c r="H189" i="6"/>
  <c r="L180" i="6"/>
  <c r="L170" i="6"/>
  <c r="J168" i="6"/>
  <c r="H167" i="6"/>
  <c r="K201" i="6"/>
  <c r="K198" i="6"/>
  <c r="N198" i="6" s="1"/>
  <c r="H192" i="6"/>
  <c r="I190" i="6"/>
  <c r="K180" i="6"/>
  <c r="N180" i="6" s="1"/>
  <c r="K170" i="6"/>
  <c r="N170" i="6" s="1"/>
  <c r="I204" i="6"/>
  <c r="J201" i="6"/>
  <c r="J198" i="6"/>
  <c r="G192" i="6"/>
  <c r="J180" i="6"/>
  <c r="J170" i="6"/>
  <c r="L178" i="6"/>
  <c r="G170" i="6"/>
  <c r="K178" i="6"/>
  <c r="N178" i="6" s="1"/>
  <c r="L174" i="6"/>
  <c r="K207" i="6"/>
  <c r="N207" i="6" s="1"/>
  <c r="I193" i="6"/>
  <c r="K213" i="6"/>
  <c r="H193" i="6"/>
  <c r="J197" i="6"/>
  <c r="J196" i="6"/>
  <c r="L195" i="6"/>
  <c r="L190" i="6"/>
  <c r="L189" i="6"/>
  <c r="L188" i="6"/>
  <c r="H187" i="6"/>
  <c r="H186" i="6"/>
  <c r="K188" i="6"/>
  <c r="N188" i="6" s="1"/>
  <c r="G183" i="6"/>
  <c r="L176" i="6"/>
  <c r="J174" i="6"/>
  <c r="J166" i="6"/>
  <c r="K176" i="6"/>
  <c r="N176" i="6" s="1"/>
  <c r="G174" i="6"/>
  <c r="L172" i="6"/>
  <c r="G166" i="6"/>
  <c r="K195" i="6"/>
  <c r="N195" i="6" s="1"/>
  <c r="I189" i="6"/>
  <c r="L182" i="6"/>
  <c r="J176" i="6"/>
  <c r="K172" i="6"/>
  <c r="N172" i="6" s="1"/>
  <c r="H162" i="6"/>
  <c r="L157" i="6"/>
  <c r="K182" i="6"/>
  <c r="G176" i="6"/>
  <c r="J172" i="6"/>
  <c r="K157" i="6"/>
  <c r="N157" i="6" s="1"/>
  <c r="K190" i="6"/>
  <c r="J182" i="6"/>
  <c r="G172" i="6"/>
  <c r="L168" i="6"/>
  <c r="J157" i="6"/>
  <c r="K186" i="6"/>
  <c r="N186" i="6" s="1"/>
  <c r="L185" i="6"/>
  <c r="K168" i="6"/>
  <c r="I157" i="6"/>
  <c r="I197" i="6"/>
  <c r="J186" i="6"/>
  <c r="J185" i="6"/>
  <c r="I186" i="6"/>
  <c r="I185" i="6"/>
  <c r="L184" i="6"/>
  <c r="J178" i="6"/>
  <c r="G186" i="6"/>
  <c r="H185" i="6"/>
  <c r="K184" i="6"/>
  <c r="J181" i="6"/>
  <c r="I151" i="6"/>
  <c r="K149" i="6"/>
  <c r="J177" i="6"/>
  <c r="H151" i="6"/>
  <c r="G150" i="6"/>
  <c r="J149" i="6"/>
  <c r="I177" i="6"/>
  <c r="L167" i="6"/>
  <c r="L164" i="6"/>
  <c r="I149" i="6"/>
  <c r="H177" i="6"/>
  <c r="K167" i="6"/>
  <c r="K164" i="6"/>
  <c r="H149" i="6"/>
  <c r="L147" i="6"/>
  <c r="G187" i="6"/>
  <c r="J183" i="6"/>
  <c r="J167" i="6"/>
  <c r="L161" i="6"/>
  <c r="H157" i="6"/>
  <c r="K147" i="6"/>
  <c r="N147" i="6" s="1"/>
  <c r="I183" i="6"/>
  <c r="J171" i="6"/>
  <c r="I167" i="6"/>
  <c r="K161" i="6"/>
  <c r="G157" i="6"/>
  <c r="J147" i="6"/>
  <c r="H183" i="6"/>
  <c r="I171" i="6"/>
  <c r="L166" i="6"/>
  <c r="G193" i="6"/>
  <c r="H171" i="6"/>
  <c r="K166" i="6"/>
  <c r="N166" i="6" s="1"/>
  <c r="I161" i="6"/>
  <c r="K174" i="6"/>
  <c r="K151" i="6"/>
  <c r="H148" i="6"/>
  <c r="I144" i="6"/>
  <c r="J151" i="6"/>
  <c r="G148" i="6"/>
  <c r="L145" i="6"/>
  <c r="H144" i="6"/>
  <c r="J161" i="6"/>
  <c r="K145" i="6"/>
  <c r="N145" i="6" s="1"/>
  <c r="J155" i="6"/>
  <c r="L154" i="6"/>
  <c r="J145" i="6"/>
  <c r="I155" i="6"/>
  <c r="K154" i="6"/>
  <c r="I147" i="6"/>
  <c r="I145" i="6"/>
  <c r="H155" i="6"/>
  <c r="J154" i="6"/>
  <c r="L149" i="6"/>
  <c r="H147" i="6"/>
  <c r="H145" i="6"/>
  <c r="H158" i="6"/>
  <c r="H154" i="6"/>
  <c r="L153" i="6"/>
  <c r="L196" i="6"/>
  <c r="L162" i="6"/>
  <c r="G158" i="6"/>
  <c r="G154" i="6"/>
  <c r="K153" i="6"/>
  <c r="N153" i="6" s="1"/>
  <c r="I196" i="6"/>
  <c r="J153" i="6"/>
  <c r="L143" i="6"/>
  <c r="L136" i="6"/>
  <c r="H212" i="6"/>
  <c r="I165" i="6"/>
  <c r="J160" i="6"/>
  <c r="H165" i="6"/>
  <c r="H160" i="6"/>
  <c r="G152" i="6"/>
  <c r="L151" i="6"/>
  <c r="I148" i="6"/>
  <c r="J144" i="6"/>
  <c r="H138" i="6"/>
  <c r="I126" i="6"/>
  <c r="H117" i="6"/>
  <c r="K152" i="6"/>
  <c r="N152" i="6" s="1"/>
  <c r="L144" i="6"/>
  <c r="J136" i="6"/>
  <c r="L118" i="6"/>
  <c r="K144" i="6"/>
  <c r="I136" i="6"/>
  <c r="L128" i="6"/>
  <c r="G126" i="6"/>
  <c r="L123" i="6"/>
  <c r="H136" i="6"/>
  <c r="L129" i="6"/>
  <c r="K128" i="6"/>
  <c r="N128" i="6" s="1"/>
  <c r="L124" i="6"/>
  <c r="K124" i="6"/>
  <c r="H119" i="6"/>
  <c r="J124" i="6"/>
  <c r="K121" i="6"/>
  <c r="L120" i="6"/>
  <c r="K115" i="6"/>
  <c r="L114" i="6"/>
  <c r="L134" i="6"/>
  <c r="I124" i="6"/>
  <c r="J121" i="6"/>
  <c r="J115" i="6"/>
  <c r="H140" i="6"/>
  <c r="L135" i="6"/>
  <c r="J117" i="6"/>
  <c r="J105" i="6"/>
  <c r="J97" i="6"/>
  <c r="J94" i="6"/>
  <c r="G140" i="6"/>
  <c r="K131" i="6"/>
  <c r="N131" i="6" s="1"/>
  <c r="J107" i="6"/>
  <c r="H105" i="6"/>
  <c r="K94" i="6"/>
  <c r="G131" i="6"/>
  <c r="I115" i="6"/>
  <c r="I107" i="6"/>
  <c r="I94" i="6"/>
  <c r="K143" i="6"/>
  <c r="H125" i="6"/>
  <c r="G122" i="6"/>
  <c r="H115" i="6"/>
  <c r="L110" i="6"/>
  <c r="L109" i="6"/>
  <c r="G107" i="6"/>
  <c r="J103" i="6"/>
  <c r="L100" i="6"/>
  <c r="H94" i="6"/>
  <c r="K90" i="6"/>
  <c r="N90" i="6" s="1"/>
  <c r="G115" i="6"/>
  <c r="K109" i="6"/>
  <c r="J109" i="6"/>
  <c r="I109" i="6"/>
  <c r="L116" i="6"/>
  <c r="H109" i="6"/>
  <c r="G153" i="6"/>
  <c r="H121" i="6"/>
  <c r="L107" i="6"/>
  <c r="K105" i="6"/>
  <c r="L102" i="6"/>
  <c r="I99" i="6"/>
  <c r="H97" i="6"/>
  <c r="K96" i="6"/>
  <c r="J95" i="6"/>
  <c r="L84" i="6"/>
  <c r="L83" i="6"/>
  <c r="L80" i="6"/>
  <c r="J76" i="6"/>
  <c r="H74" i="6"/>
  <c r="H72" i="6"/>
  <c r="H70" i="6"/>
  <c r="H68" i="6"/>
  <c r="H66" i="6"/>
  <c r="K137" i="6"/>
  <c r="L112" i="6"/>
  <c r="I95" i="6"/>
  <c r="I87" i="6"/>
  <c r="I81" i="6"/>
  <c r="L96" i="6"/>
  <c r="L74" i="6"/>
  <c r="J72" i="6"/>
  <c r="G70" i="6"/>
  <c r="J62" i="6"/>
  <c r="H58" i="6"/>
  <c r="L52" i="6"/>
  <c r="L50" i="6"/>
  <c r="L108" i="6"/>
  <c r="L97" i="6"/>
  <c r="G96" i="6"/>
  <c r="K74" i="6"/>
  <c r="I72" i="6"/>
  <c r="I62" i="6"/>
  <c r="G58" i="6"/>
  <c r="L56" i="6"/>
  <c r="K52" i="6"/>
  <c r="K50" i="6"/>
  <c r="N50" i="6" s="1"/>
  <c r="K117" i="6"/>
  <c r="N117" i="6" s="1"/>
  <c r="K97" i="6"/>
  <c r="J83" i="6"/>
  <c r="I78" i="6"/>
  <c r="J74" i="6"/>
  <c r="G72" i="6"/>
  <c r="H67" i="6"/>
  <c r="H62" i="6"/>
  <c r="K56" i="6"/>
  <c r="G55" i="6"/>
  <c r="J52" i="6"/>
  <c r="J50" i="6"/>
  <c r="I117" i="6"/>
  <c r="I97" i="6"/>
  <c r="K84" i="6"/>
  <c r="N84" i="6" s="1"/>
  <c r="G83" i="6"/>
  <c r="H78" i="6"/>
  <c r="I74" i="6"/>
  <c r="G67" i="6"/>
  <c r="G62" i="6"/>
  <c r="L60" i="6"/>
  <c r="J56" i="6"/>
  <c r="I52" i="6"/>
  <c r="I50" i="6"/>
  <c r="L98" i="6"/>
  <c r="J88" i="6"/>
  <c r="H84" i="6"/>
  <c r="G74" i="6"/>
  <c r="L66" i="6"/>
  <c r="K60" i="6"/>
  <c r="I56" i="6"/>
  <c r="H52" i="6"/>
  <c r="H50" i="6"/>
  <c r="K135" i="6"/>
  <c r="K98" i="6"/>
  <c r="L85" i="6"/>
  <c r="L76" i="6"/>
  <c r="K148" i="6"/>
  <c r="I111" i="6"/>
  <c r="H85" i="6"/>
  <c r="K76" i="6"/>
  <c r="G109" i="6"/>
  <c r="K107" i="6"/>
  <c r="N107" i="6" s="1"/>
  <c r="K95" i="6"/>
  <c r="J89" i="6"/>
  <c r="L81" i="6"/>
  <c r="H80" i="6"/>
  <c r="H75" i="6"/>
  <c r="L72" i="6"/>
  <c r="J70" i="6"/>
  <c r="G68" i="6"/>
  <c r="G64" i="6"/>
  <c r="L62" i="6"/>
  <c r="H61" i="6"/>
  <c r="J58" i="6"/>
  <c r="H54" i="6"/>
  <c r="J48" i="6"/>
  <c r="J46" i="6"/>
  <c r="I86" i="6"/>
  <c r="I76" i="6"/>
  <c r="L58" i="6"/>
  <c r="H56" i="6"/>
  <c r="I54" i="6"/>
  <c r="I46" i="6"/>
  <c r="H93" i="6"/>
  <c r="J65" i="6"/>
  <c r="K58" i="6"/>
  <c r="G56" i="6"/>
  <c r="G54" i="6"/>
  <c r="G93" i="6"/>
  <c r="L68" i="6"/>
  <c r="J60" i="6"/>
  <c r="I58" i="6"/>
  <c r="L48" i="6"/>
  <c r="L42" i="6"/>
  <c r="J99" i="6"/>
  <c r="K68" i="6"/>
  <c r="I60" i="6"/>
  <c r="K48" i="6"/>
  <c r="N48" i="6" s="1"/>
  <c r="K42" i="6"/>
  <c r="N42" i="6" s="1"/>
  <c r="I121" i="6"/>
  <c r="H99" i="6"/>
  <c r="L70" i="6"/>
  <c r="J68" i="6"/>
  <c r="L64" i="6"/>
  <c r="K62" i="6"/>
  <c r="H60" i="6"/>
  <c r="I48" i="6"/>
  <c r="I42" i="6"/>
  <c r="G121" i="6"/>
  <c r="K70" i="6"/>
  <c r="N70" i="6" s="1"/>
  <c r="I68" i="6"/>
  <c r="K64" i="6"/>
  <c r="G60" i="6"/>
  <c r="L95" i="6"/>
  <c r="J79" i="6"/>
  <c r="I70" i="6"/>
  <c r="J64" i="6"/>
  <c r="L44" i="6"/>
  <c r="L32" i="6"/>
  <c r="K66" i="6"/>
  <c r="N66" i="6" s="1"/>
  <c r="I64" i="6"/>
  <c r="J57" i="6"/>
  <c r="K44" i="6"/>
  <c r="N44" i="6" s="1"/>
  <c r="L39" i="6"/>
  <c r="L34" i="6"/>
  <c r="K32" i="6"/>
  <c r="J134" i="6"/>
  <c r="L86" i="6"/>
  <c r="G75" i="6"/>
  <c r="H63" i="6"/>
  <c r="G61" i="6"/>
  <c r="J54" i="6"/>
  <c r="K46" i="6"/>
  <c r="G45" i="6"/>
  <c r="H37" i="6"/>
  <c r="L35" i="6"/>
  <c r="I105" i="6"/>
  <c r="J73" i="6"/>
  <c r="G57" i="6"/>
  <c r="I44" i="6"/>
  <c r="I39" i="6"/>
  <c r="J34" i="6"/>
  <c r="H73" i="6"/>
  <c r="J61" i="6"/>
  <c r="H39" i="6"/>
  <c r="I34" i="6"/>
  <c r="L94" i="6"/>
  <c r="G73" i="6"/>
  <c r="G39" i="6"/>
  <c r="J75" i="6"/>
  <c r="K72" i="6"/>
  <c r="N72" i="6" s="1"/>
  <c r="L54" i="6"/>
  <c r="I45" i="6"/>
  <c r="J66" i="6"/>
  <c r="K54" i="6"/>
  <c r="G52" i="6"/>
  <c r="H45" i="6"/>
  <c r="I66" i="6"/>
  <c r="H64" i="6"/>
  <c r="G50" i="6"/>
  <c r="L37" i="6"/>
  <c r="J32" i="6"/>
  <c r="K80" i="6"/>
  <c r="N80" i="6" s="1"/>
  <c r="G66" i="6"/>
  <c r="K37" i="6"/>
  <c r="H32" i="6"/>
  <c r="I37" i="6"/>
  <c r="G32" i="6"/>
  <c r="L46" i="6"/>
  <c r="L105" i="6"/>
  <c r="H57" i="6"/>
  <c r="K34" i="6"/>
  <c r="N34" i="6" s="1"/>
  <c r="D12" i="6"/>
  <c r="K15" i="6"/>
  <c r="G17" i="6"/>
  <c r="O23" i="7"/>
  <c r="D6" i="6"/>
  <c r="L16" i="6"/>
  <c r="D14" i="6"/>
  <c r="L15" i="6"/>
  <c r="H17" i="6"/>
  <c r="G11" i="6"/>
  <c r="L18" i="6"/>
  <c r="J18" i="6"/>
  <c r="K18" i="6"/>
  <c r="I18" i="6"/>
  <c r="K20" i="6"/>
  <c r="N20" i="6" s="1"/>
  <c r="L21" i="6"/>
  <c r="J20" i="6"/>
  <c r="K21" i="6"/>
  <c r="N21" i="6" s="1"/>
  <c r="O11" i="7"/>
  <c r="D4" i="6"/>
  <c r="I17" i="6"/>
  <c r="D7" i="6"/>
  <c r="M31" i="7"/>
  <c r="M30" i="7"/>
  <c r="V68" i="7"/>
  <c r="M32" i="7"/>
  <c r="M33" i="7"/>
  <c r="I9" i="6"/>
  <c r="J9" i="6"/>
  <c r="H9" i="6"/>
  <c r="K11" i="6"/>
  <c r="N11" i="6" s="1"/>
  <c r="J11" i="6"/>
  <c r="I11" i="6"/>
  <c r="L11" i="6"/>
  <c r="H11" i="6"/>
  <c r="K16" i="6"/>
  <c r="N16" i="6" s="1"/>
  <c r="I16" i="6"/>
  <c r="H16" i="6"/>
  <c r="H18" i="6"/>
  <c r="J33" i="6"/>
  <c r="L33" i="6"/>
  <c r="K33" i="6"/>
  <c r="N33" i="6" s="1"/>
  <c r="I33" i="6"/>
  <c r="H33" i="6"/>
  <c r="G33" i="6"/>
  <c r="K91" i="6"/>
  <c r="L91" i="6"/>
  <c r="J91" i="6"/>
  <c r="I91" i="6"/>
  <c r="H91" i="6"/>
  <c r="G91" i="6"/>
  <c r="L71" i="6"/>
  <c r="K71" i="6"/>
  <c r="N71" i="6" s="1"/>
  <c r="I71" i="6"/>
  <c r="J71" i="6"/>
  <c r="H71" i="6"/>
  <c r="G71" i="6"/>
  <c r="G19" i="6"/>
  <c r="H19" i="6"/>
  <c r="G18" i="6"/>
  <c r="I19" i="6"/>
  <c r="H36" i="6"/>
  <c r="G36" i="6"/>
  <c r="L36" i="6"/>
  <c r="K36" i="6"/>
  <c r="J36" i="6"/>
  <c r="I36" i="6"/>
  <c r="L43" i="6"/>
  <c r="K43" i="6"/>
  <c r="N43" i="6" s="1"/>
  <c r="J43" i="6"/>
  <c r="I43" i="6"/>
  <c r="H43" i="6"/>
  <c r="G43" i="6"/>
  <c r="K19" i="6"/>
  <c r="N19" i="6" s="1"/>
  <c r="L19" i="6"/>
  <c r="K23" i="6"/>
  <c r="N23" i="6" s="1"/>
  <c r="I24" i="6"/>
  <c r="H44" i="6"/>
  <c r="K49" i="6"/>
  <c r="L49" i="6"/>
  <c r="J49" i="6"/>
  <c r="I49" i="6"/>
  <c r="H49" i="6"/>
  <c r="G49" i="6"/>
  <c r="L59" i="6"/>
  <c r="K59" i="6"/>
  <c r="I59" i="6"/>
  <c r="J59" i="6"/>
  <c r="H59" i="6"/>
  <c r="G59" i="6"/>
  <c r="I20" i="6"/>
  <c r="J21" i="6"/>
  <c r="L23" i="6"/>
  <c r="I32" i="6"/>
  <c r="H34" i="6"/>
  <c r="G34" i="6"/>
  <c r="K39" i="6"/>
  <c r="N39" i="6" s="1"/>
  <c r="J39" i="6"/>
  <c r="L53" i="6"/>
  <c r="K53" i="6"/>
  <c r="I53" i="6"/>
  <c r="H40" i="6"/>
  <c r="G40" i="6"/>
  <c r="G53" i="6"/>
  <c r="G92" i="6"/>
  <c r="L92" i="6"/>
  <c r="K92" i="6"/>
  <c r="N92" i="6" s="1"/>
  <c r="J92" i="6"/>
  <c r="I92" i="6"/>
  <c r="H92" i="6"/>
  <c r="D22" i="6"/>
  <c r="H38" i="6"/>
  <c r="G38" i="6"/>
  <c r="I40" i="6"/>
  <c r="H42" i="6"/>
  <c r="H48" i="6"/>
  <c r="L51" i="6"/>
  <c r="K51" i="6"/>
  <c r="N51" i="6" s="1"/>
  <c r="J51" i="6"/>
  <c r="I51" i="6"/>
  <c r="H51" i="6"/>
  <c r="H53" i="6"/>
  <c r="G23" i="6"/>
  <c r="J35" i="6"/>
  <c r="I38" i="6"/>
  <c r="J40" i="6"/>
  <c r="L41" i="6"/>
  <c r="K41" i="6"/>
  <c r="N41" i="6" s="1"/>
  <c r="J41" i="6"/>
  <c r="L47" i="6"/>
  <c r="K47" i="6"/>
  <c r="N47" i="6" s="1"/>
  <c r="J47" i="6"/>
  <c r="G51" i="6"/>
  <c r="J53" i="6"/>
  <c r="H23" i="6"/>
  <c r="G35" i="6"/>
  <c r="J38" i="6"/>
  <c r="K40" i="6"/>
  <c r="G41" i="6"/>
  <c r="G47" i="6"/>
  <c r="G21" i="6"/>
  <c r="I23" i="6"/>
  <c r="H35" i="6"/>
  <c r="K38" i="6"/>
  <c r="L40" i="6"/>
  <c r="H41" i="6"/>
  <c r="H47" i="6"/>
  <c r="G20" i="6"/>
  <c r="H21" i="6"/>
  <c r="J23" i="6"/>
  <c r="I35" i="6"/>
  <c r="J37" i="6"/>
  <c r="L38" i="6"/>
  <c r="I41" i="6"/>
  <c r="H46" i="6"/>
  <c r="I47" i="6"/>
  <c r="L63" i="6"/>
  <c r="K63" i="6"/>
  <c r="I63" i="6"/>
  <c r="J63" i="6"/>
  <c r="H20" i="6"/>
  <c r="I21" i="6"/>
  <c r="K35" i="6"/>
  <c r="N35" i="6" s="1"/>
  <c r="G37" i="6"/>
  <c r="L45" i="6"/>
  <c r="K45" i="6"/>
  <c r="N45" i="6" s="1"/>
  <c r="J45" i="6"/>
  <c r="G63" i="6"/>
  <c r="J42" i="6"/>
  <c r="J44" i="6"/>
  <c r="L57" i="6"/>
  <c r="K57" i="6"/>
  <c r="I57" i="6"/>
  <c r="L73" i="6"/>
  <c r="K73" i="6"/>
  <c r="N73" i="6" s="1"/>
  <c r="I73" i="6"/>
  <c r="L93" i="6"/>
  <c r="K93" i="6"/>
  <c r="N93" i="6" s="1"/>
  <c r="J93" i="6"/>
  <c r="I93" i="6"/>
  <c r="L113" i="6"/>
  <c r="K113" i="6"/>
  <c r="N113" i="6" s="1"/>
  <c r="J113" i="6"/>
  <c r="I113" i="6"/>
  <c r="H113" i="6"/>
  <c r="G113" i="6"/>
  <c r="H124" i="6"/>
  <c r="L69" i="6"/>
  <c r="K69" i="6"/>
  <c r="I69" i="6"/>
  <c r="G77" i="6"/>
  <c r="G69" i="6"/>
  <c r="H77" i="6"/>
  <c r="L101" i="6"/>
  <c r="K101" i="6"/>
  <c r="N101" i="6" s="1"/>
  <c r="J101" i="6"/>
  <c r="I101" i="6"/>
  <c r="K104" i="6"/>
  <c r="J104" i="6"/>
  <c r="I104" i="6"/>
  <c r="G104" i="6"/>
  <c r="L104" i="6"/>
  <c r="L67" i="6"/>
  <c r="K67" i="6"/>
  <c r="N67" i="6" s="1"/>
  <c r="I67" i="6"/>
  <c r="H69" i="6"/>
  <c r="I77" i="6"/>
  <c r="G78" i="6"/>
  <c r="L78" i="6"/>
  <c r="G97" i="6"/>
  <c r="G101" i="6"/>
  <c r="H104" i="6"/>
  <c r="L55" i="6"/>
  <c r="K55" i="6"/>
  <c r="N55" i="6" s="1"/>
  <c r="I55" i="6"/>
  <c r="J69" i="6"/>
  <c r="J77" i="6"/>
  <c r="H101" i="6"/>
  <c r="K114" i="6"/>
  <c r="N114" i="6" s="1"/>
  <c r="L65" i="6"/>
  <c r="K65" i="6"/>
  <c r="N65" i="6" s="1"/>
  <c r="I65" i="6"/>
  <c r="K77" i="6"/>
  <c r="L79" i="6"/>
  <c r="K79" i="6"/>
  <c r="N79" i="6" s="1"/>
  <c r="I79" i="6"/>
  <c r="G82" i="6"/>
  <c r="I82" i="6"/>
  <c r="H82" i="6"/>
  <c r="K82" i="6"/>
  <c r="K106" i="6"/>
  <c r="N106" i="6" s="1"/>
  <c r="J106" i="6"/>
  <c r="I106" i="6"/>
  <c r="H106" i="6"/>
  <c r="G106" i="6"/>
  <c r="L106" i="6"/>
  <c r="G42" i="6"/>
  <c r="G44" i="6"/>
  <c r="G46" i="6"/>
  <c r="G48" i="6"/>
  <c r="H55" i="6"/>
  <c r="G65" i="6"/>
  <c r="J67" i="6"/>
  <c r="L77" i="6"/>
  <c r="J78" i="6"/>
  <c r="G79" i="6"/>
  <c r="J82" i="6"/>
  <c r="J55" i="6"/>
  <c r="L61" i="6"/>
  <c r="K61" i="6"/>
  <c r="N61" i="6" s="1"/>
  <c r="I61" i="6"/>
  <c r="H65" i="6"/>
  <c r="L75" i="6"/>
  <c r="K75" i="6"/>
  <c r="N75" i="6" s="1"/>
  <c r="I75" i="6"/>
  <c r="K78" i="6"/>
  <c r="N78" i="6" s="1"/>
  <c r="H79" i="6"/>
  <c r="K81" i="6"/>
  <c r="N81" i="6" s="1"/>
  <c r="H81" i="6"/>
  <c r="G81" i="6"/>
  <c r="J81" i="6"/>
  <c r="L82" i="6"/>
  <c r="K87" i="6"/>
  <c r="L87" i="6"/>
  <c r="J87" i="6"/>
  <c r="H87" i="6"/>
  <c r="G87" i="6"/>
  <c r="K108" i="6"/>
  <c r="N108" i="6" s="1"/>
  <c r="J108" i="6"/>
  <c r="I108" i="6"/>
  <c r="H108" i="6"/>
  <c r="G108" i="6"/>
  <c r="J111" i="6"/>
  <c r="K89" i="6"/>
  <c r="N89" i="6" s="1"/>
  <c r="G90" i="6"/>
  <c r="G88" i="6"/>
  <c r="G89" i="6"/>
  <c r="H90" i="6"/>
  <c r="G103" i="6"/>
  <c r="K85" i="6"/>
  <c r="G86" i="6"/>
  <c r="H88" i="6"/>
  <c r="H89" i="6"/>
  <c r="I90" i="6"/>
  <c r="H103" i="6"/>
  <c r="G80" i="6"/>
  <c r="K83" i="6"/>
  <c r="N83" i="6" s="1"/>
  <c r="G84" i="6"/>
  <c r="G85" i="6"/>
  <c r="H86" i="6"/>
  <c r="I88" i="6"/>
  <c r="I89" i="6"/>
  <c r="J90" i="6"/>
  <c r="K100" i="6"/>
  <c r="N100" i="6" s="1"/>
  <c r="J100" i="6"/>
  <c r="I100" i="6"/>
  <c r="G100" i="6"/>
  <c r="H100" i="6"/>
  <c r="I103" i="6"/>
  <c r="H107" i="6"/>
  <c r="K110" i="6"/>
  <c r="N110" i="6" s="1"/>
  <c r="J110" i="6"/>
  <c r="I110" i="6"/>
  <c r="H110" i="6"/>
  <c r="G110" i="6"/>
  <c r="J125" i="6"/>
  <c r="L125" i="6"/>
  <c r="G125" i="6"/>
  <c r="L111" i="6"/>
  <c r="K111" i="6"/>
  <c r="G76" i="6"/>
  <c r="I80" i="6"/>
  <c r="H83" i="6"/>
  <c r="I84" i="6"/>
  <c r="I85" i="6"/>
  <c r="J86" i="6"/>
  <c r="K88" i="6"/>
  <c r="N88" i="6" s="1"/>
  <c r="L89" i="6"/>
  <c r="L90" i="6"/>
  <c r="H95" i="6"/>
  <c r="L99" i="6"/>
  <c r="K99" i="6"/>
  <c r="N99" i="6" s="1"/>
  <c r="K103" i="6"/>
  <c r="N103" i="6" s="1"/>
  <c r="G105" i="6"/>
  <c r="G111" i="6"/>
  <c r="I125" i="6"/>
  <c r="H76" i="6"/>
  <c r="J80" i="6"/>
  <c r="I83" i="6"/>
  <c r="J84" i="6"/>
  <c r="J85" i="6"/>
  <c r="K86" i="6"/>
  <c r="L88" i="6"/>
  <c r="G95" i="6"/>
  <c r="J96" i="6"/>
  <c r="I96" i="6"/>
  <c r="H96" i="6"/>
  <c r="G99" i="6"/>
  <c r="L103" i="6"/>
  <c r="H111" i="6"/>
  <c r="K125" i="6"/>
  <c r="J137" i="6"/>
  <c r="I137" i="6"/>
  <c r="H137" i="6"/>
  <c r="G137" i="6"/>
  <c r="L137" i="6"/>
  <c r="L115" i="6"/>
  <c r="K116" i="6"/>
  <c r="N116" i="6" s="1"/>
  <c r="L121" i="6"/>
  <c r="J131" i="6"/>
  <c r="I131" i="6"/>
  <c r="H131" i="6"/>
  <c r="L131" i="6"/>
  <c r="L119" i="6"/>
  <c r="K120" i="6"/>
  <c r="N120" i="6" s="1"/>
  <c r="K112" i="6"/>
  <c r="N112" i="6" s="1"/>
  <c r="J112" i="6"/>
  <c r="I112" i="6"/>
  <c r="H112" i="6"/>
  <c r="G112" i="6"/>
  <c r="G119" i="6"/>
  <c r="J128" i="6"/>
  <c r="I119" i="6"/>
  <c r="L126" i="6"/>
  <c r="K126" i="6"/>
  <c r="N126" i="6" s="1"/>
  <c r="J126" i="6"/>
  <c r="J98" i="6"/>
  <c r="I98" i="6"/>
  <c r="G98" i="6"/>
  <c r="K102" i="6"/>
  <c r="J102" i="6"/>
  <c r="I102" i="6"/>
  <c r="G102" i="6"/>
  <c r="L117" i="6"/>
  <c r="K118" i="6"/>
  <c r="N118" i="6" s="1"/>
  <c r="J119" i="6"/>
  <c r="K138" i="6"/>
  <c r="L138" i="6"/>
  <c r="J138" i="6"/>
  <c r="I138" i="6"/>
  <c r="G94" i="6"/>
  <c r="H98" i="6"/>
  <c r="H102" i="6"/>
  <c r="G117" i="6"/>
  <c r="K119" i="6"/>
  <c r="N119" i="6" s="1"/>
  <c r="H126" i="6"/>
  <c r="G138" i="6"/>
  <c r="L159" i="6"/>
  <c r="K159" i="6"/>
  <c r="N159" i="6" s="1"/>
  <c r="J159" i="6"/>
  <c r="I159" i="6"/>
  <c r="H159" i="6"/>
  <c r="G159" i="6"/>
  <c r="L122" i="6"/>
  <c r="K122" i="6"/>
  <c r="N122" i="6" s="1"/>
  <c r="J122" i="6"/>
  <c r="I122" i="6"/>
  <c r="H122" i="6"/>
  <c r="L132" i="6"/>
  <c r="L140" i="6"/>
  <c r="J224" i="6"/>
  <c r="I224" i="6"/>
  <c r="H224" i="6"/>
  <c r="G224" i="6"/>
  <c r="K224" i="6"/>
  <c r="L224" i="6"/>
  <c r="J139" i="6"/>
  <c r="I139" i="6"/>
  <c r="H139" i="6"/>
  <c r="G139" i="6"/>
  <c r="I140" i="6"/>
  <c r="G130" i="6"/>
  <c r="K139" i="6"/>
  <c r="N139" i="6" s="1"/>
  <c r="J140" i="6"/>
  <c r="J127" i="6"/>
  <c r="H130" i="6"/>
  <c r="G132" i="6"/>
  <c r="L139" i="6"/>
  <c r="K140" i="6"/>
  <c r="N140" i="6" s="1"/>
  <c r="L142" i="6"/>
  <c r="K142" i="6"/>
  <c r="N142" i="6" s="1"/>
  <c r="J142" i="6"/>
  <c r="I142" i="6"/>
  <c r="H142" i="6"/>
  <c r="G142" i="6"/>
  <c r="G127" i="6"/>
  <c r="I130" i="6"/>
  <c r="H132" i="6"/>
  <c r="G114" i="6"/>
  <c r="G116" i="6"/>
  <c r="G118" i="6"/>
  <c r="G120" i="6"/>
  <c r="J123" i="6"/>
  <c r="H127" i="6"/>
  <c r="J130" i="6"/>
  <c r="I132" i="6"/>
  <c r="H114" i="6"/>
  <c r="H116" i="6"/>
  <c r="H118" i="6"/>
  <c r="H120" i="6"/>
  <c r="G123" i="6"/>
  <c r="I127" i="6"/>
  <c r="G128" i="6"/>
  <c r="K130" i="6"/>
  <c r="N130" i="6" s="1"/>
  <c r="J132" i="6"/>
  <c r="K134" i="6"/>
  <c r="N134" i="6" s="1"/>
  <c r="I114" i="6"/>
  <c r="I116" i="6"/>
  <c r="I118" i="6"/>
  <c r="I120" i="6"/>
  <c r="H123" i="6"/>
  <c r="K127" i="6"/>
  <c r="N127" i="6" s="1"/>
  <c r="H128" i="6"/>
  <c r="J129" i="6"/>
  <c r="I129" i="6"/>
  <c r="H129" i="6"/>
  <c r="L130" i="6"/>
  <c r="K132" i="6"/>
  <c r="J133" i="6"/>
  <c r="I133" i="6"/>
  <c r="H133" i="6"/>
  <c r="G133" i="6"/>
  <c r="G134" i="6"/>
  <c r="G141" i="6"/>
  <c r="L141" i="6"/>
  <c r="K141" i="6"/>
  <c r="N141" i="6" s="1"/>
  <c r="J141" i="6"/>
  <c r="G144" i="6"/>
  <c r="J114" i="6"/>
  <c r="J116" i="6"/>
  <c r="J118" i="6"/>
  <c r="J120" i="6"/>
  <c r="I123" i="6"/>
  <c r="G124" i="6"/>
  <c r="L127" i="6"/>
  <c r="I128" i="6"/>
  <c r="G129" i="6"/>
  <c r="K133" i="6"/>
  <c r="N133" i="6" s="1"/>
  <c r="H134" i="6"/>
  <c r="K136" i="6"/>
  <c r="N136" i="6" s="1"/>
  <c r="H141" i="6"/>
  <c r="K123" i="6"/>
  <c r="N123" i="6" s="1"/>
  <c r="K129" i="6"/>
  <c r="N129" i="6" s="1"/>
  <c r="L133" i="6"/>
  <c r="I134" i="6"/>
  <c r="J135" i="6"/>
  <c r="I135" i="6"/>
  <c r="H135" i="6"/>
  <c r="G135" i="6"/>
  <c r="G136" i="6"/>
  <c r="I141" i="6"/>
  <c r="L163" i="6"/>
  <c r="K163" i="6"/>
  <c r="J163" i="6"/>
  <c r="I163" i="6"/>
  <c r="H163" i="6"/>
  <c r="G163" i="6"/>
  <c r="G167" i="6"/>
  <c r="L146" i="6"/>
  <c r="J146" i="6"/>
  <c r="G143" i="6"/>
  <c r="G146" i="6"/>
  <c r="H143" i="6"/>
  <c r="H146" i="6"/>
  <c r="L150" i="6"/>
  <c r="J150" i="6"/>
  <c r="I150" i="6"/>
  <c r="H150" i="6"/>
  <c r="J169" i="6"/>
  <c r="I169" i="6"/>
  <c r="H169" i="6"/>
  <c r="G169" i="6"/>
  <c r="L169" i="6"/>
  <c r="K169" i="6"/>
  <c r="N169" i="6" s="1"/>
  <c r="I143" i="6"/>
  <c r="I146" i="6"/>
  <c r="L155" i="6"/>
  <c r="K155" i="6"/>
  <c r="I156" i="6"/>
  <c r="H156" i="6"/>
  <c r="L156" i="6"/>
  <c r="K156" i="6"/>
  <c r="N156" i="6" s="1"/>
  <c r="J156" i="6"/>
  <c r="I160" i="6"/>
  <c r="K160" i="6"/>
  <c r="N160" i="6" s="1"/>
  <c r="L160" i="6"/>
  <c r="L165" i="6"/>
  <c r="K165" i="6"/>
  <c r="N165" i="6" s="1"/>
  <c r="J165" i="6"/>
  <c r="J184" i="6"/>
  <c r="J143" i="6"/>
  <c r="K146" i="6"/>
  <c r="L148" i="6"/>
  <c r="J148" i="6"/>
  <c r="K150" i="6"/>
  <c r="L152" i="6"/>
  <c r="J152" i="6"/>
  <c r="I152" i="6"/>
  <c r="H152" i="6"/>
  <c r="I153" i="6"/>
  <c r="G155" i="6"/>
  <c r="G156" i="6"/>
  <c r="I158" i="6"/>
  <c r="L158" i="6"/>
  <c r="K158" i="6"/>
  <c r="J158" i="6"/>
  <c r="G160" i="6"/>
  <c r="G165" i="6"/>
  <c r="L173" i="6"/>
  <c r="K173" i="6"/>
  <c r="J173" i="6"/>
  <c r="I173" i="6"/>
  <c r="H173" i="6"/>
  <c r="G173" i="6"/>
  <c r="I178" i="6"/>
  <c r="I170" i="6"/>
  <c r="L179" i="6"/>
  <c r="K179" i="6"/>
  <c r="N179" i="6" s="1"/>
  <c r="J179" i="6"/>
  <c r="I179" i="6"/>
  <c r="H179" i="6"/>
  <c r="G179" i="6"/>
  <c r="I162" i="6"/>
  <c r="I176" i="6"/>
  <c r="G162" i="6"/>
  <c r="I164" i="6"/>
  <c r="H164" i="6"/>
  <c r="I174" i="6"/>
  <c r="H153" i="6"/>
  <c r="J162" i="6"/>
  <c r="G164" i="6"/>
  <c r="L171" i="6"/>
  <c r="K171" i="6"/>
  <c r="N171" i="6" s="1"/>
  <c r="L177" i="6"/>
  <c r="K177" i="6"/>
  <c r="G145" i="6"/>
  <c r="G147" i="6"/>
  <c r="G149" i="6"/>
  <c r="G151" i="6"/>
  <c r="I154" i="6"/>
  <c r="H161" i="6"/>
  <c r="G161" i="6"/>
  <c r="K162" i="6"/>
  <c r="N162" i="6" s="1"/>
  <c r="J164" i="6"/>
  <c r="G171" i="6"/>
  <c r="G177" i="6"/>
  <c r="L191" i="6"/>
  <c r="K191" i="6"/>
  <c r="N191" i="6" s="1"/>
  <c r="J191" i="6"/>
  <c r="I191" i="6"/>
  <c r="H191" i="6"/>
  <c r="G191" i="6"/>
  <c r="L175" i="6"/>
  <c r="K175" i="6"/>
  <c r="G175" i="6"/>
  <c r="I180" i="6"/>
  <c r="L181" i="6"/>
  <c r="K181" i="6"/>
  <c r="N181" i="6" s="1"/>
  <c r="I168" i="6"/>
  <c r="H168" i="6"/>
  <c r="H175" i="6"/>
  <c r="G181" i="6"/>
  <c r="G168" i="6"/>
  <c r="I175" i="6"/>
  <c r="H181" i="6"/>
  <c r="I166" i="6"/>
  <c r="H166" i="6"/>
  <c r="I172" i="6"/>
  <c r="J175" i="6"/>
  <c r="I181" i="6"/>
  <c r="I182" i="6"/>
  <c r="L183" i="6"/>
  <c r="K183" i="6"/>
  <c r="L186" i="6"/>
  <c r="K187" i="6"/>
  <c r="L187" i="6"/>
  <c r="J187" i="6"/>
  <c r="I187" i="6"/>
  <c r="J188" i="6"/>
  <c r="H200" i="6"/>
  <c r="G215" i="6"/>
  <c r="G184" i="6"/>
  <c r="G188" i="6"/>
  <c r="L205" i="6"/>
  <c r="K205" i="6"/>
  <c r="N205" i="6" s="1"/>
  <c r="J205" i="6"/>
  <c r="I205" i="6"/>
  <c r="H205" i="6"/>
  <c r="G205" i="6"/>
  <c r="H184" i="6"/>
  <c r="H188" i="6"/>
  <c r="J222" i="6"/>
  <c r="I222" i="6"/>
  <c r="L222" i="6"/>
  <c r="H222" i="6"/>
  <c r="G222" i="6"/>
  <c r="H170" i="6"/>
  <c r="H172" i="6"/>
  <c r="H174" i="6"/>
  <c r="H176" i="6"/>
  <c r="H178" i="6"/>
  <c r="H180" i="6"/>
  <c r="Q180" i="6" s="1"/>
  <c r="H182" i="6"/>
  <c r="I184" i="6"/>
  <c r="K185" i="6"/>
  <c r="N185" i="6" s="1"/>
  <c r="I188" i="6"/>
  <c r="K189" i="6"/>
  <c r="N189" i="6" s="1"/>
  <c r="J189" i="6"/>
  <c r="G190" i="6"/>
  <c r="H198" i="6"/>
  <c r="K222" i="6"/>
  <c r="N222" i="6" s="1"/>
  <c r="G185" i="6"/>
  <c r="G189" i="6"/>
  <c r="H190" i="6"/>
  <c r="L193" i="6"/>
  <c r="K193" i="6"/>
  <c r="N193" i="6" s="1"/>
  <c r="J193" i="6"/>
  <c r="H196" i="6"/>
  <c r="G197" i="6"/>
  <c r="J220" i="6"/>
  <c r="I220" i="6"/>
  <c r="L220" i="6"/>
  <c r="G220" i="6"/>
  <c r="K220" i="6"/>
  <c r="N220" i="6" s="1"/>
  <c r="H220" i="6"/>
  <c r="L199" i="6"/>
  <c r="G213" i="6"/>
  <c r="K219" i="6"/>
  <c r="J219" i="6"/>
  <c r="H219" i="6"/>
  <c r="G219" i="6"/>
  <c r="L219" i="6"/>
  <c r="H194" i="6"/>
  <c r="G199" i="6"/>
  <c r="H213" i="6"/>
  <c r="I219" i="6"/>
  <c r="G194" i="6"/>
  <c r="H199" i="6"/>
  <c r="L211" i="6"/>
  <c r="K211" i="6"/>
  <c r="N211" i="6" s="1"/>
  <c r="J211" i="6"/>
  <c r="I211" i="6"/>
  <c r="H211" i="6"/>
  <c r="I213" i="6"/>
  <c r="G223" i="6"/>
  <c r="J223" i="6"/>
  <c r="L223" i="6"/>
  <c r="K223" i="6"/>
  <c r="N223" i="6" s="1"/>
  <c r="I223" i="6"/>
  <c r="H223" i="6"/>
  <c r="Q223" i="6" s="1"/>
  <c r="I199" i="6"/>
  <c r="L201" i="6"/>
  <c r="L203" i="6"/>
  <c r="I203" i="6"/>
  <c r="H203" i="6"/>
  <c r="G203" i="6"/>
  <c r="J213" i="6"/>
  <c r="J214" i="6"/>
  <c r="I214" i="6"/>
  <c r="L214" i="6"/>
  <c r="L207" i="6"/>
  <c r="L209" i="6"/>
  <c r="G207" i="6"/>
  <c r="G209" i="6"/>
  <c r="G198" i="6"/>
  <c r="G200" i="6"/>
  <c r="H207" i="6"/>
  <c r="H209" i="6"/>
  <c r="J212" i="6"/>
  <c r="I212" i="6"/>
  <c r="I207" i="6"/>
  <c r="I209" i="6"/>
  <c r="G212" i="6"/>
  <c r="J226" i="6"/>
  <c r="I226" i="6"/>
  <c r="L215" i="6"/>
  <c r="G225" i="6"/>
  <c r="L226" i="6"/>
  <c r="L227" i="6"/>
  <c r="G227" i="6"/>
  <c r="H227" i="6"/>
  <c r="J225" i="6"/>
  <c r="I227" i="6"/>
  <c r="J218" i="6"/>
  <c r="I218" i="6"/>
  <c r="K225" i="6"/>
  <c r="J227" i="6"/>
  <c r="J216" i="6"/>
  <c r="I216" i="6"/>
  <c r="G221" i="6"/>
  <c r="L229" i="6"/>
  <c r="H229" i="6"/>
  <c r="G229" i="6"/>
  <c r="G216" i="6"/>
  <c r="H221" i="6"/>
  <c r="I229" i="6"/>
  <c r="I228" i="6"/>
  <c r="J228" i="6"/>
  <c r="M199" i="6" l="1"/>
  <c r="O199" i="6" s="1"/>
  <c r="P199" i="6"/>
  <c r="P133" i="6"/>
  <c r="M133" i="6"/>
  <c r="O133" i="6" s="1"/>
  <c r="Q128" i="6"/>
  <c r="P116" i="6"/>
  <c r="M116" i="6"/>
  <c r="O116" i="6" s="1"/>
  <c r="X127" i="6"/>
  <c r="P102" i="6"/>
  <c r="M102" i="6"/>
  <c r="O102" i="6" s="1"/>
  <c r="P105" i="6"/>
  <c r="M105" i="6"/>
  <c r="O105" i="6" s="1"/>
  <c r="Q87" i="6"/>
  <c r="M79" i="6"/>
  <c r="O79" i="6" s="1"/>
  <c r="P79" i="6"/>
  <c r="P48" i="6"/>
  <c r="M48" i="6"/>
  <c r="O48" i="6" s="1"/>
  <c r="P106" i="6"/>
  <c r="M106" i="6"/>
  <c r="O106" i="6" s="1"/>
  <c r="Q104" i="6"/>
  <c r="N69" i="6"/>
  <c r="Q41" i="6"/>
  <c r="M23" i="6"/>
  <c r="O23" i="6" s="1"/>
  <c r="Q36" i="6"/>
  <c r="P66" i="6"/>
  <c r="M66" i="6"/>
  <c r="O66" i="6" s="1"/>
  <c r="Q66" i="6"/>
  <c r="N124" i="6"/>
  <c r="Q154" i="6"/>
  <c r="Q185" i="6"/>
  <c r="M183" i="6"/>
  <c r="O183" i="6" s="1"/>
  <c r="P183" i="6"/>
  <c r="P204" i="6"/>
  <c r="M204" i="6"/>
  <c r="O204" i="6" s="1"/>
  <c r="X199" i="6"/>
  <c r="Q225" i="6"/>
  <c r="M226" i="6"/>
  <c r="O226" i="6" s="1"/>
  <c r="P226" i="6"/>
  <c r="N17" i="6"/>
  <c r="P156" i="6"/>
  <c r="M156" i="6"/>
  <c r="O156" i="6" s="1"/>
  <c r="Q178" i="6"/>
  <c r="X159" i="6"/>
  <c r="P49" i="6"/>
  <c r="M49" i="6"/>
  <c r="O49" i="6" s="1"/>
  <c r="Q194" i="6"/>
  <c r="Q112" i="6"/>
  <c r="Q131" i="6"/>
  <c r="P95" i="6"/>
  <c r="M95" i="6"/>
  <c r="O95" i="6" s="1"/>
  <c r="P125" i="6"/>
  <c r="M125" i="6"/>
  <c r="O125" i="6" s="1"/>
  <c r="P97" i="6"/>
  <c r="M97" i="6"/>
  <c r="O97" i="6" s="1"/>
  <c r="Q124" i="6"/>
  <c r="Q53" i="6"/>
  <c r="Q38" i="6"/>
  <c r="Q49" i="6"/>
  <c r="M18" i="6"/>
  <c r="O18" i="6" s="1"/>
  <c r="H7" i="6"/>
  <c r="K7" i="6"/>
  <c r="J7" i="6"/>
  <c r="I7" i="6"/>
  <c r="L7" i="6"/>
  <c r="G7" i="6"/>
  <c r="Q17" i="6"/>
  <c r="L12" i="6"/>
  <c r="K12" i="6"/>
  <c r="J12" i="6"/>
  <c r="G12" i="6"/>
  <c r="I12" i="6"/>
  <c r="H12" i="6"/>
  <c r="N32" i="6"/>
  <c r="K30" i="6"/>
  <c r="Q80" i="6"/>
  <c r="N98" i="6"/>
  <c r="N52" i="6"/>
  <c r="X62" i="6"/>
  <c r="Q70" i="6"/>
  <c r="N105" i="6"/>
  <c r="P131" i="6"/>
  <c r="M131" i="6"/>
  <c r="O131" i="6" s="1"/>
  <c r="Q117" i="6"/>
  <c r="Q145" i="6"/>
  <c r="Q171" i="6"/>
  <c r="Q157" i="6"/>
  <c r="X178" i="6"/>
  <c r="Q186" i="6"/>
  <c r="P196" i="6"/>
  <c r="M196" i="6"/>
  <c r="O196" i="6" s="1"/>
  <c r="M180" i="6"/>
  <c r="O180" i="6" s="1"/>
  <c r="P180" i="6"/>
  <c r="Q216" i="6"/>
  <c r="Q217" i="6"/>
  <c r="M13" i="6"/>
  <c r="O13" i="6" s="1"/>
  <c r="X227" i="6"/>
  <c r="P215" i="6"/>
  <c r="M215" i="6"/>
  <c r="O215" i="6" s="1"/>
  <c r="P103" i="6"/>
  <c r="M103" i="6"/>
  <c r="O103" i="6" s="1"/>
  <c r="P101" i="6"/>
  <c r="M101" i="6"/>
  <c r="O101" i="6" s="1"/>
  <c r="P57" i="6"/>
  <c r="M57" i="6"/>
  <c r="O57" i="6" s="1"/>
  <c r="Q94" i="6"/>
  <c r="P198" i="6"/>
  <c r="M198" i="6"/>
  <c r="O198" i="6" s="1"/>
  <c r="Q200" i="6"/>
  <c r="Q164" i="6"/>
  <c r="Q163" i="6"/>
  <c r="X114" i="6"/>
  <c r="Q133" i="6"/>
  <c r="Q123" i="6"/>
  <c r="M123" i="6"/>
  <c r="O123" i="6" s="1"/>
  <c r="P123" i="6"/>
  <c r="P114" i="6"/>
  <c r="M114" i="6"/>
  <c r="O114" i="6" s="1"/>
  <c r="P130" i="6"/>
  <c r="M130" i="6"/>
  <c r="O130" i="6" s="1"/>
  <c r="X110" i="6"/>
  <c r="P108" i="6"/>
  <c r="M108" i="6"/>
  <c r="O108" i="6" s="1"/>
  <c r="N87" i="6"/>
  <c r="P46" i="6"/>
  <c r="M46" i="6"/>
  <c r="O46" i="6" s="1"/>
  <c r="Q106" i="6"/>
  <c r="M104" i="6"/>
  <c r="O104" i="6" s="1"/>
  <c r="P104" i="6"/>
  <c r="P113" i="6"/>
  <c r="M113" i="6"/>
  <c r="O113" i="6" s="1"/>
  <c r="N38" i="6"/>
  <c r="M47" i="6"/>
  <c r="O47" i="6" s="1"/>
  <c r="P47" i="6"/>
  <c r="Q51" i="6"/>
  <c r="J22" i="6"/>
  <c r="I22" i="6"/>
  <c r="H22" i="6"/>
  <c r="G22" i="6"/>
  <c r="K22" i="6"/>
  <c r="L22" i="6"/>
  <c r="P53" i="6"/>
  <c r="M53" i="6"/>
  <c r="O53" i="6" s="1"/>
  <c r="Q19" i="6"/>
  <c r="N91" i="6"/>
  <c r="M39" i="6"/>
  <c r="O39" i="6" s="1"/>
  <c r="P39" i="6"/>
  <c r="P60" i="6"/>
  <c r="M60" i="6"/>
  <c r="O60" i="6" s="1"/>
  <c r="Q99" i="6"/>
  <c r="M93" i="6"/>
  <c r="O93" i="6" s="1"/>
  <c r="P93" i="6"/>
  <c r="X46" i="6"/>
  <c r="N135" i="6"/>
  <c r="P55" i="6"/>
  <c r="M55" i="6"/>
  <c r="O55" i="6" s="1"/>
  <c r="P70" i="6"/>
  <c r="M70" i="6"/>
  <c r="O70" i="6" s="1"/>
  <c r="Q72" i="6"/>
  <c r="X103" i="6"/>
  <c r="N94" i="6"/>
  <c r="X121" i="6"/>
  <c r="Q147" i="6"/>
  <c r="P193" i="6"/>
  <c r="M193" i="6"/>
  <c r="O193" i="6" s="1"/>
  <c r="P172" i="6"/>
  <c r="M172" i="6"/>
  <c r="O172" i="6" s="1"/>
  <c r="Q187" i="6"/>
  <c r="Q192" i="6"/>
  <c r="Q197" i="6"/>
  <c r="M202" i="6"/>
  <c r="O202" i="6" s="1"/>
  <c r="P202" i="6"/>
  <c r="M182" i="6"/>
  <c r="O182" i="6" s="1"/>
  <c r="P182" i="6"/>
  <c r="Q214" i="6"/>
  <c r="N204" i="6"/>
  <c r="Q208" i="6"/>
  <c r="Q218" i="6"/>
  <c r="X13" i="6"/>
  <c r="Q168" i="6"/>
  <c r="M11" i="6"/>
  <c r="O11" i="6" s="1"/>
  <c r="Q140" i="6"/>
  <c r="P155" i="6"/>
  <c r="M155" i="6"/>
  <c r="O155" i="6" s="1"/>
  <c r="P135" i="6"/>
  <c r="M135" i="6"/>
  <c r="O135" i="6" s="1"/>
  <c r="P225" i="6"/>
  <c r="M225" i="6"/>
  <c r="O225" i="6" s="1"/>
  <c r="Q196" i="6"/>
  <c r="P190" i="6"/>
  <c r="M190" i="6"/>
  <c r="O190" i="6" s="1"/>
  <c r="Q172" i="6"/>
  <c r="Q184" i="6"/>
  <c r="Q166" i="6"/>
  <c r="P149" i="6"/>
  <c r="M149" i="6"/>
  <c r="O149" i="6" s="1"/>
  <c r="Q179" i="6"/>
  <c r="N173" i="6"/>
  <c r="Q152" i="6"/>
  <c r="P169" i="6"/>
  <c r="M169" i="6"/>
  <c r="O169" i="6" s="1"/>
  <c r="Q143" i="6"/>
  <c r="M144" i="6"/>
  <c r="O144" i="6" s="1"/>
  <c r="P144" i="6"/>
  <c r="Q120" i="6"/>
  <c r="X142" i="6"/>
  <c r="X122" i="6"/>
  <c r="X102" i="6"/>
  <c r="X131" i="6"/>
  <c r="N125" i="6"/>
  <c r="N86" i="6"/>
  <c r="Q83" i="6"/>
  <c r="Q103" i="6"/>
  <c r="Q90" i="6"/>
  <c r="Q65" i="6"/>
  <c r="Q101" i="6"/>
  <c r="P78" i="6"/>
  <c r="M78" i="6"/>
  <c r="O78" i="6" s="1"/>
  <c r="Q77" i="6"/>
  <c r="X63" i="6"/>
  <c r="Q35" i="6"/>
  <c r="P40" i="6"/>
  <c r="M40" i="6"/>
  <c r="O40" i="6" s="1"/>
  <c r="X39" i="6"/>
  <c r="X49" i="6"/>
  <c r="L14" i="6"/>
  <c r="I14" i="6"/>
  <c r="K14" i="6"/>
  <c r="N14" i="6" s="1"/>
  <c r="J14" i="6"/>
  <c r="H14" i="6"/>
  <c r="G14" i="6"/>
  <c r="P50" i="6"/>
  <c r="M50" i="6"/>
  <c r="O50" i="6" s="1"/>
  <c r="P73" i="6"/>
  <c r="M73" i="6"/>
  <c r="O73" i="6" s="1"/>
  <c r="N64" i="6"/>
  <c r="P54" i="6"/>
  <c r="M54" i="6"/>
  <c r="O54" i="6" s="1"/>
  <c r="Q50" i="6"/>
  <c r="N56" i="6"/>
  <c r="M58" i="6"/>
  <c r="O58" i="6" s="1"/>
  <c r="P58" i="6"/>
  <c r="Q74" i="6"/>
  <c r="Q121" i="6"/>
  <c r="P107" i="6"/>
  <c r="M107" i="6"/>
  <c r="O107" i="6" s="1"/>
  <c r="Q105" i="6"/>
  <c r="Q136" i="6"/>
  <c r="Q138" i="6"/>
  <c r="Q144" i="6"/>
  <c r="X149" i="6"/>
  <c r="X182" i="6"/>
  <c r="P170" i="6"/>
  <c r="M170" i="6"/>
  <c r="O170" i="6" s="1"/>
  <c r="Q204" i="6"/>
  <c r="N209" i="6"/>
  <c r="X210" i="6"/>
  <c r="M228" i="6"/>
  <c r="O228" i="6" s="1"/>
  <c r="P228" i="6"/>
  <c r="H8" i="6"/>
  <c r="I8" i="6"/>
  <c r="L8" i="6"/>
  <c r="K8" i="6"/>
  <c r="J8" i="6"/>
  <c r="G8" i="6"/>
  <c r="M10" i="6"/>
  <c r="O10" i="6" s="1"/>
  <c r="Q13" i="6"/>
  <c r="Q110" i="6"/>
  <c r="P163" i="6"/>
  <c r="M163" i="6"/>
  <c r="O163" i="6" s="1"/>
  <c r="P219" i="6"/>
  <c r="M219" i="6"/>
  <c r="O219" i="6" s="1"/>
  <c r="Q135" i="6"/>
  <c r="M224" i="6"/>
  <c r="O224" i="6" s="1"/>
  <c r="P224" i="6"/>
  <c r="P138" i="6"/>
  <c r="M138" i="6"/>
  <c r="O138" i="6" s="1"/>
  <c r="N102" i="6"/>
  <c r="X85" i="6"/>
  <c r="Q107" i="6"/>
  <c r="M89" i="6"/>
  <c r="O89" i="6" s="1"/>
  <c r="P89" i="6"/>
  <c r="X81" i="6"/>
  <c r="X106" i="6"/>
  <c r="N77" i="6"/>
  <c r="Q113" i="6"/>
  <c r="P63" i="6"/>
  <c r="M63" i="6"/>
  <c r="O63" i="6" s="1"/>
  <c r="X23" i="6"/>
  <c r="M41" i="6"/>
  <c r="O41" i="6" s="1"/>
  <c r="P41" i="6"/>
  <c r="X41" i="6"/>
  <c r="Q92" i="6"/>
  <c r="M19" i="6"/>
  <c r="P33" i="6"/>
  <c r="M33" i="6"/>
  <c r="O33" i="6" s="1"/>
  <c r="Q57" i="6"/>
  <c r="Q64" i="6"/>
  <c r="Q37" i="6"/>
  <c r="M56" i="6"/>
  <c r="O56" i="6" s="1"/>
  <c r="P56" i="6"/>
  <c r="Q54" i="6"/>
  <c r="N95" i="6"/>
  <c r="Q52" i="6"/>
  <c r="P62" i="6"/>
  <c r="M62" i="6"/>
  <c r="O62" i="6" s="1"/>
  <c r="Q62" i="6"/>
  <c r="X76" i="6"/>
  <c r="P153" i="6"/>
  <c r="M153" i="6"/>
  <c r="O153" i="6" s="1"/>
  <c r="X107" i="6"/>
  <c r="X154" i="6"/>
  <c r="M150" i="6"/>
  <c r="O150" i="6" s="1"/>
  <c r="P150" i="6"/>
  <c r="N190" i="6"/>
  <c r="P166" i="6"/>
  <c r="M166" i="6"/>
  <c r="O166" i="6" s="1"/>
  <c r="N201" i="6"/>
  <c r="N215" i="6"/>
  <c r="X207" i="6"/>
  <c r="P195" i="6"/>
  <c r="M195" i="6"/>
  <c r="O195" i="6" s="1"/>
  <c r="P210" i="6"/>
  <c r="M210" i="6"/>
  <c r="O210" i="6" s="1"/>
  <c r="P216" i="6"/>
  <c r="M216" i="6"/>
  <c r="O216" i="6" s="1"/>
  <c r="Q175" i="6"/>
  <c r="P173" i="6"/>
  <c r="M173" i="6"/>
  <c r="O173" i="6" s="1"/>
  <c r="P229" i="6"/>
  <c r="M229" i="6"/>
  <c r="O229" i="6" s="1"/>
  <c r="Q146" i="6"/>
  <c r="M94" i="6"/>
  <c r="O94" i="6" s="1"/>
  <c r="P94" i="6"/>
  <c r="X86" i="6"/>
  <c r="X87" i="6"/>
  <c r="Q58" i="6"/>
  <c r="X176" i="6"/>
  <c r="M14" i="7"/>
  <c r="M13" i="7"/>
  <c r="V65" i="7"/>
  <c r="M12" i="7"/>
  <c r="M15" i="7"/>
  <c r="W63" i="7"/>
  <c r="M45" i="6"/>
  <c r="O45" i="6" s="1"/>
  <c r="P45" i="6"/>
  <c r="N58" i="6"/>
  <c r="X58" i="6"/>
  <c r="M67" i="6"/>
  <c r="O67" i="6" s="1"/>
  <c r="P67" i="6"/>
  <c r="Q67" i="6"/>
  <c r="Q109" i="6"/>
  <c r="P126" i="6"/>
  <c r="M126" i="6"/>
  <c r="O126" i="6" s="1"/>
  <c r="Q155" i="6"/>
  <c r="M148" i="6"/>
  <c r="O148" i="6" s="1"/>
  <c r="P148" i="6"/>
  <c r="Q183" i="6"/>
  <c r="M187" i="6"/>
  <c r="O187" i="6" s="1"/>
  <c r="P187" i="6"/>
  <c r="Q151" i="6"/>
  <c r="Q167" i="6"/>
  <c r="N199" i="6"/>
  <c r="P218" i="6"/>
  <c r="M218" i="6"/>
  <c r="O218" i="6" s="1"/>
  <c r="Q15" i="6"/>
  <c r="Q10" i="6"/>
  <c r="Q127" i="6"/>
  <c r="P80" i="6"/>
  <c r="M80" i="6"/>
  <c r="O80" i="6" s="1"/>
  <c r="M51" i="6"/>
  <c r="O51" i="6" s="1"/>
  <c r="P51" i="6"/>
  <c r="X60" i="6"/>
  <c r="X50" i="6"/>
  <c r="Q158" i="6"/>
  <c r="P186" i="6"/>
  <c r="M186" i="6"/>
  <c r="O186" i="6" s="1"/>
  <c r="M15" i="6"/>
  <c r="O15" i="6" s="1"/>
  <c r="P184" i="6"/>
  <c r="M184" i="6"/>
  <c r="O184" i="6" s="1"/>
  <c r="Q142" i="6"/>
  <c r="Q188" i="6"/>
  <c r="Q229" i="6"/>
  <c r="X189" i="6"/>
  <c r="P164" i="6"/>
  <c r="M164" i="6"/>
  <c r="O164" i="6" s="1"/>
  <c r="Q134" i="6"/>
  <c r="Q111" i="6"/>
  <c r="Q126" i="6"/>
  <c r="P76" i="6"/>
  <c r="M76" i="6"/>
  <c r="O76" i="6" s="1"/>
  <c r="P44" i="6"/>
  <c r="M44" i="6"/>
  <c r="O44" i="6" s="1"/>
  <c r="P34" i="6"/>
  <c r="M34" i="6"/>
  <c r="O34" i="6" s="1"/>
  <c r="X36" i="6"/>
  <c r="L4" i="6"/>
  <c r="K4" i="6"/>
  <c r="J4" i="6"/>
  <c r="I4" i="6"/>
  <c r="G4" i="6"/>
  <c r="P18" i="6" s="1"/>
  <c r="H4" i="6"/>
  <c r="P221" i="6"/>
  <c r="M221" i="6"/>
  <c r="O221" i="6" s="1"/>
  <c r="X225" i="6"/>
  <c r="Q209" i="6"/>
  <c r="Q203" i="6"/>
  <c r="N187" i="6"/>
  <c r="Q181" i="6"/>
  <c r="X164" i="6"/>
  <c r="Q153" i="6"/>
  <c r="P162" i="6"/>
  <c r="M162" i="6"/>
  <c r="O162" i="6" s="1"/>
  <c r="P160" i="6"/>
  <c r="M160" i="6"/>
  <c r="O160" i="6" s="1"/>
  <c r="N155" i="6"/>
  <c r="X169" i="6"/>
  <c r="N163" i="6"/>
  <c r="P129" i="6"/>
  <c r="M129" i="6"/>
  <c r="O129" i="6" s="1"/>
  <c r="N132" i="6"/>
  <c r="Q114" i="6"/>
  <c r="M127" i="6"/>
  <c r="O127" i="6" s="1"/>
  <c r="P127" i="6"/>
  <c r="P99" i="6"/>
  <c r="M99" i="6"/>
  <c r="O99" i="6" s="1"/>
  <c r="Q100" i="6"/>
  <c r="Q86" i="6"/>
  <c r="Q88" i="6"/>
  <c r="M65" i="6"/>
  <c r="O65" i="6" s="1"/>
  <c r="P65" i="6"/>
  <c r="N82" i="6"/>
  <c r="X104" i="6"/>
  <c r="X113" i="6"/>
  <c r="X45" i="6"/>
  <c r="N63" i="6"/>
  <c r="Q40" i="6"/>
  <c r="M59" i="6"/>
  <c r="O59" i="6" s="1"/>
  <c r="P59" i="6"/>
  <c r="M43" i="6"/>
  <c r="O43" i="6" s="1"/>
  <c r="P43" i="6"/>
  <c r="N36" i="6"/>
  <c r="O33" i="7"/>
  <c r="P33" i="7" s="1"/>
  <c r="S33" i="7" s="1"/>
  <c r="Q45" i="6"/>
  <c r="Q39" i="6"/>
  <c r="N46" i="6"/>
  <c r="P121" i="6"/>
  <c r="M121" i="6"/>
  <c r="O121" i="6" s="1"/>
  <c r="Q61" i="6"/>
  <c r="P109" i="6"/>
  <c r="M109" i="6"/>
  <c r="O109" i="6" s="1"/>
  <c r="N60" i="6"/>
  <c r="P72" i="6"/>
  <c r="M72" i="6"/>
  <c r="O72" i="6" s="1"/>
  <c r="N74" i="6"/>
  <c r="Q115" i="6"/>
  <c r="M140" i="6"/>
  <c r="O140" i="6" s="1"/>
  <c r="P140" i="6"/>
  <c r="N115" i="6"/>
  <c r="P154" i="6"/>
  <c r="M154" i="6"/>
  <c r="O154" i="6" s="1"/>
  <c r="X147" i="6"/>
  <c r="X177" i="6"/>
  <c r="X186" i="6"/>
  <c r="X172" i="6"/>
  <c r="P174" i="6"/>
  <c r="M174" i="6"/>
  <c r="O174" i="6" s="1"/>
  <c r="X180" i="6"/>
  <c r="X168" i="6"/>
  <c r="P201" i="6"/>
  <c r="M201" i="6"/>
  <c r="O201" i="6" s="1"/>
  <c r="N203" i="6"/>
  <c r="N227" i="6"/>
  <c r="N202" i="6"/>
  <c r="Q226" i="6"/>
  <c r="I5" i="6"/>
  <c r="L5" i="6"/>
  <c r="K5" i="6"/>
  <c r="N5" i="6" s="1"/>
  <c r="J5" i="6"/>
  <c r="H5" i="6"/>
  <c r="G5" i="6"/>
  <c r="P15" i="6" s="1"/>
  <c r="Q191" i="6"/>
  <c r="Q198" i="6"/>
  <c r="X118" i="6"/>
  <c r="X79" i="6"/>
  <c r="Q68" i="6"/>
  <c r="Q212" i="6"/>
  <c r="Q215" i="6"/>
  <c r="M178" i="6"/>
  <c r="O178" i="6" s="1"/>
  <c r="P178" i="6"/>
  <c r="X215" i="6"/>
  <c r="X184" i="6"/>
  <c r="Q141" i="6"/>
  <c r="N224" i="6"/>
  <c r="M179" i="6"/>
  <c r="O179" i="6" s="1"/>
  <c r="P179" i="6"/>
  <c r="Q199" i="6"/>
  <c r="Q170" i="6"/>
  <c r="M146" i="6"/>
  <c r="O146" i="6" s="1"/>
  <c r="P146" i="6"/>
  <c r="X141" i="6"/>
  <c r="P223" i="6"/>
  <c r="M223" i="6"/>
  <c r="O223" i="6" s="1"/>
  <c r="P147" i="6"/>
  <c r="M147" i="6"/>
  <c r="O147" i="6" s="1"/>
  <c r="P165" i="6"/>
  <c r="M165" i="6"/>
  <c r="O165" i="6" s="1"/>
  <c r="X163" i="6"/>
  <c r="Q108" i="6"/>
  <c r="X67" i="6"/>
  <c r="N40" i="6"/>
  <c r="Q33" i="6"/>
  <c r="Q207" i="6"/>
  <c r="M194" i="6"/>
  <c r="O194" i="6" s="1"/>
  <c r="P194" i="6"/>
  <c r="N219" i="6"/>
  <c r="P175" i="6"/>
  <c r="M175" i="6"/>
  <c r="O175" i="6" s="1"/>
  <c r="P145" i="6"/>
  <c r="M145" i="6"/>
  <c r="O145" i="6" s="1"/>
  <c r="X158" i="6"/>
  <c r="N150" i="6"/>
  <c r="M141" i="6"/>
  <c r="O141" i="6" s="1"/>
  <c r="P141" i="6"/>
  <c r="M159" i="6"/>
  <c r="O159" i="6" s="1"/>
  <c r="P159" i="6"/>
  <c r="N138" i="6"/>
  <c r="Q96" i="6"/>
  <c r="X80" i="6"/>
  <c r="M85" i="6"/>
  <c r="O85" i="6" s="1"/>
  <c r="P85" i="6"/>
  <c r="M86" i="6"/>
  <c r="O86" i="6" s="1"/>
  <c r="P86" i="6"/>
  <c r="M81" i="6"/>
  <c r="O81" i="6" s="1"/>
  <c r="P81" i="6"/>
  <c r="Q69" i="6"/>
  <c r="N104" i="6"/>
  <c r="M77" i="6"/>
  <c r="O77" i="6" s="1"/>
  <c r="P77" i="6"/>
  <c r="X40" i="6"/>
  <c r="Q48" i="6"/>
  <c r="Q59" i="6"/>
  <c r="Q71" i="6"/>
  <c r="O32" i="7"/>
  <c r="S32" i="7" s="1"/>
  <c r="T32" i="7"/>
  <c r="K6" i="6"/>
  <c r="N6" i="6" s="1"/>
  <c r="L6" i="6"/>
  <c r="J6" i="6"/>
  <c r="I6" i="6"/>
  <c r="H6" i="6"/>
  <c r="G6" i="6"/>
  <c r="M32" i="6"/>
  <c r="O32" i="6" s="1"/>
  <c r="P32" i="6"/>
  <c r="G30" i="6"/>
  <c r="P52" i="6"/>
  <c r="M52" i="6"/>
  <c r="O52" i="6" s="1"/>
  <c r="N68" i="6"/>
  <c r="Q93" i="6"/>
  <c r="N76" i="6"/>
  <c r="Q78" i="6"/>
  <c r="X74" i="6"/>
  <c r="P96" i="6"/>
  <c r="M96" i="6"/>
  <c r="O96" i="6" s="1"/>
  <c r="P122" i="6"/>
  <c r="M122" i="6"/>
  <c r="O122" i="6" s="1"/>
  <c r="X94" i="6"/>
  <c r="M152" i="6"/>
  <c r="O152" i="6" s="1"/>
  <c r="P152" i="6"/>
  <c r="P158" i="6"/>
  <c r="M158" i="6"/>
  <c r="O158" i="6" s="1"/>
  <c r="M157" i="6"/>
  <c r="O157" i="6" s="1"/>
  <c r="P157" i="6"/>
  <c r="Q149" i="6"/>
  <c r="N149" i="6"/>
  <c r="P176" i="6"/>
  <c r="M176" i="6"/>
  <c r="O176" i="6" s="1"/>
  <c r="P192" i="6"/>
  <c r="M192" i="6"/>
  <c r="O192" i="6" s="1"/>
  <c r="X208" i="6"/>
  <c r="P206" i="6"/>
  <c r="M206" i="6"/>
  <c r="O206" i="6" s="1"/>
  <c r="N206" i="6"/>
  <c r="N218" i="6"/>
  <c r="M16" i="6"/>
  <c r="Q220" i="6"/>
  <c r="P188" i="6"/>
  <c r="M188" i="6"/>
  <c r="O188" i="6" s="1"/>
  <c r="P167" i="6"/>
  <c r="M167" i="6"/>
  <c r="O167" i="6" s="1"/>
  <c r="X140" i="6"/>
  <c r="Q137" i="6"/>
  <c r="X78" i="6"/>
  <c r="X43" i="6"/>
  <c r="N225" i="6"/>
  <c r="Q176" i="6"/>
  <c r="Q190" i="6"/>
  <c r="X226" i="6"/>
  <c r="X220" i="6"/>
  <c r="P189" i="6"/>
  <c r="M189" i="6"/>
  <c r="O189" i="6" s="1"/>
  <c r="M222" i="6"/>
  <c r="O222" i="6" s="1"/>
  <c r="P222" i="6"/>
  <c r="X205" i="6"/>
  <c r="N183" i="6"/>
  <c r="P168" i="6"/>
  <c r="M168" i="6"/>
  <c r="O168" i="6" s="1"/>
  <c r="N175" i="6"/>
  <c r="P161" i="6"/>
  <c r="M161" i="6"/>
  <c r="O161" i="6" s="1"/>
  <c r="N158" i="6"/>
  <c r="X148" i="6"/>
  <c r="Q150" i="6"/>
  <c r="Q129" i="6"/>
  <c r="M118" i="6"/>
  <c r="O118" i="6" s="1"/>
  <c r="P118" i="6"/>
  <c r="P132" i="6"/>
  <c r="M132" i="6"/>
  <c r="O132" i="6" s="1"/>
  <c r="Q139" i="6"/>
  <c r="Q159" i="6"/>
  <c r="P117" i="6"/>
  <c r="M117" i="6"/>
  <c r="O117" i="6" s="1"/>
  <c r="Q76" i="6"/>
  <c r="N111" i="6"/>
  <c r="M100" i="6"/>
  <c r="O100" i="6" s="1"/>
  <c r="P100" i="6"/>
  <c r="P84" i="6"/>
  <c r="M84" i="6"/>
  <c r="O84" i="6" s="1"/>
  <c r="M90" i="6"/>
  <c r="O90" i="6" s="1"/>
  <c r="P90" i="6"/>
  <c r="Q81" i="6"/>
  <c r="X55" i="6"/>
  <c r="Q55" i="6"/>
  <c r="P42" i="6"/>
  <c r="M42" i="6"/>
  <c r="O42" i="6" s="1"/>
  <c r="Q82" i="6"/>
  <c r="M20" i="6"/>
  <c r="O20" i="6" s="1"/>
  <c r="M35" i="6"/>
  <c r="O35" i="6" s="1"/>
  <c r="P35" i="6"/>
  <c r="Q42" i="6"/>
  <c r="Q34" i="6"/>
  <c r="N49" i="6"/>
  <c r="Q43" i="6"/>
  <c r="P36" i="6"/>
  <c r="M36" i="6"/>
  <c r="O36" i="6" s="1"/>
  <c r="X71" i="6"/>
  <c r="Q11" i="6"/>
  <c r="M26" i="7"/>
  <c r="M25" i="7"/>
  <c r="V67" i="7"/>
  <c r="M24" i="7"/>
  <c r="M27" i="7"/>
  <c r="N54" i="6"/>
  <c r="Q73" i="6"/>
  <c r="P61" i="6"/>
  <c r="M61" i="6"/>
  <c r="O61" i="6" s="1"/>
  <c r="L30" i="6"/>
  <c r="X99" i="6"/>
  <c r="P64" i="6"/>
  <c r="M64" i="6"/>
  <c r="O64" i="6" s="1"/>
  <c r="Q85" i="6"/>
  <c r="P74" i="6"/>
  <c r="M74" i="6"/>
  <c r="O74" i="6" s="1"/>
  <c r="M83" i="6"/>
  <c r="O83" i="6" s="1"/>
  <c r="P83" i="6"/>
  <c r="X95" i="6"/>
  <c r="X109" i="6"/>
  <c r="Q125" i="6"/>
  <c r="X97" i="6"/>
  <c r="N121" i="6"/>
  <c r="N144" i="6"/>
  <c r="Q160" i="6"/>
  <c r="N154" i="6"/>
  <c r="Q148" i="6"/>
  <c r="N161" i="6"/>
  <c r="N164" i="6"/>
  <c r="N182" i="6"/>
  <c r="X198" i="6"/>
  <c r="N226" i="6"/>
  <c r="P214" i="6"/>
  <c r="M214" i="6"/>
  <c r="O214" i="6" s="1"/>
  <c r="X209" i="6"/>
  <c r="X200" i="6"/>
  <c r="P208" i="6"/>
  <c r="M208" i="6"/>
  <c r="O208" i="6" s="1"/>
  <c r="Q228" i="6"/>
  <c r="M197" i="6"/>
  <c r="O197" i="6" s="1"/>
  <c r="P197" i="6"/>
  <c r="X222" i="6"/>
  <c r="Q173" i="6"/>
  <c r="P136" i="6"/>
  <c r="M136" i="6"/>
  <c r="O136" i="6" s="1"/>
  <c r="M142" i="6"/>
  <c r="O142" i="6" s="1"/>
  <c r="P142" i="6"/>
  <c r="Q75" i="6"/>
  <c r="X155" i="6"/>
  <c r="X157" i="6"/>
  <c r="X195" i="6"/>
  <c r="P151" i="6"/>
  <c r="M151" i="6"/>
  <c r="O151" i="6" s="1"/>
  <c r="X156" i="6"/>
  <c r="X116" i="6"/>
  <c r="P209" i="6"/>
  <c r="M209" i="6"/>
  <c r="O209" i="6" s="1"/>
  <c r="Q174" i="6"/>
  <c r="X214" i="6"/>
  <c r="P207" i="6"/>
  <c r="M207" i="6"/>
  <c r="O207" i="6" s="1"/>
  <c r="M220" i="6"/>
  <c r="O220" i="6" s="1"/>
  <c r="P220" i="6"/>
  <c r="P205" i="6"/>
  <c r="M205" i="6"/>
  <c r="O205" i="6" s="1"/>
  <c r="M177" i="6"/>
  <c r="O177" i="6" s="1"/>
  <c r="P177" i="6"/>
  <c r="Q169" i="6"/>
  <c r="X133" i="6"/>
  <c r="Q132" i="6"/>
  <c r="P203" i="6"/>
  <c r="M203" i="6"/>
  <c r="O203" i="6" s="1"/>
  <c r="P171" i="6"/>
  <c r="M171" i="6"/>
  <c r="O171" i="6" s="1"/>
  <c r="Q116" i="6"/>
  <c r="Q224" i="6"/>
  <c r="M98" i="6"/>
  <c r="O98" i="6" s="1"/>
  <c r="P98" i="6"/>
  <c r="P88" i="6"/>
  <c r="M88" i="6"/>
  <c r="O88" i="6" s="1"/>
  <c r="Q211" i="6"/>
  <c r="P185" i="6"/>
  <c r="M185" i="6"/>
  <c r="O185" i="6" s="1"/>
  <c r="Q222" i="6"/>
  <c r="Q161" i="6"/>
  <c r="P124" i="6"/>
  <c r="M124" i="6"/>
  <c r="O124" i="6" s="1"/>
  <c r="Q130" i="6"/>
  <c r="Q102" i="6"/>
  <c r="X98" i="6"/>
  <c r="P119" i="6"/>
  <c r="M119" i="6"/>
  <c r="O119" i="6" s="1"/>
  <c r="P137" i="6"/>
  <c r="M137" i="6"/>
  <c r="O137" i="6" s="1"/>
  <c r="P110" i="6"/>
  <c r="M110" i="6"/>
  <c r="O110" i="6" s="1"/>
  <c r="X101" i="6"/>
  <c r="M37" i="6"/>
  <c r="O37" i="6" s="1"/>
  <c r="P37" i="6"/>
  <c r="M21" i="6"/>
  <c r="O21" i="6" s="1"/>
  <c r="M92" i="6"/>
  <c r="O92" i="6" s="1"/>
  <c r="P92" i="6"/>
  <c r="Q44" i="6"/>
  <c r="M91" i="6"/>
  <c r="O91" i="6" s="1"/>
  <c r="P91" i="6"/>
  <c r="N18" i="6"/>
  <c r="M17" i="6"/>
  <c r="O17" i="6" s="1"/>
  <c r="Q32" i="6"/>
  <c r="H30" i="6"/>
  <c r="X66" i="6"/>
  <c r="Q63" i="6"/>
  <c r="Q60" i="6"/>
  <c r="P68" i="6"/>
  <c r="M68" i="6"/>
  <c r="O68" i="6" s="1"/>
  <c r="Q84" i="6"/>
  <c r="X83" i="6"/>
  <c r="N96" i="6"/>
  <c r="N109" i="6"/>
  <c r="N143" i="6"/>
  <c r="X105" i="6"/>
  <c r="Q165" i="6"/>
  <c r="N151" i="6"/>
  <c r="N167" i="6"/>
  <c r="N168" i="6"/>
  <c r="X174" i="6"/>
  <c r="Q193" i="6"/>
  <c r="Q189" i="6"/>
  <c r="Q195" i="6"/>
  <c r="Q202" i="6"/>
  <c r="Q206" i="6"/>
  <c r="Q210" i="6"/>
  <c r="N228" i="6"/>
  <c r="M9" i="6"/>
  <c r="O9" i="6" s="1"/>
  <c r="X10" i="6"/>
  <c r="Y63" i="7"/>
  <c r="M18" i="7"/>
  <c r="V66" i="7"/>
  <c r="M19" i="7"/>
  <c r="M21" i="7"/>
  <c r="M20" i="7"/>
  <c r="Q122" i="6"/>
  <c r="X173" i="6"/>
  <c r="X193" i="6"/>
  <c r="Q156" i="6"/>
  <c r="Q118" i="6"/>
  <c r="Q219" i="6"/>
  <c r="Q205" i="6"/>
  <c r="X162" i="6"/>
  <c r="X152" i="6"/>
  <c r="P143" i="6"/>
  <c r="M143" i="6"/>
  <c r="O143" i="6" s="1"/>
  <c r="P120" i="6"/>
  <c r="M120" i="6"/>
  <c r="O120" i="6" s="1"/>
  <c r="P139" i="6"/>
  <c r="M139" i="6"/>
  <c r="O139" i="6" s="1"/>
  <c r="Q95" i="6"/>
  <c r="Q89" i="6"/>
  <c r="P69" i="6"/>
  <c r="M69" i="6"/>
  <c r="O69" i="6" s="1"/>
  <c r="P71" i="6"/>
  <c r="M71" i="6"/>
  <c r="O71" i="6" s="1"/>
  <c r="Q227" i="6"/>
  <c r="Q213" i="6"/>
  <c r="Q221" i="6"/>
  <c r="P227" i="6"/>
  <c r="M227" i="6"/>
  <c r="O227" i="6" s="1"/>
  <c r="M212" i="6"/>
  <c r="O212" i="6" s="1"/>
  <c r="P212" i="6"/>
  <c r="M200" i="6"/>
  <c r="O200" i="6" s="1"/>
  <c r="P200" i="6"/>
  <c r="P213" i="6"/>
  <c r="M213" i="6"/>
  <c r="O213" i="6" s="1"/>
  <c r="Q182" i="6"/>
  <c r="M181" i="6"/>
  <c r="O181" i="6" s="1"/>
  <c r="P181" i="6"/>
  <c r="M191" i="6"/>
  <c r="O191" i="6" s="1"/>
  <c r="P191" i="6"/>
  <c r="N177" i="6"/>
  <c r="N146" i="6"/>
  <c r="X150" i="6"/>
  <c r="X146" i="6"/>
  <c r="P134" i="6"/>
  <c r="M134" i="6"/>
  <c r="O134" i="6" s="1"/>
  <c r="P128" i="6"/>
  <c r="M128" i="6"/>
  <c r="O128" i="6" s="1"/>
  <c r="X130" i="6"/>
  <c r="Q98" i="6"/>
  <c r="P112" i="6"/>
  <c r="M112" i="6"/>
  <c r="O112" i="6" s="1"/>
  <c r="P111" i="6"/>
  <c r="M111" i="6"/>
  <c r="O111" i="6" s="1"/>
  <c r="N85" i="6"/>
  <c r="M87" i="6"/>
  <c r="O87" i="6" s="1"/>
  <c r="P87" i="6"/>
  <c r="Q79" i="6"/>
  <c r="X82" i="6"/>
  <c r="M82" i="6"/>
  <c r="O82" i="6" s="1"/>
  <c r="P82" i="6"/>
  <c r="N57" i="6"/>
  <c r="Q46" i="6"/>
  <c r="Q47" i="6"/>
  <c r="P38" i="6"/>
  <c r="M38" i="6"/>
  <c r="O38" i="6" s="1"/>
  <c r="N53" i="6"/>
  <c r="N59" i="6"/>
  <c r="Q91" i="6"/>
  <c r="X33" i="6"/>
  <c r="T31" i="7"/>
  <c r="O31" i="7"/>
  <c r="S31" i="7" s="1"/>
  <c r="X18" i="6"/>
  <c r="N15" i="6"/>
  <c r="N37" i="6"/>
  <c r="P75" i="6"/>
  <c r="M75" i="6"/>
  <c r="O75" i="6" s="1"/>
  <c r="N62" i="6"/>
  <c r="Q56" i="6"/>
  <c r="X70" i="6"/>
  <c r="N148" i="6"/>
  <c r="X88" i="6"/>
  <c r="N97" i="6"/>
  <c r="N137" i="6"/>
  <c r="Q97" i="6"/>
  <c r="P115" i="6"/>
  <c r="M115" i="6"/>
  <c r="O115" i="6" s="1"/>
  <c r="X117" i="6"/>
  <c r="Q119" i="6"/>
  <c r="X160" i="6"/>
  <c r="X145" i="6"/>
  <c r="N174" i="6"/>
  <c r="Q177" i="6"/>
  <c r="N184" i="6"/>
  <c r="Q162" i="6"/>
  <c r="N213" i="6"/>
  <c r="X190" i="6"/>
  <c r="N194" i="6"/>
  <c r="Q201" i="6"/>
  <c r="N214" i="6"/>
  <c r="X204" i="6"/>
  <c r="P211" i="6"/>
  <c r="M211" i="6"/>
  <c r="O211" i="6" s="1"/>
  <c r="P217" i="6"/>
  <c r="M217" i="6"/>
  <c r="O217" i="6" s="1"/>
  <c r="X229" i="6"/>
  <c r="X17" i="6"/>
  <c r="X34" i="6" l="1"/>
  <c r="X92" i="6"/>
  <c r="X185" i="6"/>
  <c r="X90" i="6"/>
  <c r="X73" i="6"/>
  <c r="N12" i="6"/>
  <c r="X203" i="6"/>
  <c r="O15" i="7"/>
  <c r="S15" i="7" s="1"/>
  <c r="M30" i="6"/>
  <c r="O30" i="6" s="1"/>
  <c r="X128" i="6"/>
  <c r="Q5" i="6"/>
  <c r="D34" i="7"/>
  <c r="X135" i="6"/>
  <c r="S218" i="6"/>
  <c r="S217" i="6"/>
  <c r="AF226" i="6"/>
  <c r="R229" i="6"/>
  <c r="S228" i="6"/>
  <c r="O12" i="7"/>
  <c r="AF228" i="6"/>
  <c r="S204" i="6"/>
  <c r="AF217" i="6"/>
  <c r="AF204" i="6"/>
  <c r="R225" i="6"/>
  <c r="S215" i="6"/>
  <c r="S208" i="6"/>
  <c r="AF218" i="6"/>
  <c r="S210" i="6"/>
  <c r="S209" i="6"/>
  <c r="R227" i="6"/>
  <c r="R226" i="6"/>
  <c r="R217" i="6"/>
  <c r="S212" i="6"/>
  <c r="R209" i="6"/>
  <c r="AF202" i="6"/>
  <c r="S216" i="6"/>
  <c r="R212" i="6"/>
  <c r="AF214" i="6"/>
  <c r="R207" i="6"/>
  <c r="S203" i="6"/>
  <c r="S201" i="6"/>
  <c r="AF194" i="6"/>
  <c r="R194" i="6"/>
  <c r="R203" i="6"/>
  <c r="R201" i="6"/>
  <c r="AF213" i="6"/>
  <c r="AF208" i="6"/>
  <c r="S211" i="6"/>
  <c r="AF203" i="6"/>
  <c r="S193" i="6"/>
  <c r="AF192" i="6"/>
  <c r="S189" i="6"/>
  <c r="AF185" i="6"/>
  <c r="R185" i="6"/>
  <c r="AF182" i="6"/>
  <c r="S182" i="6"/>
  <c r="AF180" i="6"/>
  <c r="S180" i="6"/>
  <c r="AF178" i="6"/>
  <c r="S178" i="6"/>
  <c r="AF176" i="6"/>
  <c r="S176" i="6"/>
  <c r="AF206" i="6"/>
  <c r="S202" i="6"/>
  <c r="AF201" i="6"/>
  <c r="R193" i="6"/>
  <c r="R189" i="6"/>
  <c r="S190" i="6"/>
  <c r="AF189" i="6"/>
  <c r="AF209" i="6"/>
  <c r="S197" i="6"/>
  <c r="AF193" i="6"/>
  <c r="AF210" i="6"/>
  <c r="R218" i="6"/>
  <c r="AF207" i="6"/>
  <c r="AF199" i="6"/>
  <c r="AF190" i="6"/>
  <c r="S172" i="6"/>
  <c r="S199" i="6"/>
  <c r="R184" i="6"/>
  <c r="AF174" i="6"/>
  <c r="S168" i="6"/>
  <c r="R199" i="6"/>
  <c r="S183" i="6"/>
  <c r="R188" i="6"/>
  <c r="S187" i="6"/>
  <c r="S186" i="6"/>
  <c r="R187" i="6"/>
  <c r="R186" i="6"/>
  <c r="R196" i="6"/>
  <c r="AF191" i="6"/>
  <c r="AF188" i="6"/>
  <c r="AF175" i="6"/>
  <c r="S170" i="6"/>
  <c r="AF184" i="6"/>
  <c r="S167" i="6"/>
  <c r="AF154" i="6"/>
  <c r="R154" i="6"/>
  <c r="R167" i="6"/>
  <c r="S161" i="6"/>
  <c r="S206" i="6"/>
  <c r="AF183" i="6"/>
  <c r="AF177" i="6"/>
  <c r="S175" i="6"/>
  <c r="AF172" i="6"/>
  <c r="AF168" i="6"/>
  <c r="R161" i="6"/>
  <c r="S192" i="6"/>
  <c r="AF186" i="6"/>
  <c r="S181" i="6"/>
  <c r="R175" i="6"/>
  <c r="AF153" i="6"/>
  <c r="R153" i="6"/>
  <c r="R181" i="6"/>
  <c r="AF161" i="6"/>
  <c r="AF187" i="6"/>
  <c r="R183" i="6"/>
  <c r="R168" i="6"/>
  <c r="AF173" i="6"/>
  <c r="R157" i="6"/>
  <c r="S148" i="6"/>
  <c r="AF158" i="6"/>
  <c r="R148" i="6"/>
  <c r="S171" i="6"/>
  <c r="S152" i="6"/>
  <c r="R152" i="6"/>
  <c r="AF148" i="6"/>
  <c r="S162" i="6"/>
  <c r="S174" i="6"/>
  <c r="AF157" i="6"/>
  <c r="R156" i="6"/>
  <c r="S155" i="6"/>
  <c r="R155" i="6"/>
  <c r="AF146" i="6"/>
  <c r="AF170" i="6"/>
  <c r="AF166" i="6"/>
  <c r="S158" i="6"/>
  <c r="AF152" i="6"/>
  <c r="R164" i="6"/>
  <c r="R158" i="6"/>
  <c r="S146" i="6"/>
  <c r="S129" i="6"/>
  <c r="R146" i="6"/>
  <c r="S136" i="6"/>
  <c r="R135" i="6"/>
  <c r="R129" i="6"/>
  <c r="AF128" i="6"/>
  <c r="R128" i="6"/>
  <c r="AF123" i="6"/>
  <c r="R123" i="6"/>
  <c r="AF167" i="6"/>
  <c r="R136" i="6"/>
  <c r="S134" i="6"/>
  <c r="R133" i="6"/>
  <c r="AF129" i="6"/>
  <c r="S160" i="6"/>
  <c r="R134" i="6"/>
  <c r="S156" i="6"/>
  <c r="R150" i="6"/>
  <c r="R141" i="6"/>
  <c r="S130" i="6"/>
  <c r="AF126" i="6"/>
  <c r="R121" i="6"/>
  <c r="R115" i="6"/>
  <c r="R130" i="6"/>
  <c r="S122" i="6"/>
  <c r="R160" i="6"/>
  <c r="S132" i="6"/>
  <c r="R126" i="6"/>
  <c r="AF136" i="6"/>
  <c r="S119" i="6"/>
  <c r="R98" i="6"/>
  <c r="AF105" i="6"/>
  <c r="R97" i="6"/>
  <c r="S126" i="6"/>
  <c r="S83" i="6"/>
  <c r="R80" i="6"/>
  <c r="AF150" i="6"/>
  <c r="R102" i="6"/>
  <c r="S150" i="6"/>
  <c r="S117" i="6"/>
  <c r="AF107" i="6"/>
  <c r="AF109" i="6"/>
  <c r="AF81" i="6"/>
  <c r="R88" i="6"/>
  <c r="S85" i="6"/>
  <c r="R76" i="6"/>
  <c r="AF74" i="6"/>
  <c r="S66" i="6"/>
  <c r="AF56" i="6"/>
  <c r="R117" i="6"/>
  <c r="R85" i="6"/>
  <c r="S64" i="6"/>
  <c r="R132" i="6"/>
  <c r="AF87" i="6"/>
  <c r="S68" i="6"/>
  <c r="S61" i="6"/>
  <c r="AF60" i="6"/>
  <c r="S54" i="6"/>
  <c r="R122" i="6"/>
  <c r="R86" i="6"/>
  <c r="AF83" i="6"/>
  <c r="S75" i="6"/>
  <c r="R61" i="6"/>
  <c r="AF89" i="6"/>
  <c r="S70" i="6"/>
  <c r="AF66" i="6"/>
  <c r="AF64" i="6"/>
  <c r="S58" i="6"/>
  <c r="S107" i="6"/>
  <c r="AF73" i="6"/>
  <c r="AF121" i="6"/>
  <c r="R107" i="6"/>
  <c r="S105" i="6"/>
  <c r="R99" i="6"/>
  <c r="R90" i="6"/>
  <c r="S89" i="6"/>
  <c r="S87" i="6"/>
  <c r="S79" i="6"/>
  <c r="S72" i="6"/>
  <c r="AF68" i="6"/>
  <c r="R105" i="6"/>
  <c r="AF97" i="6"/>
  <c r="R84" i="6"/>
  <c r="AF72" i="6"/>
  <c r="AF52" i="6"/>
  <c r="AF70" i="6"/>
  <c r="AF67" i="6"/>
  <c r="S62" i="6"/>
  <c r="AF61" i="6"/>
  <c r="S55" i="6"/>
  <c r="S60" i="6"/>
  <c r="R55" i="6"/>
  <c r="R89" i="6"/>
  <c r="AF79" i="6"/>
  <c r="S67" i="6"/>
  <c r="AF54" i="6"/>
  <c r="AF50" i="6"/>
  <c r="R87" i="6"/>
  <c r="AF85" i="6"/>
  <c r="R79" i="6"/>
  <c r="R78" i="6"/>
  <c r="S69" i="6"/>
  <c r="R67" i="6"/>
  <c r="AF75" i="6"/>
  <c r="AF58" i="6"/>
  <c r="S45" i="6"/>
  <c r="AF65" i="6"/>
  <c r="S52" i="6"/>
  <c r="S50" i="6"/>
  <c r="R45" i="6"/>
  <c r="AF39" i="6"/>
  <c r="S35" i="6"/>
  <c r="R83" i="6"/>
  <c r="S74" i="6"/>
  <c r="R35" i="6"/>
  <c r="AF45" i="6"/>
  <c r="R65" i="6"/>
  <c r="AF115" i="6"/>
  <c r="S47" i="6"/>
  <c r="R47" i="6"/>
  <c r="R40" i="6"/>
  <c r="AF62" i="6"/>
  <c r="S56" i="6"/>
  <c r="S41" i="6"/>
  <c r="R41" i="6"/>
  <c r="R38" i="6"/>
  <c r="AF55" i="6"/>
  <c r="AF51" i="6"/>
  <c r="R33" i="6"/>
  <c r="AF35" i="6"/>
  <c r="S65" i="6"/>
  <c r="S63" i="6"/>
  <c r="R71" i="6"/>
  <c r="R43" i="6"/>
  <c r="S92" i="6"/>
  <c r="AF111" i="6"/>
  <c r="R101" i="6"/>
  <c r="R48" i="6"/>
  <c r="S48" i="6"/>
  <c r="AF90" i="6"/>
  <c r="AF84" i="6"/>
  <c r="AF100" i="6"/>
  <c r="S110" i="6"/>
  <c r="R111" i="6"/>
  <c r="S96" i="6"/>
  <c r="S137" i="6"/>
  <c r="R131" i="6"/>
  <c r="R94" i="6"/>
  <c r="R159" i="6"/>
  <c r="AF140" i="6"/>
  <c r="S127" i="6"/>
  <c r="R114" i="6"/>
  <c r="S116" i="6"/>
  <c r="S142" i="6"/>
  <c r="AF160" i="6"/>
  <c r="R173" i="6"/>
  <c r="R145" i="6"/>
  <c r="S154" i="6"/>
  <c r="S184" i="6"/>
  <c r="S213" i="6"/>
  <c r="R206" i="6"/>
  <c r="R213" i="6"/>
  <c r="S200" i="6"/>
  <c r="AF40" i="6"/>
  <c r="R73" i="6"/>
  <c r="AF130" i="6"/>
  <c r="R138" i="6"/>
  <c r="S191" i="6"/>
  <c r="R200" i="6"/>
  <c r="S115" i="6"/>
  <c r="S179" i="6"/>
  <c r="S225" i="6"/>
  <c r="R197" i="6"/>
  <c r="R211" i="6"/>
  <c r="AF197" i="6"/>
  <c r="AF33" i="6"/>
  <c r="AF71" i="6"/>
  <c r="S36" i="6"/>
  <c r="R37" i="6"/>
  <c r="R56" i="6"/>
  <c r="AF77" i="6"/>
  <c r="R58" i="6"/>
  <c r="R106" i="6"/>
  <c r="AF48" i="6"/>
  <c r="R54" i="6"/>
  <c r="R112" i="6"/>
  <c r="S90" i="6"/>
  <c r="AF86" i="6"/>
  <c r="S84" i="6"/>
  <c r="S100" i="6"/>
  <c r="R96" i="6"/>
  <c r="R140" i="6"/>
  <c r="R116" i="6"/>
  <c r="AF116" i="6"/>
  <c r="AF141" i="6"/>
  <c r="AF163" i="6"/>
  <c r="AF149" i="6"/>
  <c r="S144" i="6"/>
  <c r="R147" i="6"/>
  <c r="S177" i="6"/>
  <c r="R191" i="6"/>
  <c r="S188" i="6"/>
  <c r="AF219" i="6"/>
  <c r="S207" i="6"/>
  <c r="R216" i="6"/>
  <c r="AF216" i="6"/>
  <c r="AF125" i="6"/>
  <c r="AF179" i="6"/>
  <c r="R176" i="6"/>
  <c r="S226" i="6"/>
  <c r="R166" i="6"/>
  <c r="R190" i="6"/>
  <c r="R104" i="6"/>
  <c r="AF46" i="6"/>
  <c r="R143" i="6"/>
  <c r="S195" i="6"/>
  <c r="AF91" i="6"/>
  <c r="AF53" i="6"/>
  <c r="R51" i="6"/>
  <c r="R113" i="6"/>
  <c r="R77" i="6"/>
  <c r="S86" i="6"/>
  <c r="R110" i="6"/>
  <c r="S95" i="6"/>
  <c r="AF96" i="6"/>
  <c r="R137" i="6"/>
  <c r="AF119" i="6"/>
  <c r="R118" i="6"/>
  <c r="AF156" i="6"/>
  <c r="S141" i="6"/>
  <c r="R163" i="6"/>
  <c r="S164" i="6"/>
  <c r="S165" i="6"/>
  <c r="R179" i="6"/>
  <c r="R149" i="6"/>
  <c r="R177" i="6"/>
  <c r="R170" i="6"/>
  <c r="S219" i="6"/>
  <c r="AF200" i="6"/>
  <c r="AF215" i="6"/>
  <c r="AF221" i="6"/>
  <c r="AF162" i="6"/>
  <c r="S151" i="6"/>
  <c r="R205" i="6"/>
  <c r="R214" i="6"/>
  <c r="S91" i="6"/>
  <c r="AF43" i="6"/>
  <c r="AF34" i="6"/>
  <c r="S53" i="6"/>
  <c r="AF57" i="6"/>
  <c r="R82" i="6"/>
  <c r="S42" i="6"/>
  <c r="R57" i="6"/>
  <c r="S57" i="6"/>
  <c r="AF88" i="6"/>
  <c r="R100" i="6"/>
  <c r="AF122" i="6"/>
  <c r="AF76" i="6"/>
  <c r="R95" i="6"/>
  <c r="AF98" i="6"/>
  <c r="AF117" i="6"/>
  <c r="AF139" i="6"/>
  <c r="R120" i="6"/>
  <c r="S118" i="6"/>
  <c r="S157" i="6"/>
  <c r="AF134" i="6"/>
  <c r="AF143" i="6"/>
  <c r="AF151" i="6"/>
  <c r="R165" i="6"/>
  <c r="S153" i="6"/>
  <c r="R151" i="6"/>
  <c r="R172" i="6"/>
  <c r="AF205" i="6"/>
  <c r="S222" i="6"/>
  <c r="S185" i="6"/>
  <c r="AF223" i="6"/>
  <c r="R210" i="6"/>
  <c r="S221" i="6"/>
  <c r="AF59" i="6"/>
  <c r="R72" i="6"/>
  <c r="R109" i="6"/>
  <c r="AF225" i="6"/>
  <c r="S147" i="6"/>
  <c r="R215" i="6"/>
  <c r="AF212" i="6"/>
  <c r="R182" i="6"/>
  <c r="S220" i="6"/>
  <c r="R221" i="6"/>
  <c r="AF229" i="6"/>
  <c r="S196" i="6"/>
  <c r="R204" i="6"/>
  <c r="AF124" i="6"/>
  <c r="AF169" i="6"/>
  <c r="S166" i="6"/>
  <c r="S198" i="6"/>
  <c r="R91" i="6"/>
  <c r="S71" i="6"/>
  <c r="AF49" i="6"/>
  <c r="S34" i="6"/>
  <c r="R39" i="6"/>
  <c r="S113" i="6"/>
  <c r="AF42" i="6"/>
  <c r="S81" i="6"/>
  <c r="S88" i="6"/>
  <c r="S76" i="6"/>
  <c r="AF95" i="6"/>
  <c r="AF127" i="6"/>
  <c r="S97" i="6"/>
  <c r="S98" i="6"/>
  <c r="S138" i="6"/>
  <c r="R119" i="6"/>
  <c r="S139" i="6"/>
  <c r="AF118" i="6"/>
  <c r="S143" i="6"/>
  <c r="AF165" i="6"/>
  <c r="S145" i="6"/>
  <c r="R174" i="6"/>
  <c r="AF222" i="6"/>
  <c r="AF220" i="6"/>
  <c r="R195" i="6"/>
  <c r="S223" i="6"/>
  <c r="R198" i="6"/>
  <c r="R49" i="6"/>
  <c r="S51" i="6"/>
  <c r="AF78" i="6"/>
  <c r="R81" i="6"/>
  <c r="AF132" i="6"/>
  <c r="S173" i="6"/>
  <c r="R222" i="6"/>
  <c r="AF195" i="6"/>
  <c r="R223" i="6"/>
  <c r="R208" i="6"/>
  <c r="R171" i="6"/>
  <c r="AF133" i="6"/>
  <c r="AF171" i="6"/>
  <c r="S229" i="6"/>
  <c r="S106" i="6"/>
  <c r="AF131" i="6"/>
  <c r="R224" i="6"/>
  <c r="R66" i="6"/>
  <c r="R69" i="6"/>
  <c r="AF82" i="6"/>
  <c r="S194" i="6"/>
  <c r="S49" i="6"/>
  <c r="S59" i="6"/>
  <c r="S40" i="6"/>
  <c r="R34" i="6"/>
  <c r="AF63" i="6"/>
  <c r="R74" i="6"/>
  <c r="AF104" i="6"/>
  <c r="S78" i="6"/>
  <c r="S44" i="6"/>
  <c r="AF69" i="6"/>
  <c r="AF108" i="6"/>
  <c r="R125" i="6"/>
  <c r="AF99" i="6"/>
  <c r="S120" i="6"/>
  <c r="R178" i="6"/>
  <c r="S114" i="6"/>
  <c r="AF164" i="6"/>
  <c r="S214" i="6"/>
  <c r="R142" i="6"/>
  <c r="R162" i="6"/>
  <c r="AF181" i="6"/>
  <c r="S227" i="6"/>
  <c r="S37" i="6"/>
  <c r="S33" i="6"/>
  <c r="R36" i="6"/>
  <c r="R59" i="6"/>
  <c r="R92" i="6"/>
  <c r="AF41" i="6"/>
  <c r="R32" i="6"/>
  <c r="R75" i="6"/>
  <c r="S93" i="6"/>
  <c r="AF113" i="6"/>
  <c r="S104" i="6"/>
  <c r="AF44" i="6"/>
  <c r="R70" i="6"/>
  <c r="S108" i="6"/>
  <c r="S125" i="6"/>
  <c r="AF159" i="6"/>
  <c r="S224" i="6"/>
  <c r="R127" i="6"/>
  <c r="S140" i="6"/>
  <c r="AF120" i="6"/>
  <c r="AF135" i="6"/>
  <c r="S163" i="6"/>
  <c r="R192" i="6"/>
  <c r="R180" i="6"/>
  <c r="R220" i="6"/>
  <c r="R219" i="6"/>
  <c r="AF211" i="6"/>
  <c r="S149" i="6"/>
  <c r="AF196" i="6"/>
  <c r="S123" i="6"/>
  <c r="R68" i="6"/>
  <c r="R44" i="6"/>
  <c r="S102" i="6"/>
  <c r="S133" i="6"/>
  <c r="AF155" i="6"/>
  <c r="AF227" i="6"/>
  <c r="R64" i="6"/>
  <c r="R50" i="6"/>
  <c r="R63" i="6"/>
  <c r="S109" i="6"/>
  <c r="R93" i="6"/>
  <c r="S73" i="6"/>
  <c r="S103" i="6"/>
  <c r="AF80" i="6"/>
  <c r="AF94" i="6"/>
  <c r="S121" i="6"/>
  <c r="AF138" i="6"/>
  <c r="AF224" i="6"/>
  <c r="R139" i="6"/>
  <c r="S135" i="6"/>
  <c r="R144" i="6"/>
  <c r="R169" i="6"/>
  <c r="S169" i="6"/>
  <c r="R124" i="6"/>
  <c r="AF144" i="6"/>
  <c r="R53" i="6"/>
  <c r="AF112" i="6"/>
  <c r="AF114" i="6"/>
  <c r="AF198" i="6"/>
  <c r="R52" i="6"/>
  <c r="R60" i="6"/>
  <c r="AF47" i="6"/>
  <c r="S39" i="6"/>
  <c r="AF93" i="6"/>
  <c r="AF101" i="6"/>
  <c r="R42" i="6"/>
  <c r="AF106" i="6"/>
  <c r="S46" i="6"/>
  <c r="R108" i="6"/>
  <c r="R103" i="6"/>
  <c r="S80" i="6"/>
  <c r="S99" i="6"/>
  <c r="AF102" i="6"/>
  <c r="S124" i="6"/>
  <c r="S205" i="6"/>
  <c r="S43" i="6"/>
  <c r="AF92" i="6"/>
  <c r="S38" i="6"/>
  <c r="S77" i="6"/>
  <c r="S32" i="6"/>
  <c r="S101" i="6"/>
  <c r="R62" i="6"/>
  <c r="R46" i="6"/>
  <c r="S82" i="6"/>
  <c r="AF103" i="6"/>
  <c r="AF110" i="6"/>
  <c r="S111" i="6"/>
  <c r="AF137" i="6"/>
  <c r="S131" i="6"/>
  <c r="S112" i="6"/>
  <c r="S94" i="6"/>
  <c r="S159" i="6"/>
  <c r="AF142" i="6"/>
  <c r="AF147" i="6"/>
  <c r="S128" i="6"/>
  <c r="AF145" i="6"/>
  <c r="R202" i="6"/>
  <c r="R228" i="6"/>
  <c r="X217" i="6"/>
  <c r="X167" i="6"/>
  <c r="P13" i="6"/>
  <c r="P7" i="6"/>
  <c r="M7" i="6"/>
  <c r="X143" i="6"/>
  <c r="O20" i="7"/>
  <c r="S20" i="7" s="1"/>
  <c r="X72" i="6"/>
  <c r="X32" i="6"/>
  <c r="X47" i="6"/>
  <c r="X75" i="6"/>
  <c r="X181" i="6"/>
  <c r="P21" i="6"/>
  <c r="P20" i="6"/>
  <c r="X194" i="6"/>
  <c r="X84" i="6"/>
  <c r="X125" i="6"/>
  <c r="G24" i="6"/>
  <c r="P4" i="6"/>
  <c r="M4" i="6"/>
  <c r="C35" i="7"/>
  <c r="X57" i="6"/>
  <c r="M8" i="6"/>
  <c r="O8" i="6" s="1"/>
  <c r="P8" i="6"/>
  <c r="X9" i="6"/>
  <c r="N22" i="6"/>
  <c r="X137" i="6"/>
  <c r="X11" i="6"/>
  <c r="X15" i="6"/>
  <c r="P30" i="6"/>
  <c r="X35" i="6"/>
  <c r="X136" i="6"/>
  <c r="X129" i="6"/>
  <c r="O27" i="7"/>
  <c r="S27" i="7" s="1"/>
  <c r="X191" i="6"/>
  <c r="X91" i="6"/>
  <c r="X151" i="6"/>
  <c r="O13" i="7"/>
  <c r="S13" i="7" s="1"/>
  <c r="X206" i="6"/>
  <c r="X112" i="6"/>
  <c r="P11" i="6"/>
  <c r="P22" i="6"/>
  <c r="M22" i="6"/>
  <c r="O22" i="6" s="1"/>
  <c r="X37" i="6"/>
  <c r="P23" i="6"/>
  <c r="P9" i="6"/>
  <c r="H24" i="6"/>
  <c r="E34" i="7" s="1"/>
  <c r="Q4" i="6"/>
  <c r="C34" i="7"/>
  <c r="X221" i="6"/>
  <c r="P10" i="6"/>
  <c r="Q23" i="6"/>
  <c r="O21" i="7"/>
  <c r="S21" i="7" s="1"/>
  <c r="P17" i="6"/>
  <c r="Q18" i="6"/>
  <c r="P6" i="6"/>
  <c r="M6" i="6"/>
  <c r="O6" i="6" s="1"/>
  <c r="X108" i="6"/>
  <c r="X187" i="6"/>
  <c r="X111" i="6"/>
  <c r="O14" i="7"/>
  <c r="S14" i="7" s="1"/>
  <c r="X183" i="6"/>
  <c r="O19" i="6"/>
  <c r="X19" i="6"/>
  <c r="N8" i="6"/>
  <c r="X153" i="6"/>
  <c r="X202" i="6"/>
  <c r="Q22" i="6"/>
  <c r="X52" i="6"/>
  <c r="X192" i="6"/>
  <c r="X53" i="6"/>
  <c r="O19" i="7"/>
  <c r="S19" i="7" s="1"/>
  <c r="T19" i="7"/>
  <c r="X211" i="6"/>
  <c r="X132" i="6"/>
  <c r="Q6" i="6"/>
  <c r="X65" i="6"/>
  <c r="X69" i="6"/>
  <c r="X219" i="6"/>
  <c r="K24" i="6"/>
  <c r="N24" i="6" s="1"/>
  <c r="N4" i="6"/>
  <c r="X93" i="6"/>
  <c r="P19" i="6"/>
  <c r="X175" i="6"/>
  <c r="X188" i="6"/>
  <c r="Q12" i="6"/>
  <c r="N7" i="6"/>
  <c r="Q20" i="6"/>
  <c r="X120" i="6"/>
  <c r="X224" i="6"/>
  <c r="M14" i="6"/>
  <c r="O14" i="6" s="1"/>
  <c r="P14" i="6"/>
  <c r="X44" i="6"/>
  <c r="X161" i="6"/>
  <c r="X115" i="6"/>
  <c r="Q7" i="6"/>
  <c r="X42" i="6"/>
  <c r="X216" i="6"/>
  <c r="T25" i="7"/>
  <c r="O25" i="7"/>
  <c r="S25" i="7" s="1"/>
  <c r="O16" i="6"/>
  <c r="X16" i="6"/>
  <c r="X54" i="6"/>
  <c r="X212" i="6"/>
  <c r="X171" i="6"/>
  <c r="X228" i="6"/>
  <c r="X213" i="6"/>
  <c r="X124" i="6"/>
  <c r="X197" i="6"/>
  <c r="O26" i="7"/>
  <c r="S26" i="7" s="1"/>
  <c r="X59" i="6"/>
  <c r="P16" i="6"/>
  <c r="X196" i="6"/>
  <c r="X38" i="6"/>
  <c r="X179" i="6"/>
  <c r="L24" i="6"/>
  <c r="X170" i="6"/>
  <c r="X20" i="6"/>
  <c r="X144" i="6"/>
  <c r="X51" i="6"/>
  <c r="X89" i="6"/>
  <c r="Q14" i="6"/>
  <c r="X138" i="6"/>
  <c r="X165" i="6"/>
  <c r="Q9" i="6"/>
  <c r="N30" i="6"/>
  <c r="M12" i="6"/>
  <c r="O12" i="6" s="1"/>
  <c r="P12" i="6"/>
  <c r="X134" i="6"/>
  <c r="X126" i="6"/>
  <c r="M5" i="6"/>
  <c r="O18" i="7" s="1"/>
  <c r="P5" i="6"/>
  <c r="D35" i="7"/>
  <c r="X96" i="6"/>
  <c r="X119" i="6"/>
  <c r="X64" i="6"/>
  <c r="X139" i="6"/>
  <c r="X223" i="6"/>
  <c r="X201" i="6"/>
  <c r="X166" i="6"/>
  <c r="X61" i="6"/>
  <c r="Q21" i="6"/>
  <c r="X218" i="6"/>
  <c r="X68" i="6"/>
  <c r="X77" i="6"/>
  <c r="X21" i="6"/>
  <c r="Q8" i="6"/>
  <c r="X48" i="6"/>
  <c r="X14" i="6"/>
  <c r="X100" i="6"/>
  <c r="X56" i="6"/>
  <c r="Q16" i="6"/>
  <c r="X22" i="6"/>
  <c r="X123" i="6"/>
  <c r="Q24" i="6" l="1"/>
  <c r="AG219" i="6"/>
  <c r="T219" i="6"/>
  <c r="U219" i="6" s="1"/>
  <c r="T208" i="6"/>
  <c r="U208" i="6" s="1"/>
  <c r="AG208" i="6"/>
  <c r="T177" i="6"/>
  <c r="U177" i="6" s="1"/>
  <c r="AG177" i="6"/>
  <c r="T191" i="6"/>
  <c r="U191" i="6" s="1"/>
  <c r="AG191" i="6"/>
  <c r="AI115" i="6"/>
  <c r="AJ115" i="6" s="1"/>
  <c r="AP115" i="6" s="1"/>
  <c r="AG122" i="6"/>
  <c r="T122" i="6"/>
  <c r="U122" i="6" s="1"/>
  <c r="AH162" i="6"/>
  <c r="AI228" i="6"/>
  <c r="AJ228" i="6" s="1"/>
  <c r="AP228" i="6" s="1"/>
  <c r="AI102" i="6"/>
  <c r="AJ102" i="6" s="1"/>
  <c r="AP102" i="6" s="1"/>
  <c r="AH37" i="6"/>
  <c r="AG151" i="6"/>
  <c r="T151" i="6"/>
  <c r="U151" i="6" s="1"/>
  <c r="AI90" i="6"/>
  <c r="AJ90" i="6" s="1"/>
  <c r="AP90" i="6" s="1"/>
  <c r="AI73" i="6"/>
  <c r="AJ73" i="6" s="1"/>
  <c r="AP73" i="6" s="1"/>
  <c r="AG164" i="6"/>
  <c r="T164" i="6"/>
  <c r="U164" i="6" s="1"/>
  <c r="AI191" i="6"/>
  <c r="AJ191" i="6" s="1"/>
  <c r="AP191" i="6" s="1"/>
  <c r="AI224" i="6"/>
  <c r="AJ224" i="6" s="1"/>
  <c r="AP224" i="6" s="1"/>
  <c r="AI69" i="6"/>
  <c r="AJ69" i="6" s="1"/>
  <c r="AP69" i="6" s="1"/>
  <c r="AH166" i="6"/>
  <c r="AG179" i="6"/>
  <c r="T179" i="6"/>
  <c r="U179" i="6" s="1"/>
  <c r="AH86" i="6"/>
  <c r="AH226" i="6"/>
  <c r="AG147" i="6"/>
  <c r="T147" i="6"/>
  <c r="U147" i="6" s="1"/>
  <c r="AH90" i="6"/>
  <c r="AI197" i="6"/>
  <c r="AJ197" i="6" s="1"/>
  <c r="AP197" i="6" s="1"/>
  <c r="AH200" i="6"/>
  <c r="AH127" i="6"/>
  <c r="AH48" i="6"/>
  <c r="AI51" i="6"/>
  <c r="AJ51" i="6" s="1"/>
  <c r="AP51" i="6" s="1"/>
  <c r="AI45" i="6"/>
  <c r="AJ45" i="6" s="1"/>
  <c r="AP45" i="6" s="1"/>
  <c r="AI58" i="6"/>
  <c r="AJ58" i="6" s="1"/>
  <c r="AP58" i="6" s="1"/>
  <c r="T89" i="6"/>
  <c r="AG89" i="6"/>
  <c r="AG105" i="6"/>
  <c r="T105" i="6"/>
  <c r="U105" i="6" s="1"/>
  <c r="AH107" i="6"/>
  <c r="AI60" i="6"/>
  <c r="AJ60" i="6" s="1"/>
  <c r="AP60" i="6" s="1"/>
  <c r="AH85" i="6"/>
  <c r="T97" i="6"/>
  <c r="AG97" i="6"/>
  <c r="AI126" i="6"/>
  <c r="AJ126" i="6" s="1"/>
  <c r="AP126" i="6" s="1"/>
  <c r="T123" i="6"/>
  <c r="U123" i="6" s="1"/>
  <c r="AG123" i="6"/>
  <c r="AI152" i="6"/>
  <c r="AJ152" i="6" s="1"/>
  <c r="AP152" i="6" s="1"/>
  <c r="AG152" i="6"/>
  <c r="T152" i="6"/>
  <c r="U152" i="6" s="1"/>
  <c r="AG181" i="6"/>
  <c r="T181" i="6"/>
  <c r="U181" i="6" s="1"/>
  <c r="AI183" i="6"/>
  <c r="AJ183" i="6" s="1"/>
  <c r="AP183" i="6" s="1"/>
  <c r="AG196" i="6"/>
  <c r="T196" i="6"/>
  <c r="U196" i="6" s="1"/>
  <c r="AH172" i="6"/>
  <c r="T193" i="6"/>
  <c r="U193" i="6" s="1"/>
  <c r="AG193" i="6"/>
  <c r="T185" i="6"/>
  <c r="U185" i="6" s="1"/>
  <c r="AG185" i="6"/>
  <c r="AI194" i="6"/>
  <c r="AJ194" i="6" s="1"/>
  <c r="AP194" i="6" s="1"/>
  <c r="AG227" i="6"/>
  <c r="T227" i="6"/>
  <c r="U227" i="6" s="1"/>
  <c r="AH228" i="6"/>
  <c r="Y128" i="6"/>
  <c r="AH33" i="6"/>
  <c r="AH95" i="6"/>
  <c r="AI65" i="6"/>
  <c r="AJ65" i="6" s="1"/>
  <c r="AP65" i="6" s="1"/>
  <c r="AH182" i="6"/>
  <c r="AI82" i="6"/>
  <c r="AJ82" i="6" s="1"/>
  <c r="AP82" i="6" s="1"/>
  <c r="AG114" i="6"/>
  <c r="T114" i="6"/>
  <c r="U114" i="6" s="1"/>
  <c r="AH199" i="6"/>
  <c r="AH91" i="6"/>
  <c r="X12" i="6"/>
  <c r="Y153" i="6"/>
  <c r="X5" i="6"/>
  <c r="O7" i="6"/>
  <c r="O30" i="7"/>
  <c r="AH128" i="6"/>
  <c r="AG46" i="6"/>
  <c r="T46" i="6"/>
  <c r="U46" i="6" s="1"/>
  <c r="AH80" i="6"/>
  <c r="AI198" i="6"/>
  <c r="AJ198" i="6" s="1"/>
  <c r="AP198" i="6" s="1"/>
  <c r="AI138" i="6"/>
  <c r="AJ138" i="6" s="1"/>
  <c r="AP138" i="6" s="1"/>
  <c r="AI155" i="6"/>
  <c r="AJ155" i="6" s="1"/>
  <c r="AP155" i="6" s="1"/>
  <c r="AG192" i="6"/>
  <c r="T192" i="6"/>
  <c r="U192" i="6" s="1"/>
  <c r="AH104" i="6"/>
  <c r="AI181" i="6"/>
  <c r="AJ181" i="6" s="1"/>
  <c r="AP181" i="6" s="1"/>
  <c r="AH44" i="6"/>
  <c r="AF38" i="6"/>
  <c r="T222" i="6"/>
  <c r="U222" i="6" s="1"/>
  <c r="AG222" i="6"/>
  <c r="AG174" i="6"/>
  <c r="T174" i="6"/>
  <c r="U174" i="6" s="1"/>
  <c r="AH76" i="6"/>
  <c r="AI169" i="6"/>
  <c r="AJ169" i="6" s="1"/>
  <c r="AP169" i="6" s="1"/>
  <c r="T109" i="6"/>
  <c r="U109" i="6" s="1"/>
  <c r="AG109" i="6"/>
  <c r="AG165" i="6"/>
  <c r="T165" i="6"/>
  <c r="AI122" i="6"/>
  <c r="AJ122" i="6" s="1"/>
  <c r="AP122" i="6" s="1"/>
  <c r="T214" i="6"/>
  <c r="AG214" i="6"/>
  <c r="AH165" i="6"/>
  <c r="T77" i="6"/>
  <c r="U77" i="6" s="1"/>
  <c r="AG77" i="6"/>
  <c r="AG176" i="6"/>
  <c r="T176" i="6"/>
  <c r="U176" i="6" s="1"/>
  <c r="AH144" i="6"/>
  <c r="AG112" i="6"/>
  <c r="T112" i="6"/>
  <c r="U112" i="6" s="1"/>
  <c r="AG211" i="6"/>
  <c r="T211" i="6"/>
  <c r="U211" i="6" s="1"/>
  <c r="T213" i="6"/>
  <c r="U213" i="6" s="1"/>
  <c r="AG213" i="6"/>
  <c r="AI140" i="6"/>
  <c r="AJ140" i="6" s="1"/>
  <c r="AP140" i="6" s="1"/>
  <c r="AG48" i="6"/>
  <c r="T48" i="6"/>
  <c r="U48" i="6" s="1"/>
  <c r="AI55" i="6"/>
  <c r="AJ55" i="6" s="1"/>
  <c r="AP55" i="6" s="1"/>
  <c r="T35" i="6"/>
  <c r="U35" i="6" s="1"/>
  <c r="AG35" i="6"/>
  <c r="AI75" i="6"/>
  <c r="AJ75" i="6" s="1"/>
  <c r="AP75" i="6" s="1"/>
  <c r="T55" i="6"/>
  <c r="U55" i="6" s="1"/>
  <c r="AG55" i="6"/>
  <c r="AI68" i="6"/>
  <c r="AJ68" i="6" s="1"/>
  <c r="AP68" i="6" s="1"/>
  <c r="AH58" i="6"/>
  <c r="AH61" i="6"/>
  <c r="T88" i="6"/>
  <c r="AG88" i="6"/>
  <c r="AI105" i="6"/>
  <c r="AJ105" i="6" s="1"/>
  <c r="AP105" i="6" s="1"/>
  <c r="AH130" i="6"/>
  <c r="AI123" i="6"/>
  <c r="AJ123" i="6" s="1"/>
  <c r="AP123" i="6" s="1"/>
  <c r="AH158" i="6"/>
  <c r="AH152" i="6"/>
  <c r="AG153" i="6"/>
  <c r="T153" i="6"/>
  <c r="U153" i="6" s="1"/>
  <c r="AH206" i="6"/>
  <c r="T186" i="6"/>
  <c r="U186" i="6" s="1"/>
  <c r="AG186" i="6"/>
  <c r="AI190" i="6"/>
  <c r="AJ190" i="6" s="1"/>
  <c r="AP190" i="6" s="1"/>
  <c r="AI201" i="6"/>
  <c r="AJ201" i="6" s="1"/>
  <c r="AP201" i="6" s="1"/>
  <c r="AI185" i="6"/>
  <c r="AJ185" i="6" s="1"/>
  <c r="AP185" i="6" s="1"/>
  <c r="AH201" i="6"/>
  <c r="AH209" i="6"/>
  <c r="AG229" i="6"/>
  <c r="T229" i="6"/>
  <c r="U229" i="6" s="1"/>
  <c r="AH135" i="6"/>
  <c r="AG172" i="6"/>
  <c r="T172" i="6"/>
  <c r="U172" i="6" s="1"/>
  <c r="AI84" i="6"/>
  <c r="AJ84" i="6" s="1"/>
  <c r="AP84" i="6" s="1"/>
  <c r="AH190" i="6"/>
  <c r="AG139" i="6"/>
  <c r="T139" i="6"/>
  <c r="U139" i="6" s="1"/>
  <c r="AG166" i="6"/>
  <c r="T166" i="6"/>
  <c r="U166" i="6" s="1"/>
  <c r="AG69" i="6"/>
  <c r="T69" i="6"/>
  <c r="U69" i="6" s="1"/>
  <c r="Y216" i="6"/>
  <c r="AI147" i="6"/>
  <c r="AJ147" i="6" s="1"/>
  <c r="AP147" i="6" s="1"/>
  <c r="T62" i="6"/>
  <c r="U62" i="6" s="1"/>
  <c r="AG62" i="6"/>
  <c r="T103" i="6"/>
  <c r="U103" i="6" s="1"/>
  <c r="AG103" i="6"/>
  <c r="AI114" i="6"/>
  <c r="AJ114" i="6" s="1"/>
  <c r="AP114" i="6" s="1"/>
  <c r="AH121" i="6"/>
  <c r="AH133" i="6"/>
  <c r="AH163" i="6"/>
  <c r="AI113" i="6"/>
  <c r="AJ113" i="6" s="1"/>
  <c r="AP113" i="6" s="1"/>
  <c r="T162" i="6"/>
  <c r="U162" i="6" s="1"/>
  <c r="AG162" i="6"/>
  <c r="AH78" i="6"/>
  <c r="AG66" i="6"/>
  <c r="T66" i="6"/>
  <c r="U66" i="6" s="1"/>
  <c r="AH173" i="6"/>
  <c r="AH145" i="6"/>
  <c r="AH88" i="6"/>
  <c r="AI124" i="6"/>
  <c r="AJ124" i="6" s="1"/>
  <c r="AP124" i="6" s="1"/>
  <c r="AG72" i="6"/>
  <c r="T72" i="6"/>
  <c r="AI151" i="6"/>
  <c r="AJ151" i="6" s="1"/>
  <c r="AP151" i="6" s="1"/>
  <c r="T100" i="6"/>
  <c r="U100" i="6" s="1"/>
  <c r="AG100" i="6"/>
  <c r="AG205" i="6"/>
  <c r="T205" i="6"/>
  <c r="U205" i="6" s="1"/>
  <c r="AH164" i="6"/>
  <c r="AG113" i="6"/>
  <c r="T113" i="6"/>
  <c r="AI179" i="6"/>
  <c r="AJ179" i="6" s="1"/>
  <c r="AP179" i="6" s="1"/>
  <c r="AI149" i="6"/>
  <c r="AJ149" i="6" s="1"/>
  <c r="AP149" i="6" s="1"/>
  <c r="T54" i="6"/>
  <c r="U54" i="6" s="1"/>
  <c r="AG54" i="6"/>
  <c r="AG197" i="6"/>
  <c r="T197" i="6"/>
  <c r="AG206" i="6"/>
  <c r="T206" i="6"/>
  <c r="U206" i="6" s="1"/>
  <c r="T159" i="6"/>
  <c r="U159" i="6" s="1"/>
  <c r="AG159" i="6"/>
  <c r="AG101" i="6"/>
  <c r="T101" i="6"/>
  <c r="U101" i="6" s="1"/>
  <c r="AG38" i="6"/>
  <c r="T38" i="6"/>
  <c r="U38" i="6" s="1"/>
  <c r="AH74" i="6"/>
  <c r="AG67" i="6"/>
  <c r="T67" i="6"/>
  <c r="U67" i="6" s="1"/>
  <c r="AH60" i="6"/>
  <c r="AH72" i="6"/>
  <c r="AI64" i="6"/>
  <c r="AJ64" i="6" s="1"/>
  <c r="AP64" i="6" s="1"/>
  <c r="AH68" i="6"/>
  <c r="AI81" i="6"/>
  <c r="AJ81" i="6" s="1"/>
  <c r="AP81" i="6" s="1"/>
  <c r="T98" i="6"/>
  <c r="U98" i="6" s="1"/>
  <c r="AG98" i="6"/>
  <c r="AG141" i="6"/>
  <c r="T141" i="6"/>
  <c r="U141" i="6" s="1"/>
  <c r="T128" i="6"/>
  <c r="U128" i="6" s="1"/>
  <c r="AG128" i="6"/>
  <c r="AI166" i="6"/>
  <c r="AJ166" i="6" s="1"/>
  <c r="AP166" i="6" s="1"/>
  <c r="AH171" i="6"/>
  <c r="AI153" i="6"/>
  <c r="AJ153" i="6" s="1"/>
  <c r="AP153" i="6" s="1"/>
  <c r="AH161" i="6"/>
  <c r="T187" i="6"/>
  <c r="U187" i="6" s="1"/>
  <c r="AG187" i="6"/>
  <c r="AI199" i="6"/>
  <c r="AJ199" i="6" s="1"/>
  <c r="AP199" i="6" s="1"/>
  <c r="AH202" i="6"/>
  <c r="AH189" i="6"/>
  <c r="AH203" i="6"/>
  <c r="AH210" i="6"/>
  <c r="AI226" i="6"/>
  <c r="AJ226" i="6" s="1"/>
  <c r="AP226" i="6" s="1"/>
  <c r="AG50" i="6"/>
  <c r="T50" i="6"/>
  <c r="U50" i="6" s="1"/>
  <c r="AG91" i="6"/>
  <c r="T91" i="6"/>
  <c r="AH116" i="6"/>
  <c r="T184" i="6"/>
  <c r="U184" i="6" s="1"/>
  <c r="AG184" i="6"/>
  <c r="AI220" i="6"/>
  <c r="AJ220" i="6" s="1"/>
  <c r="AP220" i="6" s="1"/>
  <c r="AI33" i="6"/>
  <c r="AJ33" i="6" s="1"/>
  <c r="AP33" i="6" s="1"/>
  <c r="T189" i="6"/>
  <c r="U189" i="6" s="1"/>
  <c r="AG189" i="6"/>
  <c r="AI195" i="6"/>
  <c r="AJ195" i="6" s="1"/>
  <c r="AP195" i="6" s="1"/>
  <c r="AI142" i="6"/>
  <c r="AJ142" i="6" s="1"/>
  <c r="AP142" i="6" s="1"/>
  <c r="AH101" i="6"/>
  <c r="AG108" i="6"/>
  <c r="T108" i="6"/>
  <c r="U108" i="6" s="1"/>
  <c r="AI112" i="6"/>
  <c r="AJ112" i="6" s="1"/>
  <c r="AP112" i="6" s="1"/>
  <c r="AI94" i="6"/>
  <c r="AJ94" i="6" s="1"/>
  <c r="AP94" i="6" s="1"/>
  <c r="AH102" i="6"/>
  <c r="AI135" i="6"/>
  <c r="AJ135" i="6" s="1"/>
  <c r="AP135" i="6" s="1"/>
  <c r="AH93" i="6"/>
  <c r="T142" i="6"/>
  <c r="U142" i="6" s="1"/>
  <c r="AG142" i="6"/>
  <c r="AI104" i="6"/>
  <c r="AJ104" i="6" s="1"/>
  <c r="AP104" i="6" s="1"/>
  <c r="T224" i="6"/>
  <c r="U224" i="6" s="1"/>
  <c r="AG224" i="6"/>
  <c r="AI132" i="6"/>
  <c r="AJ132" i="6" s="1"/>
  <c r="AP132" i="6" s="1"/>
  <c r="AI165" i="6"/>
  <c r="AJ165" i="6" s="1"/>
  <c r="AP165" i="6" s="1"/>
  <c r="AH81" i="6"/>
  <c r="AG204" i="6"/>
  <c r="T204" i="6"/>
  <c r="U204" i="6" s="1"/>
  <c r="AI59" i="6"/>
  <c r="AJ59" i="6" s="1"/>
  <c r="AP59" i="6" s="1"/>
  <c r="AI143" i="6"/>
  <c r="AJ143" i="6" s="1"/>
  <c r="AP143" i="6" s="1"/>
  <c r="AI88" i="6"/>
  <c r="AJ88" i="6" s="1"/>
  <c r="AP88" i="6" s="1"/>
  <c r="AH151" i="6"/>
  <c r="AG163" i="6"/>
  <c r="T163" i="6"/>
  <c r="U163" i="6" s="1"/>
  <c r="AG51" i="6"/>
  <c r="T51" i="6"/>
  <c r="AI125" i="6"/>
  <c r="AJ125" i="6" s="1"/>
  <c r="AP125" i="6" s="1"/>
  <c r="AI163" i="6"/>
  <c r="AJ163" i="6" s="1"/>
  <c r="AP163" i="6" s="1"/>
  <c r="AI48" i="6"/>
  <c r="AJ48" i="6" s="1"/>
  <c r="AP48" i="6" s="1"/>
  <c r="AH225" i="6"/>
  <c r="AH213" i="6"/>
  <c r="T94" i="6"/>
  <c r="U94" i="6" s="1"/>
  <c r="AG94" i="6"/>
  <c r="AI111" i="6"/>
  <c r="AJ111" i="6" s="1"/>
  <c r="AP111" i="6" s="1"/>
  <c r="AG41" i="6"/>
  <c r="T41" i="6"/>
  <c r="U41" i="6" s="1"/>
  <c r="T83" i="6"/>
  <c r="U83" i="6" s="1"/>
  <c r="AG83" i="6"/>
  <c r="AH69" i="6"/>
  <c r="AH55" i="6"/>
  <c r="AH79" i="6"/>
  <c r="AI66" i="6"/>
  <c r="AJ66" i="6" s="1"/>
  <c r="AP66" i="6" s="1"/>
  <c r="AI87" i="6"/>
  <c r="AJ87" i="6" s="1"/>
  <c r="AP87" i="6" s="1"/>
  <c r="AI109" i="6"/>
  <c r="AJ109" i="6" s="1"/>
  <c r="AP109" i="6" s="1"/>
  <c r="AH119" i="6"/>
  <c r="AG150" i="6"/>
  <c r="T150" i="6"/>
  <c r="U150" i="6" s="1"/>
  <c r="AI128" i="6"/>
  <c r="AJ128" i="6" s="1"/>
  <c r="AP128" i="6" s="1"/>
  <c r="AI170" i="6"/>
  <c r="AJ170" i="6" s="1"/>
  <c r="AP170" i="6" s="1"/>
  <c r="T148" i="6"/>
  <c r="U148" i="6" s="1"/>
  <c r="AG148" i="6"/>
  <c r="T175" i="6"/>
  <c r="AG175" i="6"/>
  <c r="T167" i="6"/>
  <c r="AG167" i="6"/>
  <c r="AH186" i="6"/>
  <c r="AI207" i="6"/>
  <c r="AJ207" i="6" s="1"/>
  <c r="AP207" i="6" s="1"/>
  <c r="AI206" i="6"/>
  <c r="AJ206" i="6" s="1"/>
  <c r="AP206" i="6" s="1"/>
  <c r="AI192" i="6"/>
  <c r="AJ192" i="6" s="1"/>
  <c r="AP192" i="6" s="1"/>
  <c r="T207" i="6"/>
  <c r="U207" i="6" s="1"/>
  <c r="AG207" i="6"/>
  <c r="AI218" i="6"/>
  <c r="AJ218" i="6" s="1"/>
  <c r="AP218" i="6" s="1"/>
  <c r="AH217" i="6"/>
  <c r="AI47" i="6"/>
  <c r="AJ47" i="6" s="1"/>
  <c r="AP47" i="6" s="1"/>
  <c r="AH194" i="6"/>
  <c r="AI98" i="6"/>
  <c r="AJ98" i="6" s="1"/>
  <c r="AP98" i="6" s="1"/>
  <c r="AH84" i="6"/>
  <c r="AH67" i="6"/>
  <c r="T115" i="6"/>
  <c r="U115" i="6" s="1"/>
  <c r="AG115" i="6"/>
  <c r="T217" i="6"/>
  <c r="AG217" i="6"/>
  <c r="T64" i="6"/>
  <c r="U64" i="6" s="1"/>
  <c r="AG64" i="6"/>
  <c r="AI127" i="6"/>
  <c r="AJ127" i="6" s="1"/>
  <c r="AP127" i="6" s="1"/>
  <c r="AG110" i="6"/>
  <c r="T110" i="6"/>
  <c r="U110" i="6" s="1"/>
  <c r="T65" i="6"/>
  <c r="U65" i="6" s="1"/>
  <c r="AG65" i="6"/>
  <c r="T121" i="6"/>
  <c r="AG121" i="6"/>
  <c r="AG194" i="6"/>
  <c r="T194" i="6"/>
  <c r="U194" i="6" s="1"/>
  <c r="AG180" i="6"/>
  <c r="T180" i="6"/>
  <c r="U180" i="6" s="1"/>
  <c r="AI76" i="6"/>
  <c r="AJ76" i="6" s="1"/>
  <c r="AP76" i="6" s="1"/>
  <c r="Y68" i="6"/>
  <c r="AH46" i="6"/>
  <c r="AH214" i="6"/>
  <c r="AI134" i="6"/>
  <c r="AJ134" i="6" s="1"/>
  <c r="AP134" i="6" s="1"/>
  <c r="AF32" i="6"/>
  <c r="AG131" i="6"/>
  <c r="T131" i="6"/>
  <c r="U131" i="6" s="1"/>
  <c r="AH70" i="6"/>
  <c r="AI146" i="6"/>
  <c r="AJ146" i="6" s="1"/>
  <c r="AP146" i="6" s="1"/>
  <c r="T218" i="6"/>
  <c r="U218" i="6" s="1"/>
  <c r="AG218" i="6"/>
  <c r="AI214" i="6"/>
  <c r="AJ214" i="6" s="1"/>
  <c r="AP214" i="6" s="1"/>
  <c r="AH94" i="6"/>
  <c r="AH77" i="6"/>
  <c r="AI106" i="6"/>
  <c r="AJ106" i="6" s="1"/>
  <c r="AP106" i="6" s="1"/>
  <c r="AI144" i="6"/>
  <c r="AJ144" i="6" s="1"/>
  <c r="AP144" i="6" s="1"/>
  <c r="AH103" i="6"/>
  <c r="AG68" i="6"/>
  <c r="T68" i="6"/>
  <c r="U68" i="6" s="1"/>
  <c r="AH140" i="6"/>
  <c r="AG32" i="6"/>
  <c r="T32" i="6"/>
  <c r="U32" i="6" s="1"/>
  <c r="AI164" i="6"/>
  <c r="AJ164" i="6" s="1"/>
  <c r="AP164" i="6" s="1"/>
  <c r="AI63" i="6"/>
  <c r="AJ63" i="6" s="1"/>
  <c r="AP63" i="6" s="1"/>
  <c r="AH106" i="6"/>
  <c r="AI78" i="6"/>
  <c r="AJ78" i="6" s="1"/>
  <c r="AP78" i="6" s="1"/>
  <c r="AI118" i="6"/>
  <c r="AJ118" i="6" s="1"/>
  <c r="AP118" i="6" s="1"/>
  <c r="AH113" i="6"/>
  <c r="AI229" i="6"/>
  <c r="AJ229" i="6" s="1"/>
  <c r="AP229" i="6" s="1"/>
  <c r="T210" i="6"/>
  <c r="AG210" i="6"/>
  <c r="AH157" i="6"/>
  <c r="AG57" i="6"/>
  <c r="T57" i="6"/>
  <c r="U57" i="6" s="1"/>
  <c r="AI221" i="6"/>
  <c r="AJ221" i="6" s="1"/>
  <c r="AP221" i="6" s="1"/>
  <c r="AI156" i="6"/>
  <c r="AJ156" i="6" s="1"/>
  <c r="AP156" i="6" s="1"/>
  <c r="AI91" i="6"/>
  <c r="AJ91" i="6" s="1"/>
  <c r="AP91" i="6" s="1"/>
  <c r="AI216" i="6"/>
  <c r="AJ216" i="6" s="1"/>
  <c r="AP216" i="6" s="1"/>
  <c r="AI116" i="6"/>
  <c r="AJ116" i="6" s="1"/>
  <c r="AP116" i="6" s="1"/>
  <c r="T58" i="6"/>
  <c r="AG58" i="6"/>
  <c r="AH115" i="6"/>
  <c r="AH154" i="6"/>
  <c r="AH137" i="6"/>
  <c r="T43" i="6"/>
  <c r="U43" i="6" s="1"/>
  <c r="AG43" i="6"/>
  <c r="AH56" i="6"/>
  <c r="AF37" i="6"/>
  <c r="T79" i="6"/>
  <c r="U79" i="6" s="1"/>
  <c r="AG79" i="6"/>
  <c r="AH62" i="6"/>
  <c r="AH89" i="6"/>
  <c r="AI89" i="6"/>
  <c r="AJ89" i="6" s="1"/>
  <c r="AP89" i="6" s="1"/>
  <c r="AH64" i="6"/>
  <c r="AH117" i="6"/>
  <c r="AG126" i="6"/>
  <c r="T126" i="6"/>
  <c r="U126" i="6" s="1"/>
  <c r="T134" i="6"/>
  <c r="U134" i="6" s="1"/>
  <c r="AG134" i="6"/>
  <c r="AG135" i="6"/>
  <c r="T135" i="6"/>
  <c r="T155" i="6"/>
  <c r="U155" i="6" s="1"/>
  <c r="AG155" i="6"/>
  <c r="AH148" i="6"/>
  <c r="AI186" i="6"/>
  <c r="AJ186" i="6" s="1"/>
  <c r="AP186" i="6" s="1"/>
  <c r="AI154" i="6"/>
  <c r="AJ154" i="6" s="1"/>
  <c r="AP154" i="6" s="1"/>
  <c r="T188" i="6"/>
  <c r="U188" i="6" s="1"/>
  <c r="AG188" i="6"/>
  <c r="AI210" i="6"/>
  <c r="AJ210" i="6" s="1"/>
  <c r="AP210" i="6" s="1"/>
  <c r="AI176" i="6"/>
  <c r="AJ176" i="6" s="1"/>
  <c r="AP176" i="6" s="1"/>
  <c r="AI203" i="6"/>
  <c r="AJ203" i="6" s="1"/>
  <c r="AP203" i="6" s="1"/>
  <c r="T212" i="6"/>
  <c r="U212" i="6" s="1"/>
  <c r="AG212" i="6"/>
  <c r="AH215" i="6"/>
  <c r="Y59" i="6"/>
  <c r="T228" i="6"/>
  <c r="U228" i="6" s="1"/>
  <c r="AG228" i="6"/>
  <c r="AH108" i="6"/>
  <c r="AH97" i="6"/>
  <c r="AI34" i="6"/>
  <c r="AJ34" i="6" s="1"/>
  <c r="AP34" i="6" s="1"/>
  <c r="AI71" i="6"/>
  <c r="AJ71" i="6" s="1"/>
  <c r="AP71" i="6" s="1"/>
  <c r="T84" i="6"/>
  <c r="U84" i="6" s="1"/>
  <c r="AG84" i="6"/>
  <c r="T136" i="6"/>
  <c r="U136" i="6" s="1"/>
  <c r="AG136" i="6"/>
  <c r="T203" i="6"/>
  <c r="U203" i="6" s="1"/>
  <c r="AG203" i="6"/>
  <c r="AG60" i="6"/>
  <c r="T60" i="6"/>
  <c r="T223" i="6"/>
  <c r="U223" i="6" s="1"/>
  <c r="AG223" i="6"/>
  <c r="AG149" i="6"/>
  <c r="T149" i="6"/>
  <c r="U149" i="6" s="1"/>
  <c r="AH45" i="6"/>
  <c r="AI167" i="6"/>
  <c r="AJ167" i="6" s="1"/>
  <c r="AP167" i="6" s="1"/>
  <c r="AI182" i="6"/>
  <c r="AJ182" i="6" s="1"/>
  <c r="AP182" i="6" s="1"/>
  <c r="AI145" i="6"/>
  <c r="AJ145" i="6" s="1"/>
  <c r="AP145" i="6" s="1"/>
  <c r="AI44" i="6"/>
  <c r="AJ44" i="6" s="1"/>
  <c r="AP44" i="6" s="1"/>
  <c r="AI225" i="6"/>
  <c r="AJ225" i="6" s="1"/>
  <c r="AP225" i="6" s="1"/>
  <c r="Y108" i="6"/>
  <c r="AG44" i="6"/>
  <c r="T44" i="6"/>
  <c r="AI131" i="6"/>
  <c r="AJ131" i="6" s="1"/>
  <c r="AP131" i="6" s="1"/>
  <c r="AH221" i="6"/>
  <c r="AI141" i="6"/>
  <c r="AJ141" i="6" s="1"/>
  <c r="AP141" i="6" s="1"/>
  <c r="AH92" i="6"/>
  <c r="AH87" i="6"/>
  <c r="AH156" i="6"/>
  <c r="AG154" i="6"/>
  <c r="T154" i="6"/>
  <c r="AH218" i="6"/>
  <c r="AZ23" i="6"/>
  <c r="AZ11" i="6"/>
  <c r="AZ12" i="6"/>
  <c r="AZ13" i="6"/>
  <c r="AZ16" i="6"/>
  <c r="AZ22" i="6"/>
  <c r="AZ10" i="6"/>
  <c r="AZ15" i="6"/>
  <c r="AZ9" i="6"/>
  <c r="AZ19" i="6"/>
  <c r="AZ20" i="6"/>
  <c r="AZ21" i="6"/>
  <c r="AZ5" i="6"/>
  <c r="W66" i="7" s="1"/>
  <c r="O4" i="6"/>
  <c r="AZ8" i="6"/>
  <c r="AZ17" i="6"/>
  <c r="AZ6" i="6"/>
  <c r="W67" i="7" s="1"/>
  <c r="AZ7" i="6"/>
  <c r="W68" i="7" s="1"/>
  <c r="AZ4" i="6"/>
  <c r="W65" i="7" s="1"/>
  <c r="AZ18" i="6"/>
  <c r="AZ14" i="6"/>
  <c r="AH112" i="6"/>
  <c r="AH38" i="6"/>
  <c r="AG42" i="6"/>
  <c r="T42" i="6"/>
  <c r="U42" i="6" s="1"/>
  <c r="T124" i="6"/>
  <c r="U124" i="6" s="1"/>
  <c r="AG124" i="6"/>
  <c r="AH73" i="6"/>
  <c r="AH123" i="6"/>
  <c r="T127" i="6"/>
  <c r="U127" i="6" s="1"/>
  <c r="AG127" i="6"/>
  <c r="AI41" i="6"/>
  <c r="AJ41" i="6" s="1"/>
  <c r="AP41" i="6" s="1"/>
  <c r="AH114" i="6"/>
  <c r="AG34" i="6"/>
  <c r="T34" i="6"/>
  <c r="AH229" i="6"/>
  <c r="AH51" i="6"/>
  <c r="AH139" i="6"/>
  <c r="T39" i="6"/>
  <c r="U39" i="6" s="1"/>
  <c r="U7" i="6" s="1"/>
  <c r="AG39" i="6"/>
  <c r="T221" i="6"/>
  <c r="AG221" i="6"/>
  <c r="AI223" i="6"/>
  <c r="AJ223" i="6" s="1"/>
  <c r="AP223" i="6" s="1"/>
  <c r="AH118" i="6"/>
  <c r="AH42" i="6"/>
  <c r="AI215" i="6"/>
  <c r="AJ215" i="6" s="1"/>
  <c r="AP215" i="6" s="1"/>
  <c r="AG118" i="6"/>
  <c r="T118" i="6"/>
  <c r="AH195" i="6"/>
  <c r="T216" i="6"/>
  <c r="U216" i="6" s="1"/>
  <c r="AG216" i="6"/>
  <c r="AG116" i="6"/>
  <c r="T116" i="6"/>
  <c r="AI77" i="6"/>
  <c r="AJ77" i="6" s="1"/>
  <c r="AP77" i="6" s="1"/>
  <c r="AG200" i="6"/>
  <c r="T200" i="6"/>
  <c r="U200" i="6" s="1"/>
  <c r="T145" i="6"/>
  <c r="U145" i="6" s="1"/>
  <c r="AG145" i="6"/>
  <c r="AH96" i="6"/>
  <c r="AF36" i="6"/>
  <c r="AI62" i="6"/>
  <c r="AJ62" i="6" s="1"/>
  <c r="AP62" i="6" s="1"/>
  <c r="AI39" i="6"/>
  <c r="AJ39" i="6" s="1"/>
  <c r="AP39" i="6" s="1"/>
  <c r="AI85" i="6"/>
  <c r="AJ85" i="6" s="1"/>
  <c r="AP85" i="6" s="1"/>
  <c r="AI67" i="6"/>
  <c r="AJ67" i="6" s="1"/>
  <c r="AP67" i="6" s="1"/>
  <c r="AG90" i="6"/>
  <c r="T90" i="6"/>
  <c r="U90" i="6" s="1"/>
  <c r="T61" i="6"/>
  <c r="U61" i="6" s="1"/>
  <c r="AG61" i="6"/>
  <c r="T85" i="6"/>
  <c r="U85" i="6" s="1"/>
  <c r="AG85" i="6"/>
  <c r="AH150" i="6"/>
  <c r="AH132" i="6"/>
  <c r="AH160" i="6"/>
  <c r="AH136" i="6"/>
  <c r="AH155" i="6"/>
  <c r="AG157" i="6"/>
  <c r="T157" i="6"/>
  <c r="AH192" i="6"/>
  <c r="AH167" i="6"/>
  <c r="AH183" i="6"/>
  <c r="AI193" i="6"/>
  <c r="AJ193" i="6" s="1"/>
  <c r="AP193" i="6" s="1"/>
  <c r="AH178" i="6"/>
  <c r="AH211" i="6"/>
  <c r="AH216" i="6"/>
  <c r="AG225" i="6"/>
  <c r="T225" i="6"/>
  <c r="U225" i="6" s="1"/>
  <c r="AG195" i="6"/>
  <c r="T195" i="6"/>
  <c r="U195" i="6" s="1"/>
  <c r="AI187" i="6"/>
  <c r="AJ187" i="6" s="1"/>
  <c r="AP187" i="6" s="1"/>
  <c r="AG220" i="6"/>
  <c r="T220" i="6"/>
  <c r="U220" i="6" s="1"/>
  <c r="AH147" i="6"/>
  <c r="AH177" i="6"/>
  <c r="AI79" i="6"/>
  <c r="AJ79" i="6" s="1"/>
  <c r="AP79" i="6" s="1"/>
  <c r="T76" i="6"/>
  <c r="U76" i="6" s="1"/>
  <c r="AG76" i="6"/>
  <c r="AI161" i="6"/>
  <c r="AJ161" i="6" s="1"/>
  <c r="AP161" i="6" s="1"/>
  <c r="AH82" i="6"/>
  <c r="AI227" i="6"/>
  <c r="AJ227" i="6" s="1"/>
  <c r="AP227" i="6" s="1"/>
  <c r="AI95" i="6"/>
  <c r="AJ95" i="6" s="1"/>
  <c r="AP95" i="6" s="1"/>
  <c r="BA12" i="6"/>
  <c r="BA13" i="6"/>
  <c r="BA14" i="6"/>
  <c r="BA16" i="6"/>
  <c r="BA17" i="6"/>
  <c r="BA23" i="6"/>
  <c r="BA11" i="6"/>
  <c r="BA19" i="6"/>
  <c r="BA9" i="6"/>
  <c r="O5" i="6"/>
  <c r="BA8" i="6"/>
  <c r="BA4" i="6"/>
  <c r="Y65" i="7" s="1"/>
  <c r="BA20" i="6"/>
  <c r="BA22" i="6"/>
  <c r="BA21" i="6"/>
  <c r="BA15" i="6"/>
  <c r="BA10" i="6"/>
  <c r="BA6" i="6"/>
  <c r="Y67" i="7" s="1"/>
  <c r="BA18" i="6"/>
  <c r="BA7" i="6"/>
  <c r="Y68" i="7" s="1"/>
  <c r="BA5" i="6"/>
  <c r="Y66" i="7" s="1"/>
  <c r="AH159" i="6"/>
  <c r="AI120" i="6"/>
  <c r="AJ120" i="6" s="1"/>
  <c r="AP120" i="6" s="1"/>
  <c r="AG81" i="6"/>
  <c r="T81" i="6"/>
  <c r="AH196" i="6"/>
  <c r="AI53" i="6"/>
  <c r="AJ53" i="6" s="1"/>
  <c r="AP53" i="6" s="1"/>
  <c r="AH184" i="6"/>
  <c r="AG78" i="6"/>
  <c r="T78" i="6"/>
  <c r="U78" i="6" s="1"/>
  <c r="AI136" i="6"/>
  <c r="AJ136" i="6" s="1"/>
  <c r="AP136" i="6" s="1"/>
  <c r="AH181" i="6"/>
  <c r="AH193" i="6"/>
  <c r="Y119" i="6"/>
  <c r="Y196" i="6"/>
  <c r="O24" i="7"/>
  <c r="AH131" i="6"/>
  <c r="AI92" i="6"/>
  <c r="AJ92" i="6" s="1"/>
  <c r="AP92" i="6" s="1"/>
  <c r="AI101" i="6"/>
  <c r="AJ101" i="6" s="1"/>
  <c r="AP101" i="6" s="1"/>
  <c r="AH169" i="6"/>
  <c r="AG93" i="6"/>
  <c r="T93" i="6"/>
  <c r="U93" i="6" s="1"/>
  <c r="AI196" i="6"/>
  <c r="AJ196" i="6" s="1"/>
  <c r="AP196" i="6" s="1"/>
  <c r="AH224" i="6"/>
  <c r="AG92" i="6"/>
  <c r="T92" i="6"/>
  <c r="U92" i="6" s="1"/>
  <c r="AG178" i="6"/>
  <c r="T178" i="6"/>
  <c r="U178" i="6" s="1"/>
  <c r="AH40" i="6"/>
  <c r="AI171" i="6"/>
  <c r="AJ171" i="6" s="1"/>
  <c r="AP171" i="6" s="1"/>
  <c r="T49" i="6"/>
  <c r="AG49" i="6"/>
  <c r="AG119" i="6"/>
  <c r="T119" i="6"/>
  <c r="U119" i="6" s="1"/>
  <c r="AH34" i="6"/>
  <c r="AH220" i="6"/>
  <c r="AH185" i="6"/>
  <c r="AG120" i="6"/>
  <c r="T120" i="6"/>
  <c r="T82" i="6"/>
  <c r="U82" i="6" s="1"/>
  <c r="AG82" i="6"/>
  <c r="AI200" i="6"/>
  <c r="AJ200" i="6" s="1"/>
  <c r="AP200" i="6" s="1"/>
  <c r="AI119" i="6"/>
  <c r="AJ119" i="6" s="1"/>
  <c r="AP119" i="6" s="1"/>
  <c r="T143" i="6"/>
  <c r="U143" i="6" s="1"/>
  <c r="AG143" i="6"/>
  <c r="AH207" i="6"/>
  <c r="T140" i="6"/>
  <c r="U140" i="6" s="1"/>
  <c r="AG140" i="6"/>
  <c r="AG56" i="6"/>
  <c r="T56" i="6"/>
  <c r="U56" i="6" s="1"/>
  <c r="AH191" i="6"/>
  <c r="T173" i="6"/>
  <c r="AG173" i="6"/>
  <c r="AG111" i="6"/>
  <c r="T111" i="6"/>
  <c r="U111" i="6" s="1"/>
  <c r="AG71" i="6"/>
  <c r="T71" i="6"/>
  <c r="U71" i="6" s="1"/>
  <c r="AG40" i="6"/>
  <c r="T40" i="6"/>
  <c r="T45" i="6"/>
  <c r="AG45" i="6"/>
  <c r="T87" i="6"/>
  <c r="U87" i="6" s="1"/>
  <c r="AG87" i="6"/>
  <c r="AI70" i="6"/>
  <c r="AJ70" i="6" s="1"/>
  <c r="AP70" i="6" s="1"/>
  <c r="AG99" i="6"/>
  <c r="T99" i="6"/>
  <c r="U99" i="6" s="1"/>
  <c r="AH75" i="6"/>
  <c r="AG117" i="6"/>
  <c r="T117" i="6"/>
  <c r="AG102" i="6"/>
  <c r="T102" i="6"/>
  <c r="U102" i="6" s="1"/>
  <c r="AG160" i="6"/>
  <c r="T160" i="6"/>
  <c r="AI129" i="6"/>
  <c r="AJ129" i="6" s="1"/>
  <c r="AP129" i="6" s="1"/>
  <c r="T146" i="6"/>
  <c r="U146" i="6" s="1"/>
  <c r="AG146" i="6"/>
  <c r="AG156" i="6"/>
  <c r="T156" i="6"/>
  <c r="U156" i="6" s="1"/>
  <c r="AI173" i="6"/>
  <c r="AJ173" i="6" s="1"/>
  <c r="AP173" i="6" s="1"/>
  <c r="T161" i="6"/>
  <c r="AG161" i="6"/>
  <c r="AI184" i="6"/>
  <c r="AJ184" i="6" s="1"/>
  <c r="AP184" i="6" s="1"/>
  <c r="T199" i="6"/>
  <c r="AG199" i="6"/>
  <c r="AH197" i="6"/>
  <c r="AI178" i="6"/>
  <c r="AJ178" i="6" s="1"/>
  <c r="AP178" i="6" s="1"/>
  <c r="AI208" i="6"/>
  <c r="AJ208" i="6" s="1"/>
  <c r="AP208" i="6" s="1"/>
  <c r="AI202" i="6"/>
  <c r="AJ202" i="6" s="1"/>
  <c r="AP202" i="6" s="1"/>
  <c r="AI204" i="6"/>
  <c r="AJ204" i="6" s="1"/>
  <c r="AP204" i="6" s="1"/>
  <c r="Y135" i="6"/>
  <c r="Y166" i="6"/>
  <c r="AH124" i="6"/>
  <c r="T125" i="6"/>
  <c r="U125" i="6" s="1"/>
  <c r="AG125" i="6"/>
  <c r="T215" i="6"/>
  <c r="U215" i="6" s="1"/>
  <c r="AG215" i="6"/>
  <c r="T190" i="6"/>
  <c r="U190" i="6" s="1"/>
  <c r="AG190" i="6"/>
  <c r="T73" i="6"/>
  <c r="U73" i="6" s="1"/>
  <c r="AG73" i="6"/>
  <c r="AI35" i="6"/>
  <c r="AJ35" i="6" s="1"/>
  <c r="AP35" i="6" s="1"/>
  <c r="AI121" i="6"/>
  <c r="AJ121" i="6" s="1"/>
  <c r="AP121" i="6" s="1"/>
  <c r="AH83" i="6"/>
  <c r="AG158" i="6"/>
  <c r="T158" i="6"/>
  <c r="U158" i="6" s="1"/>
  <c r="AI188" i="6"/>
  <c r="AJ188" i="6" s="1"/>
  <c r="AP188" i="6" s="1"/>
  <c r="AG202" i="6"/>
  <c r="T202" i="6"/>
  <c r="U202" i="6" s="1"/>
  <c r="AG70" i="6"/>
  <c r="T70" i="6"/>
  <c r="U70" i="6" s="1"/>
  <c r="AH198" i="6"/>
  <c r="AI43" i="6"/>
  <c r="AJ43" i="6" s="1"/>
  <c r="AP43" i="6" s="1"/>
  <c r="AI86" i="6"/>
  <c r="AJ86" i="6" s="1"/>
  <c r="AP86" i="6" s="1"/>
  <c r="AG33" i="6"/>
  <c r="T33" i="6"/>
  <c r="AH54" i="6"/>
  <c r="AI148" i="6"/>
  <c r="AJ148" i="6" s="1"/>
  <c r="AP148" i="6" s="1"/>
  <c r="T226" i="6"/>
  <c r="U226" i="6" s="1"/>
  <c r="AG226" i="6"/>
  <c r="AH99" i="6"/>
  <c r="AH227" i="6"/>
  <c r="AH153" i="6"/>
  <c r="D41" i="7"/>
  <c r="D39" i="7"/>
  <c r="Y197" i="6"/>
  <c r="Y124" i="6"/>
  <c r="AH32" i="6"/>
  <c r="AI80" i="6"/>
  <c r="AJ80" i="6" s="1"/>
  <c r="AP80" i="6" s="1"/>
  <c r="T75" i="6"/>
  <c r="U75" i="6" s="1"/>
  <c r="AG75" i="6"/>
  <c r="AH143" i="6"/>
  <c r="AH57" i="6"/>
  <c r="AH141" i="6"/>
  <c r="AG106" i="6"/>
  <c r="T106" i="6"/>
  <c r="U106" i="6" s="1"/>
  <c r="AH41" i="6"/>
  <c r="AI61" i="6"/>
  <c r="AJ61" i="6" s="1"/>
  <c r="AP61" i="6" s="1"/>
  <c r="AI107" i="6"/>
  <c r="AJ107" i="6" s="1"/>
  <c r="AP107" i="6" s="1"/>
  <c r="AI158" i="6"/>
  <c r="AJ158" i="6" s="1"/>
  <c r="AP158" i="6" s="1"/>
  <c r="AH176" i="6"/>
  <c r="X6" i="6"/>
  <c r="C41" i="7"/>
  <c r="X7" i="6"/>
  <c r="X8" i="6"/>
  <c r="M24" i="6"/>
  <c r="O24" i="6" s="1"/>
  <c r="P24" i="6"/>
  <c r="E35" i="7"/>
  <c r="E41" i="7" s="1"/>
  <c r="AI137" i="6"/>
  <c r="AJ137" i="6" s="1"/>
  <c r="AP137" i="6" s="1"/>
  <c r="AH43" i="6"/>
  <c r="AI93" i="6"/>
  <c r="AJ93" i="6" s="1"/>
  <c r="AP93" i="6" s="1"/>
  <c r="AG169" i="6"/>
  <c r="T169" i="6"/>
  <c r="U169" i="6" s="1"/>
  <c r="AH109" i="6"/>
  <c r="AH149" i="6"/>
  <c r="AI159" i="6"/>
  <c r="AJ159" i="6" s="1"/>
  <c r="AP159" i="6" s="1"/>
  <c r="AG59" i="6"/>
  <c r="T59" i="6"/>
  <c r="AH120" i="6"/>
  <c r="AH59" i="6"/>
  <c r="AI133" i="6"/>
  <c r="AJ133" i="6" s="1"/>
  <c r="AP133" i="6" s="1"/>
  <c r="AG198" i="6"/>
  <c r="T198" i="6"/>
  <c r="U198" i="6" s="1"/>
  <c r="AH138" i="6"/>
  <c r="AI49" i="6"/>
  <c r="AJ49" i="6" s="1"/>
  <c r="AP49" i="6" s="1"/>
  <c r="AG182" i="6"/>
  <c r="T182" i="6"/>
  <c r="U182" i="6" s="1"/>
  <c r="AH222" i="6"/>
  <c r="AI139" i="6"/>
  <c r="AJ139" i="6" s="1"/>
  <c r="AP139" i="6" s="1"/>
  <c r="AI57" i="6"/>
  <c r="AJ57" i="6" s="1"/>
  <c r="AP57" i="6" s="1"/>
  <c r="AH219" i="6"/>
  <c r="AG137" i="6"/>
  <c r="T137" i="6"/>
  <c r="U137" i="6" s="1"/>
  <c r="AI46" i="6"/>
  <c r="AJ46" i="6" s="1"/>
  <c r="AP46" i="6" s="1"/>
  <c r="AI219" i="6"/>
  <c r="AJ219" i="6" s="1"/>
  <c r="AP219" i="6" s="1"/>
  <c r="AG96" i="6"/>
  <c r="T96" i="6"/>
  <c r="T37" i="6"/>
  <c r="AG37" i="6"/>
  <c r="T138" i="6"/>
  <c r="U138" i="6" s="1"/>
  <c r="AG138" i="6"/>
  <c r="AI160" i="6"/>
  <c r="AJ160" i="6" s="1"/>
  <c r="AP160" i="6" s="1"/>
  <c r="AH110" i="6"/>
  <c r="AH63" i="6"/>
  <c r="AG47" i="6"/>
  <c r="T47" i="6"/>
  <c r="U47" i="6" s="1"/>
  <c r="AH50" i="6"/>
  <c r="AI50" i="6"/>
  <c r="AJ50" i="6" s="1"/>
  <c r="AP50" i="6" s="1"/>
  <c r="AI52" i="6"/>
  <c r="AJ52" i="6" s="1"/>
  <c r="AP52" i="6" s="1"/>
  <c r="AH105" i="6"/>
  <c r="AI83" i="6"/>
  <c r="AJ83" i="6" s="1"/>
  <c r="AP83" i="6" s="1"/>
  <c r="AI56" i="6"/>
  <c r="AJ56" i="6" s="1"/>
  <c r="AP56" i="6" s="1"/>
  <c r="AI150" i="6"/>
  <c r="AJ150" i="6" s="1"/>
  <c r="AP150" i="6" s="1"/>
  <c r="AH122" i="6"/>
  <c r="AG133" i="6"/>
  <c r="T133" i="6"/>
  <c r="U133" i="6" s="1"/>
  <c r="AH129" i="6"/>
  <c r="AI157" i="6"/>
  <c r="AJ157" i="6" s="1"/>
  <c r="AP157" i="6" s="1"/>
  <c r="AG168" i="6"/>
  <c r="T168" i="6"/>
  <c r="U168" i="6" s="1"/>
  <c r="AI168" i="6"/>
  <c r="AJ168" i="6" s="1"/>
  <c r="AP168" i="6" s="1"/>
  <c r="AH170" i="6"/>
  <c r="AH168" i="6"/>
  <c r="AI209" i="6"/>
  <c r="AJ209" i="6" s="1"/>
  <c r="AP209" i="6" s="1"/>
  <c r="AH180" i="6"/>
  <c r="AI213" i="6"/>
  <c r="AJ213" i="6" s="1"/>
  <c r="AP213" i="6" s="1"/>
  <c r="T209" i="6"/>
  <c r="U209" i="6" s="1"/>
  <c r="AG209" i="6"/>
  <c r="AI217" i="6"/>
  <c r="AJ217" i="6" s="1"/>
  <c r="AP217" i="6" s="1"/>
  <c r="AI110" i="6"/>
  <c r="AJ110" i="6" s="1"/>
  <c r="AP110" i="6" s="1"/>
  <c r="AI74" i="6"/>
  <c r="AJ74" i="6" s="1"/>
  <c r="AP74" i="6" s="1"/>
  <c r="AH175" i="6"/>
  <c r="AI103" i="6"/>
  <c r="AJ103" i="6" s="1"/>
  <c r="AP103" i="6" s="1"/>
  <c r="AI108" i="6"/>
  <c r="AJ108" i="6" s="1"/>
  <c r="AP108" i="6" s="1"/>
  <c r="AG95" i="6"/>
  <c r="T95" i="6"/>
  <c r="AI40" i="6"/>
  <c r="AJ40" i="6" s="1"/>
  <c r="AP40" i="6" s="1"/>
  <c r="AI97" i="6"/>
  <c r="AJ97" i="6" s="1"/>
  <c r="AP97" i="6" s="1"/>
  <c r="AH126" i="6"/>
  <c r="AI177" i="6"/>
  <c r="AJ177" i="6" s="1"/>
  <c r="AP177" i="6" s="1"/>
  <c r="AG52" i="6"/>
  <c r="T52" i="6"/>
  <c r="U52" i="6" s="1"/>
  <c r="AI222" i="6"/>
  <c r="AJ222" i="6" s="1"/>
  <c r="AP222" i="6" s="1"/>
  <c r="AG53" i="6"/>
  <c r="T53" i="6"/>
  <c r="U53" i="6" s="1"/>
  <c r="AG74" i="6"/>
  <c r="T74" i="6"/>
  <c r="AI42" i="6"/>
  <c r="AJ42" i="6" s="1"/>
  <c r="AP42" i="6" s="1"/>
  <c r="AI162" i="6"/>
  <c r="AJ162" i="6" s="1"/>
  <c r="AP162" i="6" s="1"/>
  <c r="AH179" i="6"/>
  <c r="AH35" i="6"/>
  <c r="AG132" i="6"/>
  <c r="T132" i="6"/>
  <c r="AG129" i="6"/>
  <c r="T129" i="6"/>
  <c r="U129" i="6" s="1"/>
  <c r="AH187" i="6"/>
  <c r="AH208" i="6"/>
  <c r="Y52" i="6"/>
  <c r="X4" i="6"/>
  <c r="C40" i="7"/>
  <c r="X30" i="6"/>
  <c r="Y91" i="6" s="1"/>
  <c r="AH111" i="6"/>
  <c r="AH205" i="6"/>
  <c r="AH39" i="6"/>
  <c r="T144" i="6"/>
  <c r="U144" i="6" s="1"/>
  <c r="AG144" i="6"/>
  <c r="AG63" i="6"/>
  <c r="T63" i="6"/>
  <c r="U63" i="6" s="1"/>
  <c r="AI211" i="6"/>
  <c r="AJ211" i="6" s="1"/>
  <c r="AP211" i="6" s="1"/>
  <c r="AH125" i="6"/>
  <c r="AG36" i="6"/>
  <c r="T36" i="6"/>
  <c r="U36" i="6" s="1"/>
  <c r="AI99" i="6"/>
  <c r="AJ99" i="6" s="1"/>
  <c r="AP99" i="6" s="1"/>
  <c r="AH49" i="6"/>
  <c r="AG171" i="6"/>
  <c r="T171" i="6"/>
  <c r="U171" i="6" s="1"/>
  <c r="AH223" i="6"/>
  <c r="AH98" i="6"/>
  <c r="AH71" i="6"/>
  <c r="AI212" i="6"/>
  <c r="AJ212" i="6" s="1"/>
  <c r="AP212" i="6" s="1"/>
  <c r="AI205" i="6"/>
  <c r="AJ205" i="6" s="1"/>
  <c r="AP205" i="6" s="1"/>
  <c r="AI117" i="6"/>
  <c r="AJ117" i="6" s="1"/>
  <c r="AP117" i="6" s="1"/>
  <c r="AH53" i="6"/>
  <c r="AG170" i="6"/>
  <c r="T170" i="6"/>
  <c r="U170" i="6" s="1"/>
  <c r="AI96" i="6"/>
  <c r="AJ96" i="6" s="1"/>
  <c r="AP96" i="6" s="1"/>
  <c r="T104" i="6"/>
  <c r="U104" i="6" s="1"/>
  <c r="AG104" i="6"/>
  <c r="AH188" i="6"/>
  <c r="AH100" i="6"/>
  <c r="AH36" i="6"/>
  <c r="AI130" i="6"/>
  <c r="AJ130" i="6" s="1"/>
  <c r="AP130" i="6" s="1"/>
  <c r="AH142" i="6"/>
  <c r="AI100" i="6"/>
  <c r="AJ100" i="6" s="1"/>
  <c r="AP100" i="6" s="1"/>
  <c r="AH65" i="6"/>
  <c r="AH47" i="6"/>
  <c r="AH52" i="6"/>
  <c r="AI54" i="6"/>
  <c r="AJ54" i="6" s="1"/>
  <c r="AP54" i="6" s="1"/>
  <c r="AI72" i="6"/>
  <c r="AJ72" i="6" s="1"/>
  <c r="AP72" i="6" s="1"/>
  <c r="T107" i="6"/>
  <c r="AG107" i="6"/>
  <c r="T86" i="6"/>
  <c r="AG86" i="6"/>
  <c r="AH66" i="6"/>
  <c r="T80" i="6"/>
  <c r="U80" i="6" s="1"/>
  <c r="AG80" i="6"/>
  <c r="AG130" i="6"/>
  <c r="T130" i="6"/>
  <c r="U130" i="6" s="1"/>
  <c r="AH134" i="6"/>
  <c r="AH146" i="6"/>
  <c r="AH174" i="6"/>
  <c r="T183" i="6"/>
  <c r="U183" i="6" s="1"/>
  <c r="AG183" i="6"/>
  <c r="AI172" i="6"/>
  <c r="AJ172" i="6" s="1"/>
  <c r="AP172" i="6" s="1"/>
  <c r="AI175" i="6"/>
  <c r="AJ175" i="6" s="1"/>
  <c r="AP175" i="6" s="1"/>
  <c r="AI174" i="6"/>
  <c r="AJ174" i="6" s="1"/>
  <c r="AP174" i="6" s="1"/>
  <c r="AI189" i="6"/>
  <c r="AJ189" i="6" s="1"/>
  <c r="AP189" i="6" s="1"/>
  <c r="AI180" i="6"/>
  <c r="AJ180" i="6" s="1"/>
  <c r="AP180" i="6" s="1"/>
  <c r="T201" i="6"/>
  <c r="U201" i="6" s="1"/>
  <c r="AG201" i="6"/>
  <c r="AH212" i="6"/>
  <c r="AH204" i="6"/>
  <c r="D40" i="7"/>
  <c r="AA124" i="6" l="1"/>
  <c r="Z124" i="6"/>
  <c r="X24" i="6"/>
  <c r="Y4" i="6"/>
  <c r="U59" i="6"/>
  <c r="V59" i="6" s="1"/>
  <c r="W59" i="6" s="1"/>
  <c r="U74" i="6"/>
  <c r="V74" i="6" s="1"/>
  <c r="W74" i="6" s="1"/>
  <c r="AA91" i="6"/>
  <c r="Z91" i="6"/>
  <c r="Y112" i="6"/>
  <c r="Y44" i="6"/>
  <c r="Y73" i="6"/>
  <c r="V57" i="6"/>
  <c r="W57" i="6" s="1"/>
  <c r="V189" i="6"/>
  <c r="W189" i="6" s="1"/>
  <c r="V67" i="6"/>
  <c r="W67" i="6" s="1"/>
  <c r="V159" i="6"/>
  <c r="W159" i="6" s="1"/>
  <c r="Y219" i="6"/>
  <c r="V193" i="6"/>
  <c r="W193" i="6" s="1"/>
  <c r="V152" i="6"/>
  <c r="W152" i="6" s="1"/>
  <c r="V179" i="6"/>
  <c r="W179" i="6" s="1"/>
  <c r="V164" i="6"/>
  <c r="W164" i="6" s="1"/>
  <c r="V145" i="6"/>
  <c r="W145" i="6" s="1"/>
  <c r="Y171" i="6"/>
  <c r="Y194" i="6"/>
  <c r="Y89" i="6"/>
  <c r="V70" i="6"/>
  <c r="W70" i="6" s="1"/>
  <c r="Y213" i="6"/>
  <c r="Y75" i="6"/>
  <c r="Y188" i="6"/>
  <c r="Y54" i="6"/>
  <c r="V188" i="6"/>
  <c r="W188" i="6" s="1"/>
  <c r="Y38" i="6"/>
  <c r="V64" i="6"/>
  <c r="W64" i="6" s="1"/>
  <c r="V98" i="6"/>
  <c r="W98" i="6" s="1"/>
  <c r="V100" i="6"/>
  <c r="W100" i="6" s="1"/>
  <c r="V62" i="6"/>
  <c r="W62" i="6" s="1"/>
  <c r="V69" i="6"/>
  <c r="W69" i="6" s="1"/>
  <c r="Y115" i="6"/>
  <c r="Y202" i="6"/>
  <c r="V190" i="6"/>
  <c r="W190" i="6" s="1"/>
  <c r="T6" i="6"/>
  <c r="AA135" i="6"/>
  <c r="Z135" i="6"/>
  <c r="V171" i="6"/>
  <c r="W171" i="6" s="1"/>
  <c r="Y51" i="6"/>
  <c r="Y111" i="6"/>
  <c r="Y96" i="6"/>
  <c r="V146" i="6"/>
  <c r="W146" i="6" s="1"/>
  <c r="Y138" i="6"/>
  <c r="V76" i="6"/>
  <c r="W76" i="6" s="1"/>
  <c r="V195" i="6"/>
  <c r="W195" i="6" s="1"/>
  <c r="V200" i="6"/>
  <c r="W200" i="6" s="1"/>
  <c r="T4" i="6"/>
  <c r="Y218" i="6"/>
  <c r="Y139" i="6"/>
  <c r="V68" i="6"/>
  <c r="W68" i="6" s="1"/>
  <c r="V131" i="6"/>
  <c r="W131" i="6" s="1"/>
  <c r="Y64" i="6"/>
  <c r="V206" i="6"/>
  <c r="W206" i="6" s="1"/>
  <c r="U173" i="6"/>
  <c r="V173" i="6" s="1"/>
  <c r="W173" i="6" s="1"/>
  <c r="V55" i="6"/>
  <c r="W55" i="6" s="1"/>
  <c r="V174" i="6"/>
  <c r="W174" i="6" s="1"/>
  <c r="V192" i="6"/>
  <c r="W192" i="6" s="1"/>
  <c r="V46" i="6"/>
  <c r="W46" i="6" s="1"/>
  <c r="Y12" i="6"/>
  <c r="V227" i="6"/>
  <c r="W227" i="6" s="1"/>
  <c r="V53" i="6"/>
  <c r="W53" i="6" s="1"/>
  <c r="Y144" i="6"/>
  <c r="Y56" i="6"/>
  <c r="Y170" i="6"/>
  <c r="V198" i="6"/>
  <c r="W198" i="6" s="1"/>
  <c r="Y61" i="6"/>
  <c r="V215" i="6"/>
  <c r="W215" i="6" s="1"/>
  <c r="V143" i="6"/>
  <c r="W143" i="6" s="1"/>
  <c r="Y167" i="6"/>
  <c r="Y192" i="6"/>
  <c r="Y191" i="6"/>
  <c r="V43" i="6"/>
  <c r="W43" i="6" s="1"/>
  <c r="U157" i="6"/>
  <c r="V157" i="6" s="1"/>
  <c r="W157" i="6" s="1"/>
  <c r="Y181" i="6"/>
  <c r="Y179" i="6"/>
  <c r="V150" i="6"/>
  <c r="W150" i="6" s="1"/>
  <c r="V50" i="6"/>
  <c r="W50" i="6" s="1"/>
  <c r="V66" i="6"/>
  <c r="W66" i="6" s="1"/>
  <c r="V153" i="6"/>
  <c r="W153" i="6" s="1"/>
  <c r="V176" i="6"/>
  <c r="W176" i="6" s="1"/>
  <c r="V177" i="6"/>
  <c r="W177" i="6" s="1"/>
  <c r="V130" i="6"/>
  <c r="W130" i="6" s="1"/>
  <c r="V63" i="6"/>
  <c r="W63" i="6" s="1"/>
  <c r="Y217" i="6"/>
  <c r="Y183" i="6"/>
  <c r="V133" i="6"/>
  <c r="W133" i="6" s="1"/>
  <c r="Y100" i="6"/>
  <c r="V202" i="6"/>
  <c r="W202" i="6" s="1"/>
  <c r="V99" i="6"/>
  <c r="W99" i="6" s="1"/>
  <c r="T18" i="6"/>
  <c r="T17" i="6"/>
  <c r="T23" i="6"/>
  <c r="T20" i="6"/>
  <c r="T11" i="6"/>
  <c r="T10" i="6"/>
  <c r="T21" i="6"/>
  <c r="T15" i="6"/>
  <c r="T9" i="6"/>
  <c r="T13" i="6"/>
  <c r="T16" i="6"/>
  <c r="T19" i="6"/>
  <c r="T22" i="6"/>
  <c r="T14" i="6"/>
  <c r="T12" i="6"/>
  <c r="T8" i="6"/>
  <c r="U40" i="6"/>
  <c r="V93" i="6"/>
  <c r="W93" i="6" s="1"/>
  <c r="Y206" i="6"/>
  <c r="Y165" i="6"/>
  <c r="Y53" i="6"/>
  <c r="V85" i="6"/>
  <c r="W85" i="6" s="1"/>
  <c r="U221" i="6"/>
  <c r="V221" i="6" s="1"/>
  <c r="W221" i="6" s="1"/>
  <c r="U45" i="6"/>
  <c r="V45" i="6" s="1"/>
  <c r="W45" i="6" s="1"/>
  <c r="V134" i="6"/>
  <c r="W134" i="6" s="1"/>
  <c r="U89" i="6"/>
  <c r="V89" i="6" s="1"/>
  <c r="W89" i="6" s="1"/>
  <c r="AI32" i="6"/>
  <c r="AJ32" i="6" s="1"/>
  <c r="AF5" i="6" s="1" a="1"/>
  <c r="AF5" i="6" s="1"/>
  <c r="AF19" i="6" a="1"/>
  <c r="AF19" i="6" s="1"/>
  <c r="AF7" i="6" a="1"/>
  <c r="AF7" i="6" s="1"/>
  <c r="AF20" i="6" a="1"/>
  <c r="AF20" i="6" s="1"/>
  <c r="AF21" i="6" a="1"/>
  <c r="AF21" i="6" s="1"/>
  <c r="AF9" i="6" a="1"/>
  <c r="AF9" i="6" s="1"/>
  <c r="AF22" i="6" a="1"/>
  <c r="AF22" i="6" s="1"/>
  <c r="AF23" i="6" a="1"/>
  <c r="AF23" i="6" s="1"/>
  <c r="AF12" i="6" a="1"/>
  <c r="AF12" i="6" s="1"/>
  <c r="AF18" i="6" a="1"/>
  <c r="AF18" i="6" s="1"/>
  <c r="AF11" i="6" a="1"/>
  <c r="AF11" i="6" s="1"/>
  <c r="AF16" i="6" a="1"/>
  <c r="AF16" i="6" s="1"/>
  <c r="AF13" i="6" a="1"/>
  <c r="AF13" i="6" s="1"/>
  <c r="AF8" i="6" a="1"/>
  <c r="AF8" i="6" s="1"/>
  <c r="AF14" i="6" a="1"/>
  <c r="AF14" i="6" s="1"/>
  <c r="AF17" i="6" a="1"/>
  <c r="AF17" i="6" s="1"/>
  <c r="AF15" i="6" a="1"/>
  <c r="AF15" i="6" s="1"/>
  <c r="AF10" i="6" a="1"/>
  <c r="AF10" i="6" s="1"/>
  <c r="AP32" i="6"/>
  <c r="V207" i="6"/>
  <c r="W207" i="6" s="1"/>
  <c r="V94" i="6"/>
  <c r="W94" i="6" s="1"/>
  <c r="V172" i="6"/>
  <c r="W172" i="6" s="1"/>
  <c r="V213" i="6"/>
  <c r="W213" i="6" s="1"/>
  <c r="U91" i="6"/>
  <c r="V91" i="6" s="1"/>
  <c r="W91" i="6" s="1"/>
  <c r="V196" i="6"/>
  <c r="W196" i="6" s="1"/>
  <c r="V147" i="6"/>
  <c r="W147" i="6" s="1"/>
  <c r="Y8" i="6"/>
  <c r="AA166" i="6"/>
  <c r="Z166" i="6"/>
  <c r="V194" i="6"/>
  <c r="W194" i="6" s="1"/>
  <c r="AA52" i="6"/>
  <c r="Z52" i="6"/>
  <c r="Y145" i="6"/>
  <c r="Y107" i="6"/>
  <c r="Y46" i="6"/>
  <c r="Y176" i="6"/>
  <c r="Y118" i="6"/>
  <c r="Y87" i="6"/>
  <c r="Y55" i="6"/>
  <c r="Y214" i="6"/>
  <c r="Y156" i="6"/>
  <c r="Y148" i="6"/>
  <c r="Y227" i="6"/>
  <c r="Y205" i="6"/>
  <c r="Y63" i="6"/>
  <c r="Y225" i="6"/>
  <c r="Y36" i="6"/>
  <c r="Y207" i="6"/>
  <c r="Y82" i="6"/>
  <c r="Y41" i="6"/>
  <c r="Y149" i="6"/>
  <c r="Y147" i="6"/>
  <c r="Y81" i="6"/>
  <c r="Y79" i="6"/>
  <c r="Y127" i="6"/>
  <c r="Y60" i="6"/>
  <c r="Y198" i="6"/>
  <c r="Y154" i="6"/>
  <c r="Y209" i="6"/>
  <c r="Y33" i="6"/>
  <c r="Y177" i="6"/>
  <c r="Y39" i="6"/>
  <c r="Y95" i="6"/>
  <c r="Y172" i="6"/>
  <c r="Y99" i="6"/>
  <c r="Y40" i="6"/>
  <c r="Y157" i="6"/>
  <c r="Y190" i="6"/>
  <c r="Y113" i="6"/>
  <c r="Y162" i="6"/>
  <c r="Y152" i="6"/>
  <c r="Y182" i="6"/>
  <c r="Y110" i="6"/>
  <c r="Y164" i="6"/>
  <c r="Y67" i="6"/>
  <c r="Y105" i="6"/>
  <c r="Y83" i="6"/>
  <c r="Y106" i="6"/>
  <c r="Y121" i="6"/>
  <c r="Y71" i="6"/>
  <c r="Y76" i="6"/>
  <c r="Y74" i="6"/>
  <c r="Y49" i="6"/>
  <c r="Y159" i="6"/>
  <c r="Y45" i="6"/>
  <c r="Y114" i="6"/>
  <c r="Y180" i="6"/>
  <c r="Y50" i="6"/>
  <c r="Y142" i="6"/>
  <c r="Y195" i="6"/>
  <c r="Y222" i="6"/>
  <c r="Y86" i="6"/>
  <c r="Y130" i="6"/>
  <c r="Y43" i="6"/>
  <c r="Y58" i="6"/>
  <c r="Y226" i="6"/>
  <c r="Y229" i="6"/>
  <c r="Y104" i="6"/>
  <c r="Y200" i="6"/>
  <c r="Y85" i="6"/>
  <c r="Y109" i="6"/>
  <c r="Y133" i="6"/>
  <c r="Y103" i="6"/>
  <c r="Y220" i="6"/>
  <c r="Y102" i="6"/>
  <c r="Y204" i="6"/>
  <c r="Y94" i="6"/>
  <c r="Y131" i="6"/>
  <c r="Y116" i="6"/>
  <c r="Y193" i="6"/>
  <c r="Y78" i="6"/>
  <c r="Y140" i="6"/>
  <c r="Y178" i="6"/>
  <c r="Y98" i="6"/>
  <c r="Y88" i="6"/>
  <c r="Y66" i="6"/>
  <c r="Y80" i="6"/>
  <c r="Y122" i="6"/>
  <c r="Y208" i="6"/>
  <c r="Y210" i="6"/>
  <c r="Y155" i="6"/>
  <c r="Y184" i="6"/>
  <c r="Y70" i="6"/>
  <c r="Y163" i="6"/>
  <c r="Y146" i="6"/>
  <c r="Y186" i="6"/>
  <c r="Y174" i="6"/>
  <c r="Y168" i="6"/>
  <c r="Y169" i="6"/>
  <c r="Y101" i="6"/>
  <c r="Y189" i="6"/>
  <c r="Y117" i="6"/>
  <c r="Y215" i="6"/>
  <c r="Y97" i="6"/>
  <c r="Y199" i="6"/>
  <c r="Y150" i="6"/>
  <c r="Y173" i="6"/>
  <c r="Y160" i="6"/>
  <c r="Y158" i="6"/>
  <c r="Y141" i="6"/>
  <c r="Y62" i="6"/>
  <c r="V125" i="6"/>
  <c r="W125" i="6" s="1"/>
  <c r="U97" i="6"/>
  <c r="V97" i="6" s="1"/>
  <c r="W97" i="6" s="1"/>
  <c r="V122" i="6"/>
  <c r="W122" i="6" s="1"/>
  <c r="AA68" i="6"/>
  <c r="Z68" i="6"/>
  <c r="AA216" i="6"/>
  <c r="Z216" i="6"/>
  <c r="AA128" i="6"/>
  <c r="Z128" i="6"/>
  <c r="Y221" i="6"/>
  <c r="V203" i="6"/>
  <c r="W203" i="6" s="1"/>
  <c r="Y65" i="6"/>
  <c r="Y84" i="6"/>
  <c r="Y151" i="6"/>
  <c r="V222" i="6"/>
  <c r="W222" i="6" s="1"/>
  <c r="U49" i="6"/>
  <c r="V49" i="6" s="1"/>
  <c r="W49" i="6" s="1"/>
  <c r="C39" i="7"/>
  <c r="Y34" i="6"/>
  <c r="V39" i="6"/>
  <c r="W39" i="6" s="1"/>
  <c r="T7" i="6"/>
  <c r="AZ24" i="6"/>
  <c r="W69" i="7" s="1"/>
  <c r="V126" i="6"/>
  <c r="W126" i="6" s="1"/>
  <c r="U154" i="6"/>
  <c r="V154" i="6" s="1"/>
  <c r="W154" i="6" s="1"/>
  <c r="V65" i="6"/>
  <c r="W65" i="6" s="1"/>
  <c r="V204" i="6"/>
  <c r="W204" i="6" s="1"/>
  <c r="Y123" i="6"/>
  <c r="Y201" i="6"/>
  <c r="V38" i="6"/>
  <c r="W38" i="6" s="1"/>
  <c r="U121" i="6"/>
  <c r="V121" i="6" s="1"/>
  <c r="W121" i="6" s="1"/>
  <c r="Y37" i="6"/>
  <c r="U135" i="6"/>
  <c r="V135" i="6" s="1"/>
  <c r="W135" i="6" s="1"/>
  <c r="V211" i="6"/>
  <c r="W211" i="6" s="1"/>
  <c r="U95" i="6"/>
  <c r="V95" i="6" s="1"/>
  <c r="W95" i="6" s="1"/>
  <c r="V123" i="6"/>
  <c r="W123" i="6" s="1"/>
  <c r="V105" i="6"/>
  <c r="W105" i="6" s="1"/>
  <c r="V151" i="6"/>
  <c r="W151" i="6" s="1"/>
  <c r="V208" i="6"/>
  <c r="W208" i="6" s="1"/>
  <c r="V78" i="6"/>
  <c r="W78" i="6" s="1"/>
  <c r="AA59" i="6"/>
  <c r="Z59" i="6"/>
  <c r="Z197" i="6"/>
  <c r="AA197" i="6"/>
  <c r="Y47" i="6"/>
  <c r="V56" i="6"/>
  <c r="W56" i="6" s="1"/>
  <c r="V149" i="6"/>
  <c r="W149" i="6" s="1"/>
  <c r="V224" i="6"/>
  <c r="W224" i="6" s="1"/>
  <c r="V166" i="6"/>
  <c r="W166" i="6" s="1"/>
  <c r="Y134" i="6"/>
  <c r="U107" i="6"/>
  <c r="V107" i="6" s="1"/>
  <c r="W107" i="6" s="1"/>
  <c r="Y32" i="6"/>
  <c r="V71" i="6"/>
  <c r="W71" i="6" s="1"/>
  <c r="V201" i="6"/>
  <c r="W201" i="6" s="1"/>
  <c r="Y125" i="6"/>
  <c r="Y77" i="6"/>
  <c r="Y185" i="6"/>
  <c r="V209" i="6"/>
  <c r="W209" i="6" s="1"/>
  <c r="Y6" i="6"/>
  <c r="V106" i="6"/>
  <c r="W106" i="6" s="1"/>
  <c r="Y126" i="6"/>
  <c r="U34" i="6"/>
  <c r="V178" i="6"/>
  <c r="W178" i="6" s="1"/>
  <c r="Y132" i="6"/>
  <c r="Y90" i="6"/>
  <c r="V61" i="6"/>
  <c r="W61" i="6" s="1"/>
  <c r="AI36" i="6"/>
  <c r="AJ36" i="6" s="1"/>
  <c r="V42" i="6"/>
  <c r="W42" i="6" s="1"/>
  <c r="V136" i="6"/>
  <c r="W136" i="6" s="1"/>
  <c r="U214" i="6"/>
  <c r="V214" i="6" s="1"/>
  <c r="W214" i="6" s="1"/>
  <c r="V180" i="6"/>
  <c r="W180" i="6" s="1"/>
  <c r="V115" i="6"/>
  <c r="W115" i="6" s="1"/>
  <c r="Y35" i="6"/>
  <c r="V163" i="6"/>
  <c r="W163" i="6" s="1"/>
  <c r="V187" i="6"/>
  <c r="W187" i="6" s="1"/>
  <c r="V128" i="6"/>
  <c r="W128" i="6" s="1"/>
  <c r="V35" i="6"/>
  <c r="W35" i="6" s="1"/>
  <c r="V77" i="6"/>
  <c r="W77" i="6" s="1"/>
  <c r="V109" i="6"/>
  <c r="W109" i="6" s="1"/>
  <c r="AI38" i="6"/>
  <c r="AJ38" i="6" s="1"/>
  <c r="AP38" i="6" s="1"/>
  <c r="U199" i="6"/>
  <c r="V199" i="6" s="1"/>
  <c r="W199" i="6" s="1"/>
  <c r="V219" i="6"/>
  <c r="W219" i="6" s="1"/>
  <c r="V79" i="6"/>
  <c r="W79" i="6" s="1"/>
  <c r="V218" i="6"/>
  <c r="W218" i="6" s="1"/>
  <c r="V110" i="6"/>
  <c r="W110" i="6" s="1"/>
  <c r="Y224" i="6"/>
  <c r="V184" i="6"/>
  <c r="W184" i="6" s="1"/>
  <c r="U210" i="6"/>
  <c r="V210" i="6" s="1"/>
  <c r="W210" i="6" s="1"/>
  <c r="V141" i="6"/>
  <c r="W141" i="6" s="1"/>
  <c r="V101" i="6"/>
  <c r="W101" i="6" s="1"/>
  <c r="V205" i="6"/>
  <c r="W205" i="6" s="1"/>
  <c r="Y69" i="6"/>
  <c r="V139" i="6"/>
  <c r="W139" i="6" s="1"/>
  <c r="U165" i="6"/>
  <c r="V165" i="6" s="1"/>
  <c r="W165" i="6" s="1"/>
  <c r="Y72" i="6"/>
  <c r="V181" i="6"/>
  <c r="W181" i="6" s="1"/>
  <c r="Y143" i="6"/>
  <c r="V226" i="6"/>
  <c r="W226" i="6" s="1"/>
  <c r="V87" i="6"/>
  <c r="W87" i="6" s="1"/>
  <c r="AA196" i="6"/>
  <c r="Z196" i="6"/>
  <c r="AA108" i="6"/>
  <c r="Z108" i="6"/>
  <c r="V48" i="6"/>
  <c r="W48" i="6" s="1"/>
  <c r="V191" i="6"/>
  <c r="W191" i="6" s="1"/>
  <c r="V104" i="6"/>
  <c r="W104" i="6" s="1"/>
  <c r="V75" i="6"/>
  <c r="W75" i="6" s="1"/>
  <c r="V212" i="6"/>
  <c r="W212" i="6" s="1"/>
  <c r="V119" i="6"/>
  <c r="W119" i="6" s="1"/>
  <c r="Y175" i="6"/>
  <c r="U160" i="6"/>
  <c r="V160" i="6" s="1"/>
  <c r="W160" i="6" s="1"/>
  <c r="V90" i="6"/>
  <c r="W90" i="6" s="1"/>
  <c r="U96" i="6"/>
  <c r="V96" i="6" s="1"/>
  <c r="W96" i="6" s="1"/>
  <c r="V183" i="6"/>
  <c r="W183" i="6" s="1"/>
  <c r="V80" i="6"/>
  <c r="W80" i="6" s="1"/>
  <c r="V144" i="6"/>
  <c r="W144" i="6" s="1"/>
  <c r="Y136" i="6"/>
  <c r="U175" i="6"/>
  <c r="V175" i="6" s="1"/>
  <c r="W175" i="6" s="1"/>
  <c r="V168" i="6"/>
  <c r="W168" i="6" s="1"/>
  <c r="V138" i="6"/>
  <c r="W138" i="6" s="1"/>
  <c r="V137" i="6"/>
  <c r="W137" i="6" s="1"/>
  <c r="U120" i="6"/>
  <c r="V120" i="6" s="1"/>
  <c r="W120" i="6" s="1"/>
  <c r="V169" i="6"/>
  <c r="W169" i="6" s="1"/>
  <c r="V73" i="6"/>
  <c r="W73" i="6" s="1"/>
  <c r="Y137" i="6"/>
  <c r="V156" i="6"/>
  <c r="W156" i="6" s="1"/>
  <c r="V111" i="6"/>
  <c r="W111" i="6" s="1"/>
  <c r="V140" i="6"/>
  <c r="W140" i="6" s="1"/>
  <c r="V82" i="6"/>
  <c r="W82" i="6" s="1"/>
  <c r="V92" i="6"/>
  <c r="W92" i="6" s="1"/>
  <c r="Y212" i="6"/>
  <c r="V220" i="6"/>
  <c r="W220" i="6" s="1"/>
  <c r="V225" i="6"/>
  <c r="W225" i="6" s="1"/>
  <c r="U118" i="6"/>
  <c r="V118" i="6" s="1"/>
  <c r="W118" i="6" s="1"/>
  <c r="U51" i="6"/>
  <c r="V51" i="6" s="1"/>
  <c r="W51" i="6" s="1"/>
  <c r="Y211" i="6"/>
  <c r="V228" i="6"/>
  <c r="W228" i="6" s="1"/>
  <c r="U113" i="6"/>
  <c r="V113" i="6" s="1"/>
  <c r="W113" i="6" s="1"/>
  <c r="V32" i="6"/>
  <c r="W32" i="6" s="1"/>
  <c r="T5" i="6"/>
  <c r="Y48" i="6"/>
  <c r="Y203" i="6"/>
  <c r="V148" i="6"/>
  <c r="W148" i="6" s="1"/>
  <c r="V83" i="6"/>
  <c r="W83" i="6" s="1"/>
  <c r="U72" i="6"/>
  <c r="V72" i="6" s="1"/>
  <c r="W72" i="6" s="1"/>
  <c r="V54" i="6"/>
  <c r="W54" i="6" s="1"/>
  <c r="Y120" i="6"/>
  <c r="V229" i="6"/>
  <c r="W229" i="6" s="1"/>
  <c r="U58" i="6"/>
  <c r="V58" i="6" s="1"/>
  <c r="W58" i="6" s="1"/>
  <c r="U44" i="6"/>
  <c r="V44" i="6" s="1"/>
  <c r="W44" i="6" s="1"/>
  <c r="Y5" i="6"/>
  <c r="V114" i="6"/>
  <c r="W114" i="6" s="1"/>
  <c r="U33" i="6"/>
  <c r="V33" i="6" s="1"/>
  <c r="W33" i="6" s="1"/>
  <c r="V185" i="6"/>
  <c r="W185" i="6" s="1"/>
  <c r="V216" i="6"/>
  <c r="W216" i="6" s="1"/>
  <c r="AA153" i="6"/>
  <c r="Z153" i="6"/>
  <c r="AA119" i="6"/>
  <c r="Z119" i="6"/>
  <c r="V124" i="6"/>
  <c r="W124" i="6" s="1"/>
  <c r="V182" i="6"/>
  <c r="W182" i="6" s="1"/>
  <c r="V102" i="6"/>
  <c r="W102" i="6" s="1"/>
  <c r="V170" i="6"/>
  <c r="W170" i="6" s="1"/>
  <c r="V36" i="6"/>
  <c r="W36" i="6" s="1"/>
  <c r="V129" i="6"/>
  <c r="W129" i="6" s="1"/>
  <c r="V52" i="6"/>
  <c r="W52" i="6" s="1"/>
  <c r="V47" i="6"/>
  <c r="W47" i="6" s="1"/>
  <c r="Y129" i="6"/>
  <c r="Y57" i="6"/>
  <c r="V158" i="6"/>
  <c r="W158" i="6" s="1"/>
  <c r="Y93" i="6"/>
  <c r="U197" i="6"/>
  <c r="V197" i="6" s="1"/>
  <c r="W197" i="6" s="1"/>
  <c r="Y228" i="6"/>
  <c r="BA24" i="6"/>
  <c r="Y69" i="7" s="1"/>
  <c r="U167" i="6"/>
  <c r="V167" i="6" s="1"/>
  <c r="W167" i="6" s="1"/>
  <c r="U132" i="6"/>
  <c r="V132" i="6" s="1"/>
  <c r="W132" i="6" s="1"/>
  <c r="V127" i="6"/>
  <c r="W127" i="6" s="1"/>
  <c r="Y223" i="6"/>
  <c r="V223" i="6"/>
  <c r="W223" i="6" s="1"/>
  <c r="V84" i="6"/>
  <c r="W84" i="6" s="1"/>
  <c r="V155" i="6"/>
  <c r="W155" i="6" s="1"/>
  <c r="U117" i="6"/>
  <c r="V117" i="6" s="1"/>
  <c r="W117" i="6" s="1"/>
  <c r="AI37" i="6"/>
  <c r="AJ37" i="6" s="1"/>
  <c r="AP37" i="6" s="1"/>
  <c r="U217" i="6"/>
  <c r="V217" i="6" s="1"/>
  <c r="W217" i="6" s="1"/>
  <c r="V41" i="6"/>
  <c r="W41" i="6" s="1"/>
  <c r="U81" i="6"/>
  <c r="V81" i="6" s="1"/>
  <c r="W81" i="6" s="1"/>
  <c r="V142" i="6"/>
  <c r="W142" i="6" s="1"/>
  <c r="V108" i="6"/>
  <c r="W108" i="6" s="1"/>
  <c r="U116" i="6"/>
  <c r="V116" i="6" s="1"/>
  <c r="W116" i="6" s="1"/>
  <c r="U161" i="6"/>
  <c r="V161" i="6" s="1"/>
  <c r="W161" i="6" s="1"/>
  <c r="U60" i="6"/>
  <c r="V60" i="6" s="1"/>
  <c r="W60" i="6" s="1"/>
  <c r="U88" i="6"/>
  <c r="V88" i="6" s="1"/>
  <c r="W88" i="6" s="1"/>
  <c r="V162" i="6"/>
  <c r="W162" i="6" s="1"/>
  <c r="V103" i="6"/>
  <c r="W103" i="6" s="1"/>
  <c r="Y161" i="6"/>
  <c r="Y42" i="6"/>
  <c r="V186" i="6"/>
  <c r="W186" i="6" s="1"/>
  <c r="V112" i="6"/>
  <c r="W112" i="6" s="1"/>
  <c r="Y187" i="6"/>
  <c r="Y92" i="6"/>
  <c r="U86" i="6"/>
  <c r="V86" i="6" s="1"/>
  <c r="W86" i="6" s="1"/>
  <c r="U37" i="6"/>
  <c r="U5" i="6" l="1"/>
  <c r="S5" i="6" s="1"/>
  <c r="D38" i="7" s="1"/>
  <c r="AA102" i="6"/>
  <c r="Z102" i="6"/>
  <c r="AA63" i="6"/>
  <c r="Z63" i="6"/>
  <c r="AA168" i="6"/>
  <c r="Z168" i="6"/>
  <c r="AB196" i="6"/>
  <c r="AC196" i="6"/>
  <c r="AD196" i="6" s="1"/>
  <c r="AA90" i="6"/>
  <c r="Z90" i="6"/>
  <c r="AA57" i="6"/>
  <c r="Z57" i="6"/>
  <c r="AA132" i="6"/>
  <c r="Z132" i="6"/>
  <c r="AA151" i="6"/>
  <c r="Z151" i="6"/>
  <c r="AA101" i="6"/>
  <c r="Z101" i="6"/>
  <c r="Z122" i="6"/>
  <c r="AA122" i="6"/>
  <c r="AA204" i="6"/>
  <c r="Z204" i="6"/>
  <c r="Z43" i="6"/>
  <c r="AA43" i="6"/>
  <c r="AA74" i="6"/>
  <c r="Z74" i="6"/>
  <c r="Z162" i="6"/>
  <c r="AA162" i="6"/>
  <c r="AA154" i="6"/>
  <c r="Z154" i="6"/>
  <c r="AA225" i="6"/>
  <c r="Z225" i="6"/>
  <c r="AA107" i="6"/>
  <c r="Z107" i="6"/>
  <c r="AA86" i="6"/>
  <c r="Z86" i="6"/>
  <c r="AA143" i="6"/>
  <c r="Z143" i="6"/>
  <c r="AA34" i="6"/>
  <c r="Z34" i="6"/>
  <c r="Z65" i="6"/>
  <c r="AA65" i="6"/>
  <c r="AB68" i="6"/>
  <c r="AC68" i="6"/>
  <c r="AD68" i="6" s="1"/>
  <c r="AA158" i="6"/>
  <c r="Z158" i="6"/>
  <c r="AA174" i="6"/>
  <c r="Z174" i="6"/>
  <c r="Z88" i="6"/>
  <c r="AA88" i="6"/>
  <c r="AA103" i="6"/>
  <c r="Z103" i="6"/>
  <c r="Z222" i="6"/>
  <c r="AA222" i="6"/>
  <c r="AA121" i="6"/>
  <c r="Z121" i="6"/>
  <c r="AA157" i="6"/>
  <c r="Z157" i="6"/>
  <c r="Z127" i="6"/>
  <c r="AA127" i="6"/>
  <c r="AA227" i="6"/>
  <c r="Z227" i="6"/>
  <c r="AI15" i="6"/>
  <c r="AJ15" i="6" s="1"/>
  <c r="AP15" i="6" s="1"/>
  <c r="AX15" i="6"/>
  <c r="AA220" i="6"/>
  <c r="Z220" i="6"/>
  <c r="AA126" i="6"/>
  <c r="Z126" i="6"/>
  <c r="AA160" i="6"/>
  <c r="Z160" i="6"/>
  <c r="AA186" i="6"/>
  <c r="Z186" i="6"/>
  <c r="Z98" i="6"/>
  <c r="AA98" i="6"/>
  <c r="AA133" i="6"/>
  <c r="Z133" i="6"/>
  <c r="Z195" i="6"/>
  <c r="AA195" i="6"/>
  <c r="Z106" i="6"/>
  <c r="AA106" i="6"/>
  <c r="AA40" i="6"/>
  <c r="Z40" i="6"/>
  <c r="Z79" i="6"/>
  <c r="AA79" i="6"/>
  <c r="AA148" i="6"/>
  <c r="Z148" i="6"/>
  <c r="AB52" i="6"/>
  <c r="AC52" i="6"/>
  <c r="AD52" i="6" s="1"/>
  <c r="AI17" i="6"/>
  <c r="AJ17" i="6" s="1"/>
  <c r="AP17" i="6" s="1"/>
  <c r="AX17" i="6"/>
  <c r="AA169" i="6"/>
  <c r="Z169" i="6"/>
  <c r="AA113" i="6"/>
  <c r="Z113" i="6"/>
  <c r="Z84" i="6"/>
  <c r="AA84" i="6"/>
  <c r="AA66" i="6"/>
  <c r="Z66" i="6"/>
  <c r="AA190" i="6"/>
  <c r="Z190" i="6"/>
  <c r="AA60" i="6"/>
  <c r="Z60" i="6"/>
  <c r="Z228" i="6"/>
  <c r="AA228" i="6"/>
  <c r="AA137" i="6"/>
  <c r="Z137" i="6"/>
  <c r="Z203" i="6"/>
  <c r="AA203" i="6"/>
  <c r="AA146" i="6"/>
  <c r="Z146" i="6"/>
  <c r="AA178" i="6"/>
  <c r="Z178" i="6"/>
  <c r="AA109" i="6"/>
  <c r="Z109" i="6"/>
  <c r="Z142" i="6"/>
  <c r="AA142" i="6"/>
  <c r="AA83" i="6"/>
  <c r="Z83" i="6"/>
  <c r="AA99" i="6"/>
  <c r="Z99" i="6"/>
  <c r="Z81" i="6"/>
  <c r="AA81" i="6"/>
  <c r="Z156" i="6"/>
  <c r="AA156" i="6"/>
  <c r="AI14" i="6"/>
  <c r="AJ14" i="6" s="1"/>
  <c r="AP14" i="6" s="1"/>
  <c r="AX14" i="6"/>
  <c r="AI20" i="6"/>
  <c r="AJ20" i="6" s="1"/>
  <c r="AP20" i="6" s="1"/>
  <c r="AX20" i="6"/>
  <c r="AA92" i="6"/>
  <c r="Z92" i="6"/>
  <c r="AB59" i="6"/>
  <c r="AC59" i="6"/>
  <c r="AA221" i="6"/>
  <c r="Z221" i="6"/>
  <c r="AA150" i="6"/>
  <c r="Z150" i="6"/>
  <c r="AA163" i="6"/>
  <c r="Z163" i="6"/>
  <c r="AA140" i="6"/>
  <c r="Z140" i="6"/>
  <c r="Z85" i="6"/>
  <c r="AA85" i="6"/>
  <c r="Z50" i="6"/>
  <c r="AA50" i="6"/>
  <c r="AA105" i="6"/>
  <c r="Z105" i="6"/>
  <c r="AA172" i="6"/>
  <c r="Z172" i="6"/>
  <c r="AA147" i="6"/>
  <c r="Z147" i="6"/>
  <c r="Z214" i="6"/>
  <c r="AA214" i="6"/>
  <c r="BC14" i="6"/>
  <c r="BC15" i="6"/>
  <c r="BC16" i="6"/>
  <c r="BC17" i="6"/>
  <c r="BC18" i="6"/>
  <c r="BC19" i="6"/>
  <c r="BC21" i="6"/>
  <c r="BC13" i="6"/>
  <c r="BC20" i="6"/>
  <c r="BC5" i="6"/>
  <c r="Z66" i="7" s="1"/>
  <c r="BC23" i="6"/>
  <c r="BC22" i="6"/>
  <c r="BC10" i="6"/>
  <c r="BC12" i="6"/>
  <c r="BC8" i="6"/>
  <c r="AI5" i="6"/>
  <c r="AJ5" i="6" s="1"/>
  <c r="AP5" i="6" s="1"/>
  <c r="BC11" i="6"/>
  <c r="BC7" i="6"/>
  <c r="Z68" i="7" s="1"/>
  <c r="BC9" i="6"/>
  <c r="P18" i="7"/>
  <c r="S17" i="7" s="1"/>
  <c r="AX5" i="6"/>
  <c r="AI7" i="6"/>
  <c r="AJ7" i="6" s="1"/>
  <c r="AP7" i="6" s="1"/>
  <c r="P30" i="7"/>
  <c r="S29" i="7" s="1"/>
  <c r="AX7" i="6"/>
  <c r="AI8" i="6"/>
  <c r="AJ8" i="6" s="1"/>
  <c r="AP8" i="6" s="1"/>
  <c r="AX8" i="6"/>
  <c r="AA161" i="6"/>
  <c r="Z161" i="6"/>
  <c r="AA80" i="6"/>
  <c r="Z80" i="6"/>
  <c r="AA198" i="6"/>
  <c r="Z198" i="6"/>
  <c r="AA173" i="6"/>
  <c r="Z173" i="6"/>
  <c r="AA120" i="6"/>
  <c r="Z120" i="6"/>
  <c r="AA187" i="6"/>
  <c r="Z187" i="6"/>
  <c r="Z47" i="6"/>
  <c r="AA47" i="6"/>
  <c r="AI13" i="6"/>
  <c r="AJ13" i="6" s="1"/>
  <c r="AP13" i="6" s="1"/>
  <c r="AX13" i="6"/>
  <c r="AA62" i="6"/>
  <c r="Z62" i="6"/>
  <c r="AA76" i="6"/>
  <c r="Z76" i="6"/>
  <c r="AA145" i="6"/>
  <c r="Z145" i="6"/>
  <c r="U4" i="6"/>
  <c r="V4" i="6" s="1"/>
  <c r="W4" i="6" s="1"/>
  <c r="V34" i="6"/>
  <c r="W34" i="6" s="1"/>
  <c r="AA141" i="6"/>
  <c r="Z141" i="6"/>
  <c r="Z71" i="6"/>
  <c r="AA71" i="6"/>
  <c r="AA205" i="6"/>
  <c r="Z205" i="6"/>
  <c r="AI10" i="6"/>
  <c r="AJ10" i="6" s="1"/>
  <c r="AP10" i="6" s="1"/>
  <c r="AX10" i="6"/>
  <c r="R5" i="6"/>
  <c r="D36" i="7"/>
  <c r="D37" i="7" s="1"/>
  <c r="Z37" i="6"/>
  <c r="AA37" i="6"/>
  <c r="AA212" i="6"/>
  <c r="Z212" i="6"/>
  <c r="AB108" i="6"/>
  <c r="AC108" i="6"/>
  <c r="AD108" i="6" s="1"/>
  <c r="Z69" i="6"/>
  <c r="AA69" i="6"/>
  <c r="AF4" i="6" a="1"/>
  <c r="AF4" i="6" s="1"/>
  <c r="BC4" i="6" s="1"/>
  <c r="Z65" i="7" s="1"/>
  <c r="AP36" i="6"/>
  <c r="AK32" i="6"/>
  <c r="AL32" i="6" s="1"/>
  <c r="AM32" i="6" s="1"/>
  <c r="AN32" i="6" s="1"/>
  <c r="AO32" i="6" s="1"/>
  <c r="AA77" i="6"/>
  <c r="Z77" i="6"/>
  <c r="AB166" i="6"/>
  <c r="AC166" i="6"/>
  <c r="AI16" i="6"/>
  <c r="AJ16" i="6" s="1"/>
  <c r="AP16" i="6" s="1"/>
  <c r="AX16" i="6"/>
  <c r="AF6" i="6" a="1"/>
  <c r="AF6" i="6" s="1"/>
  <c r="Z224" i="6"/>
  <c r="AA224" i="6"/>
  <c r="AB119" i="6"/>
  <c r="AC119" i="6"/>
  <c r="AD119" i="6" s="1"/>
  <c r="AA125" i="6"/>
  <c r="Z125" i="6"/>
  <c r="AA134" i="6"/>
  <c r="Z134" i="6"/>
  <c r="AB128" i="6"/>
  <c r="AC128" i="6"/>
  <c r="AA8" i="6"/>
  <c r="AB8" i="6" s="1"/>
  <c r="Z8" i="6"/>
  <c r="Z129" i="6"/>
  <c r="AA129" i="6"/>
  <c r="AA130" i="6"/>
  <c r="Z130" i="6"/>
  <c r="U6" i="6"/>
  <c r="S6" i="6" s="1"/>
  <c r="V37" i="6"/>
  <c r="W37" i="6" s="1"/>
  <c r="AA175" i="6"/>
  <c r="Z175" i="6"/>
  <c r="R13" i="6"/>
  <c r="AA138" i="6"/>
  <c r="Z138" i="6"/>
  <c r="AB91" i="6"/>
  <c r="AC91" i="6"/>
  <c r="AD91" i="6" s="1"/>
  <c r="Z53" i="6"/>
  <c r="AA53" i="6"/>
  <c r="AA51" i="6"/>
  <c r="Z51" i="6"/>
  <c r="AB124" i="6"/>
  <c r="AC124" i="6"/>
  <c r="AI19" i="6"/>
  <c r="AJ19" i="6" s="1"/>
  <c r="AP19" i="6" s="1"/>
  <c r="AX19" i="6"/>
  <c r="AA165" i="6"/>
  <c r="Z165" i="6"/>
  <c r="R15" i="6"/>
  <c r="AA170" i="6"/>
  <c r="Z170" i="6"/>
  <c r="AA115" i="6"/>
  <c r="Z115" i="6"/>
  <c r="Z199" i="6"/>
  <c r="AA199" i="6"/>
  <c r="AA70" i="6"/>
  <c r="Z70" i="6"/>
  <c r="AA78" i="6"/>
  <c r="Z78" i="6"/>
  <c r="AA200" i="6"/>
  <c r="Z200" i="6"/>
  <c r="AA180" i="6"/>
  <c r="Z180" i="6"/>
  <c r="Z67" i="6"/>
  <c r="AA67" i="6"/>
  <c r="AA95" i="6"/>
  <c r="Z95" i="6"/>
  <c r="AA149" i="6"/>
  <c r="Z149" i="6"/>
  <c r="AA55" i="6"/>
  <c r="Z55" i="6"/>
  <c r="R9" i="6"/>
  <c r="AA202" i="6"/>
  <c r="Z202" i="6"/>
  <c r="AA223" i="6"/>
  <c r="Z223" i="6"/>
  <c r="AA211" i="6"/>
  <c r="Z211" i="6"/>
  <c r="AA32" i="6"/>
  <c r="Z32" i="6"/>
  <c r="AB197" i="6"/>
  <c r="AC197" i="6"/>
  <c r="AA201" i="6"/>
  <c r="Z201" i="6"/>
  <c r="AB216" i="6"/>
  <c r="AC216" i="6"/>
  <c r="AA97" i="6"/>
  <c r="Z97" i="6"/>
  <c r="Z184" i="6"/>
  <c r="AA184" i="6"/>
  <c r="Z193" i="6"/>
  <c r="AA193" i="6"/>
  <c r="Z104" i="6"/>
  <c r="AA104" i="6"/>
  <c r="AA114" i="6"/>
  <c r="Z114" i="6"/>
  <c r="Z164" i="6"/>
  <c r="AA164" i="6"/>
  <c r="Z39" i="6"/>
  <c r="AA39" i="6"/>
  <c r="Z41" i="6"/>
  <c r="AA41" i="6"/>
  <c r="AA87" i="6"/>
  <c r="Z87" i="6"/>
  <c r="AA5" i="6"/>
  <c r="Z5" i="6"/>
  <c r="AA48" i="6"/>
  <c r="Z48" i="6"/>
  <c r="AA136" i="6"/>
  <c r="Z136" i="6"/>
  <c r="AA6" i="6"/>
  <c r="AB6" i="6" s="1"/>
  <c r="Z6" i="6"/>
  <c r="AA123" i="6"/>
  <c r="Z123" i="6"/>
  <c r="AA215" i="6"/>
  <c r="Z215" i="6"/>
  <c r="AA155" i="6"/>
  <c r="Z155" i="6"/>
  <c r="AA116" i="6"/>
  <c r="Z116" i="6"/>
  <c r="AA229" i="6"/>
  <c r="Z229" i="6"/>
  <c r="Z45" i="6"/>
  <c r="AA45" i="6"/>
  <c r="Z110" i="6"/>
  <c r="AA110" i="6"/>
  <c r="AA177" i="6"/>
  <c r="Z177" i="6"/>
  <c r="AA82" i="6"/>
  <c r="Z82" i="6"/>
  <c r="AA118" i="6"/>
  <c r="Z118" i="6"/>
  <c r="AA206" i="6"/>
  <c r="Z206" i="6"/>
  <c r="R21" i="6"/>
  <c r="AA56" i="6"/>
  <c r="Z56" i="6"/>
  <c r="AA139" i="6"/>
  <c r="Z139" i="6"/>
  <c r="AA54" i="6"/>
  <c r="Z54" i="6"/>
  <c r="AA4" i="6"/>
  <c r="Z4" i="6"/>
  <c r="AA181" i="6"/>
  <c r="Z181" i="6"/>
  <c r="AB153" i="6"/>
  <c r="AC153" i="6"/>
  <c r="AD153" i="6" s="1"/>
  <c r="AA72" i="6"/>
  <c r="Z72" i="6"/>
  <c r="AA117" i="6"/>
  <c r="Z117" i="6"/>
  <c r="Z210" i="6"/>
  <c r="AA210" i="6"/>
  <c r="AA131" i="6"/>
  <c r="Z131" i="6"/>
  <c r="Z226" i="6"/>
  <c r="AA226" i="6"/>
  <c r="AA159" i="6"/>
  <c r="Z159" i="6"/>
  <c r="Z182" i="6"/>
  <c r="AA182" i="6"/>
  <c r="Z33" i="6"/>
  <c r="AA33" i="6"/>
  <c r="AA207" i="6"/>
  <c r="Z207" i="6"/>
  <c r="AA176" i="6"/>
  <c r="Z176" i="6"/>
  <c r="R10" i="6"/>
  <c r="AA100" i="6"/>
  <c r="Z100" i="6"/>
  <c r="AA188" i="6"/>
  <c r="Z188" i="6"/>
  <c r="AA89" i="6"/>
  <c r="Z89" i="6"/>
  <c r="Y18" i="6"/>
  <c r="Y13" i="6"/>
  <c r="Y17" i="6"/>
  <c r="Y23" i="6"/>
  <c r="Y10" i="6"/>
  <c r="Y11" i="6"/>
  <c r="Y9" i="6"/>
  <c r="Y15" i="6"/>
  <c r="Y16" i="6"/>
  <c r="Y22" i="6"/>
  <c r="Y14" i="6"/>
  <c r="Y20" i="6"/>
  <c r="Y21" i="6"/>
  <c r="Y19" i="6"/>
  <c r="AA42" i="6"/>
  <c r="Z42" i="6"/>
  <c r="AA93" i="6"/>
  <c r="Z93" i="6"/>
  <c r="Z35" i="6"/>
  <c r="AA35" i="6"/>
  <c r="AA185" i="6"/>
  <c r="Z185" i="6"/>
  <c r="V7" i="6"/>
  <c r="W7" i="6" s="1"/>
  <c r="R7" i="6"/>
  <c r="AA189" i="6"/>
  <c r="Z189" i="6"/>
  <c r="AA208" i="6"/>
  <c r="Z208" i="6"/>
  <c r="AA94" i="6"/>
  <c r="Z94" i="6"/>
  <c r="AA58" i="6"/>
  <c r="Z58" i="6"/>
  <c r="AA49" i="6"/>
  <c r="Z49" i="6"/>
  <c r="AA152" i="6"/>
  <c r="Z152" i="6"/>
  <c r="AA209" i="6"/>
  <c r="Z209" i="6"/>
  <c r="AA36" i="6"/>
  <c r="Z36" i="6"/>
  <c r="AA46" i="6"/>
  <c r="Z46" i="6"/>
  <c r="AI11" i="6"/>
  <c r="AJ11" i="6" s="1"/>
  <c r="AP11" i="6" s="1"/>
  <c r="AX11" i="6"/>
  <c r="U17" i="6"/>
  <c r="S17" i="6" s="1"/>
  <c r="U16" i="6"/>
  <c r="S16" i="6" s="1"/>
  <c r="U18" i="6"/>
  <c r="S18" i="6" s="1"/>
  <c r="U19" i="6"/>
  <c r="S19" i="6" s="1"/>
  <c r="U9" i="6"/>
  <c r="S9" i="6" s="1"/>
  <c r="U10" i="6"/>
  <c r="S10" i="6" s="1"/>
  <c r="U23" i="6"/>
  <c r="S23" i="6" s="1"/>
  <c r="U15" i="6"/>
  <c r="S15" i="6" s="1"/>
  <c r="U20" i="6"/>
  <c r="S20" i="6" s="1"/>
  <c r="U13" i="6"/>
  <c r="S13" i="6" s="1"/>
  <c r="U11" i="6"/>
  <c r="S11" i="6" s="1"/>
  <c r="U21" i="6"/>
  <c r="S21" i="6" s="1"/>
  <c r="U22" i="6"/>
  <c r="S22" i="6" s="1"/>
  <c r="U8" i="6"/>
  <c r="S8" i="6" s="1"/>
  <c r="U12" i="6"/>
  <c r="S12" i="6" s="1"/>
  <c r="U14" i="6"/>
  <c r="S14" i="6" s="1"/>
  <c r="R11" i="6"/>
  <c r="AA191" i="6"/>
  <c r="Z191" i="6"/>
  <c r="Z218" i="6"/>
  <c r="AA218" i="6"/>
  <c r="AB135" i="6"/>
  <c r="AC135" i="6"/>
  <c r="Z75" i="6"/>
  <c r="AA75" i="6"/>
  <c r="AA219" i="6"/>
  <c r="Z219" i="6"/>
  <c r="AI18" i="6"/>
  <c r="AJ18" i="6" s="1"/>
  <c r="AP18" i="6" s="1"/>
  <c r="AX18" i="6"/>
  <c r="R8" i="6"/>
  <c r="R20" i="6"/>
  <c r="AA192" i="6"/>
  <c r="Z192" i="6"/>
  <c r="AA144" i="6"/>
  <c r="Z144" i="6"/>
  <c r="T24" i="6"/>
  <c r="E36" i="7" s="1"/>
  <c r="E37" i="7" s="1"/>
  <c r="R4" i="6"/>
  <c r="C36" i="7"/>
  <c r="C37" i="7" s="1"/>
  <c r="R6" i="6"/>
  <c r="AC6" i="6" s="1"/>
  <c r="AA194" i="6"/>
  <c r="Z194" i="6"/>
  <c r="AI12" i="6"/>
  <c r="AJ12" i="6" s="1"/>
  <c r="AP12" i="6" s="1"/>
  <c r="AX12" i="6"/>
  <c r="R12" i="6"/>
  <c r="AC12" i="6" s="1"/>
  <c r="R23" i="6"/>
  <c r="AA167" i="6"/>
  <c r="Z167" i="6"/>
  <c r="AA12" i="6"/>
  <c r="AB12" i="6" s="1"/>
  <c r="Z12" i="6"/>
  <c r="AA171" i="6"/>
  <c r="Z171" i="6"/>
  <c r="Z73" i="6"/>
  <c r="AA73" i="6"/>
  <c r="AI23" i="6"/>
  <c r="AJ23" i="6" s="1"/>
  <c r="AP23" i="6" s="1"/>
  <c r="AX23" i="6"/>
  <c r="R14" i="6"/>
  <c r="R17" i="6"/>
  <c r="AA183" i="6"/>
  <c r="Z183" i="6"/>
  <c r="AI22" i="6"/>
  <c r="AJ22" i="6" s="1"/>
  <c r="AP22" i="6" s="1"/>
  <c r="AX22" i="6"/>
  <c r="R22" i="6"/>
  <c r="R18" i="6"/>
  <c r="AA217" i="6"/>
  <c r="Z217" i="6"/>
  <c r="AA64" i="6"/>
  <c r="Z64" i="6"/>
  <c r="AA96" i="6"/>
  <c r="Z96" i="6"/>
  <c r="AA213" i="6"/>
  <c r="Z213" i="6"/>
  <c r="AA44" i="6"/>
  <c r="Z44" i="6"/>
  <c r="AI9" i="6"/>
  <c r="AJ9" i="6" s="1"/>
  <c r="AP9" i="6" s="1"/>
  <c r="AX9" i="6"/>
  <c r="R19" i="6"/>
  <c r="V40" i="6"/>
  <c r="W40" i="6" s="1"/>
  <c r="Y7" i="6"/>
  <c r="AA112" i="6"/>
  <c r="Z112" i="6"/>
  <c r="S7" i="6"/>
  <c r="AI21" i="6"/>
  <c r="AJ21" i="6" s="1"/>
  <c r="AP21" i="6" s="1"/>
  <c r="AX21" i="6"/>
  <c r="R16" i="6"/>
  <c r="AA179" i="6"/>
  <c r="Z179" i="6"/>
  <c r="Z61" i="6"/>
  <c r="AA61" i="6"/>
  <c r="AA111" i="6"/>
  <c r="Z111" i="6"/>
  <c r="AA38" i="6"/>
  <c r="Z38" i="6"/>
  <c r="V5" i="6" l="1"/>
  <c r="W5" i="6" s="1"/>
  <c r="V23" i="6"/>
  <c r="W23" i="6" s="1"/>
  <c r="V15" i="6"/>
  <c r="W15" i="6" s="1"/>
  <c r="R18" i="7"/>
  <c r="V14" i="6"/>
  <c r="W14" i="6" s="1"/>
  <c r="V20" i="6"/>
  <c r="W20" i="6" s="1"/>
  <c r="V18" i="6"/>
  <c r="W18" i="6" s="1"/>
  <c r="V16" i="6"/>
  <c r="W16" i="6" s="1"/>
  <c r="V22" i="6"/>
  <c r="W22" i="6" s="1"/>
  <c r="V6" i="6"/>
  <c r="W6" i="6" s="1"/>
  <c r="AD6" i="6" s="1"/>
  <c r="V11" i="6"/>
  <c r="W11" i="6" s="1"/>
  <c r="AB93" i="6"/>
  <c r="AC93" i="6"/>
  <c r="AD93" i="6" s="1"/>
  <c r="AB202" i="6"/>
  <c r="AC202" i="6"/>
  <c r="AB186" i="6"/>
  <c r="AC186" i="6"/>
  <c r="AD186" i="6" s="1"/>
  <c r="U24" i="6"/>
  <c r="S4" i="6"/>
  <c r="AB174" i="6"/>
  <c r="AC174" i="6"/>
  <c r="AD174" i="6" s="1"/>
  <c r="AB86" i="6"/>
  <c r="AC86" i="6"/>
  <c r="AB57" i="6"/>
  <c r="AC57" i="6"/>
  <c r="AD57" i="6" s="1"/>
  <c r="AA10" i="6"/>
  <c r="AB10" i="6" s="1"/>
  <c r="Z10" i="6"/>
  <c r="AB229" i="6"/>
  <c r="AC229" i="6"/>
  <c r="AB80" i="6"/>
  <c r="AC80" i="6"/>
  <c r="AD80" i="6" s="1"/>
  <c r="AB214" i="6"/>
  <c r="AC214" i="6"/>
  <c r="AD214" i="6" s="1"/>
  <c r="AB43" i="6"/>
  <c r="AC43" i="6"/>
  <c r="AC22" i="6"/>
  <c r="AB42" i="6"/>
  <c r="AC42" i="6"/>
  <c r="AB118" i="6"/>
  <c r="AC118" i="6"/>
  <c r="AD118" i="6" s="1"/>
  <c r="AB200" i="6"/>
  <c r="AC200" i="6"/>
  <c r="AD200" i="6" s="1"/>
  <c r="AB224" i="6"/>
  <c r="AC224" i="6"/>
  <c r="AD224" i="6" s="1"/>
  <c r="AB187" i="6"/>
  <c r="AC187" i="6"/>
  <c r="AD187" i="6" s="1"/>
  <c r="AB142" i="6"/>
  <c r="AC142" i="6"/>
  <c r="AD142" i="6" s="1"/>
  <c r="AB228" i="6"/>
  <c r="AC228" i="6"/>
  <c r="AB40" i="6"/>
  <c r="AC40" i="6"/>
  <c r="AD40" i="6" s="1"/>
  <c r="AB160" i="6"/>
  <c r="AC160" i="6"/>
  <c r="AD160" i="6" s="1"/>
  <c r="AB206" i="6"/>
  <c r="AC206" i="6"/>
  <c r="AD206" i="6" s="1"/>
  <c r="AB140" i="6"/>
  <c r="AC140" i="6"/>
  <c r="AA19" i="6"/>
  <c r="AB19" i="6" s="1"/>
  <c r="Z19" i="6"/>
  <c r="Z13" i="6"/>
  <c r="AA13" i="6"/>
  <c r="AB13" i="6" s="1"/>
  <c r="AB210" i="6"/>
  <c r="AC210" i="6"/>
  <c r="AB104" i="6"/>
  <c r="AC104" i="6"/>
  <c r="AD197" i="6"/>
  <c r="AB69" i="6"/>
  <c r="AC69" i="6"/>
  <c r="AD69" i="6" s="1"/>
  <c r="AB145" i="6"/>
  <c r="AC145" i="6"/>
  <c r="AD145" i="6" s="1"/>
  <c r="AB161" i="6"/>
  <c r="AC161" i="6"/>
  <c r="AB147" i="6"/>
  <c r="AC147" i="6"/>
  <c r="AB163" i="6"/>
  <c r="AC163" i="6"/>
  <c r="AB169" i="6"/>
  <c r="AC169" i="6"/>
  <c r="AD169" i="6" s="1"/>
  <c r="AB106" i="6"/>
  <c r="AC106" i="6"/>
  <c r="AB157" i="6"/>
  <c r="AC157" i="6"/>
  <c r="AD157" i="6" s="1"/>
  <c r="AB158" i="6"/>
  <c r="AC158" i="6"/>
  <c r="AB107" i="6"/>
  <c r="AC107" i="6"/>
  <c r="AB204" i="6"/>
  <c r="AC204" i="6"/>
  <c r="AB90" i="6"/>
  <c r="AC90" i="6"/>
  <c r="AD90" i="6" s="1"/>
  <c r="AI6" i="6"/>
  <c r="AJ6" i="6" s="1"/>
  <c r="AP6" i="6" s="1"/>
  <c r="P24" i="7"/>
  <c r="S23" i="7" s="1"/>
  <c r="AX6" i="6"/>
  <c r="AB120" i="6"/>
  <c r="AC120" i="6"/>
  <c r="AB126" i="6"/>
  <c r="AC126" i="6"/>
  <c r="AD126" i="6" s="1"/>
  <c r="AB122" i="6"/>
  <c r="AC122" i="6"/>
  <c r="AD122" i="6" s="1"/>
  <c r="AC15" i="6"/>
  <c r="AB137" i="6"/>
  <c r="AC137" i="6"/>
  <c r="AD137" i="6" s="1"/>
  <c r="AB114" i="6"/>
  <c r="AC114" i="6"/>
  <c r="AB144" i="6"/>
  <c r="AC144" i="6"/>
  <c r="AB193" i="6"/>
  <c r="AC193" i="6"/>
  <c r="AD193" i="6" s="1"/>
  <c r="AB138" i="6"/>
  <c r="AC138" i="6"/>
  <c r="AD138" i="6" s="1"/>
  <c r="AB76" i="6"/>
  <c r="AC76" i="6"/>
  <c r="AD76" i="6" s="1"/>
  <c r="AB172" i="6"/>
  <c r="AC172" i="6"/>
  <c r="AB150" i="6"/>
  <c r="AC150" i="6"/>
  <c r="AB109" i="6"/>
  <c r="AC109" i="6"/>
  <c r="AB60" i="6"/>
  <c r="AC60" i="6"/>
  <c r="AD60" i="6" s="1"/>
  <c r="AB195" i="6"/>
  <c r="AC195" i="6"/>
  <c r="AB121" i="6"/>
  <c r="AC121" i="6"/>
  <c r="AD121" i="6" s="1"/>
  <c r="AB225" i="6"/>
  <c r="AC225" i="6"/>
  <c r="BB13" i="6"/>
  <c r="BB14" i="6"/>
  <c r="BB15" i="6"/>
  <c r="BB17" i="6"/>
  <c r="BB18" i="6"/>
  <c r="BB12" i="6"/>
  <c r="BB8" i="6"/>
  <c r="BB4" i="6"/>
  <c r="X65" i="7" s="1"/>
  <c r="BB20" i="6"/>
  <c r="BB23" i="6"/>
  <c r="BB22" i="6"/>
  <c r="BB16" i="6"/>
  <c r="BB10" i="6"/>
  <c r="BB21" i="6"/>
  <c r="BB19" i="6"/>
  <c r="BB6" i="6"/>
  <c r="X67" i="7" s="1"/>
  <c r="BB5" i="6"/>
  <c r="X66" i="7" s="1"/>
  <c r="BB11" i="6"/>
  <c r="BB7" i="6"/>
  <c r="X68" i="7" s="1"/>
  <c r="BB9" i="6"/>
  <c r="AI4" i="6"/>
  <c r="AJ4" i="6" s="1"/>
  <c r="AX4" i="6"/>
  <c r="P12" i="7"/>
  <c r="S11" i="7" s="1"/>
  <c r="AB219" i="6"/>
  <c r="AC219" i="6"/>
  <c r="AB38" i="6"/>
  <c r="AC38" i="6"/>
  <c r="AD38" i="6" s="1"/>
  <c r="AB73" i="6"/>
  <c r="AC73" i="6"/>
  <c r="AB209" i="6"/>
  <c r="AC209" i="6"/>
  <c r="AD209" i="6" s="1"/>
  <c r="AB207" i="6"/>
  <c r="AC207" i="6"/>
  <c r="AB5" i="6"/>
  <c r="I34" i="7" s="1"/>
  <c r="I35" i="7"/>
  <c r="AB165" i="6"/>
  <c r="AC165" i="6"/>
  <c r="AB111" i="6"/>
  <c r="AC111" i="6"/>
  <c r="AD111" i="6" s="1"/>
  <c r="AB112" i="6"/>
  <c r="AC112" i="6"/>
  <c r="AB192" i="6"/>
  <c r="AC192" i="6"/>
  <c r="AD192" i="6" s="1"/>
  <c r="AD135" i="6"/>
  <c r="AB152" i="6"/>
  <c r="AC152" i="6"/>
  <c r="AD152" i="6" s="1"/>
  <c r="Z14" i="6"/>
  <c r="AA14" i="6"/>
  <c r="AB14" i="6" s="1"/>
  <c r="AB89" i="6"/>
  <c r="AC89" i="6"/>
  <c r="AD89" i="6" s="1"/>
  <c r="AB117" i="6"/>
  <c r="AC117" i="6"/>
  <c r="AD117" i="6" s="1"/>
  <c r="AB139" i="6"/>
  <c r="AC139" i="6"/>
  <c r="AD139" i="6" s="1"/>
  <c r="AB177" i="6"/>
  <c r="AC177" i="6"/>
  <c r="AB215" i="6"/>
  <c r="AC215" i="6"/>
  <c r="AD215" i="6" s="1"/>
  <c r="AB87" i="6"/>
  <c r="AC87" i="6"/>
  <c r="AD87" i="6" s="1"/>
  <c r="AB32" i="6"/>
  <c r="AC32" i="6"/>
  <c r="AD32" i="6" s="1"/>
  <c r="AB149" i="6"/>
  <c r="AC149" i="6"/>
  <c r="AD149" i="6" s="1"/>
  <c r="AB70" i="6"/>
  <c r="AC70" i="6"/>
  <c r="AD70" i="6" s="1"/>
  <c r="V13" i="6"/>
  <c r="W13" i="6" s="1"/>
  <c r="AD128" i="6"/>
  <c r="AB173" i="6"/>
  <c r="AC173" i="6"/>
  <c r="AD173" i="6" s="1"/>
  <c r="AB156" i="6"/>
  <c r="AC156" i="6"/>
  <c r="AD156" i="6" s="1"/>
  <c r="AB220" i="6"/>
  <c r="AC220" i="6"/>
  <c r="AD220" i="6" s="1"/>
  <c r="AB222" i="6"/>
  <c r="AC222" i="6"/>
  <c r="AD222" i="6" s="1"/>
  <c r="AB65" i="6"/>
  <c r="AC65" i="6"/>
  <c r="AD65" i="6" s="1"/>
  <c r="AB46" i="6"/>
  <c r="AC46" i="6"/>
  <c r="AD46" i="6" s="1"/>
  <c r="AB181" i="6"/>
  <c r="AC181" i="6"/>
  <c r="AD181" i="6" s="1"/>
  <c r="AB170" i="6"/>
  <c r="AC170" i="6"/>
  <c r="AD170" i="6" s="1"/>
  <c r="AC4" i="6"/>
  <c r="Q12" i="7"/>
  <c r="AB113" i="6"/>
  <c r="AC113" i="6"/>
  <c r="AB131" i="6"/>
  <c r="AC131" i="6"/>
  <c r="AD131" i="6" s="1"/>
  <c r="Z21" i="6"/>
  <c r="AA21" i="6"/>
  <c r="AB21" i="6" s="1"/>
  <c r="AA18" i="6"/>
  <c r="AB18" i="6" s="1"/>
  <c r="Z18" i="6"/>
  <c r="AB213" i="6"/>
  <c r="AC213" i="6"/>
  <c r="AD213" i="6" s="1"/>
  <c r="AA20" i="6"/>
  <c r="AB20" i="6" s="1"/>
  <c r="Z20" i="6"/>
  <c r="AB33" i="6"/>
  <c r="AC33" i="6"/>
  <c r="AD33" i="6" s="1"/>
  <c r="AB96" i="6"/>
  <c r="AC96" i="6"/>
  <c r="AD96" i="6" s="1"/>
  <c r="AB171" i="6"/>
  <c r="AC171" i="6"/>
  <c r="AD171" i="6" s="1"/>
  <c r="AA22" i="6"/>
  <c r="AB22" i="6" s="1"/>
  <c r="Z22" i="6"/>
  <c r="AB182" i="6"/>
  <c r="AC182" i="6"/>
  <c r="AD182" i="6" s="1"/>
  <c r="AB110" i="6"/>
  <c r="AC110" i="6"/>
  <c r="AD110" i="6" s="1"/>
  <c r="AB41" i="6"/>
  <c r="AC41" i="6"/>
  <c r="AD41" i="6" s="1"/>
  <c r="AB184" i="6"/>
  <c r="AC184" i="6"/>
  <c r="AD184" i="6" s="1"/>
  <c r="AB199" i="6"/>
  <c r="AC199" i="6"/>
  <c r="AD199" i="6" s="1"/>
  <c r="AC13" i="6"/>
  <c r="AB205" i="6"/>
  <c r="AC205" i="6"/>
  <c r="AB62" i="6"/>
  <c r="AC62" i="6"/>
  <c r="AD62" i="6" s="1"/>
  <c r="AB105" i="6"/>
  <c r="AC105" i="6"/>
  <c r="AB221" i="6"/>
  <c r="AC221" i="6"/>
  <c r="AD221" i="6" s="1"/>
  <c r="AB178" i="6"/>
  <c r="AC178" i="6"/>
  <c r="AB190" i="6"/>
  <c r="AC190" i="6"/>
  <c r="AB154" i="6"/>
  <c r="AC154" i="6"/>
  <c r="AB101" i="6"/>
  <c r="AC101" i="6"/>
  <c r="AD101" i="6" s="1"/>
  <c r="AB168" i="6"/>
  <c r="AC168" i="6"/>
  <c r="AC11" i="6"/>
  <c r="AB180" i="6"/>
  <c r="AC180" i="6"/>
  <c r="AD180" i="6" s="1"/>
  <c r="AB176" i="6"/>
  <c r="AC176" i="6"/>
  <c r="AD176" i="6" s="1"/>
  <c r="AB48" i="6"/>
  <c r="AC48" i="6"/>
  <c r="AD48" i="6" s="1"/>
  <c r="AB44" i="6"/>
  <c r="AC44" i="6"/>
  <c r="AD44" i="6" s="1"/>
  <c r="V12" i="6"/>
  <c r="W12" i="6" s="1"/>
  <c r="AD12" i="6" s="1"/>
  <c r="AB189" i="6"/>
  <c r="AC189" i="6"/>
  <c r="AD189" i="6" s="1"/>
  <c r="AB82" i="6"/>
  <c r="AC82" i="6"/>
  <c r="AD82" i="6" s="1"/>
  <c r="AB183" i="6"/>
  <c r="AC183" i="6"/>
  <c r="AD183" i="6" s="1"/>
  <c r="AB194" i="6"/>
  <c r="AC194" i="6"/>
  <c r="AD194" i="6" s="1"/>
  <c r="AB218" i="6"/>
  <c r="AC218" i="6"/>
  <c r="AD218" i="6" s="1"/>
  <c r="AB49" i="6"/>
  <c r="AC49" i="6"/>
  <c r="AB185" i="6"/>
  <c r="AC185" i="6"/>
  <c r="AD185" i="6" s="1"/>
  <c r="AA16" i="6"/>
  <c r="AB16" i="6" s="1"/>
  <c r="Z16" i="6"/>
  <c r="AB188" i="6"/>
  <c r="AC188" i="6"/>
  <c r="AB72" i="6"/>
  <c r="AC72" i="6"/>
  <c r="AB56" i="6"/>
  <c r="AC56" i="6"/>
  <c r="AD56" i="6" s="1"/>
  <c r="AB123" i="6"/>
  <c r="AC123" i="6"/>
  <c r="AD123" i="6" s="1"/>
  <c r="AB211" i="6"/>
  <c r="AC211" i="6"/>
  <c r="AD211" i="6" s="1"/>
  <c r="AB95" i="6"/>
  <c r="AC95" i="6"/>
  <c r="AD124" i="6"/>
  <c r="AD166" i="6"/>
  <c r="AB212" i="6"/>
  <c r="AC212" i="6"/>
  <c r="AB71" i="6"/>
  <c r="AC71" i="6"/>
  <c r="AD71" i="6" s="1"/>
  <c r="AB50" i="6"/>
  <c r="AC50" i="6"/>
  <c r="AD50" i="6" s="1"/>
  <c r="AD59" i="6"/>
  <c r="AB81" i="6"/>
  <c r="AC81" i="6"/>
  <c r="AB133" i="6"/>
  <c r="AC133" i="6"/>
  <c r="AB162" i="6"/>
  <c r="AC162" i="6"/>
  <c r="AB94" i="6"/>
  <c r="AC94" i="6"/>
  <c r="AD94" i="6" s="1"/>
  <c r="V10" i="6"/>
  <c r="W10" i="6" s="1"/>
  <c r="AB136" i="6"/>
  <c r="AC136" i="6"/>
  <c r="AD136" i="6" s="1"/>
  <c r="AB53" i="6"/>
  <c r="AC53" i="6"/>
  <c r="AD53" i="6" s="1"/>
  <c r="AA17" i="6"/>
  <c r="AB17" i="6" s="1"/>
  <c r="Z17" i="6"/>
  <c r="AB75" i="6"/>
  <c r="AC75" i="6"/>
  <c r="AD75" i="6" s="1"/>
  <c r="AB55" i="6"/>
  <c r="AC55" i="6"/>
  <c r="AD55" i="6" s="1"/>
  <c r="AB61" i="6"/>
  <c r="AC61" i="6"/>
  <c r="AD61" i="6" s="1"/>
  <c r="V19" i="6"/>
  <c r="W19" i="6" s="1"/>
  <c r="AB64" i="6"/>
  <c r="AC64" i="6"/>
  <c r="AD64" i="6" s="1"/>
  <c r="V17" i="6"/>
  <c r="W17" i="6" s="1"/>
  <c r="V8" i="6"/>
  <c r="W8" i="6" s="1"/>
  <c r="AB35" i="6"/>
  <c r="AC35" i="6"/>
  <c r="AA15" i="6"/>
  <c r="AB15" i="6" s="1"/>
  <c r="Z15" i="6"/>
  <c r="V21" i="6"/>
  <c r="W21" i="6" s="1"/>
  <c r="AB45" i="6"/>
  <c r="AC45" i="6"/>
  <c r="AD45" i="6" s="1"/>
  <c r="AB39" i="6"/>
  <c r="AC39" i="6"/>
  <c r="AD39" i="6" s="1"/>
  <c r="AB67" i="6"/>
  <c r="AC67" i="6"/>
  <c r="AD67" i="6" s="1"/>
  <c r="AB175" i="6"/>
  <c r="AC175" i="6"/>
  <c r="AD175" i="6" s="1"/>
  <c r="AB134" i="6"/>
  <c r="AC134" i="6"/>
  <c r="AD134" i="6" s="1"/>
  <c r="AB37" i="6"/>
  <c r="AC37" i="6"/>
  <c r="AD37" i="6" s="1"/>
  <c r="BC6" i="6"/>
  <c r="Z67" i="7" s="1"/>
  <c r="AB146" i="6"/>
  <c r="AC146" i="6"/>
  <c r="AD146" i="6" s="1"/>
  <c r="AB66" i="6"/>
  <c r="AC66" i="6"/>
  <c r="AD66" i="6" s="1"/>
  <c r="AB98" i="6"/>
  <c r="AC98" i="6"/>
  <c r="AB103" i="6"/>
  <c r="AC103" i="6"/>
  <c r="AB34" i="6"/>
  <c r="AC34" i="6"/>
  <c r="AB151" i="6"/>
  <c r="AC151" i="6"/>
  <c r="AD151" i="6" s="1"/>
  <c r="AB63" i="6"/>
  <c r="AC63" i="6"/>
  <c r="AD63" i="6" s="1"/>
  <c r="AB127" i="6"/>
  <c r="AC127" i="6"/>
  <c r="AD127" i="6" s="1"/>
  <c r="AA23" i="6"/>
  <c r="AB23" i="6" s="1"/>
  <c r="Z23" i="6"/>
  <c r="AB208" i="6"/>
  <c r="AC208" i="6"/>
  <c r="AB4" i="6"/>
  <c r="G35" i="7"/>
  <c r="AB129" i="6"/>
  <c r="AC129" i="6"/>
  <c r="AD129" i="6" s="1"/>
  <c r="AB54" i="6"/>
  <c r="AC54" i="6"/>
  <c r="AD54" i="6" s="1"/>
  <c r="AB78" i="6"/>
  <c r="AC78" i="6"/>
  <c r="AD78" i="6" s="1"/>
  <c r="AA7" i="6"/>
  <c r="AB7" i="6" s="1"/>
  <c r="Z7" i="6"/>
  <c r="AB179" i="6"/>
  <c r="AC179" i="6"/>
  <c r="AD179" i="6" s="1"/>
  <c r="AC17" i="6"/>
  <c r="AC8" i="6"/>
  <c r="AP30" i="6"/>
  <c r="AQ36" i="6" s="1"/>
  <c r="AR36" i="6" s="1"/>
  <c r="AB58" i="6"/>
  <c r="AC58" i="6"/>
  <c r="AA9" i="6"/>
  <c r="AB9" i="6" s="1"/>
  <c r="Z9" i="6"/>
  <c r="AB100" i="6"/>
  <c r="AC100" i="6"/>
  <c r="AB159" i="6"/>
  <c r="AC159" i="6"/>
  <c r="AD159" i="6" s="1"/>
  <c r="AC21" i="6"/>
  <c r="AB97" i="6"/>
  <c r="AC97" i="6"/>
  <c r="AD97" i="6" s="1"/>
  <c r="AB223" i="6"/>
  <c r="AC223" i="6"/>
  <c r="AD223" i="6" s="1"/>
  <c r="AB115" i="6"/>
  <c r="AC115" i="6"/>
  <c r="AD115" i="6" s="1"/>
  <c r="AB198" i="6"/>
  <c r="AC198" i="6"/>
  <c r="AD198" i="6" s="1"/>
  <c r="AB85" i="6"/>
  <c r="AC85" i="6"/>
  <c r="AD85" i="6" s="1"/>
  <c r="AB203" i="6"/>
  <c r="AC203" i="6"/>
  <c r="AD203" i="6" s="1"/>
  <c r="AB84" i="6"/>
  <c r="AC84" i="6"/>
  <c r="AD84" i="6" s="1"/>
  <c r="AB148" i="6"/>
  <c r="AC148" i="6"/>
  <c r="AD148" i="6" s="1"/>
  <c r="AB88" i="6"/>
  <c r="AC88" i="6"/>
  <c r="AD88" i="6" s="1"/>
  <c r="AB130" i="6"/>
  <c r="AC130" i="6"/>
  <c r="AD130" i="6" s="1"/>
  <c r="AC5" i="6"/>
  <c r="Q18" i="7"/>
  <c r="AB83" i="6"/>
  <c r="AC83" i="6"/>
  <c r="AD83" i="6" s="1"/>
  <c r="AB36" i="6"/>
  <c r="AC36" i="6"/>
  <c r="AD36" i="6" s="1"/>
  <c r="AB116" i="6"/>
  <c r="AC116" i="6"/>
  <c r="AD116" i="6" s="1"/>
  <c r="AB201" i="6"/>
  <c r="AC201" i="6"/>
  <c r="AD201" i="6" s="1"/>
  <c r="V9" i="6"/>
  <c r="W9" i="6" s="1"/>
  <c r="AB155" i="6"/>
  <c r="AC155" i="6"/>
  <c r="AD155" i="6" s="1"/>
  <c r="AB217" i="6"/>
  <c r="AC217" i="6"/>
  <c r="AD217" i="6" s="1"/>
  <c r="AC14" i="6"/>
  <c r="AB167" i="6"/>
  <c r="AC167" i="6"/>
  <c r="AB191" i="6"/>
  <c r="AC191" i="6"/>
  <c r="AA11" i="6"/>
  <c r="AB11" i="6" s="1"/>
  <c r="Z11" i="6"/>
  <c r="AB226" i="6"/>
  <c r="AC226" i="6"/>
  <c r="AD226" i="6" s="1"/>
  <c r="AB164" i="6"/>
  <c r="AC164" i="6"/>
  <c r="AD164" i="6" s="1"/>
  <c r="AD216" i="6"/>
  <c r="AB51" i="6"/>
  <c r="AC51" i="6"/>
  <c r="AB125" i="6"/>
  <c r="AC125" i="6"/>
  <c r="AB77" i="6"/>
  <c r="AC77" i="6"/>
  <c r="AB141" i="6"/>
  <c r="AC141" i="6"/>
  <c r="AD141" i="6" s="1"/>
  <c r="AB47" i="6"/>
  <c r="AC47" i="6"/>
  <c r="AD47" i="6" s="1"/>
  <c r="AB92" i="6"/>
  <c r="AC92" i="6"/>
  <c r="AD92" i="6" s="1"/>
  <c r="AB99" i="6"/>
  <c r="AC99" i="6"/>
  <c r="AB79" i="6"/>
  <c r="AC79" i="6"/>
  <c r="AB227" i="6"/>
  <c r="AC227" i="6"/>
  <c r="AB143" i="6"/>
  <c r="AC143" i="6"/>
  <c r="AD143" i="6" s="1"/>
  <c r="AB74" i="6"/>
  <c r="AC74" i="6"/>
  <c r="AD74" i="6" s="1"/>
  <c r="AB132" i="6"/>
  <c r="AC132" i="6"/>
  <c r="AD132" i="6" s="1"/>
  <c r="AB102" i="6"/>
  <c r="AC102" i="6"/>
  <c r="AD14" i="6" l="1"/>
  <c r="AD15" i="6"/>
  <c r="AD11" i="6"/>
  <c r="AD22" i="6"/>
  <c r="AD8" i="6"/>
  <c r="AD21" i="6"/>
  <c r="AJ24" i="6"/>
  <c r="AT36" i="6"/>
  <c r="AS36" i="6"/>
  <c r="AD177" i="6"/>
  <c r="AD228" i="6"/>
  <c r="AD42" i="6"/>
  <c r="AD202" i="6"/>
  <c r="AD49" i="6"/>
  <c r="AD168" i="6"/>
  <c r="AD105" i="6"/>
  <c r="AD113" i="6"/>
  <c r="AD112" i="6"/>
  <c r="AD73" i="6"/>
  <c r="AD195" i="6"/>
  <c r="AD106" i="6"/>
  <c r="AD140" i="6"/>
  <c r="AD43" i="6"/>
  <c r="AD86" i="6"/>
  <c r="H35" i="7"/>
  <c r="G39" i="7"/>
  <c r="H39" i="7" s="1"/>
  <c r="AK4" i="6"/>
  <c r="AL4" i="6" s="1"/>
  <c r="AM4" i="6" s="1"/>
  <c r="AN4" i="6" s="1"/>
  <c r="AO4" i="6" s="1"/>
  <c r="AC19" i="6"/>
  <c r="AD19" i="6" s="1"/>
  <c r="AD4" i="6"/>
  <c r="G36" i="7"/>
  <c r="AD17" i="6"/>
  <c r="AA24" i="6"/>
  <c r="K35" i="7" s="1"/>
  <c r="AD227" i="6"/>
  <c r="AD77" i="6"/>
  <c r="AD5" i="6"/>
  <c r="I36" i="7"/>
  <c r="AD100" i="6"/>
  <c r="AD208" i="6"/>
  <c r="AD34" i="6"/>
  <c r="AD162" i="6"/>
  <c r="AD212" i="6"/>
  <c r="AD72" i="6"/>
  <c r="AC20" i="6"/>
  <c r="AD20" i="6" s="1"/>
  <c r="AD154" i="6"/>
  <c r="AD205" i="6"/>
  <c r="AC18" i="6"/>
  <c r="AD18" i="6" s="1"/>
  <c r="AD165" i="6"/>
  <c r="AD219" i="6"/>
  <c r="AD109" i="6"/>
  <c r="AD204" i="6"/>
  <c r="AD163" i="6"/>
  <c r="AD104" i="6"/>
  <c r="C38" i="7"/>
  <c r="R12" i="7"/>
  <c r="AC7" i="6"/>
  <c r="AD7" i="6" s="1"/>
  <c r="AD79" i="6"/>
  <c r="AD125" i="6"/>
  <c r="AD191" i="6"/>
  <c r="AC9" i="6"/>
  <c r="AD9" i="6" s="1"/>
  <c r="AD103" i="6"/>
  <c r="AD35" i="6"/>
  <c r="AD133" i="6"/>
  <c r="AD188" i="6"/>
  <c r="AD190" i="6"/>
  <c r="AD13" i="6"/>
  <c r="I41" i="7"/>
  <c r="J41" i="7" s="1"/>
  <c r="J35" i="7"/>
  <c r="AD150" i="6"/>
  <c r="AD144" i="6"/>
  <c r="AD107" i="6"/>
  <c r="AD147" i="6"/>
  <c r="AD210" i="6"/>
  <c r="AD229" i="6"/>
  <c r="AC23" i="6"/>
  <c r="AD23" i="6" s="1"/>
  <c r="AQ100" i="6"/>
  <c r="AR100" i="6" s="1"/>
  <c r="AQ119" i="6"/>
  <c r="AR119" i="6" s="1"/>
  <c r="AQ78" i="6"/>
  <c r="AR78" i="6" s="1"/>
  <c r="AQ69" i="6"/>
  <c r="AR69" i="6" s="1"/>
  <c r="AQ174" i="6"/>
  <c r="AR174" i="6" s="1"/>
  <c r="AQ228" i="6"/>
  <c r="AR228" i="6" s="1"/>
  <c r="AQ114" i="6"/>
  <c r="AR114" i="6" s="1"/>
  <c r="AQ96" i="6"/>
  <c r="AR96" i="6" s="1"/>
  <c r="AQ53" i="6"/>
  <c r="AR53" i="6" s="1"/>
  <c r="AQ76" i="6"/>
  <c r="AR76" i="6" s="1"/>
  <c r="AQ129" i="6"/>
  <c r="AR129" i="6" s="1"/>
  <c r="AQ162" i="6"/>
  <c r="AR162" i="6" s="1"/>
  <c r="AQ161" i="6"/>
  <c r="AR161" i="6" s="1"/>
  <c r="AQ187" i="6"/>
  <c r="AR187" i="6" s="1"/>
  <c r="AQ159" i="6"/>
  <c r="AR159" i="6" s="1"/>
  <c r="AQ185" i="6"/>
  <c r="AR185" i="6" s="1"/>
  <c r="AQ127" i="6"/>
  <c r="AR127" i="6" s="1"/>
  <c r="AQ140" i="6"/>
  <c r="AR140" i="6" s="1"/>
  <c r="AQ70" i="6"/>
  <c r="AR70" i="6" s="1"/>
  <c r="AQ77" i="6"/>
  <c r="AR77" i="6" s="1"/>
  <c r="AQ218" i="6"/>
  <c r="AR218" i="6" s="1"/>
  <c r="AQ195" i="6"/>
  <c r="AR195" i="6" s="1"/>
  <c r="AQ214" i="6"/>
  <c r="AR214" i="6" s="1"/>
  <c r="AQ205" i="6"/>
  <c r="AR205" i="6" s="1"/>
  <c r="AQ202" i="6"/>
  <c r="AR202" i="6" s="1"/>
  <c r="AQ225" i="6"/>
  <c r="AR225" i="6" s="1"/>
  <c r="AQ52" i="6"/>
  <c r="AR52" i="6" s="1"/>
  <c r="AQ163" i="6"/>
  <c r="AR163" i="6" s="1"/>
  <c r="AQ51" i="6"/>
  <c r="AR51" i="6" s="1"/>
  <c r="AQ217" i="6"/>
  <c r="AR217" i="6" s="1"/>
  <c r="AQ229" i="6"/>
  <c r="AR229" i="6" s="1"/>
  <c r="AQ124" i="6"/>
  <c r="AR124" i="6" s="1"/>
  <c r="AQ175" i="6"/>
  <c r="AR175" i="6" s="1"/>
  <c r="AQ55" i="6"/>
  <c r="AR55" i="6" s="1"/>
  <c r="AQ99" i="6"/>
  <c r="AR99" i="6" s="1"/>
  <c r="AQ61" i="6"/>
  <c r="AR61" i="6" s="1"/>
  <c r="AQ117" i="6"/>
  <c r="AR117" i="6" s="1"/>
  <c r="AQ173" i="6"/>
  <c r="AR173" i="6" s="1"/>
  <c r="AQ59" i="6"/>
  <c r="AR59" i="6" s="1"/>
  <c r="AQ108" i="6"/>
  <c r="AR108" i="6" s="1"/>
  <c r="AQ158" i="6"/>
  <c r="AR158" i="6" s="1"/>
  <c r="AQ206" i="6"/>
  <c r="AR206" i="6" s="1"/>
  <c r="AQ122" i="6"/>
  <c r="AR122" i="6" s="1"/>
  <c r="AQ42" i="6"/>
  <c r="AR42" i="6" s="1"/>
  <c r="AQ219" i="6"/>
  <c r="AR219" i="6" s="1"/>
  <c r="AQ154" i="6"/>
  <c r="AR154" i="6" s="1"/>
  <c r="AQ75" i="6"/>
  <c r="AR75" i="6" s="1"/>
  <c r="AQ107" i="6"/>
  <c r="AR107" i="6" s="1"/>
  <c r="AQ98" i="6"/>
  <c r="AR98" i="6" s="1"/>
  <c r="AQ138" i="6"/>
  <c r="AR138" i="6" s="1"/>
  <c r="AQ170" i="6"/>
  <c r="AR170" i="6" s="1"/>
  <c r="AQ178" i="6"/>
  <c r="AR178" i="6" s="1"/>
  <c r="AQ190" i="6"/>
  <c r="AR190" i="6" s="1"/>
  <c r="AQ121" i="6"/>
  <c r="AR121" i="6" s="1"/>
  <c r="AQ56" i="6"/>
  <c r="AR56" i="6" s="1"/>
  <c r="AQ125" i="6"/>
  <c r="AR125" i="6" s="1"/>
  <c r="AQ220" i="6"/>
  <c r="AR220" i="6" s="1"/>
  <c r="AQ48" i="6"/>
  <c r="AR48" i="6" s="1"/>
  <c r="AQ90" i="6"/>
  <c r="AR90" i="6" s="1"/>
  <c r="AQ85" i="6"/>
  <c r="AR85" i="6" s="1"/>
  <c r="AQ71" i="6"/>
  <c r="AR71" i="6" s="1"/>
  <c r="AQ115" i="6"/>
  <c r="AR115" i="6" s="1"/>
  <c r="AQ116" i="6"/>
  <c r="AR116" i="6" s="1"/>
  <c r="AQ40" i="6"/>
  <c r="AR40" i="6" s="1"/>
  <c r="AQ86" i="6"/>
  <c r="AR86" i="6" s="1"/>
  <c r="AQ49" i="6"/>
  <c r="AR49" i="6" s="1"/>
  <c r="AQ184" i="6"/>
  <c r="AR184" i="6" s="1"/>
  <c r="AQ143" i="6"/>
  <c r="AR143" i="6" s="1"/>
  <c r="AQ152" i="6"/>
  <c r="AR152" i="6" s="1"/>
  <c r="AQ62" i="6"/>
  <c r="AR62" i="6" s="1"/>
  <c r="AQ72" i="6"/>
  <c r="AR72" i="6" s="1"/>
  <c r="AQ93" i="6"/>
  <c r="AR93" i="6" s="1"/>
  <c r="AQ149" i="6"/>
  <c r="AR149" i="6" s="1"/>
  <c r="AQ106" i="6"/>
  <c r="AR106" i="6" s="1"/>
  <c r="AQ186" i="6"/>
  <c r="AR186" i="6" s="1"/>
  <c r="AQ199" i="6"/>
  <c r="AR199" i="6" s="1"/>
  <c r="AQ145" i="6"/>
  <c r="AR145" i="6" s="1"/>
  <c r="AQ88" i="6"/>
  <c r="AR88" i="6" s="1"/>
  <c r="AQ89" i="6"/>
  <c r="AR89" i="6" s="1"/>
  <c r="AQ128" i="6"/>
  <c r="AR128" i="6" s="1"/>
  <c r="AQ137" i="6"/>
  <c r="AR137" i="6" s="1"/>
  <c r="AQ95" i="6"/>
  <c r="AR95" i="6" s="1"/>
  <c r="AQ43" i="6"/>
  <c r="AR43" i="6" s="1"/>
  <c r="AQ141" i="6"/>
  <c r="AR141" i="6" s="1"/>
  <c r="AQ142" i="6"/>
  <c r="AR142" i="6" s="1"/>
  <c r="AQ60" i="6"/>
  <c r="AR60" i="6" s="1"/>
  <c r="AQ216" i="6"/>
  <c r="AR216" i="6" s="1"/>
  <c r="AQ166" i="6"/>
  <c r="AR166" i="6" s="1"/>
  <c r="AQ211" i="6"/>
  <c r="AR211" i="6" s="1"/>
  <c r="AQ120" i="6"/>
  <c r="AR120" i="6" s="1"/>
  <c r="AQ193" i="6"/>
  <c r="AR193" i="6" s="1"/>
  <c r="AQ66" i="6"/>
  <c r="AR66" i="6" s="1"/>
  <c r="AQ41" i="6"/>
  <c r="AR41" i="6" s="1"/>
  <c r="AQ104" i="6"/>
  <c r="AR104" i="6" s="1"/>
  <c r="AQ83" i="6"/>
  <c r="AR83" i="6" s="1"/>
  <c r="AQ63" i="6"/>
  <c r="AR63" i="6" s="1"/>
  <c r="AQ146" i="6"/>
  <c r="AR146" i="6" s="1"/>
  <c r="AQ198" i="6"/>
  <c r="AR198" i="6" s="1"/>
  <c r="AQ167" i="6"/>
  <c r="AR167" i="6" s="1"/>
  <c r="AQ58" i="6"/>
  <c r="AR58" i="6" s="1"/>
  <c r="AQ210" i="6"/>
  <c r="AR210" i="6" s="1"/>
  <c r="AQ196" i="6"/>
  <c r="AR196" i="6" s="1"/>
  <c r="AQ151" i="6"/>
  <c r="AR151" i="6" s="1"/>
  <c r="AQ126" i="6"/>
  <c r="AR126" i="6" s="1"/>
  <c r="AQ57" i="6"/>
  <c r="AR57" i="6" s="1"/>
  <c r="AQ204" i="6"/>
  <c r="AR204" i="6" s="1"/>
  <c r="AQ144" i="6"/>
  <c r="AR144" i="6" s="1"/>
  <c r="AQ65" i="6"/>
  <c r="AR65" i="6" s="1"/>
  <c r="AQ111" i="6"/>
  <c r="AR111" i="6" s="1"/>
  <c r="AQ164" i="6"/>
  <c r="AR164" i="6" s="1"/>
  <c r="AQ101" i="6"/>
  <c r="AR101" i="6" s="1"/>
  <c r="AQ81" i="6"/>
  <c r="AR81" i="6" s="1"/>
  <c r="AQ45" i="6"/>
  <c r="AR45" i="6" s="1"/>
  <c r="AQ168" i="6"/>
  <c r="AR168" i="6" s="1"/>
  <c r="AQ212" i="6"/>
  <c r="AR212" i="6" s="1"/>
  <c r="AQ44" i="6"/>
  <c r="AR44" i="6" s="1"/>
  <c r="AQ47" i="6"/>
  <c r="AR47" i="6" s="1"/>
  <c r="AQ50" i="6"/>
  <c r="AR50" i="6" s="1"/>
  <c r="AQ131" i="6"/>
  <c r="AR131" i="6" s="1"/>
  <c r="AQ110" i="6"/>
  <c r="AR110" i="6" s="1"/>
  <c r="AQ54" i="6"/>
  <c r="AR54" i="6" s="1"/>
  <c r="AQ209" i="6"/>
  <c r="AR209" i="6" s="1"/>
  <c r="AQ189" i="6"/>
  <c r="AR189" i="6" s="1"/>
  <c r="AQ109" i="6"/>
  <c r="AR109" i="6" s="1"/>
  <c r="AQ181" i="6"/>
  <c r="AR181" i="6" s="1"/>
  <c r="AQ94" i="6"/>
  <c r="AR94" i="6" s="1"/>
  <c r="AQ46" i="6"/>
  <c r="AR46" i="6" s="1"/>
  <c r="AQ226" i="6"/>
  <c r="AR226" i="6" s="1"/>
  <c r="AQ67" i="6"/>
  <c r="AR67" i="6" s="1"/>
  <c r="AQ74" i="6"/>
  <c r="AR74" i="6" s="1"/>
  <c r="AQ79" i="6"/>
  <c r="AR79" i="6" s="1"/>
  <c r="AQ105" i="6"/>
  <c r="AR105" i="6" s="1"/>
  <c r="AQ135" i="6"/>
  <c r="AR135" i="6" s="1"/>
  <c r="AQ139" i="6"/>
  <c r="AR139" i="6" s="1"/>
  <c r="AQ84" i="6"/>
  <c r="AR84" i="6" s="1"/>
  <c r="AQ33" i="6"/>
  <c r="AR33" i="6" s="1"/>
  <c r="AQ132" i="6"/>
  <c r="AR132" i="6" s="1"/>
  <c r="AQ136" i="6"/>
  <c r="AR136" i="6" s="1"/>
  <c r="AQ171" i="6"/>
  <c r="AR171" i="6" s="1"/>
  <c r="AQ34" i="6"/>
  <c r="AR34" i="6" s="1"/>
  <c r="AQ73" i="6"/>
  <c r="AR73" i="6" s="1"/>
  <c r="AQ39" i="6"/>
  <c r="AR39" i="6" s="1"/>
  <c r="AQ179" i="6"/>
  <c r="AR179" i="6" s="1"/>
  <c r="AQ157" i="6"/>
  <c r="AR157" i="6" s="1"/>
  <c r="AQ156" i="6"/>
  <c r="AR156" i="6" s="1"/>
  <c r="AQ177" i="6"/>
  <c r="AR177" i="6" s="1"/>
  <c r="AQ68" i="6"/>
  <c r="AR68" i="6" s="1"/>
  <c r="AQ180" i="6"/>
  <c r="AR180" i="6" s="1"/>
  <c r="AQ197" i="6"/>
  <c r="AR197" i="6" s="1"/>
  <c r="AQ112" i="6"/>
  <c r="AR112" i="6" s="1"/>
  <c r="AQ147" i="6"/>
  <c r="AR147" i="6" s="1"/>
  <c r="AQ201" i="6"/>
  <c r="AR201" i="6" s="1"/>
  <c r="AQ203" i="6"/>
  <c r="AR203" i="6" s="1"/>
  <c r="AQ64" i="6"/>
  <c r="AR64" i="6" s="1"/>
  <c r="AQ224" i="6"/>
  <c r="AR224" i="6" s="1"/>
  <c r="AQ215" i="6"/>
  <c r="AR215" i="6" s="1"/>
  <c r="AQ221" i="6"/>
  <c r="AR221" i="6" s="1"/>
  <c r="AQ223" i="6"/>
  <c r="AR223" i="6" s="1"/>
  <c r="AQ191" i="6"/>
  <c r="AR191" i="6" s="1"/>
  <c r="AQ134" i="6"/>
  <c r="AR134" i="6" s="1"/>
  <c r="AQ194" i="6"/>
  <c r="AR194" i="6" s="1"/>
  <c r="AQ176" i="6"/>
  <c r="AR176" i="6" s="1"/>
  <c r="AQ97" i="6"/>
  <c r="AR97" i="6" s="1"/>
  <c r="AQ123" i="6"/>
  <c r="AR123" i="6" s="1"/>
  <c r="AQ153" i="6"/>
  <c r="AR153" i="6" s="1"/>
  <c r="AQ130" i="6"/>
  <c r="AR130" i="6" s="1"/>
  <c r="AQ160" i="6"/>
  <c r="AR160" i="6" s="1"/>
  <c r="AQ133" i="6"/>
  <c r="AR133" i="6" s="1"/>
  <c r="AQ172" i="6"/>
  <c r="AR172" i="6" s="1"/>
  <c r="AQ222" i="6"/>
  <c r="AR222" i="6" s="1"/>
  <c r="AQ113" i="6"/>
  <c r="AR113" i="6" s="1"/>
  <c r="AQ92" i="6"/>
  <c r="AR92" i="6" s="1"/>
  <c r="AQ150" i="6"/>
  <c r="AR150" i="6" s="1"/>
  <c r="AQ35" i="6"/>
  <c r="AR35" i="6" s="1"/>
  <c r="AQ102" i="6"/>
  <c r="AR102" i="6" s="1"/>
  <c r="AQ227" i="6"/>
  <c r="AR227" i="6" s="1"/>
  <c r="AQ200" i="6"/>
  <c r="AR200" i="6" s="1"/>
  <c r="AQ207" i="6"/>
  <c r="AR207" i="6" s="1"/>
  <c r="AQ87" i="6"/>
  <c r="AR87" i="6" s="1"/>
  <c r="AQ169" i="6"/>
  <c r="AR169" i="6" s="1"/>
  <c r="AQ182" i="6"/>
  <c r="AR182" i="6" s="1"/>
  <c r="AQ118" i="6"/>
  <c r="AR118" i="6" s="1"/>
  <c r="AQ91" i="6"/>
  <c r="AR91" i="6" s="1"/>
  <c r="AQ165" i="6"/>
  <c r="AR165" i="6" s="1"/>
  <c r="AQ192" i="6"/>
  <c r="AR192" i="6" s="1"/>
  <c r="AQ80" i="6"/>
  <c r="AR80" i="6" s="1"/>
  <c r="AQ188" i="6"/>
  <c r="AR188" i="6" s="1"/>
  <c r="AQ183" i="6"/>
  <c r="AR183" i="6" s="1"/>
  <c r="AQ103" i="6"/>
  <c r="AR103" i="6" s="1"/>
  <c r="AQ82" i="6"/>
  <c r="AR82" i="6" s="1"/>
  <c r="AQ213" i="6"/>
  <c r="AR213" i="6" s="1"/>
  <c r="AQ155" i="6"/>
  <c r="AR155" i="6" s="1"/>
  <c r="AQ148" i="6"/>
  <c r="AR148" i="6" s="1"/>
  <c r="AQ208" i="6"/>
  <c r="AR208" i="6" s="1"/>
  <c r="AQ37" i="6"/>
  <c r="AR37" i="6" s="1"/>
  <c r="AQ38" i="6"/>
  <c r="AR38" i="6" s="1"/>
  <c r="AQ32" i="6"/>
  <c r="AR32" i="6" s="1"/>
  <c r="AB24" i="6"/>
  <c r="K34" i="7" s="1"/>
  <c r="G34" i="7"/>
  <c r="G41" i="7" s="1"/>
  <c r="H41" i="7" s="1"/>
  <c r="I40" i="7"/>
  <c r="J40" i="7" s="1"/>
  <c r="J34" i="7"/>
  <c r="AP4" i="6"/>
  <c r="AC16" i="6"/>
  <c r="AD16" i="6" s="1"/>
  <c r="AC10" i="6"/>
  <c r="AD10" i="6" s="1"/>
  <c r="AD102" i="6"/>
  <c r="AD99" i="6"/>
  <c r="AD51" i="6"/>
  <c r="AD167" i="6"/>
  <c r="AD58" i="6"/>
  <c r="AD98" i="6"/>
  <c r="AD81" i="6"/>
  <c r="AD95" i="6"/>
  <c r="AD178" i="6"/>
  <c r="AD207" i="6"/>
  <c r="AD225" i="6"/>
  <c r="AD172" i="6"/>
  <c r="AD114" i="6"/>
  <c r="AD120" i="6"/>
  <c r="AD158" i="6"/>
  <c r="AD161" i="6"/>
  <c r="AT172" i="6" l="1"/>
  <c r="AS172" i="6"/>
  <c r="AT71" i="6"/>
  <c r="AS71" i="6"/>
  <c r="AS169" i="6"/>
  <c r="AT169" i="6"/>
  <c r="AT93" i="6"/>
  <c r="AS93" i="6"/>
  <c r="AS179" i="6"/>
  <c r="AT179" i="6"/>
  <c r="AT130" i="6"/>
  <c r="AS130" i="6"/>
  <c r="AT208" i="6"/>
  <c r="AS208" i="6"/>
  <c r="AS118" i="6"/>
  <c r="AT118" i="6"/>
  <c r="AT222" i="6"/>
  <c r="AS222" i="6"/>
  <c r="AT223" i="6"/>
  <c r="AS223" i="6"/>
  <c r="AS177" i="6"/>
  <c r="AT177" i="6"/>
  <c r="AT139" i="6"/>
  <c r="AS139" i="6"/>
  <c r="AS209" i="6"/>
  <c r="AT209" i="6"/>
  <c r="AT164" i="6"/>
  <c r="AS164" i="6"/>
  <c r="AT198" i="6"/>
  <c r="AS198" i="6"/>
  <c r="AS60" i="6"/>
  <c r="AT60" i="6"/>
  <c r="AT106" i="6"/>
  <c r="AS106" i="6"/>
  <c r="AT115" i="6"/>
  <c r="AS115" i="6"/>
  <c r="AT138" i="6"/>
  <c r="AS138" i="6"/>
  <c r="AS173" i="6"/>
  <c r="AT173" i="6"/>
  <c r="AT225" i="6"/>
  <c r="AS225" i="6"/>
  <c r="AT187" i="6"/>
  <c r="AS187" i="6"/>
  <c r="AT119" i="6"/>
  <c r="AS119" i="6"/>
  <c r="AT65" i="6"/>
  <c r="AS65" i="6"/>
  <c r="AT107" i="6"/>
  <c r="AS107" i="6"/>
  <c r="AS144" i="6"/>
  <c r="AT144" i="6"/>
  <c r="AS83" i="6"/>
  <c r="AT83" i="6"/>
  <c r="AT43" i="6"/>
  <c r="AS43" i="6"/>
  <c r="AS72" i="6"/>
  <c r="AT72" i="6"/>
  <c r="AT90" i="6"/>
  <c r="AS90" i="6"/>
  <c r="AS75" i="6"/>
  <c r="AT75" i="6"/>
  <c r="AT99" i="6"/>
  <c r="AS99" i="6"/>
  <c r="AT214" i="6"/>
  <c r="AS214" i="6"/>
  <c r="AT129" i="6"/>
  <c r="AS129" i="6"/>
  <c r="AT111" i="6"/>
  <c r="AS111" i="6"/>
  <c r="AS161" i="6"/>
  <c r="AT161" i="6"/>
  <c r="AT215" i="6"/>
  <c r="AS215" i="6"/>
  <c r="AT162" i="6"/>
  <c r="AS162" i="6"/>
  <c r="AT50" i="6"/>
  <c r="AS50" i="6"/>
  <c r="AT204" i="6"/>
  <c r="AS204" i="6"/>
  <c r="AT104" i="6"/>
  <c r="AS104" i="6"/>
  <c r="AT95" i="6"/>
  <c r="AS95" i="6"/>
  <c r="AS62" i="6"/>
  <c r="AT62" i="6"/>
  <c r="AT48" i="6"/>
  <c r="AS48" i="6"/>
  <c r="AT154" i="6"/>
  <c r="AS154" i="6"/>
  <c r="AT55" i="6"/>
  <c r="AS55" i="6"/>
  <c r="AT195" i="6"/>
  <c r="AS195" i="6"/>
  <c r="AS76" i="6"/>
  <c r="AT76" i="6"/>
  <c r="AT156" i="6"/>
  <c r="AS156" i="6"/>
  <c r="AT105" i="6"/>
  <c r="AS105" i="6"/>
  <c r="AS61" i="6"/>
  <c r="AT61" i="6"/>
  <c r="AP24" i="6"/>
  <c r="AQ4" i="6" s="1"/>
  <c r="AR4" i="6" s="1"/>
  <c r="AT203" i="6"/>
  <c r="AS203" i="6"/>
  <c r="AT41" i="6"/>
  <c r="AS41" i="6"/>
  <c r="AT152" i="6"/>
  <c r="AS152" i="6"/>
  <c r="AT220" i="6"/>
  <c r="AS220" i="6"/>
  <c r="AT219" i="6"/>
  <c r="AS219" i="6"/>
  <c r="AS175" i="6"/>
  <c r="AT175" i="6"/>
  <c r="AS218" i="6"/>
  <c r="AT218" i="6"/>
  <c r="AT53" i="6"/>
  <c r="AS53" i="6"/>
  <c r="I37" i="7"/>
  <c r="J37" i="7" s="1"/>
  <c r="J36" i="7"/>
  <c r="I38" i="7"/>
  <c r="J38" i="7" s="1"/>
  <c r="AS142" i="6"/>
  <c r="AT142" i="6"/>
  <c r="AS157" i="6"/>
  <c r="AT157" i="6"/>
  <c r="AS79" i="6"/>
  <c r="AT79" i="6"/>
  <c r="AS64" i="6"/>
  <c r="AT64" i="6"/>
  <c r="AT103" i="6"/>
  <c r="AS103" i="6"/>
  <c r="AT67" i="6"/>
  <c r="AS67" i="6"/>
  <c r="AT183" i="6"/>
  <c r="AS183" i="6"/>
  <c r="AT227" i="6"/>
  <c r="AS227" i="6"/>
  <c r="AT123" i="6"/>
  <c r="AS123" i="6"/>
  <c r="AT201" i="6"/>
  <c r="AS201" i="6"/>
  <c r="AT34" i="6"/>
  <c r="AS34" i="6"/>
  <c r="AS226" i="6"/>
  <c r="AT226" i="6"/>
  <c r="AT44" i="6"/>
  <c r="AS44" i="6"/>
  <c r="AT126" i="6"/>
  <c r="AS126" i="6"/>
  <c r="AS66" i="6"/>
  <c r="AT66" i="6"/>
  <c r="AT128" i="6"/>
  <c r="AS128" i="6"/>
  <c r="AT143" i="6"/>
  <c r="AS143" i="6"/>
  <c r="AT125" i="6"/>
  <c r="AS125" i="6"/>
  <c r="AT42" i="6"/>
  <c r="AS42" i="6"/>
  <c r="AT124" i="6"/>
  <c r="AS124" i="6"/>
  <c r="AT77" i="6"/>
  <c r="AS77" i="6"/>
  <c r="AT96" i="6"/>
  <c r="AS96" i="6"/>
  <c r="AS148" i="6"/>
  <c r="AT148" i="6"/>
  <c r="AT146" i="6"/>
  <c r="AS146" i="6"/>
  <c r="AT100" i="6"/>
  <c r="AS100" i="6"/>
  <c r="AS155" i="6"/>
  <c r="AT155" i="6"/>
  <c r="AT141" i="6"/>
  <c r="AS141" i="6"/>
  <c r="AT213" i="6"/>
  <c r="AS213" i="6"/>
  <c r="AS82" i="6"/>
  <c r="AT82" i="6"/>
  <c r="AT39" i="6"/>
  <c r="AS39" i="6"/>
  <c r="AT200" i="6"/>
  <c r="AS200" i="6"/>
  <c r="AT47" i="6"/>
  <c r="AS47" i="6"/>
  <c r="H34" i="7"/>
  <c r="G40" i="7"/>
  <c r="H40" i="7" s="1"/>
  <c r="AT102" i="6"/>
  <c r="AS102" i="6"/>
  <c r="AT97" i="6"/>
  <c r="AS97" i="6"/>
  <c r="AT147" i="6"/>
  <c r="AS147" i="6"/>
  <c r="AS171" i="6"/>
  <c r="AT171" i="6"/>
  <c r="AT46" i="6"/>
  <c r="AS46" i="6"/>
  <c r="AT212" i="6"/>
  <c r="AS212" i="6"/>
  <c r="AT151" i="6"/>
  <c r="AS151" i="6"/>
  <c r="AT193" i="6"/>
  <c r="AS193" i="6"/>
  <c r="AT89" i="6"/>
  <c r="AS89" i="6"/>
  <c r="AT184" i="6"/>
  <c r="AS184" i="6"/>
  <c r="AS56" i="6"/>
  <c r="AT56" i="6"/>
  <c r="AT122" i="6"/>
  <c r="AS122" i="6"/>
  <c r="AT229" i="6"/>
  <c r="AS229" i="6"/>
  <c r="AS70" i="6"/>
  <c r="AT70" i="6"/>
  <c r="AT114" i="6"/>
  <c r="AS114" i="6"/>
  <c r="AT221" i="6"/>
  <c r="AS221" i="6"/>
  <c r="AT149" i="6"/>
  <c r="AS149" i="6"/>
  <c r="AT133" i="6"/>
  <c r="AS133" i="6"/>
  <c r="AT85" i="6"/>
  <c r="AS85" i="6"/>
  <c r="AT224" i="6"/>
  <c r="AS224" i="6"/>
  <c r="AS74" i="6"/>
  <c r="AT74" i="6"/>
  <c r="AT73" i="6"/>
  <c r="AS73" i="6"/>
  <c r="AT137" i="6"/>
  <c r="AS137" i="6"/>
  <c r="AT188" i="6"/>
  <c r="AS188" i="6"/>
  <c r="AT80" i="6"/>
  <c r="AS80" i="6"/>
  <c r="AT35" i="6"/>
  <c r="AS35" i="6"/>
  <c r="AT176" i="6"/>
  <c r="AS176" i="6"/>
  <c r="AT112" i="6"/>
  <c r="AS112" i="6"/>
  <c r="AT136" i="6"/>
  <c r="AS136" i="6"/>
  <c r="AT94" i="6"/>
  <c r="AS94" i="6"/>
  <c r="AT168" i="6"/>
  <c r="AS168" i="6"/>
  <c r="AT196" i="6"/>
  <c r="AS196" i="6"/>
  <c r="AT120" i="6"/>
  <c r="AS120" i="6"/>
  <c r="AT88" i="6"/>
  <c r="AS88" i="6"/>
  <c r="AT49" i="6"/>
  <c r="AS49" i="6"/>
  <c r="AT121" i="6"/>
  <c r="AS121" i="6"/>
  <c r="AS206" i="6"/>
  <c r="AT206" i="6"/>
  <c r="AT217" i="6"/>
  <c r="AS217" i="6"/>
  <c r="AT140" i="6"/>
  <c r="AS140" i="6"/>
  <c r="AT228" i="6"/>
  <c r="AS228" i="6"/>
  <c r="AT135" i="6"/>
  <c r="AS135" i="6"/>
  <c r="AT202" i="6"/>
  <c r="AS202" i="6"/>
  <c r="AT110" i="6"/>
  <c r="AS110" i="6"/>
  <c r="AS160" i="6"/>
  <c r="AT160" i="6"/>
  <c r="AS207" i="6"/>
  <c r="AT207" i="6"/>
  <c r="AS153" i="6"/>
  <c r="AT153" i="6"/>
  <c r="AS57" i="6"/>
  <c r="AT57" i="6"/>
  <c r="AT32" i="6"/>
  <c r="AS32" i="6"/>
  <c r="AT192" i="6"/>
  <c r="AS192" i="6"/>
  <c r="AT150" i="6"/>
  <c r="AS150" i="6"/>
  <c r="AT194" i="6"/>
  <c r="AS194" i="6"/>
  <c r="AS197" i="6"/>
  <c r="AT197" i="6"/>
  <c r="AT132" i="6"/>
  <c r="AS132" i="6"/>
  <c r="AS181" i="6"/>
  <c r="AT181" i="6"/>
  <c r="AT45" i="6"/>
  <c r="AS45" i="6"/>
  <c r="AS210" i="6"/>
  <c r="AT210" i="6"/>
  <c r="AT211" i="6"/>
  <c r="AS211" i="6"/>
  <c r="AT145" i="6"/>
  <c r="AS145" i="6"/>
  <c r="AS86" i="6"/>
  <c r="AT86" i="6"/>
  <c r="AT190" i="6"/>
  <c r="AS190" i="6"/>
  <c r="AT158" i="6"/>
  <c r="AS158" i="6"/>
  <c r="AT51" i="6"/>
  <c r="AS51" i="6"/>
  <c r="AS127" i="6"/>
  <c r="AT127" i="6"/>
  <c r="AT174" i="6"/>
  <c r="AS174" i="6"/>
  <c r="K41" i="7"/>
  <c r="AT182" i="6"/>
  <c r="AS182" i="6"/>
  <c r="AT117" i="6"/>
  <c r="AS117" i="6"/>
  <c r="AT63" i="6"/>
  <c r="AS63" i="6"/>
  <c r="AT205" i="6"/>
  <c r="AS205" i="6"/>
  <c r="AS131" i="6"/>
  <c r="AT131" i="6"/>
  <c r="AT38" i="6"/>
  <c r="AS38" i="6"/>
  <c r="AT180" i="6"/>
  <c r="AS180" i="6"/>
  <c r="AT81" i="6"/>
  <c r="AS81" i="6"/>
  <c r="AT166" i="6"/>
  <c r="AS166" i="6"/>
  <c r="AT199" i="6"/>
  <c r="AS199" i="6"/>
  <c r="AT178" i="6"/>
  <c r="AS178" i="6"/>
  <c r="AT108" i="6"/>
  <c r="AS108" i="6"/>
  <c r="AS163" i="6"/>
  <c r="AT163" i="6"/>
  <c r="AT185" i="6"/>
  <c r="AS185" i="6"/>
  <c r="AS69" i="6"/>
  <c r="AT69" i="6"/>
  <c r="AS54" i="6"/>
  <c r="AT54" i="6"/>
  <c r="AT98" i="6"/>
  <c r="AS98" i="6"/>
  <c r="AT87" i="6"/>
  <c r="AS87" i="6"/>
  <c r="AS165" i="6"/>
  <c r="AT165" i="6"/>
  <c r="AT92" i="6"/>
  <c r="AS92" i="6"/>
  <c r="AT134" i="6"/>
  <c r="AS134" i="6"/>
  <c r="AT33" i="6"/>
  <c r="AS33" i="6"/>
  <c r="AT109" i="6"/>
  <c r="AS109" i="6"/>
  <c r="AS58" i="6"/>
  <c r="AT58" i="6"/>
  <c r="AT40" i="6"/>
  <c r="AS40" i="6"/>
  <c r="AT37" i="6"/>
  <c r="AS37" i="6"/>
  <c r="AT91" i="6"/>
  <c r="AS91" i="6"/>
  <c r="AT113" i="6"/>
  <c r="AS113" i="6"/>
  <c r="AT191" i="6"/>
  <c r="AS191" i="6"/>
  <c r="AS68" i="6"/>
  <c r="AT68" i="6"/>
  <c r="AT84" i="6"/>
  <c r="AS84" i="6"/>
  <c r="AT189" i="6"/>
  <c r="AS189" i="6"/>
  <c r="AT101" i="6"/>
  <c r="AS101" i="6"/>
  <c r="AS167" i="6"/>
  <c r="AT167" i="6"/>
  <c r="AT216" i="6"/>
  <c r="AS216" i="6"/>
  <c r="AT186" i="6"/>
  <c r="AS186" i="6"/>
  <c r="AT116" i="6"/>
  <c r="AS116" i="6"/>
  <c r="AT170" i="6"/>
  <c r="AS170" i="6"/>
  <c r="AT59" i="6"/>
  <c r="AS59" i="6"/>
  <c r="AS52" i="6"/>
  <c r="AT52" i="6"/>
  <c r="AS159" i="6"/>
  <c r="AT159" i="6"/>
  <c r="AT78" i="6"/>
  <c r="AS78" i="6"/>
  <c r="I39" i="7"/>
  <c r="J39" i="7" s="1"/>
  <c r="G38" i="7"/>
  <c r="H38" i="7" s="1"/>
  <c r="G37" i="7"/>
  <c r="H37" i="7" s="1"/>
  <c r="H36" i="7"/>
  <c r="AU36" i="6"/>
  <c r="AV36" i="6"/>
  <c r="AW36" i="6" l="1"/>
  <c r="AU193" i="6"/>
  <c r="AV193" i="6"/>
  <c r="AU97" i="6"/>
  <c r="AV97" i="6"/>
  <c r="AU143" i="6"/>
  <c r="AV143" i="6"/>
  <c r="AU34" i="6"/>
  <c r="AV34" i="6"/>
  <c r="AU103" i="6"/>
  <c r="AV103" i="6"/>
  <c r="AW103" i="6" s="1"/>
  <c r="AU76" i="6"/>
  <c r="AV76" i="6"/>
  <c r="AU161" i="6"/>
  <c r="AV161" i="6"/>
  <c r="AU59" i="6"/>
  <c r="AV59" i="6"/>
  <c r="AU179" i="6"/>
  <c r="AV179" i="6"/>
  <c r="AU192" i="6"/>
  <c r="AV192" i="6"/>
  <c r="AU218" i="6"/>
  <c r="AV218" i="6"/>
  <c r="AW218" i="6" s="1"/>
  <c r="AU185" i="6"/>
  <c r="AV185" i="6"/>
  <c r="AU66" i="6"/>
  <c r="AV66" i="6"/>
  <c r="AU79" i="6"/>
  <c r="AV79" i="6"/>
  <c r="AU203" i="6"/>
  <c r="AV203" i="6"/>
  <c r="AU195" i="6"/>
  <c r="AV195" i="6"/>
  <c r="AU104" i="6"/>
  <c r="AV104" i="6"/>
  <c r="AW104" i="6" s="1"/>
  <c r="AU111" i="6"/>
  <c r="AV111" i="6"/>
  <c r="AU119" i="6"/>
  <c r="AV119" i="6"/>
  <c r="AU106" i="6"/>
  <c r="AV106" i="6"/>
  <c r="AU150" i="6"/>
  <c r="AV150" i="6"/>
  <c r="AU206" i="6"/>
  <c r="AV206" i="6"/>
  <c r="AU85" i="6"/>
  <c r="AV85" i="6"/>
  <c r="AW85" i="6" s="1"/>
  <c r="AU189" i="6"/>
  <c r="AV189" i="6"/>
  <c r="AU188" i="6"/>
  <c r="AV188" i="6"/>
  <c r="AU141" i="6"/>
  <c r="AV141" i="6"/>
  <c r="AU77" i="6"/>
  <c r="AV77" i="6"/>
  <c r="AU123" i="6"/>
  <c r="AV123" i="6"/>
  <c r="AU175" i="6"/>
  <c r="AV175" i="6"/>
  <c r="AW175" i="6" s="1"/>
  <c r="AT4" i="6"/>
  <c r="AS4" i="6"/>
  <c r="AU60" i="6"/>
  <c r="AV60" i="6"/>
  <c r="AU51" i="6"/>
  <c r="AV51" i="6"/>
  <c r="AU95" i="6"/>
  <c r="AV95" i="6"/>
  <c r="AU110" i="6"/>
  <c r="AV110" i="6"/>
  <c r="AU92" i="6"/>
  <c r="AV92" i="6"/>
  <c r="AW92" i="6" s="1"/>
  <c r="AU40" i="6"/>
  <c r="AV40" i="6"/>
  <c r="AU155" i="6"/>
  <c r="AV155" i="6"/>
  <c r="AU157" i="6"/>
  <c r="AV157" i="6"/>
  <c r="AQ24" i="6"/>
  <c r="AR24" i="6" s="1"/>
  <c r="AS24" i="6" s="1"/>
  <c r="AQ7" i="6"/>
  <c r="AR7" i="6" s="1"/>
  <c r="AQ11" i="6"/>
  <c r="AR11" i="6" s="1"/>
  <c r="AQ17" i="6"/>
  <c r="AR17" i="6" s="1"/>
  <c r="AQ21" i="6"/>
  <c r="AR21" i="6" s="1"/>
  <c r="AQ20" i="6"/>
  <c r="AR20" i="6" s="1"/>
  <c r="AQ14" i="6"/>
  <c r="AR14" i="6" s="1"/>
  <c r="AQ16" i="6"/>
  <c r="AR16" i="6" s="1"/>
  <c r="AQ19" i="6"/>
  <c r="AR19" i="6" s="1"/>
  <c r="AQ18" i="6"/>
  <c r="AR18" i="6" s="1"/>
  <c r="AQ8" i="6"/>
  <c r="AR8" i="6" s="1"/>
  <c r="AQ15" i="6"/>
  <c r="AR15" i="6" s="1"/>
  <c r="AQ22" i="6"/>
  <c r="AR22" i="6" s="1"/>
  <c r="AQ13" i="6"/>
  <c r="AR13" i="6" s="1"/>
  <c r="AQ9" i="6"/>
  <c r="AR9" i="6" s="1"/>
  <c r="AQ23" i="6"/>
  <c r="AR23" i="6" s="1"/>
  <c r="AQ5" i="6"/>
  <c r="AR5" i="6" s="1"/>
  <c r="AQ10" i="6"/>
  <c r="AR10" i="6" s="1"/>
  <c r="AQ12" i="6"/>
  <c r="AR12" i="6" s="1"/>
  <c r="AQ6" i="6"/>
  <c r="AR6" i="6" s="1"/>
  <c r="AU55" i="6"/>
  <c r="AV55" i="6"/>
  <c r="AU204" i="6"/>
  <c r="AV204" i="6"/>
  <c r="AU129" i="6"/>
  <c r="AV129" i="6"/>
  <c r="AU43" i="6"/>
  <c r="AV43" i="6"/>
  <c r="AU187" i="6"/>
  <c r="AV187" i="6"/>
  <c r="AW187" i="6" s="1"/>
  <c r="AU223" i="6"/>
  <c r="AV223" i="6"/>
  <c r="AU93" i="6"/>
  <c r="AV93" i="6"/>
  <c r="AU35" i="6"/>
  <c r="AV35" i="6"/>
  <c r="AU134" i="6"/>
  <c r="AV134" i="6"/>
  <c r="AU41" i="6"/>
  <c r="AV41" i="6"/>
  <c r="AU65" i="6"/>
  <c r="AV65" i="6"/>
  <c r="AW65" i="6" s="1"/>
  <c r="AU158" i="6"/>
  <c r="AV158" i="6"/>
  <c r="AU229" i="6"/>
  <c r="AV229" i="6"/>
  <c r="AU201" i="6"/>
  <c r="AV201" i="6"/>
  <c r="AU81" i="6"/>
  <c r="AV81" i="6"/>
  <c r="AU163" i="6"/>
  <c r="AV163" i="6"/>
  <c r="AU212" i="6"/>
  <c r="AV212" i="6"/>
  <c r="AW212" i="6" s="1"/>
  <c r="AU57" i="6"/>
  <c r="AV57" i="6"/>
  <c r="AU68" i="6"/>
  <c r="AV68" i="6"/>
  <c r="AU132" i="6"/>
  <c r="AV132" i="6"/>
  <c r="AU135" i="6"/>
  <c r="AV135" i="6"/>
  <c r="AU49" i="6"/>
  <c r="AV49" i="6"/>
  <c r="AU136" i="6"/>
  <c r="AV136" i="6"/>
  <c r="AW136" i="6" s="1"/>
  <c r="AU137" i="6"/>
  <c r="AV137" i="6"/>
  <c r="AU149" i="6"/>
  <c r="AV149" i="6"/>
  <c r="AU46" i="6"/>
  <c r="AV46" i="6"/>
  <c r="AU47" i="6"/>
  <c r="AV47" i="6"/>
  <c r="AU124" i="6"/>
  <c r="AV124" i="6"/>
  <c r="AU126" i="6"/>
  <c r="AV126" i="6"/>
  <c r="AW126" i="6" s="1"/>
  <c r="AU227" i="6"/>
  <c r="AV227" i="6"/>
  <c r="AU61" i="6"/>
  <c r="AV61" i="6"/>
  <c r="AU83" i="6"/>
  <c r="AV83" i="6"/>
  <c r="AU169" i="6"/>
  <c r="AV169" i="6"/>
  <c r="AU196" i="6"/>
  <c r="AV196" i="6"/>
  <c r="AU91" i="6"/>
  <c r="AV91" i="6"/>
  <c r="AW91" i="6" s="1"/>
  <c r="AU53" i="6"/>
  <c r="AV53" i="6"/>
  <c r="AU115" i="6"/>
  <c r="AV115" i="6"/>
  <c r="AU45" i="6"/>
  <c r="AV45" i="6"/>
  <c r="AU213" i="6"/>
  <c r="AV213" i="6"/>
  <c r="AU177" i="6"/>
  <c r="AV177" i="6"/>
  <c r="AU117" i="6"/>
  <c r="AV117" i="6"/>
  <c r="AW117" i="6" s="1"/>
  <c r="AU121" i="6"/>
  <c r="AV121" i="6"/>
  <c r="AU186" i="6"/>
  <c r="AV186" i="6"/>
  <c r="AU87" i="6"/>
  <c r="AV87" i="6"/>
  <c r="AU108" i="6"/>
  <c r="AV108" i="6"/>
  <c r="AU38" i="6"/>
  <c r="AV38" i="6"/>
  <c r="AU197" i="6"/>
  <c r="AV197" i="6"/>
  <c r="AW197" i="6" s="1"/>
  <c r="AU153" i="6"/>
  <c r="AV153" i="6"/>
  <c r="AU171" i="6"/>
  <c r="AV171" i="6"/>
  <c r="AU142" i="6"/>
  <c r="AV142" i="6"/>
  <c r="AU219" i="6"/>
  <c r="AV219" i="6"/>
  <c r="AU154" i="6"/>
  <c r="AV154" i="6"/>
  <c r="AU50" i="6"/>
  <c r="AV50" i="6"/>
  <c r="AW50" i="6" s="1"/>
  <c r="AU214" i="6"/>
  <c r="AV214" i="6"/>
  <c r="AU225" i="6"/>
  <c r="AV225" i="6"/>
  <c r="AU198" i="6"/>
  <c r="AV198" i="6"/>
  <c r="AU222" i="6"/>
  <c r="AV222" i="6"/>
  <c r="AU69" i="6"/>
  <c r="AV69" i="6"/>
  <c r="AU224" i="6"/>
  <c r="AV224" i="6"/>
  <c r="AW224" i="6" s="1"/>
  <c r="AU166" i="6"/>
  <c r="AV166" i="6"/>
  <c r="AU64" i="6"/>
  <c r="AV64" i="6"/>
  <c r="AU139" i="6"/>
  <c r="AV139" i="6"/>
  <c r="AU151" i="6"/>
  <c r="AV151" i="6"/>
  <c r="AU202" i="6"/>
  <c r="AV202" i="6"/>
  <c r="AU122" i="6"/>
  <c r="AV122" i="6"/>
  <c r="AW122" i="6" s="1"/>
  <c r="AU84" i="6"/>
  <c r="AV84" i="6"/>
  <c r="AU86" i="6"/>
  <c r="AV86" i="6"/>
  <c r="AU56" i="6"/>
  <c r="AV56" i="6"/>
  <c r="AU58" i="6"/>
  <c r="AV58" i="6"/>
  <c r="AU131" i="6"/>
  <c r="AV131" i="6"/>
  <c r="AU174" i="6"/>
  <c r="AV174" i="6"/>
  <c r="AW174" i="6" s="1"/>
  <c r="AU145" i="6"/>
  <c r="AV145" i="6"/>
  <c r="AU228" i="6"/>
  <c r="AV228" i="6"/>
  <c r="AU88" i="6"/>
  <c r="AV88" i="6"/>
  <c r="AU112" i="6"/>
  <c r="AV112" i="6"/>
  <c r="AU73" i="6"/>
  <c r="AV73" i="6"/>
  <c r="AU221" i="6"/>
  <c r="AV221" i="6"/>
  <c r="AW221" i="6" s="1"/>
  <c r="AU184" i="6"/>
  <c r="AV184" i="6"/>
  <c r="AU200" i="6"/>
  <c r="AV200" i="6"/>
  <c r="AU100" i="6"/>
  <c r="AV100" i="6"/>
  <c r="AU42" i="6"/>
  <c r="AV42" i="6"/>
  <c r="AU44" i="6"/>
  <c r="AV44" i="6"/>
  <c r="AU183" i="6"/>
  <c r="AV183" i="6"/>
  <c r="AW183" i="6" s="1"/>
  <c r="AU144" i="6"/>
  <c r="AV144" i="6"/>
  <c r="AU173" i="6"/>
  <c r="AV173" i="6"/>
  <c r="AU118" i="6"/>
  <c r="AV118" i="6"/>
  <c r="AU96" i="6"/>
  <c r="AV96" i="6"/>
  <c r="AU94" i="6"/>
  <c r="AV94" i="6"/>
  <c r="AU180" i="6"/>
  <c r="AV180" i="6"/>
  <c r="AW180" i="6" s="1"/>
  <c r="AU159" i="6"/>
  <c r="AV159" i="6"/>
  <c r="AU98" i="6"/>
  <c r="AV98" i="6"/>
  <c r="AU127" i="6"/>
  <c r="AV127" i="6"/>
  <c r="AU207" i="6"/>
  <c r="AV207" i="6"/>
  <c r="AU74" i="6"/>
  <c r="AV74" i="6"/>
  <c r="AU226" i="6"/>
  <c r="AV226" i="6"/>
  <c r="AW226" i="6" s="1"/>
  <c r="AU220" i="6"/>
  <c r="AV220" i="6"/>
  <c r="AU105" i="6"/>
  <c r="AV105" i="6"/>
  <c r="AU48" i="6"/>
  <c r="AV48" i="6"/>
  <c r="AU162" i="6"/>
  <c r="AV162" i="6"/>
  <c r="AU99" i="6"/>
  <c r="AV99" i="6"/>
  <c r="AU164" i="6"/>
  <c r="AV164" i="6"/>
  <c r="AW164" i="6" s="1"/>
  <c r="AU71" i="6"/>
  <c r="AV71" i="6"/>
  <c r="AU217" i="6"/>
  <c r="AV217" i="6"/>
  <c r="AU101" i="6"/>
  <c r="AV101" i="6"/>
  <c r="AU90" i="6"/>
  <c r="AV90" i="6"/>
  <c r="AU80" i="6"/>
  <c r="AV80" i="6"/>
  <c r="AU128" i="6"/>
  <c r="AV128" i="6"/>
  <c r="AW128" i="6" s="1"/>
  <c r="AU72" i="6"/>
  <c r="AV72" i="6"/>
  <c r="AU37" i="6"/>
  <c r="AV37" i="6"/>
  <c r="AU165" i="6"/>
  <c r="AV165" i="6"/>
  <c r="AU191" i="6"/>
  <c r="AV191" i="6"/>
  <c r="AU52" i="6"/>
  <c r="AV52" i="6"/>
  <c r="AU211" i="6"/>
  <c r="AV211" i="6"/>
  <c r="AW211" i="6" s="1"/>
  <c r="AU194" i="6"/>
  <c r="AV194" i="6"/>
  <c r="AU140" i="6"/>
  <c r="AV140" i="6"/>
  <c r="AU120" i="6"/>
  <c r="AV120" i="6"/>
  <c r="AU176" i="6"/>
  <c r="AV176" i="6"/>
  <c r="AU114" i="6"/>
  <c r="AV114" i="6"/>
  <c r="AU89" i="6"/>
  <c r="AV89" i="6"/>
  <c r="AW89" i="6" s="1"/>
  <c r="AU147" i="6"/>
  <c r="AV147" i="6"/>
  <c r="AU39" i="6"/>
  <c r="AX39" i="6" s="1"/>
  <c r="AV39" i="6"/>
  <c r="AU146" i="6"/>
  <c r="AV146" i="6"/>
  <c r="AU125" i="6"/>
  <c r="AV125" i="6"/>
  <c r="AU67" i="6"/>
  <c r="AV67" i="6"/>
  <c r="AU62" i="6"/>
  <c r="AV62" i="6"/>
  <c r="AW62" i="6" s="1"/>
  <c r="AU75" i="6"/>
  <c r="AV75" i="6"/>
  <c r="AU209" i="6"/>
  <c r="AV209" i="6"/>
  <c r="AU63" i="6"/>
  <c r="AV63" i="6"/>
  <c r="AU130" i="6"/>
  <c r="AV130" i="6"/>
  <c r="AU168" i="6"/>
  <c r="AV168" i="6"/>
  <c r="AU102" i="6"/>
  <c r="AV102" i="6"/>
  <c r="AW102" i="6" s="1"/>
  <c r="AU170" i="6"/>
  <c r="AV170" i="6"/>
  <c r="AU181" i="6"/>
  <c r="AV181" i="6"/>
  <c r="AU190" i="6"/>
  <c r="AV190" i="6"/>
  <c r="AU32" i="6"/>
  <c r="AV32" i="6"/>
  <c r="AU133" i="6"/>
  <c r="AV133" i="6"/>
  <c r="AU116" i="6"/>
  <c r="AV116" i="6"/>
  <c r="AW116" i="6" s="1"/>
  <c r="AU182" i="6"/>
  <c r="AV182" i="6"/>
  <c r="AU78" i="6"/>
  <c r="AV78" i="6"/>
  <c r="AU216" i="6"/>
  <c r="AV216" i="6"/>
  <c r="AU109" i="6"/>
  <c r="AV109" i="6"/>
  <c r="AU178" i="6"/>
  <c r="AV178" i="6"/>
  <c r="AU167" i="6"/>
  <c r="AV167" i="6"/>
  <c r="AW167" i="6" s="1"/>
  <c r="AU54" i="6"/>
  <c r="AV54" i="6"/>
  <c r="AU113" i="6"/>
  <c r="AV113" i="6"/>
  <c r="AU33" i="6"/>
  <c r="AV33" i="6"/>
  <c r="AU199" i="6"/>
  <c r="AV199" i="6"/>
  <c r="AU205" i="6"/>
  <c r="AV205" i="6"/>
  <c r="AU210" i="6"/>
  <c r="AV210" i="6"/>
  <c r="AW210" i="6" s="1"/>
  <c r="AU160" i="6"/>
  <c r="AV160" i="6"/>
  <c r="AU70" i="6"/>
  <c r="AV70" i="6"/>
  <c r="AU82" i="6"/>
  <c r="AV82" i="6"/>
  <c r="AU148" i="6"/>
  <c r="AV148" i="6"/>
  <c r="AU152" i="6"/>
  <c r="AV152" i="6"/>
  <c r="AU156" i="6"/>
  <c r="AV156" i="6"/>
  <c r="AW156" i="6" s="1"/>
  <c r="AU215" i="6"/>
  <c r="AV215" i="6"/>
  <c r="AU107" i="6"/>
  <c r="AV107" i="6"/>
  <c r="AU138" i="6"/>
  <c r="AV138" i="6"/>
  <c r="AU208" i="6"/>
  <c r="AV208" i="6"/>
  <c r="AU172" i="6"/>
  <c r="AV172" i="6"/>
  <c r="AW76" i="6" l="1"/>
  <c r="AW208" i="6"/>
  <c r="AW148" i="6"/>
  <c r="AW199" i="6"/>
  <c r="AW109" i="6"/>
  <c r="AW130" i="6"/>
  <c r="AW125" i="6"/>
  <c r="AW176" i="6"/>
  <c r="AW191" i="6"/>
  <c r="AW90" i="6"/>
  <c r="AW162" i="6"/>
  <c r="AW207" i="6"/>
  <c r="AW96" i="6"/>
  <c r="AW42" i="6"/>
  <c r="AW112" i="6"/>
  <c r="AW58" i="6"/>
  <c r="AW151" i="6"/>
  <c r="AW222" i="6"/>
  <c r="AW219" i="6"/>
  <c r="AW108" i="6"/>
  <c r="AW213" i="6"/>
  <c r="AW169" i="6"/>
  <c r="AW47" i="6"/>
  <c r="AW135" i="6"/>
  <c r="AW81" i="6"/>
  <c r="AW134" i="6"/>
  <c r="AW129" i="6"/>
  <c r="AW95" i="6"/>
  <c r="AW77" i="6"/>
  <c r="AW150" i="6"/>
  <c r="AW203" i="6"/>
  <c r="AW179" i="6"/>
  <c r="AW143" i="6"/>
  <c r="AW172" i="6"/>
  <c r="AW152" i="6"/>
  <c r="AW205" i="6"/>
  <c r="AW178" i="6"/>
  <c r="AW133" i="6"/>
  <c r="AW168" i="6"/>
  <c r="AW67" i="6"/>
  <c r="AW114" i="6"/>
  <c r="AW52" i="6"/>
  <c r="AW80" i="6"/>
  <c r="AW99" i="6"/>
  <c r="AW74" i="6"/>
  <c r="AW94" i="6"/>
  <c r="AW44" i="6"/>
  <c r="AW73" i="6"/>
  <c r="AW131" i="6"/>
  <c r="AW202" i="6"/>
  <c r="AW69" i="6"/>
  <c r="AW154" i="6"/>
  <c r="AW38" i="6"/>
  <c r="AW177" i="6"/>
  <c r="AW196" i="6"/>
  <c r="AW124" i="6"/>
  <c r="AW49" i="6"/>
  <c r="AW163" i="6"/>
  <c r="AW41" i="6"/>
  <c r="AW43" i="6"/>
  <c r="AW110" i="6"/>
  <c r="AW123" i="6"/>
  <c r="AW206" i="6"/>
  <c r="AW195" i="6"/>
  <c r="AW192" i="6"/>
  <c r="AX215" i="6"/>
  <c r="AX182" i="6"/>
  <c r="AX38" i="6"/>
  <c r="AW35" i="6"/>
  <c r="AW204" i="6"/>
  <c r="AW157" i="6"/>
  <c r="AW51" i="6"/>
  <c r="AW141" i="6"/>
  <c r="AW106" i="6"/>
  <c r="AW79" i="6"/>
  <c r="AW97" i="6"/>
  <c r="AW140" i="6"/>
  <c r="AW217" i="6"/>
  <c r="AW105" i="6"/>
  <c r="AW98" i="6"/>
  <c r="AW173" i="6"/>
  <c r="AW200" i="6"/>
  <c r="AW228" i="6"/>
  <c r="AX72" i="6"/>
  <c r="AX33" i="6"/>
  <c r="AX35" i="6"/>
  <c r="AX71" i="6"/>
  <c r="AW107" i="6"/>
  <c r="AW70" i="6"/>
  <c r="AW113" i="6"/>
  <c r="AW78" i="6"/>
  <c r="AW181" i="6"/>
  <c r="AW209" i="6"/>
  <c r="AW86" i="6"/>
  <c r="AW64" i="6"/>
  <c r="AW225" i="6"/>
  <c r="AW171" i="6"/>
  <c r="AW186" i="6"/>
  <c r="AW115" i="6"/>
  <c r="AW61" i="6"/>
  <c r="AW149" i="6"/>
  <c r="AW68" i="6"/>
  <c r="AW229" i="6"/>
  <c r="AW93" i="6"/>
  <c r="AW55" i="6"/>
  <c r="AW155" i="6"/>
  <c r="AW60" i="6"/>
  <c r="AW188" i="6"/>
  <c r="AW119" i="6"/>
  <c r="AW66" i="6"/>
  <c r="AW193" i="6"/>
  <c r="AX144" i="6"/>
  <c r="AX40" i="6"/>
  <c r="AT10" i="6"/>
  <c r="AS10" i="6"/>
  <c r="AX164" i="6"/>
  <c r="AX117" i="6"/>
  <c r="AT21" i="6"/>
  <c r="AS21" i="6"/>
  <c r="AX92" i="6"/>
  <c r="AX175" i="6"/>
  <c r="AX85" i="6"/>
  <c r="AX104" i="6"/>
  <c r="AX218" i="6"/>
  <c r="AX214" i="6"/>
  <c r="AT12" i="6"/>
  <c r="AS12" i="6"/>
  <c r="AT20" i="6"/>
  <c r="AS20" i="6"/>
  <c r="AX128" i="6"/>
  <c r="AX65" i="6"/>
  <c r="AT23" i="6"/>
  <c r="AS23" i="6"/>
  <c r="AT17" i="6"/>
  <c r="AS17" i="6"/>
  <c r="AX103" i="6"/>
  <c r="AX223" i="6"/>
  <c r="AX177" i="6"/>
  <c r="AX196" i="6"/>
  <c r="AX124" i="6"/>
  <c r="AX49" i="6"/>
  <c r="AX163" i="6"/>
  <c r="AX41" i="6"/>
  <c r="AX43" i="6"/>
  <c r="AT9" i="6"/>
  <c r="AS9" i="6"/>
  <c r="AT11" i="6"/>
  <c r="AS11" i="6"/>
  <c r="AX110" i="6"/>
  <c r="AX123" i="6"/>
  <c r="AX206" i="6"/>
  <c r="AX195" i="6"/>
  <c r="AX192" i="6"/>
  <c r="AW34" i="6"/>
  <c r="AG4" i="6"/>
  <c r="AV4" i="6" s="1"/>
  <c r="AX53" i="6"/>
  <c r="AX226" i="6"/>
  <c r="AX212" i="6"/>
  <c r="AX94" i="6"/>
  <c r="AT13" i="6"/>
  <c r="AS13" i="6"/>
  <c r="AT7" i="6"/>
  <c r="AS7" i="6"/>
  <c r="AX36" i="6"/>
  <c r="AX34" i="6"/>
  <c r="AX75" i="6"/>
  <c r="AX84" i="6"/>
  <c r="AX57" i="6"/>
  <c r="AX185" i="6"/>
  <c r="AX76" i="6"/>
  <c r="AX102" i="6"/>
  <c r="AX183" i="6"/>
  <c r="AX91" i="6"/>
  <c r="AX172" i="6"/>
  <c r="AX67" i="6"/>
  <c r="AX44" i="6"/>
  <c r="AX208" i="6"/>
  <c r="AX199" i="6"/>
  <c r="AX32" i="6"/>
  <c r="AX125" i="6"/>
  <c r="AX191" i="6"/>
  <c r="AX162" i="6"/>
  <c r="AX96" i="6"/>
  <c r="AX42" i="6"/>
  <c r="AX112" i="6"/>
  <c r="AX58" i="6"/>
  <c r="AX151" i="6"/>
  <c r="AX222" i="6"/>
  <c r="AX219" i="6"/>
  <c r="AX108" i="6"/>
  <c r="AX213" i="6"/>
  <c r="AX169" i="6"/>
  <c r="AX47" i="6"/>
  <c r="AX135" i="6"/>
  <c r="AX81" i="6"/>
  <c r="AX134" i="6"/>
  <c r="AX129" i="6"/>
  <c r="AT22" i="6"/>
  <c r="AS22" i="6"/>
  <c r="AX95" i="6"/>
  <c r="AX77" i="6"/>
  <c r="AX150" i="6"/>
  <c r="AX203" i="6"/>
  <c r="AX160" i="6"/>
  <c r="AX220" i="6"/>
  <c r="AX121" i="6"/>
  <c r="AX189" i="6"/>
  <c r="AX210" i="6"/>
  <c r="AX89" i="6"/>
  <c r="AX224" i="6"/>
  <c r="AX187" i="6"/>
  <c r="AX152" i="6"/>
  <c r="AX114" i="6"/>
  <c r="AX131" i="6"/>
  <c r="AX148" i="6"/>
  <c r="AX109" i="6"/>
  <c r="AX130" i="6"/>
  <c r="AX176" i="6"/>
  <c r="AX90" i="6"/>
  <c r="AX207" i="6"/>
  <c r="AW138" i="6"/>
  <c r="AW82" i="6"/>
  <c r="AW33" i="6"/>
  <c r="AW216" i="6"/>
  <c r="AW190" i="6"/>
  <c r="AW63" i="6"/>
  <c r="AW146" i="6"/>
  <c r="AW120" i="6"/>
  <c r="AW165" i="6"/>
  <c r="AW101" i="6"/>
  <c r="AW48" i="6"/>
  <c r="AW127" i="6"/>
  <c r="AW118" i="6"/>
  <c r="AW100" i="6"/>
  <c r="AW88" i="6"/>
  <c r="AW56" i="6"/>
  <c r="AW139" i="6"/>
  <c r="AW198" i="6"/>
  <c r="AW142" i="6"/>
  <c r="AW87" i="6"/>
  <c r="AW45" i="6"/>
  <c r="AW83" i="6"/>
  <c r="AW46" i="6"/>
  <c r="AW132" i="6"/>
  <c r="AW201" i="6"/>
  <c r="AS15" i="6"/>
  <c r="AT15" i="6"/>
  <c r="AX179" i="6"/>
  <c r="AX143" i="6"/>
  <c r="AX147" i="6"/>
  <c r="AX145" i="6"/>
  <c r="AX158" i="6"/>
  <c r="AX116" i="6"/>
  <c r="AX174" i="6"/>
  <c r="AX136" i="6"/>
  <c r="AX168" i="6"/>
  <c r="AX74" i="6"/>
  <c r="AX154" i="6"/>
  <c r="AX82" i="6"/>
  <c r="AX63" i="6"/>
  <c r="AX120" i="6"/>
  <c r="AX165" i="6"/>
  <c r="AX101" i="6"/>
  <c r="AX48" i="6"/>
  <c r="AX127" i="6"/>
  <c r="AX118" i="6"/>
  <c r="AX100" i="6"/>
  <c r="AX88" i="6"/>
  <c r="AX56" i="6"/>
  <c r="AX139" i="6"/>
  <c r="AX198" i="6"/>
  <c r="AX142" i="6"/>
  <c r="AX87" i="6"/>
  <c r="AX45" i="6"/>
  <c r="AX83" i="6"/>
  <c r="AX46" i="6"/>
  <c r="AX132" i="6"/>
  <c r="AX201" i="6"/>
  <c r="AX204" i="6"/>
  <c r="AT8" i="6"/>
  <c r="AS8" i="6"/>
  <c r="AX157" i="6"/>
  <c r="AX51" i="6"/>
  <c r="AX141" i="6"/>
  <c r="AX106" i="6"/>
  <c r="AX79" i="6"/>
  <c r="AW59" i="6"/>
  <c r="AX54" i="6"/>
  <c r="AX159" i="6"/>
  <c r="AX153" i="6"/>
  <c r="AT14" i="6"/>
  <c r="AS14" i="6"/>
  <c r="AX156" i="6"/>
  <c r="AX62" i="6"/>
  <c r="AX221" i="6"/>
  <c r="AX197" i="6"/>
  <c r="AX133" i="6"/>
  <c r="AX99" i="6"/>
  <c r="AX69" i="6"/>
  <c r="AW32" i="6"/>
  <c r="AG5" i="6"/>
  <c r="AX138" i="6"/>
  <c r="AX190" i="6"/>
  <c r="AT18" i="6"/>
  <c r="AS18" i="6"/>
  <c r="AX59" i="6"/>
  <c r="AX97" i="6"/>
  <c r="AX194" i="6"/>
  <c r="AX166" i="6"/>
  <c r="AX137" i="6"/>
  <c r="AX111" i="6"/>
  <c r="AX167" i="6"/>
  <c r="AX211" i="6"/>
  <c r="AX122" i="6"/>
  <c r="AX126" i="6"/>
  <c r="AX205" i="6"/>
  <c r="AX80" i="6"/>
  <c r="AX202" i="6"/>
  <c r="AX216" i="6"/>
  <c r="AX107" i="6"/>
  <c r="AX70" i="6"/>
  <c r="AX113" i="6"/>
  <c r="AX78" i="6"/>
  <c r="AX181" i="6"/>
  <c r="AX209" i="6"/>
  <c r="AX37" i="6"/>
  <c r="AX105" i="6"/>
  <c r="AX98" i="6"/>
  <c r="AX173" i="6"/>
  <c r="AX200" i="6"/>
  <c r="AX228" i="6"/>
  <c r="AX86" i="6"/>
  <c r="AX64" i="6"/>
  <c r="AX225" i="6"/>
  <c r="AX171" i="6"/>
  <c r="AX186" i="6"/>
  <c r="AX115" i="6"/>
  <c r="AX61" i="6"/>
  <c r="AX149" i="6"/>
  <c r="AX68" i="6"/>
  <c r="AX229" i="6"/>
  <c r="AX93" i="6"/>
  <c r="AX55" i="6"/>
  <c r="AT19" i="6"/>
  <c r="AS19" i="6"/>
  <c r="AX155" i="6"/>
  <c r="AX60" i="6"/>
  <c r="AX188" i="6"/>
  <c r="AX119" i="6"/>
  <c r="AX66" i="6"/>
  <c r="AW161" i="6"/>
  <c r="AX170" i="6"/>
  <c r="AX184" i="6"/>
  <c r="AX227" i="6"/>
  <c r="AU4" i="6"/>
  <c r="W35" i="7"/>
  <c r="AX180" i="6"/>
  <c r="AX50" i="6"/>
  <c r="AT5" i="6"/>
  <c r="AS5" i="6"/>
  <c r="AX178" i="6"/>
  <c r="AX52" i="6"/>
  <c r="AX73" i="6"/>
  <c r="AX146" i="6"/>
  <c r="AW39" i="6"/>
  <c r="AH7" i="6" s="1"/>
  <c r="AG7" i="6"/>
  <c r="AW37" i="6"/>
  <c r="AG6" i="6"/>
  <c r="AX140" i="6"/>
  <c r="AX217" i="6"/>
  <c r="AW215" i="6"/>
  <c r="AW160" i="6"/>
  <c r="AW54" i="6"/>
  <c r="AW182" i="6"/>
  <c r="AW170" i="6"/>
  <c r="AW75" i="6"/>
  <c r="AW147" i="6"/>
  <c r="AW194" i="6"/>
  <c r="AW72" i="6"/>
  <c r="AW71" i="6"/>
  <c r="AW220" i="6"/>
  <c r="AW159" i="6"/>
  <c r="AW144" i="6"/>
  <c r="AW184" i="6"/>
  <c r="AW145" i="6"/>
  <c r="AW84" i="6"/>
  <c r="AW166" i="6"/>
  <c r="AW214" i="6"/>
  <c r="AW153" i="6"/>
  <c r="AW121" i="6"/>
  <c r="AW53" i="6"/>
  <c r="AW227" i="6"/>
  <c r="AW137" i="6"/>
  <c r="AW57" i="6"/>
  <c r="AW158" i="6"/>
  <c r="AW223" i="6"/>
  <c r="AT6" i="6"/>
  <c r="AS6" i="6"/>
  <c r="AS16" i="6"/>
  <c r="AT16" i="6"/>
  <c r="AW40" i="6"/>
  <c r="AG17" i="6"/>
  <c r="AG19" i="6"/>
  <c r="AG15" i="6"/>
  <c r="AG18" i="6"/>
  <c r="AG13" i="6"/>
  <c r="AG9" i="6"/>
  <c r="AG11" i="6"/>
  <c r="AG22" i="6"/>
  <c r="AG10" i="6"/>
  <c r="AG12" i="6"/>
  <c r="AG21" i="6"/>
  <c r="AG23" i="6"/>
  <c r="AG14" i="6"/>
  <c r="AG8" i="6"/>
  <c r="AG20" i="6"/>
  <c r="AG16" i="6"/>
  <c r="AW189" i="6"/>
  <c r="AW111" i="6"/>
  <c r="AW185" i="6"/>
  <c r="AX161" i="6"/>
  <c r="AX193" i="6"/>
  <c r="AH6" i="6" l="1"/>
  <c r="AH4" i="6"/>
  <c r="W38" i="7" s="1"/>
  <c r="X38" i="7" s="1"/>
  <c r="AH5" i="6"/>
  <c r="Y38" i="7" s="1"/>
  <c r="Z38" i="7" s="1"/>
  <c r="AH17" i="6"/>
  <c r="AH18" i="6"/>
  <c r="AH19" i="6"/>
  <c r="AH20" i="6"/>
  <c r="AH13" i="6"/>
  <c r="AH10" i="6"/>
  <c r="AH22" i="6"/>
  <c r="AH9" i="6"/>
  <c r="AH11" i="6"/>
  <c r="AH14" i="6"/>
  <c r="AH8" i="6"/>
  <c r="AH12" i="6"/>
  <c r="AH16" i="6"/>
  <c r="AH23" i="6"/>
  <c r="AH15" i="6"/>
  <c r="AH21" i="6"/>
  <c r="W34" i="7"/>
  <c r="W41" i="7" s="1"/>
  <c r="X41" i="7" s="1"/>
  <c r="AU17" i="6"/>
  <c r="AV17" i="6"/>
  <c r="AY34" i="6"/>
  <c r="AV23" i="6"/>
  <c r="AU23" i="6"/>
  <c r="AY36" i="6"/>
  <c r="AV15" i="6"/>
  <c r="AU15" i="6"/>
  <c r="AU18" i="6"/>
  <c r="AV18" i="6"/>
  <c r="AV22" i="6"/>
  <c r="AU22" i="6"/>
  <c r="AV7" i="6"/>
  <c r="AU7" i="6"/>
  <c r="AV21" i="6"/>
  <c r="AU21" i="6"/>
  <c r="AU6" i="6"/>
  <c r="AY37" i="6" s="1"/>
  <c r="AV6" i="6"/>
  <c r="AV14" i="6"/>
  <c r="AU14" i="6"/>
  <c r="AV8" i="6"/>
  <c r="AU8" i="6"/>
  <c r="AY101" i="6" s="1"/>
  <c r="AV20" i="6"/>
  <c r="AU20" i="6"/>
  <c r="AV13" i="6"/>
  <c r="AU13" i="6"/>
  <c r="AW4" i="6"/>
  <c r="W36" i="7"/>
  <c r="AV5" i="6"/>
  <c r="AU5" i="6"/>
  <c r="Y35" i="7"/>
  <c r="AY35" i="6"/>
  <c r="AV12" i="6"/>
  <c r="AU12" i="6"/>
  <c r="AU16" i="6"/>
  <c r="AV16" i="6"/>
  <c r="AT24" i="6"/>
  <c r="AU11" i="6"/>
  <c r="AV11" i="6"/>
  <c r="AV10" i="6"/>
  <c r="AU10" i="6"/>
  <c r="AV19" i="6"/>
  <c r="AU19" i="6"/>
  <c r="X35" i="7"/>
  <c r="AV9" i="6"/>
  <c r="AU9" i="6"/>
  <c r="AY185" i="6" l="1"/>
  <c r="AY218" i="6"/>
  <c r="AY102" i="6"/>
  <c r="AY224" i="6"/>
  <c r="AY183" i="6"/>
  <c r="AY169" i="6"/>
  <c r="AY221" i="6"/>
  <c r="AY50" i="6"/>
  <c r="AY159" i="6"/>
  <c r="AY138" i="6"/>
  <c r="AY201" i="6"/>
  <c r="AY130" i="6"/>
  <c r="AY88" i="6"/>
  <c r="AY125" i="6"/>
  <c r="AY61" i="6"/>
  <c r="AY222" i="6"/>
  <c r="AY118" i="6"/>
  <c r="AY47" i="6"/>
  <c r="AY57" i="6"/>
  <c r="AY188" i="6"/>
  <c r="AY64" i="6"/>
  <c r="AY146" i="6"/>
  <c r="AY191" i="6"/>
  <c r="AY100" i="6"/>
  <c r="AY155" i="6"/>
  <c r="AY142" i="6"/>
  <c r="AY97" i="6"/>
  <c r="AY123" i="6"/>
  <c r="AY90" i="6"/>
  <c r="AY84" i="6"/>
  <c r="AY136" i="6"/>
  <c r="AY213" i="6"/>
  <c r="AY167" i="6"/>
  <c r="AY166" i="6"/>
  <c r="AY59" i="6"/>
  <c r="AY153" i="6"/>
  <c r="AY41" i="6"/>
  <c r="AY214" i="6"/>
  <c r="AY129" i="6"/>
  <c r="AY106" i="6"/>
  <c r="AY164" i="6"/>
  <c r="AY89" i="6"/>
  <c r="AY51" i="6"/>
  <c r="AY160" i="6"/>
  <c r="AY135" i="6"/>
  <c r="AY55" i="6"/>
  <c r="AY217" i="6"/>
  <c r="AY178" i="6"/>
  <c r="AY208" i="6"/>
  <c r="AY48" i="6"/>
  <c r="AY111" i="6"/>
  <c r="AY176" i="6"/>
  <c r="AY150" i="6"/>
  <c r="AY202" i="6"/>
  <c r="AY52" i="6"/>
  <c r="AY98" i="6"/>
  <c r="AY143" i="6"/>
  <c r="AY46" i="6"/>
  <c r="AY78" i="6"/>
  <c r="AY174" i="6"/>
  <c r="AY94" i="6"/>
  <c r="AY147" i="6"/>
  <c r="AY128" i="6"/>
  <c r="AY58" i="6"/>
  <c r="AY179" i="6"/>
  <c r="AY133" i="6"/>
  <c r="AY165" i="6"/>
  <c r="AY99" i="6"/>
  <c r="AY116" i="6"/>
  <c r="AY115" i="6"/>
  <c r="AY42" i="6"/>
  <c r="AY91" i="6"/>
  <c r="AY113" i="6"/>
  <c r="AY132" i="6"/>
  <c r="AY212" i="6"/>
  <c r="AY168" i="6"/>
  <c r="AY112" i="6"/>
  <c r="AY53" i="6"/>
  <c r="AY127" i="6"/>
  <c r="AY54" i="6"/>
  <c r="AY209" i="6"/>
  <c r="AY110" i="6"/>
  <c r="AY66" i="6"/>
  <c r="AY56" i="6"/>
  <c r="AY67" i="6"/>
  <c r="AY196" i="6"/>
  <c r="AY151" i="6"/>
  <c r="AY69" i="6"/>
  <c r="AY186" i="6"/>
  <c r="AY223" i="6"/>
  <c r="AY119" i="6"/>
  <c r="AY229" i="6"/>
  <c r="AY187" i="6"/>
  <c r="AY161" i="6"/>
  <c r="AY184" i="6"/>
  <c r="AY109" i="6"/>
  <c r="AY40" i="6"/>
  <c r="AY60" i="6"/>
  <c r="AY76" i="6"/>
  <c r="AY96" i="6"/>
  <c r="AY210" i="6"/>
  <c r="AY105" i="6"/>
  <c r="AY158" i="6"/>
  <c r="AY103" i="6"/>
  <c r="AY180" i="6"/>
  <c r="AY162" i="6"/>
  <c r="AY227" i="6"/>
  <c r="AY81" i="6"/>
  <c r="AY200" i="6"/>
  <c r="AY207" i="6"/>
  <c r="AY149" i="6"/>
  <c r="AY92" i="6"/>
  <c r="AW11" i="6"/>
  <c r="AY80" i="6"/>
  <c r="AY62" i="6"/>
  <c r="AY205" i="6"/>
  <c r="AY93" i="6"/>
  <c r="AY114" i="6"/>
  <c r="AY68" i="6"/>
  <c r="AY120" i="6"/>
  <c r="AW9" i="6"/>
  <c r="AY225" i="6"/>
  <c r="AY220" i="6"/>
  <c r="AY131" i="6"/>
  <c r="AY121" i="6"/>
  <c r="AY189" i="6"/>
  <c r="AY140" i="6"/>
  <c r="AY134" i="6"/>
  <c r="AY228" i="6"/>
  <c r="AY195" i="6"/>
  <c r="AY95" i="6"/>
  <c r="AY197" i="6"/>
  <c r="AY156" i="6"/>
  <c r="AY203" i="6"/>
  <c r="AY126" i="6"/>
  <c r="AY206" i="6"/>
  <c r="AY107" i="6"/>
  <c r="AY194" i="6"/>
  <c r="AY77" i="6"/>
  <c r="AW17" i="6"/>
  <c r="AW13" i="6"/>
  <c r="AW21" i="6"/>
  <c r="AU24" i="6"/>
  <c r="AY21" i="6" s="1"/>
  <c r="AY199" i="6"/>
  <c r="AY154" i="6"/>
  <c r="AY63" i="6"/>
  <c r="AW20" i="6"/>
  <c r="AW14" i="6"/>
  <c r="AY122" i="6"/>
  <c r="AY177" i="6"/>
  <c r="AY190" i="6"/>
  <c r="AY139" i="6"/>
  <c r="AY124" i="6"/>
  <c r="AY173" i="6"/>
  <c r="AY152" i="6"/>
  <c r="AY219" i="6"/>
  <c r="AY43" i="6"/>
  <c r="AY70" i="6"/>
  <c r="AW18" i="6"/>
  <c r="AY32" i="6"/>
  <c r="X34" i="7"/>
  <c r="Z35" i="7"/>
  <c r="AY39" i="6"/>
  <c r="AW7" i="6"/>
  <c r="AY65" i="6"/>
  <c r="AY108" i="6"/>
  <c r="AY87" i="6"/>
  <c r="AY148" i="6"/>
  <c r="AW10" i="6"/>
  <c r="AW16" i="6"/>
  <c r="AY74" i="6"/>
  <c r="AW6" i="6"/>
  <c r="AY172" i="6"/>
  <c r="AY170" i="6"/>
  <c r="AW15" i="6"/>
  <c r="AY49" i="6"/>
  <c r="AY175" i="6"/>
  <c r="AY141" i="6"/>
  <c r="AY145" i="6"/>
  <c r="AY38" i="6"/>
  <c r="AY73" i="6"/>
  <c r="AY82" i="6"/>
  <c r="AY192" i="6"/>
  <c r="AY75" i="6"/>
  <c r="AA35" i="7"/>
  <c r="Y39" i="7" s="1"/>
  <c r="Z39" i="7" s="1"/>
  <c r="AW5" i="6"/>
  <c r="Y36" i="7"/>
  <c r="X36" i="7"/>
  <c r="W37" i="7"/>
  <c r="X37" i="7" s="1"/>
  <c r="AY144" i="6"/>
  <c r="AY182" i="6"/>
  <c r="AY215" i="6"/>
  <c r="AY72" i="6"/>
  <c r="AY71" i="6"/>
  <c r="AY193" i="6"/>
  <c r="AY198" i="6"/>
  <c r="AW23" i="6"/>
  <c r="AY86" i="6"/>
  <c r="AY83" i="6"/>
  <c r="Y34" i="7"/>
  <c r="Y41" i="7" s="1"/>
  <c r="Z41" i="7" s="1"/>
  <c r="AY33" i="6"/>
  <c r="AW19" i="6"/>
  <c r="AY137" i="6"/>
  <c r="AY226" i="6"/>
  <c r="AY171" i="6"/>
  <c r="AY181" i="6"/>
  <c r="AW12" i="6"/>
  <c r="AY211" i="6"/>
  <c r="AY204" i="6"/>
  <c r="AY117" i="6"/>
  <c r="AW8" i="6"/>
  <c r="AY216" i="6"/>
  <c r="AW22" i="6"/>
  <c r="AY85" i="6"/>
  <c r="AY157" i="6"/>
  <c r="AY44" i="6"/>
  <c r="AY163" i="6"/>
  <c r="AY104" i="6"/>
  <c r="AY79" i="6"/>
  <c r="AY45" i="6"/>
  <c r="AY18" i="6" l="1"/>
  <c r="AA34" i="7"/>
  <c r="AB34" i="7" s="1"/>
  <c r="AY7" i="6"/>
  <c r="AY10" i="6"/>
  <c r="AY11" i="6"/>
  <c r="AY23" i="6"/>
  <c r="AY6" i="6"/>
  <c r="AY16" i="6"/>
  <c r="AY13" i="6"/>
  <c r="AY17" i="6"/>
  <c r="AY12" i="6"/>
  <c r="AY22" i="6"/>
  <c r="AF24" i="6"/>
  <c r="BC24" i="6" s="1"/>
  <c r="Z69" i="7" s="1"/>
  <c r="AY14" i="6"/>
  <c r="AY9" i="6"/>
  <c r="AY20" i="6"/>
  <c r="AY15" i="6"/>
  <c r="AY19" i="6"/>
  <c r="AY4" i="6"/>
  <c r="AY5" i="6"/>
  <c r="AY8" i="6"/>
  <c r="AZ226" i="6"/>
  <c r="AZ44" i="6"/>
  <c r="AZ171" i="6"/>
  <c r="AZ120" i="6"/>
  <c r="AZ107" i="6"/>
  <c r="AZ182" i="6"/>
  <c r="AZ178" i="6"/>
  <c r="AZ34" i="6"/>
  <c r="T14" i="7" s="1"/>
  <c r="AZ228" i="6"/>
  <c r="AZ112" i="6"/>
  <c r="AZ175" i="6"/>
  <c r="AZ201" i="6"/>
  <c r="AZ96" i="6"/>
  <c r="AZ229" i="6"/>
  <c r="AZ97" i="6"/>
  <c r="AZ164" i="6"/>
  <c r="AZ32" i="6"/>
  <c r="T20" i="7" s="1"/>
  <c r="AZ179" i="6"/>
  <c r="AZ173" i="6"/>
  <c r="AZ59" i="6"/>
  <c r="AZ210" i="6"/>
  <c r="AZ69" i="6"/>
  <c r="AZ75" i="6"/>
  <c r="AZ35" i="6"/>
  <c r="T15" i="7" s="1"/>
  <c r="AZ81" i="6"/>
  <c r="AZ170" i="6"/>
  <c r="AZ106" i="6"/>
  <c r="AZ148" i="6"/>
  <c r="AZ136" i="6"/>
  <c r="AZ131" i="6"/>
  <c r="AZ142" i="6"/>
  <c r="AZ93" i="6"/>
  <c r="AZ57" i="6"/>
  <c r="AZ110" i="6"/>
  <c r="AZ98" i="6"/>
  <c r="AZ42" i="6"/>
  <c r="AZ140" i="6"/>
  <c r="AZ195" i="6"/>
  <c r="AZ194" i="6"/>
  <c r="AZ67" i="6"/>
  <c r="AZ126" i="6"/>
  <c r="AZ190" i="6"/>
  <c r="AZ166" i="6"/>
  <c r="AZ94" i="6"/>
  <c r="AZ83" i="6"/>
  <c r="AZ63" i="6"/>
  <c r="AZ54" i="6"/>
  <c r="AZ118" i="6"/>
  <c r="AZ151" i="6"/>
  <c r="AZ183" i="6"/>
  <c r="AZ123" i="6"/>
  <c r="AZ177" i="6"/>
  <c r="AZ188" i="6"/>
  <c r="AZ209" i="6"/>
  <c r="AZ184" i="6"/>
  <c r="AZ139" i="6"/>
  <c r="AZ216" i="6"/>
  <c r="AZ149" i="6"/>
  <c r="AZ48" i="6"/>
  <c r="AZ192" i="6"/>
  <c r="AZ117" i="6"/>
  <c r="AZ159" i="6"/>
  <c r="AZ198" i="6"/>
  <c r="AZ167" i="6"/>
  <c r="AZ82" i="6"/>
  <c r="AZ111" i="6"/>
  <c r="AZ53" i="6"/>
  <c r="AZ74" i="6"/>
  <c r="AZ134" i="6"/>
  <c r="AZ65" i="6"/>
  <c r="AZ205" i="6"/>
  <c r="AZ220" i="6"/>
  <c r="AZ125" i="6"/>
  <c r="AZ122" i="6"/>
  <c r="AZ208" i="6"/>
  <c r="AZ191" i="6"/>
  <c r="AZ109" i="6"/>
  <c r="AZ200" i="6"/>
  <c r="Y37" i="7"/>
  <c r="Z37" i="7" s="1"/>
  <c r="Z36" i="7"/>
  <c r="AZ62" i="6"/>
  <c r="AZ108" i="6"/>
  <c r="AZ204" i="6"/>
  <c r="AZ33" i="6"/>
  <c r="T21" i="7" s="1"/>
  <c r="AZ193" i="6"/>
  <c r="AZ78" i="6"/>
  <c r="AZ160" i="6"/>
  <c r="AZ73" i="6"/>
  <c r="AZ46" i="6"/>
  <c r="AZ199" i="6"/>
  <c r="AZ202" i="6"/>
  <c r="AZ127" i="6"/>
  <c r="AZ203" i="6"/>
  <c r="AZ180" i="6"/>
  <c r="AZ206" i="6"/>
  <c r="AZ222" i="6"/>
  <c r="AZ95" i="6"/>
  <c r="AZ60" i="6"/>
  <c r="AZ157" i="6"/>
  <c r="AZ146" i="6"/>
  <c r="AZ176" i="6"/>
  <c r="AZ133" i="6"/>
  <c r="AZ47" i="6"/>
  <c r="AZ212" i="6"/>
  <c r="AZ155" i="6"/>
  <c r="AZ172" i="6"/>
  <c r="AB35" i="7"/>
  <c r="W39" i="7"/>
  <c r="X39" i="7" s="1"/>
  <c r="Z34" i="7"/>
  <c r="Y40" i="7"/>
  <c r="Z40" i="7" s="1"/>
  <c r="AZ99" i="6"/>
  <c r="AZ105" i="6"/>
  <c r="AZ58" i="6"/>
  <c r="AZ158" i="6"/>
  <c r="AZ153" i="6"/>
  <c r="AZ207" i="6"/>
  <c r="AZ66" i="6"/>
  <c r="AZ68" i="6"/>
  <c r="AZ39" i="6"/>
  <c r="T33" i="7" s="1"/>
  <c r="T30" i="7" s="1"/>
  <c r="AZ224" i="6"/>
  <c r="AZ189" i="6"/>
  <c r="AZ113" i="6"/>
  <c r="AZ70" i="6"/>
  <c r="AZ119" i="6"/>
  <c r="AZ80" i="6"/>
  <c r="AZ115" i="6"/>
  <c r="AZ49" i="6"/>
  <c r="AZ213" i="6"/>
  <c r="AZ85" i="6"/>
  <c r="AZ186" i="6"/>
  <c r="AZ61" i="6"/>
  <c r="AZ86" i="6"/>
  <c r="AZ165" i="6"/>
  <c r="AZ88" i="6"/>
  <c r="AZ45" i="6"/>
  <c r="AZ103" i="6"/>
  <c r="AZ79" i="6"/>
  <c r="AZ218" i="6"/>
  <c r="AZ71" i="6"/>
  <c r="AZ40" i="6"/>
  <c r="AZ130" i="6"/>
  <c r="AZ38" i="6"/>
  <c r="T27" i="7" s="1"/>
  <c r="AZ92" i="6"/>
  <c r="AZ185" i="6"/>
  <c r="AZ55" i="6"/>
  <c r="AZ116" i="6"/>
  <c r="AZ223" i="6"/>
  <c r="AZ37" i="6"/>
  <c r="T26" i="7" s="1"/>
  <c r="AZ64" i="6"/>
  <c r="AZ43" i="6"/>
  <c r="AZ102" i="6"/>
  <c r="AZ128" i="6"/>
  <c r="AZ124" i="6"/>
  <c r="AZ196" i="6"/>
  <c r="AZ143" i="6"/>
  <c r="AZ87" i="6"/>
  <c r="AZ187" i="6"/>
  <c r="AZ104" i="6"/>
  <c r="AZ181" i="6"/>
  <c r="AZ214" i="6"/>
  <c r="AZ121" i="6"/>
  <c r="AZ72" i="6"/>
  <c r="AZ41" i="6"/>
  <c r="AZ161" i="6"/>
  <c r="AZ217" i="6"/>
  <c r="AZ145" i="6"/>
  <c r="AZ100" i="6"/>
  <c r="AZ91" i="6"/>
  <c r="AZ52" i="6"/>
  <c r="AZ129" i="6"/>
  <c r="AZ221" i="6"/>
  <c r="AZ84" i="6"/>
  <c r="AZ219" i="6"/>
  <c r="AZ50" i="6"/>
  <c r="AZ154" i="6"/>
  <c r="AZ144" i="6"/>
  <c r="AZ168" i="6"/>
  <c r="AZ114" i="6"/>
  <c r="AZ137" i="6"/>
  <c r="AZ150" i="6"/>
  <c r="AZ138" i="6"/>
  <c r="AZ147" i="6"/>
  <c r="AZ169" i="6"/>
  <c r="AZ36" i="6"/>
  <c r="T13" i="7" s="1"/>
  <c r="AZ135" i="6"/>
  <c r="AZ211" i="6"/>
  <c r="AZ163" i="6"/>
  <c r="AZ132" i="6"/>
  <c r="AZ225" i="6"/>
  <c r="AZ215" i="6"/>
  <c r="AZ51" i="6"/>
  <c r="AZ76" i="6"/>
  <c r="AZ56" i="6"/>
  <c r="AZ174" i="6"/>
  <c r="AZ141" i="6"/>
  <c r="AZ227" i="6"/>
  <c r="AZ89" i="6"/>
  <c r="AZ90" i="6"/>
  <c r="AZ156" i="6"/>
  <c r="AZ77" i="6"/>
  <c r="AZ152" i="6"/>
  <c r="AZ162" i="6"/>
  <c r="AZ197" i="6"/>
  <c r="AZ101" i="6"/>
  <c r="W40" i="7" l="1"/>
  <c r="X40" i="7" s="1"/>
  <c r="AA41" i="7"/>
  <c r="AB41" i="7" s="1"/>
  <c r="BB24" i="6"/>
  <c r="X69" i="7" s="1"/>
  <c r="T12" i="7"/>
  <c r="T24" i="7"/>
  <c r="T18" i="7"/>
  <c r="B9" i="2" l="1"/>
  <c r="AZ29" i="2" l="1"/>
  <c r="AY29" i="2"/>
  <c r="AX29" i="2"/>
  <c r="AY2" i="2"/>
  <c r="B23" i="2" l="1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2" i="2"/>
  <c r="D30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Y3" i="1" a="1"/>
  <c r="Y3" i="1" s="1"/>
  <c r="F9" i="2" s="1"/>
  <c r="F4" i="2" l="1"/>
  <c r="F5" i="2"/>
  <c r="F6" i="2"/>
  <c r="F7" i="2"/>
  <c r="F8" i="2"/>
  <c r="BC2" i="2"/>
  <c r="BB2" i="2"/>
  <c r="BA2" i="2"/>
  <c r="AZ2" i="2"/>
  <c r="AX2" i="2"/>
  <c r="F2" i="2" l="1"/>
  <c r="E2" i="2"/>
  <c r="D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O35" i="3" l="1"/>
  <c r="V69" i="3" s="1"/>
  <c r="O29" i="3"/>
  <c r="V68" i="3" s="1"/>
  <c r="O23" i="3"/>
  <c r="V67" i="3" s="1"/>
  <c r="O17" i="3"/>
  <c r="O11" i="3"/>
  <c r="W29" i="2"/>
  <c r="V29" i="2"/>
  <c r="M29" i="2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V65" i="3" l="1"/>
  <c r="W63" i="3"/>
  <c r="V66" i="3"/>
  <c r="Y63" i="3"/>
  <c r="M37" i="3"/>
  <c r="M27" i="3"/>
  <c r="M38" i="3"/>
  <c r="M39" i="3"/>
  <c r="M12" i="3"/>
  <c r="M19" i="3"/>
  <c r="M24" i="3"/>
  <c r="M31" i="3"/>
  <c r="M36" i="3"/>
  <c r="M33" i="3"/>
  <c r="M15" i="3"/>
  <c r="M25" i="3"/>
  <c r="M20" i="3"/>
  <c r="M30" i="3"/>
  <c r="M32" i="3"/>
  <c r="M13" i="3"/>
  <c r="M26" i="3"/>
  <c r="M18" i="3"/>
  <c r="M21" i="3"/>
  <c r="M14" i="3"/>
  <c r="E24" i="2"/>
  <c r="D24" i="2" s="1"/>
  <c r="J24" i="2"/>
  <c r="L9" i="2"/>
  <c r="K9" i="2"/>
  <c r="J9" i="2"/>
  <c r="I9" i="2"/>
  <c r="H9" i="2"/>
  <c r="G9" i="2"/>
  <c r="L8" i="2"/>
  <c r="K8" i="2"/>
  <c r="J8" i="2"/>
  <c r="I8" i="2"/>
  <c r="H8" i="2"/>
  <c r="G8" i="2"/>
  <c r="L7" i="2"/>
  <c r="K7" i="2"/>
  <c r="J7" i="2"/>
  <c r="I7" i="2"/>
  <c r="H7" i="2"/>
  <c r="G7" i="2"/>
  <c r="L6" i="2"/>
  <c r="K6" i="2"/>
  <c r="J6" i="2"/>
  <c r="I6" i="2"/>
  <c r="H6" i="2"/>
  <c r="G6" i="2"/>
  <c r="L5" i="2"/>
  <c r="K5" i="2"/>
  <c r="J5" i="2"/>
  <c r="I5" i="2"/>
  <c r="H5" i="2"/>
  <c r="D34" i="3" s="1"/>
  <c r="G5" i="2"/>
  <c r="D35" i="3" s="1"/>
  <c r="L22" i="2"/>
  <c r="N6" i="2" l="1"/>
  <c r="D41" i="3"/>
  <c r="M5" i="2"/>
  <c r="O5" i="2" s="1"/>
  <c r="N8" i="2"/>
  <c r="N7" i="2"/>
  <c r="N9" i="2"/>
  <c r="M6" i="2"/>
  <c r="N5" i="2"/>
  <c r="M8" i="2"/>
  <c r="O8" i="2" s="1"/>
  <c r="M9" i="2"/>
  <c r="O9" i="2" s="1"/>
  <c r="M7" i="2"/>
  <c r="O7" i="2" s="1"/>
  <c r="J22" i="2"/>
  <c r="K22" i="2"/>
  <c r="N22" i="2" s="1"/>
  <c r="G22" i="2"/>
  <c r="H22" i="2"/>
  <c r="I22" i="2"/>
  <c r="X6" i="2" l="1"/>
  <c r="O6" i="2"/>
  <c r="X5" i="2"/>
  <c r="BA9" i="2"/>
  <c r="BA8" i="2"/>
  <c r="BA7" i="2"/>
  <c r="BA6" i="2"/>
  <c r="BA5" i="2"/>
  <c r="X9" i="2"/>
  <c r="X8" i="2"/>
  <c r="X7" i="2"/>
  <c r="M22" i="2"/>
  <c r="O22" i="2" s="1"/>
  <c r="BA22" i="2" l="1"/>
  <c r="X22" i="2"/>
  <c r="AW29" i="2" l="1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D29" i="2"/>
  <c r="AC29" i="2"/>
  <c r="AB29" i="2"/>
  <c r="AA29" i="2"/>
  <c r="Z29" i="2"/>
  <c r="Y29" i="2"/>
  <c r="X29" i="2"/>
  <c r="U29" i="2"/>
  <c r="T29" i="2"/>
  <c r="S29" i="2"/>
  <c r="R29" i="2"/>
  <c r="Q29" i="2"/>
  <c r="P29" i="2"/>
  <c r="O29" i="2"/>
  <c r="N29" i="2"/>
  <c r="L29" i="2"/>
  <c r="K29" i="2"/>
  <c r="J29" i="2"/>
  <c r="I29" i="2"/>
  <c r="H29" i="2"/>
  <c r="G29" i="2"/>
  <c r="F29" i="2"/>
  <c r="E29" i="2"/>
  <c r="D29" i="2"/>
  <c r="C29" i="2"/>
  <c r="B29" i="2"/>
  <c r="B30" i="2"/>
  <c r="I24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J30" i="2"/>
  <c r="H15" i="2" l="1"/>
  <c r="L15" i="2"/>
  <c r="K15" i="2"/>
  <c r="J15" i="2"/>
  <c r="I15" i="2"/>
  <c r="G15" i="2"/>
  <c r="L17" i="2"/>
  <c r="J17" i="2"/>
  <c r="I17" i="2"/>
  <c r="K17" i="2"/>
  <c r="H17" i="2"/>
  <c r="G17" i="2"/>
  <c r="L18" i="2"/>
  <c r="I18" i="2"/>
  <c r="H18" i="2"/>
  <c r="G18" i="2"/>
  <c r="K18" i="2"/>
  <c r="J18" i="2"/>
  <c r="H19" i="2"/>
  <c r="L19" i="2"/>
  <c r="K19" i="2"/>
  <c r="J19" i="2"/>
  <c r="I19" i="2"/>
  <c r="G19" i="2"/>
  <c r="L20" i="2"/>
  <c r="J20" i="2"/>
  <c r="K20" i="2"/>
  <c r="I20" i="2"/>
  <c r="H20" i="2"/>
  <c r="G20" i="2"/>
  <c r="L21" i="2"/>
  <c r="K21" i="2"/>
  <c r="N21" i="2" s="1"/>
  <c r="J21" i="2"/>
  <c r="I21" i="2"/>
  <c r="H21" i="2"/>
  <c r="G21" i="2"/>
  <c r="L10" i="2"/>
  <c r="J10" i="2"/>
  <c r="H10" i="2"/>
  <c r="K10" i="2"/>
  <c r="I10" i="2"/>
  <c r="G10" i="2"/>
  <c r="H23" i="2"/>
  <c r="L23" i="2"/>
  <c r="K23" i="2"/>
  <c r="N23" i="2" s="1"/>
  <c r="J23" i="2"/>
  <c r="I23" i="2"/>
  <c r="G23" i="2"/>
  <c r="H11" i="2"/>
  <c r="L11" i="2"/>
  <c r="K11" i="2"/>
  <c r="J11" i="2"/>
  <c r="I11" i="2"/>
  <c r="G11" i="2"/>
  <c r="L14" i="2"/>
  <c r="J14" i="2"/>
  <c r="H14" i="2"/>
  <c r="G14" i="2"/>
  <c r="K14" i="2"/>
  <c r="I14" i="2"/>
  <c r="L12" i="2"/>
  <c r="I12" i="2"/>
  <c r="G12" i="2"/>
  <c r="K12" i="2"/>
  <c r="J12" i="2"/>
  <c r="H12" i="2"/>
  <c r="L16" i="2"/>
  <c r="J16" i="2"/>
  <c r="I16" i="2"/>
  <c r="K16" i="2"/>
  <c r="H16" i="2"/>
  <c r="G16" i="2"/>
  <c r="L13" i="2"/>
  <c r="J13" i="2"/>
  <c r="I13" i="2"/>
  <c r="K13" i="2"/>
  <c r="H13" i="2"/>
  <c r="G13" i="2"/>
  <c r="D4" i="2"/>
  <c r="N16" i="2" l="1"/>
  <c r="N14" i="2"/>
  <c r="N19" i="2"/>
  <c r="L4" i="2"/>
  <c r="L24" i="2" s="1"/>
  <c r="I4" i="2"/>
  <c r="H4" i="2"/>
  <c r="Q18" i="2" s="1"/>
  <c r="G4" i="2"/>
  <c r="C35" i="3" s="1"/>
  <c r="K4" i="2"/>
  <c r="J4" i="2"/>
  <c r="N17" i="2"/>
  <c r="M16" i="2"/>
  <c r="O16" i="2" s="1"/>
  <c r="M23" i="2"/>
  <c r="O23" i="2" s="1"/>
  <c r="M21" i="2"/>
  <c r="O21" i="2" s="1"/>
  <c r="M19" i="2"/>
  <c r="M17" i="2"/>
  <c r="M14" i="2"/>
  <c r="M13" i="2"/>
  <c r="O13" i="2" s="1"/>
  <c r="M11" i="2"/>
  <c r="O11" i="2" s="1"/>
  <c r="M10" i="2"/>
  <c r="O10" i="2" s="1"/>
  <c r="M20" i="2"/>
  <c r="O20" i="2" s="1"/>
  <c r="M15" i="2"/>
  <c r="O15" i="2" s="1"/>
  <c r="N18" i="2"/>
  <c r="N13" i="2"/>
  <c r="N12" i="2"/>
  <c r="N10" i="2"/>
  <c r="M18" i="2"/>
  <c r="O18" i="2" s="1"/>
  <c r="M12" i="2"/>
  <c r="O12" i="2" s="1"/>
  <c r="N11" i="2"/>
  <c r="N20" i="2"/>
  <c r="N15" i="2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P17" i="2" l="1"/>
  <c r="BA14" i="2"/>
  <c r="O14" i="2"/>
  <c r="BA19" i="2"/>
  <c r="O19" i="2"/>
  <c r="BA17" i="2"/>
  <c r="O17" i="2"/>
  <c r="Q6" i="2"/>
  <c r="C34" i="3"/>
  <c r="AF69" i="2"/>
  <c r="S69" i="2"/>
  <c r="AH69" i="2" s="1"/>
  <c r="R69" i="2"/>
  <c r="AG69" i="2" s="1"/>
  <c r="AF93" i="2"/>
  <c r="S93" i="2"/>
  <c r="AH93" i="2" s="1"/>
  <c r="R93" i="2"/>
  <c r="AG93" i="2" s="1"/>
  <c r="AF117" i="2"/>
  <c r="S117" i="2"/>
  <c r="AH117" i="2" s="1"/>
  <c r="R117" i="2"/>
  <c r="AG117" i="2" s="1"/>
  <c r="AF141" i="2"/>
  <c r="R141" i="2"/>
  <c r="AG141" i="2" s="1"/>
  <c r="S141" i="2"/>
  <c r="AH141" i="2" s="1"/>
  <c r="AF165" i="2"/>
  <c r="R165" i="2"/>
  <c r="AG165" i="2" s="1"/>
  <c r="S165" i="2"/>
  <c r="AH165" i="2" s="1"/>
  <c r="AF189" i="2"/>
  <c r="R189" i="2"/>
  <c r="AG189" i="2" s="1"/>
  <c r="S189" i="2"/>
  <c r="AH189" i="2" s="1"/>
  <c r="AF213" i="2"/>
  <c r="R213" i="2"/>
  <c r="AG213" i="2" s="1"/>
  <c r="S213" i="2"/>
  <c r="AH213" i="2" s="1"/>
  <c r="AF70" i="2"/>
  <c r="S70" i="2"/>
  <c r="AH70" i="2" s="1"/>
  <c r="R70" i="2"/>
  <c r="AG70" i="2" s="1"/>
  <c r="AF94" i="2"/>
  <c r="S94" i="2"/>
  <c r="AH94" i="2" s="1"/>
  <c r="R94" i="2"/>
  <c r="AG94" i="2" s="1"/>
  <c r="AF118" i="2"/>
  <c r="R118" i="2"/>
  <c r="AG118" i="2" s="1"/>
  <c r="S118" i="2"/>
  <c r="AH118" i="2" s="1"/>
  <c r="AF142" i="2"/>
  <c r="R142" i="2"/>
  <c r="AG142" i="2" s="1"/>
  <c r="S142" i="2"/>
  <c r="AH142" i="2" s="1"/>
  <c r="AF166" i="2"/>
  <c r="R166" i="2"/>
  <c r="AG166" i="2" s="1"/>
  <c r="S166" i="2"/>
  <c r="AH166" i="2" s="1"/>
  <c r="AF190" i="2"/>
  <c r="S190" i="2"/>
  <c r="AH190" i="2" s="1"/>
  <c r="R190" i="2"/>
  <c r="AG190" i="2" s="1"/>
  <c r="AF226" i="2"/>
  <c r="R226" i="2"/>
  <c r="AG226" i="2" s="1"/>
  <c r="S226" i="2"/>
  <c r="AH226" i="2" s="1"/>
  <c r="AF83" i="2"/>
  <c r="S83" i="2"/>
  <c r="AH83" i="2" s="1"/>
  <c r="R83" i="2"/>
  <c r="AG83" i="2" s="1"/>
  <c r="AF107" i="2"/>
  <c r="S107" i="2"/>
  <c r="AH107" i="2" s="1"/>
  <c r="R107" i="2"/>
  <c r="AG107" i="2" s="1"/>
  <c r="AF131" i="2"/>
  <c r="S131" i="2"/>
  <c r="AH131" i="2" s="1"/>
  <c r="R131" i="2"/>
  <c r="AG131" i="2" s="1"/>
  <c r="AF155" i="2"/>
  <c r="S155" i="2"/>
  <c r="AH155" i="2" s="1"/>
  <c r="R155" i="2"/>
  <c r="AG155" i="2" s="1"/>
  <c r="AF179" i="2"/>
  <c r="R179" i="2"/>
  <c r="AG179" i="2" s="1"/>
  <c r="S179" i="2"/>
  <c r="AH179" i="2" s="1"/>
  <c r="AF203" i="2"/>
  <c r="R203" i="2"/>
  <c r="AG203" i="2" s="1"/>
  <c r="S203" i="2"/>
  <c r="AH203" i="2" s="1"/>
  <c r="AF215" i="2"/>
  <c r="S215" i="2"/>
  <c r="AH215" i="2" s="1"/>
  <c r="R215" i="2"/>
  <c r="AG215" i="2" s="1"/>
  <c r="AF84" i="2"/>
  <c r="S84" i="2"/>
  <c r="AH84" i="2" s="1"/>
  <c r="R84" i="2"/>
  <c r="AG84" i="2" s="1"/>
  <c r="AF108" i="2"/>
  <c r="S108" i="2"/>
  <c r="AH108" i="2" s="1"/>
  <c r="R108" i="2"/>
  <c r="AG108" i="2" s="1"/>
  <c r="AF132" i="2"/>
  <c r="S132" i="2"/>
  <c r="AH132" i="2" s="1"/>
  <c r="R132" i="2"/>
  <c r="AG132" i="2" s="1"/>
  <c r="AF156" i="2"/>
  <c r="R156" i="2"/>
  <c r="AG156" i="2" s="1"/>
  <c r="S156" i="2"/>
  <c r="AH156" i="2" s="1"/>
  <c r="AF168" i="2"/>
  <c r="R168" i="2"/>
  <c r="AG168" i="2" s="1"/>
  <c r="S168" i="2"/>
  <c r="AH168" i="2" s="1"/>
  <c r="AF204" i="2"/>
  <c r="R204" i="2"/>
  <c r="AG204" i="2" s="1"/>
  <c r="S204" i="2"/>
  <c r="AH204" i="2" s="1"/>
  <c r="AF228" i="2"/>
  <c r="S228" i="2"/>
  <c r="AH228" i="2" s="1"/>
  <c r="R228" i="2"/>
  <c r="AG228" i="2" s="1"/>
  <c r="AF85" i="2"/>
  <c r="S85" i="2"/>
  <c r="AH85" i="2" s="1"/>
  <c r="R85" i="2"/>
  <c r="AG85" i="2" s="1"/>
  <c r="AF109" i="2"/>
  <c r="S109" i="2"/>
  <c r="AH109" i="2" s="1"/>
  <c r="R109" i="2"/>
  <c r="AG109" i="2" s="1"/>
  <c r="AF133" i="2"/>
  <c r="S133" i="2"/>
  <c r="AH133" i="2" s="1"/>
  <c r="R133" i="2"/>
  <c r="AG133" i="2" s="1"/>
  <c r="AF157" i="2"/>
  <c r="S157" i="2"/>
  <c r="AH157" i="2" s="1"/>
  <c r="R157" i="2"/>
  <c r="AG157" i="2" s="1"/>
  <c r="AF181" i="2"/>
  <c r="R181" i="2"/>
  <c r="AG181" i="2" s="1"/>
  <c r="S181" i="2"/>
  <c r="AH181" i="2" s="1"/>
  <c r="AF205" i="2"/>
  <c r="S205" i="2"/>
  <c r="AH205" i="2" s="1"/>
  <c r="R205" i="2"/>
  <c r="AG205" i="2" s="1"/>
  <c r="AF229" i="2"/>
  <c r="S229" i="2"/>
  <c r="AH229" i="2" s="1"/>
  <c r="R229" i="2"/>
  <c r="AG229" i="2" s="1"/>
  <c r="AF74" i="2"/>
  <c r="S74" i="2"/>
  <c r="AH74" i="2" s="1"/>
  <c r="R74" i="2"/>
  <c r="AG74" i="2" s="1"/>
  <c r="AF98" i="2"/>
  <c r="R98" i="2"/>
  <c r="AG98" i="2" s="1"/>
  <c r="S98" i="2"/>
  <c r="AH98" i="2" s="1"/>
  <c r="AF134" i="2"/>
  <c r="S134" i="2"/>
  <c r="AH134" i="2" s="1"/>
  <c r="R134" i="2"/>
  <c r="AG134" i="2" s="1"/>
  <c r="AF158" i="2"/>
  <c r="R158" i="2"/>
  <c r="AG158" i="2" s="1"/>
  <c r="S158" i="2"/>
  <c r="AH158" i="2" s="1"/>
  <c r="AF170" i="2"/>
  <c r="R170" i="2"/>
  <c r="AG170" i="2" s="1"/>
  <c r="S170" i="2"/>
  <c r="AH170" i="2" s="1"/>
  <c r="AF194" i="2"/>
  <c r="S194" i="2"/>
  <c r="AH194" i="2" s="1"/>
  <c r="R194" i="2"/>
  <c r="AG194" i="2" s="1"/>
  <c r="AF218" i="2"/>
  <c r="R218" i="2"/>
  <c r="AG218" i="2" s="1"/>
  <c r="S218" i="2"/>
  <c r="AH218" i="2" s="1"/>
  <c r="AF87" i="2"/>
  <c r="R87" i="2"/>
  <c r="AG87" i="2" s="1"/>
  <c r="S87" i="2"/>
  <c r="AH87" i="2" s="1"/>
  <c r="AF111" i="2"/>
  <c r="R111" i="2"/>
  <c r="AG111" i="2" s="1"/>
  <c r="S111" i="2"/>
  <c r="AH111" i="2" s="1"/>
  <c r="AF135" i="2"/>
  <c r="R135" i="2"/>
  <c r="AG135" i="2" s="1"/>
  <c r="S135" i="2"/>
  <c r="AH135" i="2" s="1"/>
  <c r="AF159" i="2"/>
  <c r="S159" i="2"/>
  <c r="AH159" i="2" s="1"/>
  <c r="R159" i="2"/>
  <c r="AG159" i="2" s="1"/>
  <c r="AF171" i="2"/>
  <c r="R171" i="2"/>
  <c r="AG171" i="2" s="1"/>
  <c r="S171" i="2"/>
  <c r="AH171" i="2" s="1"/>
  <c r="AF195" i="2"/>
  <c r="S195" i="2"/>
  <c r="AH195" i="2" s="1"/>
  <c r="R195" i="2"/>
  <c r="AG195" i="2" s="1"/>
  <c r="AF219" i="2"/>
  <c r="R219" i="2"/>
  <c r="AG219" i="2" s="1"/>
  <c r="S219" i="2"/>
  <c r="AH219" i="2" s="1"/>
  <c r="AF100" i="2"/>
  <c r="R100" i="2"/>
  <c r="AG100" i="2" s="1"/>
  <c r="S100" i="2"/>
  <c r="AH100" i="2" s="1"/>
  <c r="AF124" i="2"/>
  <c r="S124" i="2"/>
  <c r="AH124" i="2" s="1"/>
  <c r="R124" i="2"/>
  <c r="AG124" i="2" s="1"/>
  <c r="AF148" i="2"/>
  <c r="R148" i="2"/>
  <c r="AG148" i="2" s="1"/>
  <c r="S148" i="2"/>
  <c r="AH148" i="2" s="1"/>
  <c r="AF172" i="2"/>
  <c r="S172" i="2"/>
  <c r="AH172" i="2" s="1"/>
  <c r="R172" i="2"/>
  <c r="AG172" i="2" s="1"/>
  <c r="AF184" i="2"/>
  <c r="S184" i="2"/>
  <c r="AH184" i="2" s="1"/>
  <c r="R184" i="2"/>
  <c r="AG184" i="2" s="1"/>
  <c r="AF220" i="2"/>
  <c r="S220" i="2"/>
  <c r="AH220" i="2" s="1"/>
  <c r="R220" i="2"/>
  <c r="AG220" i="2" s="1"/>
  <c r="AF77" i="2"/>
  <c r="R77" i="2"/>
  <c r="AG77" i="2" s="1"/>
  <c r="S77" i="2"/>
  <c r="AH77" i="2" s="1"/>
  <c r="AF101" i="2"/>
  <c r="R101" i="2"/>
  <c r="AG101" i="2" s="1"/>
  <c r="S101" i="2"/>
  <c r="AH101" i="2" s="1"/>
  <c r="AF125" i="2"/>
  <c r="R125" i="2"/>
  <c r="AG125" i="2" s="1"/>
  <c r="S125" i="2"/>
  <c r="AH125" i="2" s="1"/>
  <c r="AF137" i="2"/>
  <c r="S137" i="2"/>
  <c r="AH137" i="2" s="1"/>
  <c r="R137" i="2"/>
  <c r="AG137" i="2" s="1"/>
  <c r="AF161" i="2"/>
  <c r="S161" i="2"/>
  <c r="AH161" i="2" s="1"/>
  <c r="R161" i="2"/>
  <c r="AG161" i="2" s="1"/>
  <c r="AF185" i="2"/>
  <c r="R185" i="2"/>
  <c r="AG185" i="2" s="1"/>
  <c r="S185" i="2"/>
  <c r="AH185" i="2" s="1"/>
  <c r="AF197" i="2"/>
  <c r="R197" i="2"/>
  <c r="AG197" i="2" s="1"/>
  <c r="S197" i="2"/>
  <c r="AH197" i="2" s="1"/>
  <c r="AF221" i="2"/>
  <c r="S221" i="2"/>
  <c r="AH221" i="2" s="1"/>
  <c r="R221" i="2"/>
  <c r="AG221" i="2" s="1"/>
  <c r="AF90" i="2"/>
  <c r="R90" i="2"/>
  <c r="AG90" i="2" s="1"/>
  <c r="S90" i="2"/>
  <c r="AH90" i="2" s="1"/>
  <c r="AF114" i="2"/>
  <c r="S114" i="2"/>
  <c r="AH114" i="2" s="1"/>
  <c r="R114" i="2"/>
  <c r="AG114" i="2" s="1"/>
  <c r="AF138" i="2"/>
  <c r="S138" i="2"/>
  <c r="AH138" i="2" s="1"/>
  <c r="R138" i="2"/>
  <c r="AG138" i="2" s="1"/>
  <c r="AF162" i="2"/>
  <c r="S162" i="2"/>
  <c r="AH162" i="2" s="1"/>
  <c r="R162" i="2"/>
  <c r="AG162" i="2" s="1"/>
  <c r="AF186" i="2"/>
  <c r="R186" i="2"/>
  <c r="AG186" i="2" s="1"/>
  <c r="S186" i="2"/>
  <c r="AH186" i="2" s="1"/>
  <c r="AF222" i="2"/>
  <c r="R222" i="2"/>
  <c r="AG222" i="2" s="1"/>
  <c r="S222" i="2"/>
  <c r="AH222" i="2" s="1"/>
  <c r="AF79" i="2"/>
  <c r="S79" i="2"/>
  <c r="AH79" i="2" s="1"/>
  <c r="R79" i="2"/>
  <c r="AG79" i="2" s="1"/>
  <c r="AF91" i="2"/>
  <c r="S91" i="2"/>
  <c r="AH91" i="2" s="1"/>
  <c r="R91" i="2"/>
  <c r="AG91" i="2" s="1"/>
  <c r="AF103" i="2"/>
  <c r="R103" i="2"/>
  <c r="AG103" i="2" s="1"/>
  <c r="S103" i="2"/>
  <c r="AH103" i="2" s="1"/>
  <c r="AF115" i="2"/>
  <c r="R115" i="2"/>
  <c r="AG115" i="2" s="1"/>
  <c r="S115" i="2"/>
  <c r="AH115" i="2" s="1"/>
  <c r="AF127" i="2"/>
  <c r="R127" i="2"/>
  <c r="AG127" i="2" s="1"/>
  <c r="S127" i="2"/>
  <c r="AH127" i="2" s="1"/>
  <c r="AF139" i="2"/>
  <c r="R139" i="2"/>
  <c r="AG139" i="2" s="1"/>
  <c r="S139" i="2"/>
  <c r="AH139" i="2" s="1"/>
  <c r="AF151" i="2"/>
  <c r="S151" i="2"/>
  <c r="AH151" i="2" s="1"/>
  <c r="R151" i="2"/>
  <c r="AG151" i="2" s="1"/>
  <c r="AF163" i="2"/>
  <c r="S163" i="2"/>
  <c r="AH163" i="2" s="1"/>
  <c r="R163" i="2"/>
  <c r="AG163" i="2" s="1"/>
  <c r="AF175" i="2"/>
  <c r="R175" i="2"/>
  <c r="AG175" i="2" s="1"/>
  <c r="S175" i="2"/>
  <c r="AH175" i="2" s="1"/>
  <c r="AF187" i="2"/>
  <c r="R187" i="2"/>
  <c r="AG187" i="2" s="1"/>
  <c r="S187" i="2"/>
  <c r="AH187" i="2" s="1"/>
  <c r="AF199" i="2"/>
  <c r="R199" i="2"/>
  <c r="AG199" i="2" s="1"/>
  <c r="S199" i="2"/>
  <c r="AH199" i="2" s="1"/>
  <c r="AF211" i="2"/>
  <c r="S211" i="2"/>
  <c r="AH211" i="2" s="1"/>
  <c r="R211" i="2"/>
  <c r="AG211" i="2" s="1"/>
  <c r="AF223" i="2"/>
  <c r="S223" i="2"/>
  <c r="AH223" i="2" s="1"/>
  <c r="R223" i="2"/>
  <c r="AG223" i="2" s="1"/>
  <c r="AF81" i="2"/>
  <c r="S81" i="2"/>
  <c r="AH81" i="2" s="1"/>
  <c r="R81" i="2"/>
  <c r="AG81" i="2" s="1"/>
  <c r="AF105" i="2"/>
  <c r="R105" i="2"/>
  <c r="AG105" i="2" s="1"/>
  <c r="S105" i="2"/>
  <c r="AH105" i="2" s="1"/>
  <c r="AF129" i="2"/>
  <c r="S129" i="2"/>
  <c r="AH129" i="2" s="1"/>
  <c r="R129" i="2"/>
  <c r="AG129" i="2" s="1"/>
  <c r="AF153" i="2"/>
  <c r="R153" i="2"/>
  <c r="AG153" i="2" s="1"/>
  <c r="S153" i="2"/>
  <c r="AH153" i="2" s="1"/>
  <c r="AF177" i="2"/>
  <c r="R177" i="2"/>
  <c r="AG177" i="2" s="1"/>
  <c r="S177" i="2"/>
  <c r="AH177" i="2" s="1"/>
  <c r="AF201" i="2"/>
  <c r="S201" i="2"/>
  <c r="AH201" i="2" s="1"/>
  <c r="R201" i="2"/>
  <c r="AG201" i="2" s="1"/>
  <c r="AF225" i="2"/>
  <c r="S225" i="2"/>
  <c r="AH225" i="2" s="1"/>
  <c r="R225" i="2"/>
  <c r="AG225" i="2" s="1"/>
  <c r="AF82" i="2"/>
  <c r="R82" i="2"/>
  <c r="AG82" i="2" s="1"/>
  <c r="S82" i="2"/>
  <c r="AH82" i="2" s="1"/>
  <c r="AF106" i="2"/>
  <c r="S106" i="2"/>
  <c r="AH106" i="2" s="1"/>
  <c r="R106" i="2"/>
  <c r="AG106" i="2" s="1"/>
  <c r="AF130" i="2"/>
  <c r="R130" i="2"/>
  <c r="AG130" i="2" s="1"/>
  <c r="S130" i="2"/>
  <c r="AH130" i="2" s="1"/>
  <c r="AF154" i="2"/>
  <c r="R154" i="2"/>
  <c r="AG154" i="2" s="1"/>
  <c r="S154" i="2"/>
  <c r="AH154" i="2" s="1"/>
  <c r="AF178" i="2"/>
  <c r="R178" i="2"/>
  <c r="AG178" i="2" s="1"/>
  <c r="S178" i="2"/>
  <c r="AH178" i="2" s="1"/>
  <c r="AF202" i="2"/>
  <c r="S202" i="2"/>
  <c r="AH202" i="2" s="1"/>
  <c r="R202" i="2"/>
  <c r="AG202" i="2" s="1"/>
  <c r="AF214" i="2"/>
  <c r="S214" i="2"/>
  <c r="AH214" i="2" s="1"/>
  <c r="R214" i="2"/>
  <c r="AG214" i="2" s="1"/>
  <c r="AF71" i="2"/>
  <c r="S71" i="2"/>
  <c r="AH71" i="2" s="1"/>
  <c r="R71" i="2"/>
  <c r="AG71" i="2" s="1"/>
  <c r="AF95" i="2"/>
  <c r="R95" i="2"/>
  <c r="AG95" i="2" s="1"/>
  <c r="S95" i="2"/>
  <c r="AH95" i="2" s="1"/>
  <c r="AF119" i="2"/>
  <c r="S119" i="2"/>
  <c r="AH119" i="2" s="1"/>
  <c r="R119" i="2"/>
  <c r="AG119" i="2" s="1"/>
  <c r="AF143" i="2"/>
  <c r="S143" i="2"/>
  <c r="AH143" i="2" s="1"/>
  <c r="R143" i="2"/>
  <c r="AG143" i="2" s="1"/>
  <c r="AF167" i="2"/>
  <c r="S167" i="2"/>
  <c r="AH167" i="2" s="1"/>
  <c r="R167" i="2"/>
  <c r="AG167" i="2" s="1"/>
  <c r="AF191" i="2"/>
  <c r="R191" i="2"/>
  <c r="AG191" i="2" s="1"/>
  <c r="S191" i="2"/>
  <c r="AH191" i="2" s="1"/>
  <c r="AF227" i="2"/>
  <c r="R227" i="2"/>
  <c r="AG227" i="2" s="1"/>
  <c r="S227" i="2"/>
  <c r="AH227" i="2" s="1"/>
  <c r="AF72" i="2"/>
  <c r="R72" i="2"/>
  <c r="AG72" i="2" s="1"/>
  <c r="S72" i="2"/>
  <c r="AH72" i="2" s="1"/>
  <c r="AF96" i="2"/>
  <c r="S96" i="2"/>
  <c r="AH96" i="2" s="1"/>
  <c r="R96" i="2"/>
  <c r="AG96" i="2" s="1"/>
  <c r="AF120" i="2"/>
  <c r="S120" i="2"/>
  <c r="AH120" i="2" s="1"/>
  <c r="R120" i="2"/>
  <c r="AG120" i="2" s="1"/>
  <c r="AF144" i="2"/>
  <c r="R144" i="2"/>
  <c r="AG144" i="2" s="1"/>
  <c r="S144" i="2"/>
  <c r="AH144" i="2" s="1"/>
  <c r="AF180" i="2"/>
  <c r="S180" i="2"/>
  <c r="AH180" i="2" s="1"/>
  <c r="R180" i="2"/>
  <c r="AG180" i="2" s="1"/>
  <c r="AF192" i="2"/>
  <c r="R192" i="2"/>
  <c r="AG192" i="2" s="1"/>
  <c r="S192" i="2"/>
  <c r="AH192" i="2" s="1"/>
  <c r="AF216" i="2"/>
  <c r="R216" i="2"/>
  <c r="AG216" i="2" s="1"/>
  <c r="S216" i="2"/>
  <c r="AH216" i="2" s="1"/>
  <c r="AF73" i="2"/>
  <c r="S73" i="2"/>
  <c r="AH73" i="2" s="1"/>
  <c r="R73" i="2"/>
  <c r="AG73" i="2" s="1"/>
  <c r="AF97" i="2"/>
  <c r="R97" i="2"/>
  <c r="AG97" i="2" s="1"/>
  <c r="S97" i="2"/>
  <c r="AH97" i="2" s="1"/>
  <c r="AF121" i="2"/>
  <c r="S121" i="2"/>
  <c r="AH121" i="2" s="1"/>
  <c r="R121" i="2"/>
  <c r="AG121" i="2" s="1"/>
  <c r="AF145" i="2"/>
  <c r="S145" i="2"/>
  <c r="AH145" i="2" s="1"/>
  <c r="R145" i="2"/>
  <c r="AG145" i="2" s="1"/>
  <c r="AF169" i="2"/>
  <c r="R169" i="2"/>
  <c r="AG169" i="2" s="1"/>
  <c r="S169" i="2"/>
  <c r="AH169" i="2" s="1"/>
  <c r="AF193" i="2"/>
  <c r="S193" i="2"/>
  <c r="AH193" i="2" s="1"/>
  <c r="R193" i="2"/>
  <c r="AG193" i="2" s="1"/>
  <c r="AF217" i="2"/>
  <c r="S217" i="2"/>
  <c r="AH217" i="2" s="1"/>
  <c r="R217" i="2"/>
  <c r="AG217" i="2" s="1"/>
  <c r="AF86" i="2"/>
  <c r="R86" i="2"/>
  <c r="AG86" i="2" s="1"/>
  <c r="S86" i="2"/>
  <c r="AH86" i="2" s="1"/>
  <c r="AF110" i="2"/>
  <c r="S110" i="2"/>
  <c r="AH110" i="2" s="1"/>
  <c r="R110" i="2"/>
  <c r="AG110" i="2" s="1"/>
  <c r="AF122" i="2"/>
  <c r="R122" i="2"/>
  <c r="AG122" i="2" s="1"/>
  <c r="S122" i="2"/>
  <c r="AH122" i="2" s="1"/>
  <c r="AF146" i="2"/>
  <c r="R146" i="2"/>
  <c r="AG146" i="2" s="1"/>
  <c r="S146" i="2"/>
  <c r="AH146" i="2" s="1"/>
  <c r="AF182" i="2"/>
  <c r="S182" i="2"/>
  <c r="AH182" i="2" s="1"/>
  <c r="R182" i="2"/>
  <c r="AG182" i="2" s="1"/>
  <c r="AF206" i="2"/>
  <c r="S206" i="2"/>
  <c r="AH206" i="2" s="1"/>
  <c r="R206" i="2"/>
  <c r="AG206" i="2" s="1"/>
  <c r="AF75" i="2"/>
  <c r="R75" i="2"/>
  <c r="AG75" i="2" s="1"/>
  <c r="S75" i="2"/>
  <c r="AH75" i="2" s="1"/>
  <c r="AF99" i="2"/>
  <c r="S99" i="2"/>
  <c r="AH99" i="2" s="1"/>
  <c r="R99" i="2"/>
  <c r="AG99" i="2" s="1"/>
  <c r="AF123" i="2"/>
  <c r="R123" i="2"/>
  <c r="AG123" i="2" s="1"/>
  <c r="S123" i="2"/>
  <c r="AH123" i="2" s="1"/>
  <c r="AF147" i="2"/>
  <c r="R147" i="2"/>
  <c r="AG147" i="2" s="1"/>
  <c r="S147" i="2"/>
  <c r="AH147" i="2" s="1"/>
  <c r="AF183" i="2"/>
  <c r="R183" i="2"/>
  <c r="AG183" i="2" s="1"/>
  <c r="S183" i="2"/>
  <c r="AH183" i="2" s="1"/>
  <c r="AF207" i="2"/>
  <c r="S207" i="2"/>
  <c r="AH207" i="2" s="1"/>
  <c r="R207" i="2"/>
  <c r="AG207" i="2" s="1"/>
  <c r="AF76" i="2"/>
  <c r="R76" i="2"/>
  <c r="AG76" i="2" s="1"/>
  <c r="S76" i="2"/>
  <c r="AH76" i="2" s="1"/>
  <c r="AF88" i="2"/>
  <c r="R88" i="2"/>
  <c r="AG88" i="2" s="1"/>
  <c r="S88" i="2"/>
  <c r="AH88" i="2" s="1"/>
  <c r="AF112" i="2"/>
  <c r="S112" i="2"/>
  <c r="AH112" i="2" s="1"/>
  <c r="R112" i="2"/>
  <c r="AG112" i="2" s="1"/>
  <c r="AF136" i="2"/>
  <c r="S136" i="2"/>
  <c r="AH136" i="2" s="1"/>
  <c r="R136" i="2"/>
  <c r="AG136" i="2" s="1"/>
  <c r="AF160" i="2"/>
  <c r="S160" i="2"/>
  <c r="AH160" i="2" s="1"/>
  <c r="R160" i="2"/>
  <c r="AG160" i="2" s="1"/>
  <c r="AF196" i="2"/>
  <c r="S196" i="2"/>
  <c r="AH196" i="2" s="1"/>
  <c r="R196" i="2"/>
  <c r="AG196" i="2" s="1"/>
  <c r="AF208" i="2"/>
  <c r="S208" i="2"/>
  <c r="AH208" i="2" s="1"/>
  <c r="R208" i="2"/>
  <c r="AG208" i="2" s="1"/>
  <c r="AF89" i="2"/>
  <c r="S89" i="2"/>
  <c r="AH89" i="2" s="1"/>
  <c r="R89" i="2"/>
  <c r="AG89" i="2" s="1"/>
  <c r="AF113" i="2"/>
  <c r="S113" i="2"/>
  <c r="AH113" i="2" s="1"/>
  <c r="R113" i="2"/>
  <c r="AG113" i="2" s="1"/>
  <c r="AF149" i="2"/>
  <c r="S149" i="2"/>
  <c r="AH149" i="2" s="1"/>
  <c r="R149" i="2"/>
  <c r="AG149" i="2" s="1"/>
  <c r="AF173" i="2"/>
  <c r="S173" i="2"/>
  <c r="AH173" i="2" s="1"/>
  <c r="R173" i="2"/>
  <c r="AG173" i="2" s="1"/>
  <c r="AF209" i="2"/>
  <c r="S209" i="2"/>
  <c r="AH209" i="2" s="1"/>
  <c r="R209" i="2"/>
  <c r="AG209" i="2" s="1"/>
  <c r="AF78" i="2"/>
  <c r="R78" i="2"/>
  <c r="AG78" i="2" s="1"/>
  <c r="S78" i="2"/>
  <c r="AH78" i="2" s="1"/>
  <c r="AF102" i="2"/>
  <c r="S102" i="2"/>
  <c r="AH102" i="2" s="1"/>
  <c r="R102" i="2"/>
  <c r="AG102" i="2" s="1"/>
  <c r="AF126" i="2"/>
  <c r="S126" i="2"/>
  <c r="AH126" i="2" s="1"/>
  <c r="R126" i="2"/>
  <c r="AG126" i="2" s="1"/>
  <c r="AF150" i="2"/>
  <c r="R150" i="2"/>
  <c r="AG150" i="2" s="1"/>
  <c r="S150" i="2"/>
  <c r="AH150" i="2" s="1"/>
  <c r="AF174" i="2"/>
  <c r="R174" i="2"/>
  <c r="AG174" i="2" s="1"/>
  <c r="S174" i="2"/>
  <c r="AH174" i="2" s="1"/>
  <c r="AF198" i="2"/>
  <c r="R198" i="2"/>
  <c r="AG198" i="2" s="1"/>
  <c r="S198" i="2"/>
  <c r="AH198" i="2" s="1"/>
  <c r="AF210" i="2"/>
  <c r="R210" i="2"/>
  <c r="AG210" i="2" s="1"/>
  <c r="S210" i="2"/>
  <c r="AH210" i="2" s="1"/>
  <c r="AF80" i="2"/>
  <c r="S80" i="2"/>
  <c r="AH80" i="2" s="1"/>
  <c r="R80" i="2"/>
  <c r="AG80" i="2" s="1"/>
  <c r="AF92" i="2"/>
  <c r="S92" i="2"/>
  <c r="AH92" i="2" s="1"/>
  <c r="R92" i="2"/>
  <c r="AG92" i="2" s="1"/>
  <c r="AF104" i="2"/>
  <c r="S104" i="2"/>
  <c r="AH104" i="2" s="1"/>
  <c r="R104" i="2"/>
  <c r="AG104" i="2" s="1"/>
  <c r="AF116" i="2"/>
  <c r="R116" i="2"/>
  <c r="AG116" i="2" s="1"/>
  <c r="S116" i="2"/>
  <c r="AH116" i="2" s="1"/>
  <c r="AF128" i="2"/>
  <c r="S128" i="2"/>
  <c r="AH128" i="2" s="1"/>
  <c r="R128" i="2"/>
  <c r="AG128" i="2" s="1"/>
  <c r="AF140" i="2"/>
  <c r="R140" i="2"/>
  <c r="AG140" i="2" s="1"/>
  <c r="S140" i="2"/>
  <c r="AH140" i="2" s="1"/>
  <c r="AF152" i="2"/>
  <c r="S152" i="2"/>
  <c r="AH152" i="2" s="1"/>
  <c r="R152" i="2"/>
  <c r="AG152" i="2" s="1"/>
  <c r="AF164" i="2"/>
  <c r="R164" i="2"/>
  <c r="AG164" i="2" s="1"/>
  <c r="S164" i="2"/>
  <c r="AH164" i="2" s="1"/>
  <c r="AF176" i="2"/>
  <c r="R176" i="2"/>
  <c r="AG176" i="2" s="1"/>
  <c r="S176" i="2"/>
  <c r="AH176" i="2" s="1"/>
  <c r="AF188" i="2"/>
  <c r="S188" i="2"/>
  <c r="AH188" i="2" s="1"/>
  <c r="R188" i="2"/>
  <c r="AG188" i="2" s="1"/>
  <c r="AF200" i="2"/>
  <c r="R200" i="2"/>
  <c r="AG200" i="2" s="1"/>
  <c r="S200" i="2"/>
  <c r="AH200" i="2" s="1"/>
  <c r="AF212" i="2"/>
  <c r="S212" i="2"/>
  <c r="AH212" i="2" s="1"/>
  <c r="R212" i="2"/>
  <c r="AG212" i="2" s="1"/>
  <c r="AF224" i="2"/>
  <c r="R224" i="2"/>
  <c r="AG224" i="2" s="1"/>
  <c r="S224" i="2"/>
  <c r="AH224" i="2" s="1"/>
  <c r="Q15" i="2"/>
  <c r="S46" i="2"/>
  <c r="AH46" i="2" s="1"/>
  <c r="R46" i="2"/>
  <c r="AG46" i="2" s="1"/>
  <c r="R35" i="2"/>
  <c r="AG35" i="2" s="1"/>
  <c r="S35" i="2"/>
  <c r="AH35" i="2" s="1"/>
  <c r="S59" i="2"/>
  <c r="AH59" i="2" s="1"/>
  <c r="R59" i="2"/>
  <c r="AG59" i="2" s="1"/>
  <c r="S61" i="2"/>
  <c r="AH61" i="2" s="1"/>
  <c r="R61" i="2"/>
  <c r="AG61" i="2" s="1"/>
  <c r="R50" i="2"/>
  <c r="AG50" i="2" s="1"/>
  <c r="S50" i="2"/>
  <c r="AH50" i="2" s="1"/>
  <c r="R39" i="2"/>
  <c r="AG39" i="2" s="1"/>
  <c r="S39" i="2"/>
  <c r="AH39" i="2" s="1"/>
  <c r="S63" i="2"/>
  <c r="AH63" i="2" s="1"/>
  <c r="R63" i="2"/>
  <c r="AG63" i="2" s="1"/>
  <c r="R40" i="2"/>
  <c r="AG40" i="2" s="1"/>
  <c r="S40" i="2"/>
  <c r="AH40" i="2" s="1"/>
  <c r="S53" i="2"/>
  <c r="AH53" i="2" s="1"/>
  <c r="R53" i="2"/>
  <c r="AG53" i="2" s="1"/>
  <c r="R65" i="2"/>
  <c r="AG65" i="2" s="1"/>
  <c r="S65" i="2"/>
  <c r="AH65" i="2" s="1"/>
  <c r="S54" i="2"/>
  <c r="AH54" i="2" s="1"/>
  <c r="R54" i="2"/>
  <c r="AG54" i="2" s="1"/>
  <c r="S67" i="2"/>
  <c r="AH67" i="2" s="1"/>
  <c r="R67" i="2"/>
  <c r="AG67" i="2" s="1"/>
  <c r="R47" i="2"/>
  <c r="AG47" i="2" s="1"/>
  <c r="S47" i="2"/>
  <c r="AH47" i="2" s="1"/>
  <c r="S48" i="2"/>
  <c r="AH48" i="2" s="1"/>
  <c r="R48" i="2"/>
  <c r="AG48" i="2" s="1"/>
  <c r="S37" i="2"/>
  <c r="AH37" i="2" s="1"/>
  <c r="R37" i="2"/>
  <c r="AG37" i="2" s="1"/>
  <c r="S49" i="2"/>
  <c r="AH49" i="2" s="1"/>
  <c r="R49" i="2"/>
  <c r="AG49" i="2" s="1"/>
  <c r="R38" i="2"/>
  <c r="AG38" i="2" s="1"/>
  <c r="S38" i="2"/>
  <c r="AH38" i="2" s="1"/>
  <c r="S51" i="2"/>
  <c r="AH51" i="2" s="1"/>
  <c r="R51" i="2"/>
  <c r="AG51" i="2" s="1"/>
  <c r="S52" i="2"/>
  <c r="AH52" i="2" s="1"/>
  <c r="R52" i="2"/>
  <c r="AG52" i="2" s="1"/>
  <c r="S41" i="2"/>
  <c r="AH41" i="2" s="1"/>
  <c r="R41" i="2"/>
  <c r="AG41" i="2" s="1"/>
  <c r="S42" i="2"/>
  <c r="AH42" i="2" s="1"/>
  <c r="R42" i="2"/>
  <c r="AG42" i="2" s="1"/>
  <c r="S66" i="2"/>
  <c r="AH66" i="2" s="1"/>
  <c r="R66" i="2"/>
  <c r="AG66" i="2" s="1"/>
  <c r="S43" i="2"/>
  <c r="AH43" i="2" s="1"/>
  <c r="R43" i="2"/>
  <c r="AG43" i="2" s="1"/>
  <c r="S55" i="2"/>
  <c r="AH55" i="2" s="1"/>
  <c r="R55" i="2"/>
  <c r="AG55" i="2" s="1"/>
  <c r="R32" i="2"/>
  <c r="AG32" i="2" s="1"/>
  <c r="S32" i="2"/>
  <c r="AH32" i="2" s="1"/>
  <c r="R44" i="2"/>
  <c r="AG44" i="2" s="1"/>
  <c r="S44" i="2"/>
  <c r="AH44" i="2" s="1"/>
  <c r="R56" i="2"/>
  <c r="AG56" i="2" s="1"/>
  <c r="S56" i="2"/>
  <c r="AH56" i="2" s="1"/>
  <c r="R68" i="2"/>
  <c r="AG68" i="2" s="1"/>
  <c r="S68" i="2"/>
  <c r="AH68" i="2" s="1"/>
  <c r="S34" i="2"/>
  <c r="AH34" i="2" s="1"/>
  <c r="R34" i="2"/>
  <c r="AG34" i="2" s="1"/>
  <c r="S58" i="2"/>
  <c r="AH58" i="2" s="1"/>
  <c r="R58" i="2"/>
  <c r="AG58" i="2" s="1"/>
  <c r="S36" i="2"/>
  <c r="AH36" i="2" s="1"/>
  <c r="R36" i="2"/>
  <c r="AG36" i="2" s="1"/>
  <c r="S60" i="2"/>
  <c r="AH60" i="2" s="1"/>
  <c r="R60" i="2"/>
  <c r="AG60" i="2" s="1"/>
  <c r="R62" i="2"/>
  <c r="AG62" i="2" s="1"/>
  <c r="S62" i="2"/>
  <c r="AH62" i="2" s="1"/>
  <c r="S64" i="2"/>
  <c r="AH64" i="2" s="1"/>
  <c r="R64" i="2"/>
  <c r="AG64" i="2" s="1"/>
  <c r="S33" i="2"/>
  <c r="AH33" i="2" s="1"/>
  <c r="R33" i="2"/>
  <c r="AG33" i="2" s="1"/>
  <c r="S45" i="2"/>
  <c r="AH45" i="2" s="1"/>
  <c r="R45" i="2"/>
  <c r="AG45" i="2" s="1"/>
  <c r="S57" i="2"/>
  <c r="AH57" i="2" s="1"/>
  <c r="R57" i="2"/>
  <c r="AG57" i="2" s="1"/>
  <c r="X18" i="2"/>
  <c r="BA18" i="2"/>
  <c r="BA16" i="2"/>
  <c r="X15" i="2"/>
  <c r="BA15" i="2"/>
  <c r="X11" i="2"/>
  <c r="BA11" i="2"/>
  <c r="X12" i="2"/>
  <c r="BA12" i="2"/>
  <c r="BA21" i="2"/>
  <c r="BA23" i="2"/>
  <c r="X20" i="2"/>
  <c r="BA20" i="2"/>
  <c r="X10" i="2"/>
  <c r="BA10" i="2"/>
  <c r="X13" i="2"/>
  <c r="BA13" i="2"/>
  <c r="P16" i="2"/>
  <c r="Q13" i="2"/>
  <c r="Q8" i="2"/>
  <c r="Q14" i="2"/>
  <c r="P10" i="2"/>
  <c r="Q23" i="2"/>
  <c r="P18" i="2"/>
  <c r="Q19" i="2"/>
  <c r="Q20" i="2"/>
  <c r="P13" i="2"/>
  <c r="P14" i="2"/>
  <c r="Q9" i="2"/>
  <c r="P19" i="2"/>
  <c r="Q10" i="2"/>
  <c r="Q12" i="2"/>
  <c r="P5" i="2"/>
  <c r="Q7" i="2"/>
  <c r="Q21" i="2"/>
  <c r="Q22" i="2"/>
  <c r="P23" i="2"/>
  <c r="P4" i="2"/>
  <c r="P20" i="2"/>
  <c r="Q4" i="2"/>
  <c r="P6" i="2"/>
  <c r="P21" i="2"/>
  <c r="Q16" i="2"/>
  <c r="P7" i="2"/>
  <c r="P22" i="2"/>
  <c r="Q5" i="2"/>
  <c r="P8" i="2"/>
  <c r="P11" i="2"/>
  <c r="Q17" i="2"/>
  <c r="P9" i="2"/>
  <c r="P15" i="2"/>
  <c r="Q11" i="2"/>
  <c r="P12" i="2"/>
  <c r="M4" i="2"/>
  <c r="N4" i="2"/>
  <c r="H24" i="2"/>
  <c r="G24" i="2"/>
  <c r="E35" i="3" s="1"/>
  <c r="K24" i="2"/>
  <c r="N24" i="2" s="1"/>
  <c r="X14" i="2"/>
  <c r="X16" i="2"/>
  <c r="X19" i="2"/>
  <c r="I44" i="2"/>
  <c r="K92" i="2"/>
  <c r="I140" i="2"/>
  <c r="G164" i="2"/>
  <c r="G200" i="2"/>
  <c r="G36" i="2"/>
  <c r="X17" i="2"/>
  <c r="X23" i="2"/>
  <c r="J80" i="2"/>
  <c r="L128" i="2"/>
  <c r="L188" i="2"/>
  <c r="L33" i="2"/>
  <c r="K34" i="2"/>
  <c r="I35" i="2"/>
  <c r="J37" i="2"/>
  <c r="X21" i="2"/>
  <c r="J141" i="2"/>
  <c r="I165" i="2"/>
  <c r="J189" i="2"/>
  <c r="G46" i="2"/>
  <c r="K106" i="2"/>
  <c r="J178" i="2"/>
  <c r="I59" i="2"/>
  <c r="J107" i="2"/>
  <c r="J167" i="2"/>
  <c r="G215" i="2"/>
  <c r="L60" i="2"/>
  <c r="L108" i="2"/>
  <c r="L156" i="2"/>
  <c r="L109" i="2"/>
  <c r="L145" i="2"/>
  <c r="K181" i="2"/>
  <c r="J229" i="2"/>
  <c r="L38" i="2"/>
  <c r="G98" i="2"/>
  <c r="G182" i="2"/>
  <c r="K63" i="2"/>
  <c r="K87" i="2"/>
  <c r="J183" i="2"/>
  <c r="G100" i="2"/>
  <c r="H160" i="2"/>
  <c r="K77" i="2"/>
  <c r="L89" i="2"/>
  <c r="I101" i="2"/>
  <c r="K113" i="2"/>
  <c r="I173" i="2"/>
  <c r="L185" i="2"/>
  <c r="I197" i="2"/>
  <c r="L221" i="2"/>
  <c r="I224" i="2"/>
  <c r="K117" i="2"/>
  <c r="H177" i="2"/>
  <c r="K58" i="2"/>
  <c r="K94" i="2"/>
  <c r="L130" i="2"/>
  <c r="K166" i="2"/>
  <c r="G190" i="2"/>
  <c r="L226" i="2"/>
  <c r="L95" i="2"/>
  <c r="I131" i="2"/>
  <c r="L155" i="2"/>
  <c r="K179" i="2"/>
  <c r="G203" i="2"/>
  <c r="J227" i="2"/>
  <c r="L48" i="2"/>
  <c r="G96" i="2"/>
  <c r="G132" i="2"/>
  <c r="J168" i="2"/>
  <c r="J192" i="2"/>
  <c r="L228" i="2"/>
  <c r="G49" i="2"/>
  <c r="J97" i="2"/>
  <c r="L121" i="2"/>
  <c r="H169" i="2"/>
  <c r="L193" i="2"/>
  <c r="J217" i="2"/>
  <c r="H62" i="2"/>
  <c r="G86" i="2"/>
  <c r="I110" i="2"/>
  <c r="K146" i="2"/>
  <c r="I158" i="2"/>
  <c r="H206" i="2"/>
  <c r="I218" i="2"/>
  <c r="H39" i="2"/>
  <c r="L75" i="2"/>
  <c r="L99" i="2"/>
  <c r="L135" i="2"/>
  <c r="I195" i="2"/>
  <c r="J40" i="2"/>
  <c r="L112" i="2"/>
  <c r="H184" i="2"/>
  <c r="J65" i="2"/>
  <c r="H90" i="2"/>
  <c r="L114" i="2"/>
  <c r="G162" i="2"/>
  <c r="L210" i="2"/>
  <c r="L222" i="2"/>
  <c r="H225" i="2"/>
  <c r="L70" i="2"/>
  <c r="L154" i="2"/>
  <c r="J202" i="2"/>
  <c r="J83" i="2"/>
  <c r="L143" i="2"/>
  <c r="L72" i="2"/>
  <c r="L120" i="2"/>
  <c r="K216" i="2"/>
  <c r="I73" i="2"/>
  <c r="L133" i="2"/>
  <c r="I205" i="2"/>
  <c r="J74" i="2"/>
  <c r="J134" i="2"/>
  <c r="K170" i="2"/>
  <c r="L51" i="2"/>
  <c r="L123" i="2"/>
  <c r="L171" i="2"/>
  <c r="G207" i="2"/>
  <c r="L124" i="2"/>
  <c r="L43" i="2"/>
  <c r="H55" i="2"/>
  <c r="I67" i="2"/>
  <c r="I79" i="2"/>
  <c r="I103" i="2"/>
  <c r="I127" i="2"/>
  <c r="J151" i="2"/>
  <c r="I163" i="2"/>
  <c r="K175" i="2"/>
  <c r="I187" i="2"/>
  <c r="L199" i="2"/>
  <c r="G211" i="2"/>
  <c r="K75" i="2"/>
  <c r="I77" i="2"/>
  <c r="J77" i="2"/>
  <c r="K114" i="2"/>
  <c r="I141" i="2"/>
  <c r="L206" i="2"/>
  <c r="I200" i="2"/>
  <c r="L224" i="2"/>
  <c r="G225" i="2"/>
  <c r="J127" i="2"/>
  <c r="J200" i="2"/>
  <c r="L117" i="2"/>
  <c r="J121" i="2"/>
  <c r="I128" i="2"/>
  <c r="K158" i="2"/>
  <c r="H100" i="2"/>
  <c r="L40" i="2"/>
  <c r="J113" i="2"/>
  <c r="H165" i="2"/>
  <c r="L98" i="2"/>
  <c r="L146" i="2"/>
  <c r="L229" i="2"/>
  <c r="L158" i="2"/>
  <c r="L181" i="2"/>
  <c r="L62" i="2"/>
  <c r="K192" i="2"/>
  <c r="G120" i="2"/>
  <c r="L63" i="2"/>
  <c r="N63" i="2" s="1"/>
  <c r="I98" i="2"/>
  <c r="H120" i="2"/>
  <c r="J140" i="2"/>
  <c r="G193" i="2"/>
  <c r="G178" i="2"/>
  <c r="K130" i="2"/>
  <c r="N130" i="2" s="1"/>
  <c r="I181" i="2"/>
  <c r="J181" i="2"/>
  <c r="L87" i="2"/>
  <c r="L58" i="2"/>
  <c r="L192" i="2"/>
  <c r="G34" i="2"/>
  <c r="I65" i="2"/>
  <c r="J98" i="2"/>
  <c r="I120" i="2"/>
  <c r="K140" i="2"/>
  <c r="G197" i="2"/>
  <c r="K226" i="2"/>
  <c r="I178" i="2"/>
  <c r="I49" i="2"/>
  <c r="L49" i="2"/>
  <c r="L94" i="2"/>
  <c r="I133" i="2"/>
  <c r="J166" i="2"/>
  <c r="H98" i="2"/>
  <c r="J133" i="2"/>
  <c r="J39" i="2"/>
  <c r="K70" i="2"/>
  <c r="K98" i="2"/>
  <c r="I121" i="2"/>
  <c r="L140" i="2"/>
  <c r="H197" i="2"/>
  <c r="H53" i="2"/>
  <c r="G53" i="2"/>
  <c r="L53" i="2"/>
  <c r="K53" i="2"/>
  <c r="J53" i="2"/>
  <c r="I53" i="2"/>
  <c r="L125" i="2"/>
  <c r="I125" i="2"/>
  <c r="L149" i="2"/>
  <c r="K149" i="2"/>
  <c r="J161" i="2"/>
  <c r="L161" i="2"/>
  <c r="K161" i="2"/>
  <c r="H161" i="2"/>
  <c r="G161" i="2"/>
  <c r="K209" i="2"/>
  <c r="H209" i="2"/>
  <c r="G209" i="2"/>
  <c r="J54" i="2"/>
  <c r="I54" i="2"/>
  <c r="H78" i="2"/>
  <c r="I78" i="2"/>
  <c r="L102" i="2"/>
  <c r="J102" i="2"/>
  <c r="I102" i="2"/>
  <c r="I126" i="2"/>
  <c r="H126" i="2"/>
  <c r="G126" i="2"/>
  <c r="L150" i="2"/>
  <c r="K150" i="2"/>
  <c r="H150" i="2"/>
  <c r="G150" i="2"/>
  <c r="H174" i="2"/>
  <c r="L174" i="2"/>
  <c r="I174" i="2"/>
  <c r="G174" i="2"/>
  <c r="H198" i="2"/>
  <c r="L198" i="2"/>
  <c r="K43" i="2"/>
  <c r="I43" i="2"/>
  <c r="L45" i="2"/>
  <c r="G45" i="2"/>
  <c r="J57" i="2"/>
  <c r="H57" i="2"/>
  <c r="K57" i="2"/>
  <c r="I69" i="2"/>
  <c r="L69" i="2"/>
  <c r="K69" i="2"/>
  <c r="J69" i="2"/>
  <c r="L81" i="2"/>
  <c r="K81" i="2"/>
  <c r="J81" i="2"/>
  <c r="I81" i="2"/>
  <c r="H41" i="2"/>
  <c r="G41" i="2"/>
  <c r="H137" i="2"/>
  <c r="L137" i="2"/>
  <c r="K137" i="2"/>
  <c r="J137" i="2"/>
  <c r="I137" i="2"/>
  <c r="L42" i="2"/>
  <c r="K42" i="2"/>
  <c r="L66" i="2"/>
  <c r="K66" i="2"/>
  <c r="J66" i="2"/>
  <c r="J90" i="2"/>
  <c r="L90" i="2"/>
  <c r="J138" i="2"/>
  <c r="I138" i="2"/>
  <c r="H138" i="2"/>
  <c r="G138" i="2"/>
  <c r="H186" i="2"/>
  <c r="I186" i="2"/>
  <c r="L186" i="2"/>
  <c r="K186" i="2"/>
  <c r="J186" i="2"/>
  <c r="G90" i="2"/>
  <c r="K102" i="2"/>
  <c r="J91" i="2"/>
  <c r="I91" i="2"/>
  <c r="J115" i="2"/>
  <c r="I115" i="2"/>
  <c r="J103" i="2"/>
  <c r="L44" i="2"/>
  <c r="K44" i="2"/>
  <c r="L56" i="2"/>
  <c r="K56" i="2"/>
  <c r="I56" i="2"/>
  <c r="J56" i="2"/>
  <c r="I68" i="2"/>
  <c r="L68" i="2"/>
  <c r="J104" i="2"/>
  <c r="I104" i="2"/>
  <c r="I116" i="2"/>
  <c r="K116" i="2"/>
  <c r="J116" i="2"/>
  <c r="L152" i="2"/>
  <c r="I152" i="2"/>
  <c r="G176" i="2"/>
  <c r="J176" i="2"/>
  <c r="I176" i="2"/>
  <c r="K212" i="2"/>
  <c r="I212" i="2"/>
  <c r="H33" i="2"/>
  <c r="K90" i="2"/>
  <c r="L105" i="2"/>
  <c r="K105" i="2"/>
  <c r="L129" i="2"/>
  <c r="I129" i="2"/>
  <c r="J213" i="2"/>
  <c r="I213" i="2"/>
  <c r="H213" i="2"/>
  <c r="G213" i="2"/>
  <c r="H189" i="2"/>
  <c r="H112" i="2"/>
  <c r="I189" i="2"/>
  <c r="I112" i="2"/>
  <c r="G177" i="2"/>
  <c r="J112" i="2"/>
  <c r="K153" i="2"/>
  <c r="J153" i="2"/>
  <c r="I153" i="2"/>
  <c r="G165" i="2"/>
  <c r="J165" i="2"/>
  <c r="J105" i="2"/>
  <c r="G189" i="2"/>
  <c r="G52" i="2"/>
  <c r="J52" i="2"/>
  <c r="L64" i="2"/>
  <c r="G64" i="2"/>
  <c r="L76" i="2"/>
  <c r="H76" i="2"/>
  <c r="G76" i="2"/>
  <c r="L88" i="2"/>
  <c r="H88" i="2"/>
  <c r="G88" i="2"/>
  <c r="L100" i="2"/>
  <c r="J100" i="2"/>
  <c r="G124" i="2"/>
  <c r="K124" i="2"/>
  <c r="J124" i="2"/>
  <c r="I124" i="2"/>
  <c r="H136" i="2"/>
  <c r="L136" i="2"/>
  <c r="J136" i="2"/>
  <c r="I148" i="2"/>
  <c r="L148" i="2"/>
  <c r="K148" i="2"/>
  <c r="L196" i="2"/>
  <c r="K196" i="2"/>
  <c r="I88" i="2"/>
  <c r="K112" i="2"/>
  <c r="L142" i="2"/>
  <c r="K142" i="2"/>
  <c r="I166" i="2"/>
  <c r="G166" i="2"/>
  <c r="G202" i="2"/>
  <c r="K202" i="2"/>
  <c r="H34" i="2"/>
  <c r="I34" i="2"/>
  <c r="L106" i="2"/>
  <c r="H108" i="2"/>
  <c r="L34" i="2"/>
  <c r="J34" i="2"/>
  <c r="I108" i="2"/>
  <c r="K38" i="2"/>
  <c r="J86" i="2"/>
  <c r="I109" i="2"/>
  <c r="K86" i="2"/>
  <c r="J109" i="2"/>
  <c r="G206" i="2"/>
  <c r="I39" i="2"/>
  <c r="L86" i="2"/>
  <c r="K109" i="2"/>
  <c r="I206" i="2"/>
  <c r="L47" i="2"/>
  <c r="G47" i="2"/>
  <c r="J71" i="2"/>
  <c r="I71" i="2"/>
  <c r="L71" i="2"/>
  <c r="K71" i="2"/>
  <c r="K119" i="2"/>
  <c r="I119" i="2"/>
  <c r="J119" i="2"/>
  <c r="L131" i="2"/>
  <c r="K131" i="2"/>
  <c r="J131" i="2"/>
  <c r="L167" i="2"/>
  <c r="K167" i="2"/>
  <c r="G179" i="2"/>
  <c r="I179" i="2"/>
  <c r="H179" i="2"/>
  <c r="L191" i="2"/>
  <c r="H191" i="2"/>
  <c r="K215" i="2"/>
  <c r="J215" i="2"/>
  <c r="L215" i="2"/>
  <c r="I215" i="2"/>
  <c r="I155" i="2"/>
  <c r="H215" i="2"/>
  <c r="L84" i="2"/>
  <c r="I84" i="2"/>
  <c r="H84" i="2"/>
  <c r="H180" i="2"/>
  <c r="L180" i="2"/>
  <c r="K180" i="2"/>
  <c r="H204" i="2"/>
  <c r="L204" i="2"/>
  <c r="K204" i="2"/>
  <c r="J204" i="2"/>
  <c r="J155" i="2"/>
  <c r="L61" i="2"/>
  <c r="J61" i="2"/>
  <c r="K61" i="2"/>
  <c r="L85" i="2"/>
  <c r="I85" i="2"/>
  <c r="L157" i="2"/>
  <c r="K157" i="2"/>
  <c r="J157" i="2"/>
  <c r="I157" i="2"/>
  <c r="H47" i="2"/>
  <c r="K83" i="2"/>
  <c r="K155" i="2"/>
  <c r="G217" i="2"/>
  <c r="K50" i="2"/>
  <c r="H50" i="2"/>
  <c r="G50" i="2"/>
  <c r="I74" i="2"/>
  <c r="H74" i="2"/>
  <c r="K74" i="2"/>
  <c r="L74" i="2"/>
  <c r="G122" i="2"/>
  <c r="L122" i="2"/>
  <c r="K122" i="2"/>
  <c r="J122" i="2"/>
  <c r="J146" i="2"/>
  <c r="I146" i="2"/>
  <c r="I47" i="2"/>
  <c r="I72" i="2"/>
  <c r="L83" i="2"/>
  <c r="I95" i="2"/>
  <c r="H217" i="2"/>
  <c r="J36" i="2"/>
  <c r="I60" i="2"/>
  <c r="G84" i="2"/>
  <c r="J145" i="2"/>
  <c r="J170" i="2"/>
  <c r="H203" i="2"/>
  <c r="K48" i="2"/>
  <c r="J73" i="2"/>
  <c r="K95" i="2"/>
  <c r="H134" i="2"/>
  <c r="H156" i="2"/>
  <c r="J191" i="2"/>
  <c r="L217" i="2"/>
  <c r="H89" i="2"/>
  <c r="K89" i="2"/>
  <c r="J89" i="2"/>
  <c r="I89" i="2"/>
  <c r="H149" i="2"/>
  <c r="J149" i="2"/>
  <c r="I149" i="2"/>
  <c r="L173" i="2"/>
  <c r="J173" i="2"/>
  <c r="K173" i="2"/>
  <c r="L197" i="2"/>
  <c r="K197" i="2"/>
  <c r="H221" i="2"/>
  <c r="K221" i="2"/>
  <c r="J221" i="2"/>
  <c r="L36" i="2"/>
  <c r="G62" i="2"/>
  <c r="K73" i="2"/>
  <c r="I107" i="2"/>
  <c r="I134" i="2"/>
  <c r="L170" i="2"/>
  <c r="K185" i="2"/>
  <c r="J197" i="2"/>
  <c r="I204" i="2"/>
  <c r="J42" i="2"/>
  <c r="I42" i="2"/>
  <c r="H42" i="2"/>
  <c r="L54" i="2"/>
  <c r="H54" i="2"/>
  <c r="G54" i="2"/>
  <c r="I66" i="2"/>
  <c r="H66" i="2"/>
  <c r="G66" i="2"/>
  <c r="G78" i="2"/>
  <c r="L78" i="2"/>
  <c r="K78" i="2"/>
  <c r="I114" i="2"/>
  <c r="H114" i="2"/>
  <c r="J114" i="2"/>
  <c r="G114" i="2"/>
  <c r="L126" i="2"/>
  <c r="J126" i="2"/>
  <c r="K126" i="2"/>
  <c r="L138" i="2"/>
  <c r="K138" i="2"/>
  <c r="J150" i="2"/>
  <c r="I150" i="2"/>
  <c r="H162" i="2"/>
  <c r="K162" i="2"/>
  <c r="J162" i="2"/>
  <c r="I162" i="2"/>
  <c r="L162" i="2"/>
  <c r="H210" i="2"/>
  <c r="K210" i="2"/>
  <c r="J210" i="2"/>
  <c r="I210" i="2"/>
  <c r="G210" i="2"/>
  <c r="K222" i="2"/>
  <c r="J222" i="2"/>
  <c r="I222" i="2"/>
  <c r="J43" i="2"/>
  <c r="L73" i="2"/>
  <c r="J78" i="2"/>
  <c r="H86" i="2"/>
  <c r="I90" i="2"/>
  <c r="G102" i="2"/>
  <c r="G146" i="2"/>
  <c r="T146" i="2" s="1"/>
  <c r="I151" i="2"/>
  <c r="G173" i="2"/>
  <c r="I192" i="2"/>
  <c r="G198" i="2"/>
  <c r="J218" i="2"/>
  <c r="K59" i="2"/>
  <c r="J59" i="2"/>
  <c r="L107" i="2"/>
  <c r="K107" i="2"/>
  <c r="K143" i="2"/>
  <c r="J143" i="2"/>
  <c r="H227" i="2"/>
  <c r="G227" i="2"/>
  <c r="L227" i="2"/>
  <c r="I83" i="2"/>
  <c r="L96" i="2"/>
  <c r="I96" i="2"/>
  <c r="L132" i="2"/>
  <c r="I132" i="2"/>
  <c r="H132" i="2"/>
  <c r="L144" i="2"/>
  <c r="I144" i="2"/>
  <c r="G144" i="2"/>
  <c r="H144" i="2"/>
  <c r="I168" i="2"/>
  <c r="L168" i="2"/>
  <c r="K168" i="2"/>
  <c r="L59" i="2"/>
  <c r="G72" i="2"/>
  <c r="I143" i="2"/>
  <c r="L216" i="2"/>
  <c r="I37" i="2"/>
  <c r="G37" i="2"/>
  <c r="H37" i="2"/>
  <c r="K49" i="2"/>
  <c r="J49" i="2"/>
  <c r="I97" i="2"/>
  <c r="K97" i="2"/>
  <c r="L97" i="2"/>
  <c r="L169" i="2"/>
  <c r="G169" i="2"/>
  <c r="J193" i="2"/>
  <c r="K193" i="2"/>
  <c r="H193" i="2"/>
  <c r="L205" i="2"/>
  <c r="K205" i="2"/>
  <c r="I229" i="2"/>
  <c r="G229" i="2"/>
  <c r="H36" i="2"/>
  <c r="G60" i="2"/>
  <c r="H72" i="2"/>
  <c r="K121" i="2"/>
  <c r="K133" i="2"/>
  <c r="N133" i="2" s="1"/>
  <c r="I169" i="2"/>
  <c r="H38" i="2"/>
  <c r="J38" i="2"/>
  <c r="I38" i="2"/>
  <c r="J62" i="2"/>
  <c r="I62" i="2"/>
  <c r="K110" i="2"/>
  <c r="J110" i="2"/>
  <c r="H110" i="2"/>
  <c r="G110" i="2"/>
  <c r="K134" i="2"/>
  <c r="L134" i="2"/>
  <c r="H158" i="2"/>
  <c r="G158" i="2"/>
  <c r="H182" i="2"/>
  <c r="L182" i="2"/>
  <c r="K182" i="2"/>
  <c r="L194" i="2"/>
  <c r="K194" i="2"/>
  <c r="J194" i="2"/>
  <c r="I36" i="2"/>
  <c r="H60" i="2"/>
  <c r="L110" i="2"/>
  <c r="H122" i="2"/>
  <c r="I145" i="2"/>
  <c r="J169" i="2"/>
  <c r="I182" i="2"/>
  <c r="J47" i="2"/>
  <c r="J95" i="2"/>
  <c r="I122" i="2"/>
  <c r="G134" i="2"/>
  <c r="G156" i="2"/>
  <c r="J182" i="2"/>
  <c r="I191" i="2"/>
  <c r="K217" i="2"/>
  <c r="I227" i="2"/>
  <c r="K36" i="2"/>
  <c r="I61" i="2"/>
  <c r="J85" i="2"/>
  <c r="K145" i="2"/>
  <c r="I203" i="2"/>
  <c r="L41" i="2"/>
  <c r="K41" i="2"/>
  <c r="I41" i="2"/>
  <c r="J41" i="2"/>
  <c r="H65" i="2"/>
  <c r="K65" i="2"/>
  <c r="L65" i="2"/>
  <c r="H77" i="2"/>
  <c r="L77" i="2"/>
  <c r="H101" i="2"/>
  <c r="L101" i="2"/>
  <c r="J101" i="2"/>
  <c r="K101" i="2"/>
  <c r="H113" i="2"/>
  <c r="L113" i="2"/>
  <c r="H125" i="2"/>
  <c r="K125" i="2"/>
  <c r="J125" i="2"/>
  <c r="J185" i="2"/>
  <c r="H185" i="2"/>
  <c r="G185" i="2"/>
  <c r="J209" i="2"/>
  <c r="L209" i="2"/>
  <c r="K85" i="2"/>
  <c r="I156" i="2"/>
  <c r="K191" i="2"/>
  <c r="K227" i="2"/>
  <c r="I139" i="2"/>
  <c r="J139" i="2"/>
  <c r="J175" i="2"/>
  <c r="L175" i="2"/>
  <c r="G199" i="2"/>
  <c r="K199" i="2"/>
  <c r="I199" i="2"/>
  <c r="J199" i="2"/>
  <c r="G38" i="2"/>
  <c r="H49" i="2"/>
  <c r="K62" i="2"/>
  <c r="G74" i="2"/>
  <c r="I86" i="2"/>
  <c r="H96" i="2"/>
  <c r="H102" i="2"/>
  <c r="G108" i="2"/>
  <c r="I113" i="2"/>
  <c r="L119" i="2"/>
  <c r="H146" i="2"/>
  <c r="J158" i="2"/>
  <c r="H173" i="2"/>
  <c r="J179" i="2"/>
  <c r="G186" i="2"/>
  <c r="I198" i="2"/>
  <c r="J205" i="2"/>
  <c r="I221" i="2"/>
  <c r="K229" i="2"/>
  <c r="K128" i="2"/>
  <c r="J128" i="2"/>
  <c r="J93" i="2"/>
  <c r="I93" i="2"/>
  <c r="L201" i="2"/>
  <c r="K201" i="2"/>
  <c r="I33" i="2"/>
  <c r="L46" i="2"/>
  <c r="I57" i="2"/>
  <c r="K93" i="2"/>
  <c r="K152" i="2"/>
  <c r="I190" i="2"/>
  <c r="I92" i="2"/>
  <c r="J152" i="2"/>
  <c r="L82" i="2"/>
  <c r="K82" i="2"/>
  <c r="L118" i="2"/>
  <c r="K118" i="2"/>
  <c r="L93" i="2"/>
  <c r="J171" i="2"/>
  <c r="I100" i="2"/>
  <c r="K136" i="2"/>
  <c r="K171" i="2"/>
  <c r="H75" i="2"/>
  <c r="G75" i="2"/>
  <c r="J75" i="2"/>
  <c r="I75" i="2"/>
  <c r="H111" i="2"/>
  <c r="G111" i="2"/>
  <c r="J111" i="2"/>
  <c r="I111" i="2"/>
  <c r="H147" i="2"/>
  <c r="G147" i="2"/>
  <c r="J147" i="2"/>
  <c r="I147" i="2"/>
  <c r="I207" i="2"/>
  <c r="H207" i="2"/>
  <c r="H64" i="2"/>
  <c r="J51" i="2"/>
  <c r="H127" i="2"/>
  <c r="G127" i="2"/>
  <c r="L127" i="2"/>
  <c r="K127" i="2"/>
  <c r="K211" i="2"/>
  <c r="J211" i="2"/>
  <c r="I211" i="2"/>
  <c r="H211" i="2"/>
  <c r="L211" i="2"/>
  <c r="H56" i="2"/>
  <c r="K68" i="2"/>
  <c r="L80" i="2"/>
  <c r="G112" i="2"/>
  <c r="H124" i="2"/>
  <c r="I136" i="2"/>
  <c r="J148" i="2"/>
  <c r="I171" i="2"/>
  <c r="H199" i="2"/>
  <c r="K224" i="2"/>
  <c r="H87" i="2"/>
  <c r="G87" i="2"/>
  <c r="J87" i="2"/>
  <c r="I87" i="2"/>
  <c r="J195" i="2"/>
  <c r="L195" i="2"/>
  <c r="K195" i="2"/>
  <c r="G51" i="2"/>
  <c r="K40" i="2"/>
  <c r="G40" i="2"/>
  <c r="I40" i="2"/>
  <c r="H40" i="2"/>
  <c r="H196" i="2"/>
  <c r="J196" i="2"/>
  <c r="I196" i="2"/>
  <c r="G196" i="2"/>
  <c r="H220" i="2"/>
  <c r="G220" i="2"/>
  <c r="J220" i="2"/>
  <c r="I220" i="2"/>
  <c r="I76" i="2"/>
  <c r="J88" i="2"/>
  <c r="K100" i="2"/>
  <c r="K88" i="2"/>
  <c r="J64" i="2"/>
  <c r="H67" i="2"/>
  <c r="G67" i="2"/>
  <c r="K67" i="2"/>
  <c r="L67" i="2"/>
  <c r="H151" i="2"/>
  <c r="G151" i="2"/>
  <c r="L151" i="2"/>
  <c r="K151" i="2"/>
  <c r="L32" i="2"/>
  <c r="K32" i="2"/>
  <c r="J32" i="2"/>
  <c r="H44" i="2"/>
  <c r="J44" i="2"/>
  <c r="G44" i="2"/>
  <c r="H104" i="2"/>
  <c r="G104" i="2"/>
  <c r="H128" i="2"/>
  <c r="G128" i="2"/>
  <c r="H164" i="2"/>
  <c r="L164" i="2"/>
  <c r="J164" i="2"/>
  <c r="I164" i="2"/>
  <c r="K164" i="2"/>
  <c r="H200" i="2"/>
  <c r="L200" i="2"/>
  <c r="K200" i="2"/>
  <c r="K123" i="2"/>
  <c r="G148" i="2"/>
  <c r="K33" i="2"/>
  <c r="J33" i="2"/>
  <c r="G33" i="2"/>
  <c r="K45" i="2"/>
  <c r="H45" i="2"/>
  <c r="J45" i="2"/>
  <c r="I45" i="2"/>
  <c r="G57" i="2"/>
  <c r="L57" i="2"/>
  <c r="H69" i="2"/>
  <c r="G69" i="2"/>
  <c r="H81" i="2"/>
  <c r="G81" i="2"/>
  <c r="H93" i="2"/>
  <c r="G93" i="2"/>
  <c r="H105" i="2"/>
  <c r="G105" i="2"/>
  <c r="H117" i="2"/>
  <c r="G117" i="2"/>
  <c r="H129" i="2"/>
  <c r="G129" i="2"/>
  <c r="H141" i="2"/>
  <c r="G141" i="2"/>
  <c r="H153" i="2"/>
  <c r="G153" i="2"/>
  <c r="L165" i="2"/>
  <c r="K165" i="2"/>
  <c r="L177" i="2"/>
  <c r="J177" i="2"/>
  <c r="I177" i="2"/>
  <c r="K177" i="2"/>
  <c r="L189" i="2"/>
  <c r="K189" i="2"/>
  <c r="J201" i="2"/>
  <c r="H201" i="2"/>
  <c r="G201" i="2"/>
  <c r="I201" i="2"/>
  <c r="L213" i="2"/>
  <c r="K213" i="2"/>
  <c r="L225" i="2"/>
  <c r="K225" i="2"/>
  <c r="J225" i="2"/>
  <c r="I225" i="2"/>
  <c r="H32" i="2"/>
  <c r="L104" i="2"/>
  <c r="K111" i="2"/>
  <c r="I117" i="2"/>
  <c r="J129" i="2"/>
  <c r="G136" i="2"/>
  <c r="K141" i="2"/>
  <c r="H148" i="2"/>
  <c r="L153" i="2"/>
  <c r="L160" i="2"/>
  <c r="G171" i="2"/>
  <c r="L184" i="2"/>
  <c r="G195" i="2"/>
  <c r="K220" i="2"/>
  <c r="L39" i="2"/>
  <c r="K39" i="2"/>
  <c r="H63" i="2"/>
  <c r="G63" i="2"/>
  <c r="J63" i="2"/>
  <c r="I63" i="2"/>
  <c r="H99" i="2"/>
  <c r="G99" i="2"/>
  <c r="J99" i="2"/>
  <c r="I99" i="2"/>
  <c r="H123" i="2"/>
  <c r="G123" i="2"/>
  <c r="J123" i="2"/>
  <c r="I123" i="2"/>
  <c r="H135" i="2"/>
  <c r="G135" i="2"/>
  <c r="J135" i="2"/>
  <c r="I135" i="2"/>
  <c r="I159" i="2"/>
  <c r="H159" i="2"/>
  <c r="K159" i="2"/>
  <c r="G159" i="2"/>
  <c r="J159" i="2"/>
  <c r="I183" i="2"/>
  <c r="H183" i="2"/>
  <c r="G183" i="2"/>
  <c r="K219" i="2"/>
  <c r="L219" i="2"/>
  <c r="K183" i="2"/>
  <c r="J207" i="2"/>
  <c r="K52" i="2"/>
  <c r="I52" i="2"/>
  <c r="L52" i="2"/>
  <c r="H172" i="2"/>
  <c r="J172" i="2"/>
  <c r="I172" i="2"/>
  <c r="L172" i="2"/>
  <c r="G172" i="2"/>
  <c r="K172" i="2"/>
  <c r="H208" i="2"/>
  <c r="L208" i="2"/>
  <c r="K208" i="2"/>
  <c r="H51" i="2"/>
  <c r="L159" i="2"/>
  <c r="L183" i="2"/>
  <c r="K207" i="2"/>
  <c r="I51" i="2"/>
  <c r="I64" i="2"/>
  <c r="J76" i="2"/>
  <c r="G160" i="2"/>
  <c r="G184" i="2"/>
  <c r="L207" i="2"/>
  <c r="G219" i="2"/>
  <c r="K76" i="2"/>
  <c r="K147" i="2"/>
  <c r="I160" i="2"/>
  <c r="I184" i="2"/>
  <c r="G208" i="2"/>
  <c r="H219" i="2"/>
  <c r="H43" i="2"/>
  <c r="G43" i="2"/>
  <c r="L55" i="2"/>
  <c r="J55" i="2"/>
  <c r="K55" i="2"/>
  <c r="I55" i="2"/>
  <c r="H79" i="2"/>
  <c r="G79" i="2"/>
  <c r="K79" i="2"/>
  <c r="L79" i="2"/>
  <c r="H91" i="2"/>
  <c r="G91" i="2"/>
  <c r="L91" i="2"/>
  <c r="K91" i="2"/>
  <c r="H103" i="2"/>
  <c r="G103" i="2"/>
  <c r="L103" i="2"/>
  <c r="K103" i="2"/>
  <c r="H115" i="2"/>
  <c r="G115" i="2"/>
  <c r="L115" i="2"/>
  <c r="K115" i="2"/>
  <c r="H139" i="2"/>
  <c r="G139" i="2"/>
  <c r="L139" i="2"/>
  <c r="K139" i="2"/>
  <c r="K163" i="2"/>
  <c r="J163" i="2"/>
  <c r="I175" i="2"/>
  <c r="G175" i="2"/>
  <c r="H175" i="2"/>
  <c r="K187" i="2"/>
  <c r="J187" i="2"/>
  <c r="L187" i="2"/>
  <c r="J223" i="2"/>
  <c r="I223" i="2"/>
  <c r="H223" i="2"/>
  <c r="G223" i="2"/>
  <c r="K51" i="2"/>
  <c r="K64" i="2"/>
  <c r="J79" i="2"/>
  <c r="K135" i="2"/>
  <c r="L147" i="2"/>
  <c r="J160" i="2"/>
  <c r="G163" i="2"/>
  <c r="J184" i="2"/>
  <c r="G187" i="2"/>
  <c r="I208" i="2"/>
  <c r="I219" i="2"/>
  <c r="K223" i="2"/>
  <c r="H68" i="2"/>
  <c r="G68" i="2"/>
  <c r="H80" i="2"/>
  <c r="G80" i="2"/>
  <c r="H92" i="2"/>
  <c r="G92" i="2"/>
  <c r="H116" i="2"/>
  <c r="G116" i="2"/>
  <c r="H140" i="2"/>
  <c r="G140" i="2"/>
  <c r="H152" i="2"/>
  <c r="G152" i="2"/>
  <c r="H176" i="2"/>
  <c r="L176" i="2"/>
  <c r="K176" i="2"/>
  <c r="H188" i="2"/>
  <c r="J188" i="2"/>
  <c r="I188" i="2"/>
  <c r="G188" i="2"/>
  <c r="H212" i="2"/>
  <c r="G212" i="2"/>
  <c r="H224" i="2"/>
  <c r="G224" i="2"/>
  <c r="G32" i="2"/>
  <c r="G55" i="2"/>
  <c r="J67" i="2"/>
  <c r="I80" i="2"/>
  <c r="J92" i="2"/>
  <c r="K104" i="2"/>
  <c r="L116" i="2"/>
  <c r="K160" i="2"/>
  <c r="N160" i="2" s="1"/>
  <c r="H163" i="2"/>
  <c r="K184" i="2"/>
  <c r="N184" i="2" s="1"/>
  <c r="H187" i="2"/>
  <c r="J208" i="2"/>
  <c r="J212" i="2"/>
  <c r="J219" i="2"/>
  <c r="L223" i="2"/>
  <c r="J46" i="2"/>
  <c r="I46" i="2"/>
  <c r="H46" i="2"/>
  <c r="I58" i="2"/>
  <c r="G58" i="2"/>
  <c r="J58" i="2"/>
  <c r="H58" i="2"/>
  <c r="J70" i="2"/>
  <c r="H70" i="2"/>
  <c r="G70" i="2"/>
  <c r="I70" i="2"/>
  <c r="J82" i="2"/>
  <c r="H82" i="2"/>
  <c r="G82" i="2"/>
  <c r="I82" i="2"/>
  <c r="J94" i="2"/>
  <c r="H94" i="2"/>
  <c r="I94" i="2"/>
  <c r="G94" i="2"/>
  <c r="J106" i="2"/>
  <c r="H106" i="2"/>
  <c r="G106" i="2"/>
  <c r="I106" i="2"/>
  <c r="J118" i="2"/>
  <c r="G118" i="2"/>
  <c r="I118" i="2"/>
  <c r="H118" i="2"/>
  <c r="J130" i="2"/>
  <c r="H130" i="2"/>
  <c r="G130" i="2"/>
  <c r="I130" i="2"/>
  <c r="J142" i="2"/>
  <c r="H142" i="2"/>
  <c r="G142" i="2"/>
  <c r="I142" i="2"/>
  <c r="J154" i="2"/>
  <c r="H154" i="2"/>
  <c r="G154" i="2"/>
  <c r="I154" i="2"/>
  <c r="H166" i="2"/>
  <c r="L166" i="2"/>
  <c r="H178" i="2"/>
  <c r="L178" i="2"/>
  <c r="H190" i="2"/>
  <c r="K190" i="2"/>
  <c r="J190" i="2"/>
  <c r="L190" i="2"/>
  <c r="H202" i="2"/>
  <c r="L202" i="2"/>
  <c r="H214" i="2"/>
  <c r="G214" i="2"/>
  <c r="L214" i="2"/>
  <c r="I214" i="2"/>
  <c r="K214" i="2"/>
  <c r="J214" i="2"/>
  <c r="H226" i="2"/>
  <c r="G226" i="2"/>
  <c r="J226" i="2"/>
  <c r="I226" i="2"/>
  <c r="I32" i="2"/>
  <c r="G39" i="2"/>
  <c r="K46" i="2"/>
  <c r="H52" i="2"/>
  <c r="G56" i="2"/>
  <c r="J68" i="2"/>
  <c r="K80" i="2"/>
  <c r="L92" i="2"/>
  <c r="K99" i="2"/>
  <c r="I105" i="2"/>
  <c r="L111" i="2"/>
  <c r="J117" i="2"/>
  <c r="K129" i="2"/>
  <c r="L141" i="2"/>
  <c r="K154" i="2"/>
  <c r="N154" i="2" s="1"/>
  <c r="L163" i="2"/>
  <c r="H171" i="2"/>
  <c r="K178" i="2"/>
  <c r="K188" i="2"/>
  <c r="H195" i="2"/>
  <c r="I202" i="2"/>
  <c r="L212" i="2"/>
  <c r="L220" i="2"/>
  <c r="J224" i="2"/>
  <c r="H59" i="2"/>
  <c r="G59" i="2"/>
  <c r="H83" i="2"/>
  <c r="G83" i="2"/>
  <c r="H95" i="2"/>
  <c r="G95" i="2"/>
  <c r="H119" i="2"/>
  <c r="G119" i="2"/>
  <c r="K47" i="2"/>
  <c r="J48" i="2"/>
  <c r="I48" i="2"/>
  <c r="H168" i="2"/>
  <c r="G168" i="2"/>
  <c r="H192" i="2"/>
  <c r="G192" i="2"/>
  <c r="H216" i="2"/>
  <c r="G216" i="2"/>
  <c r="J216" i="2"/>
  <c r="I216" i="2"/>
  <c r="H35" i="2"/>
  <c r="J72" i="2"/>
  <c r="J84" i="2"/>
  <c r="J132" i="2"/>
  <c r="G167" i="2"/>
  <c r="G180" i="2"/>
  <c r="L37" i="2"/>
  <c r="K37" i="2"/>
  <c r="H61" i="2"/>
  <c r="G61" i="2"/>
  <c r="H73" i="2"/>
  <c r="G73" i="2"/>
  <c r="H85" i="2"/>
  <c r="G85" i="2"/>
  <c r="H97" i="2"/>
  <c r="G97" i="2"/>
  <c r="H109" i="2"/>
  <c r="G109" i="2"/>
  <c r="H121" i="2"/>
  <c r="G121" i="2"/>
  <c r="H133" i="2"/>
  <c r="G133" i="2"/>
  <c r="H145" i="2"/>
  <c r="G145" i="2"/>
  <c r="H157" i="2"/>
  <c r="G157" i="2"/>
  <c r="H181" i="2"/>
  <c r="G181" i="2"/>
  <c r="H205" i="2"/>
  <c r="G205" i="2"/>
  <c r="G48" i="2"/>
  <c r="K60" i="2"/>
  <c r="K72" i="2"/>
  <c r="K84" i="2"/>
  <c r="K96" i="2"/>
  <c r="K108" i="2"/>
  <c r="K120" i="2"/>
  <c r="N120" i="2" s="1"/>
  <c r="K132" i="2"/>
  <c r="K144" i="2"/>
  <c r="K156" i="2"/>
  <c r="H167" i="2"/>
  <c r="K169" i="2"/>
  <c r="I180" i="2"/>
  <c r="I193" i="2"/>
  <c r="L203" i="2"/>
  <c r="J206" i="2"/>
  <c r="I217" i="2"/>
  <c r="H229" i="2"/>
  <c r="L35" i="2"/>
  <c r="K35" i="2"/>
  <c r="H71" i="2"/>
  <c r="G71" i="2"/>
  <c r="H107" i="2"/>
  <c r="G107" i="2"/>
  <c r="H131" i="2"/>
  <c r="G131" i="2"/>
  <c r="H143" i="2"/>
  <c r="G143" i="2"/>
  <c r="H155" i="2"/>
  <c r="G155" i="2"/>
  <c r="G35" i="2"/>
  <c r="L179" i="2"/>
  <c r="J203" i="2"/>
  <c r="I228" i="2"/>
  <c r="H228" i="2"/>
  <c r="G228" i="2"/>
  <c r="K228" i="2"/>
  <c r="J228" i="2"/>
  <c r="J60" i="2"/>
  <c r="J96" i="2"/>
  <c r="J108" i="2"/>
  <c r="J120" i="2"/>
  <c r="J144" i="2"/>
  <c r="J156" i="2"/>
  <c r="K203" i="2"/>
  <c r="J50" i="2"/>
  <c r="I50" i="2"/>
  <c r="H170" i="2"/>
  <c r="I170" i="2"/>
  <c r="G170" i="2"/>
  <c r="H194" i="2"/>
  <c r="I194" i="2"/>
  <c r="G194" i="2"/>
  <c r="H218" i="2"/>
  <c r="G218" i="2"/>
  <c r="L218" i="2"/>
  <c r="K218" i="2"/>
  <c r="J35" i="2"/>
  <c r="H48" i="2"/>
  <c r="L50" i="2"/>
  <c r="I167" i="2"/>
  <c r="J180" i="2"/>
  <c r="G191" i="2"/>
  <c r="G204" i="2"/>
  <c r="K206" i="2"/>
  <c r="K54" i="2"/>
  <c r="G65" i="2"/>
  <c r="G77" i="2"/>
  <c r="G89" i="2"/>
  <c r="G101" i="2"/>
  <c r="G113" i="2"/>
  <c r="G125" i="2"/>
  <c r="G137" i="2"/>
  <c r="G149" i="2"/>
  <c r="I161" i="2"/>
  <c r="J174" i="2"/>
  <c r="I185" i="2"/>
  <c r="J198" i="2"/>
  <c r="I209" i="2"/>
  <c r="G221" i="2"/>
  <c r="H222" i="2"/>
  <c r="G222" i="2"/>
  <c r="G42" i="2"/>
  <c r="K174" i="2"/>
  <c r="K198" i="2"/>
  <c r="T156" i="2" l="1"/>
  <c r="U156" i="2" s="1"/>
  <c r="V156" i="2" s="1"/>
  <c r="W156" i="2" s="1"/>
  <c r="O4" i="2"/>
  <c r="O36" i="3"/>
  <c r="O30" i="3"/>
  <c r="O24" i="3"/>
  <c r="O18" i="3"/>
  <c r="T218" i="2"/>
  <c r="U218" i="2" s="1"/>
  <c r="V218" i="2" s="1"/>
  <c r="W218" i="2" s="1"/>
  <c r="T174" i="2"/>
  <c r="U174" i="2" s="1"/>
  <c r="V174" i="2" s="1"/>
  <c r="W174" i="2" s="1"/>
  <c r="T194" i="2"/>
  <c r="U194" i="2" s="1"/>
  <c r="V194" i="2" s="1"/>
  <c r="W194" i="2" s="1"/>
  <c r="T99" i="2"/>
  <c r="U99" i="2" s="1"/>
  <c r="V99" i="2" s="1"/>
  <c r="W99" i="2" s="1"/>
  <c r="T115" i="2"/>
  <c r="U115" i="2" s="1"/>
  <c r="V115" i="2" s="1"/>
  <c r="W115" i="2" s="1"/>
  <c r="T163" i="2"/>
  <c r="U163" i="2" s="1"/>
  <c r="V163" i="2" s="1"/>
  <c r="W163" i="2" s="1"/>
  <c r="T82" i="2"/>
  <c r="U82" i="2" s="1"/>
  <c r="V82" i="2" s="1"/>
  <c r="W82" i="2" s="1"/>
  <c r="T100" i="2"/>
  <c r="U100" i="2" s="1"/>
  <c r="V100" i="2" s="1"/>
  <c r="W100" i="2" s="1"/>
  <c r="T127" i="2"/>
  <c r="U127" i="2" s="1"/>
  <c r="V127" i="2" s="1"/>
  <c r="W127" i="2" s="1"/>
  <c r="T175" i="2"/>
  <c r="U175" i="2" s="1"/>
  <c r="V175" i="2" s="1"/>
  <c r="W175" i="2" s="1"/>
  <c r="T215" i="2"/>
  <c r="U215" i="2" s="1"/>
  <c r="V215" i="2" s="1"/>
  <c r="W215" i="2" s="1"/>
  <c r="T209" i="2"/>
  <c r="U209" i="2" s="1"/>
  <c r="V209" i="2" s="1"/>
  <c r="W209" i="2" s="1"/>
  <c r="T185" i="2"/>
  <c r="U185" i="2" s="1"/>
  <c r="V185" i="2" s="1"/>
  <c r="W185" i="2" s="1"/>
  <c r="T136" i="2"/>
  <c r="U136" i="2" s="1"/>
  <c r="V136" i="2" s="1"/>
  <c r="W136" i="2" s="1"/>
  <c r="E34" i="3"/>
  <c r="D40" i="3" s="1"/>
  <c r="T135" i="2"/>
  <c r="U135" i="2" s="1"/>
  <c r="V135" i="2" s="1"/>
  <c r="W135" i="2" s="1"/>
  <c r="T94" i="2"/>
  <c r="U94" i="2" s="1"/>
  <c r="V94" i="2" s="1"/>
  <c r="W94" i="2" s="1"/>
  <c r="T211" i="2"/>
  <c r="U211" i="2" s="1"/>
  <c r="V211" i="2" s="1"/>
  <c r="W211" i="2" s="1"/>
  <c r="T190" i="2"/>
  <c r="U190" i="2" s="1"/>
  <c r="V190" i="2" s="1"/>
  <c r="W190" i="2" s="1"/>
  <c r="T207" i="2"/>
  <c r="U207" i="2" s="1"/>
  <c r="V207" i="2" s="1"/>
  <c r="W207" i="2" s="1"/>
  <c r="T159" i="2"/>
  <c r="U159" i="2" s="1"/>
  <c r="V159" i="2" s="1"/>
  <c r="W159" i="2" s="1"/>
  <c r="T216" i="2"/>
  <c r="U216" i="2" s="1"/>
  <c r="V216" i="2" s="1"/>
  <c r="W216" i="2" s="1"/>
  <c r="T92" i="2"/>
  <c r="U92" i="2" s="1"/>
  <c r="V92" i="2" s="1"/>
  <c r="W92" i="2" s="1"/>
  <c r="T79" i="2"/>
  <c r="U79" i="2" s="1"/>
  <c r="V79" i="2" s="1"/>
  <c r="W79" i="2" s="1"/>
  <c r="T197" i="2"/>
  <c r="U197" i="2" s="1"/>
  <c r="V197" i="2" s="1"/>
  <c r="W197" i="2" s="1"/>
  <c r="T178" i="2"/>
  <c r="U178" i="2" s="1"/>
  <c r="V178" i="2" s="1"/>
  <c r="W178" i="2" s="1"/>
  <c r="T86" i="2"/>
  <c r="U86" i="2" s="1"/>
  <c r="V86" i="2" s="1"/>
  <c r="W86" i="2" s="1"/>
  <c r="T191" i="2"/>
  <c r="U191" i="2" s="1"/>
  <c r="V191" i="2" s="1"/>
  <c r="W191" i="2" s="1"/>
  <c r="T93" i="2"/>
  <c r="U93" i="2" s="1"/>
  <c r="V93" i="2" s="1"/>
  <c r="W93" i="2" s="1"/>
  <c r="T225" i="2"/>
  <c r="U225" i="2" s="1"/>
  <c r="V225" i="2" s="1"/>
  <c r="W225" i="2" s="1"/>
  <c r="T96" i="2"/>
  <c r="U96" i="2" s="1"/>
  <c r="V96" i="2" s="1"/>
  <c r="W96" i="2" s="1"/>
  <c r="T217" i="2"/>
  <c r="U217" i="2" s="1"/>
  <c r="V217" i="2" s="1"/>
  <c r="W217" i="2" s="1"/>
  <c r="T150" i="2"/>
  <c r="U150" i="2" s="1"/>
  <c r="V150" i="2" s="1"/>
  <c r="W150" i="2" s="1"/>
  <c r="T131" i="2"/>
  <c r="U131" i="2" s="1"/>
  <c r="V131" i="2" s="1"/>
  <c r="W131" i="2" s="1"/>
  <c r="T192" i="2"/>
  <c r="U192" i="2" s="1"/>
  <c r="V192" i="2" s="1"/>
  <c r="W192" i="2" s="1"/>
  <c r="T154" i="2"/>
  <c r="U154" i="2" s="1"/>
  <c r="V154" i="2" s="1"/>
  <c r="W154" i="2" s="1"/>
  <c r="T219" i="2"/>
  <c r="U219" i="2" s="1"/>
  <c r="V219" i="2" s="1"/>
  <c r="W219" i="2" s="1"/>
  <c r="T125" i="2"/>
  <c r="U125" i="2" s="1"/>
  <c r="V125" i="2" s="1"/>
  <c r="W125" i="2" s="1"/>
  <c r="T168" i="2"/>
  <c r="U168" i="2" s="1"/>
  <c r="V168" i="2" s="1"/>
  <c r="W168" i="2" s="1"/>
  <c r="T222" i="2"/>
  <c r="U222" i="2" s="1"/>
  <c r="V222" i="2" s="1"/>
  <c r="W222" i="2" s="1"/>
  <c r="T101" i="2"/>
  <c r="U101" i="2" s="1"/>
  <c r="V101" i="2" s="1"/>
  <c r="W101" i="2" s="1"/>
  <c r="T181" i="2"/>
  <c r="U181" i="2" s="1"/>
  <c r="V181" i="2" s="1"/>
  <c r="W181" i="2" s="1"/>
  <c r="T165" i="2"/>
  <c r="U165" i="2" s="1"/>
  <c r="V165" i="2" s="1"/>
  <c r="W165" i="2" s="1"/>
  <c r="T224" i="2"/>
  <c r="U224" i="2" s="1"/>
  <c r="V224" i="2" s="1"/>
  <c r="W224" i="2" s="1"/>
  <c r="T98" i="2"/>
  <c r="U98" i="2" s="1"/>
  <c r="V98" i="2" s="1"/>
  <c r="W98" i="2" s="1"/>
  <c r="T121" i="2"/>
  <c r="U121" i="2" s="1"/>
  <c r="V121" i="2" s="1"/>
  <c r="W121" i="2" s="1"/>
  <c r="T80" i="2"/>
  <c r="U80" i="2" s="1"/>
  <c r="V80" i="2" s="1"/>
  <c r="W80" i="2" s="1"/>
  <c r="T128" i="2"/>
  <c r="U128" i="2" s="1"/>
  <c r="V128" i="2" s="1"/>
  <c r="W128" i="2" s="1"/>
  <c r="T114" i="2"/>
  <c r="U114" i="2" s="1"/>
  <c r="V114" i="2" s="1"/>
  <c r="W114" i="2" s="1"/>
  <c r="T212" i="2"/>
  <c r="U212" i="2" s="1"/>
  <c r="V212" i="2" s="1"/>
  <c r="W212" i="2" s="1"/>
  <c r="T65" i="2"/>
  <c r="U65" i="2" s="1"/>
  <c r="V65" i="2" s="1"/>
  <c r="W65" i="2" s="1"/>
  <c r="T208" i="2"/>
  <c r="U208" i="2" s="1"/>
  <c r="V208" i="2" s="1"/>
  <c r="W208" i="2" s="1"/>
  <c r="T173" i="2"/>
  <c r="U173" i="2" s="1"/>
  <c r="V173" i="2" s="1"/>
  <c r="W173" i="2" s="1"/>
  <c r="T210" i="2"/>
  <c r="U210" i="2" s="1"/>
  <c r="V210" i="2" s="1"/>
  <c r="W210" i="2" s="1"/>
  <c r="T130" i="2"/>
  <c r="U130" i="2" s="1"/>
  <c r="V130" i="2" s="1"/>
  <c r="W130" i="2" s="1"/>
  <c r="T116" i="2"/>
  <c r="U116" i="2" s="1"/>
  <c r="V116" i="2" s="1"/>
  <c r="W116" i="2" s="1"/>
  <c r="T204" i="2"/>
  <c r="U204" i="2" s="1"/>
  <c r="V204" i="2" s="1"/>
  <c r="W204" i="2" s="1"/>
  <c r="T133" i="2"/>
  <c r="U133" i="2" s="1"/>
  <c r="V133" i="2" s="1"/>
  <c r="W133" i="2" s="1"/>
  <c r="T56" i="2"/>
  <c r="T144" i="2"/>
  <c r="U144" i="2" s="1"/>
  <c r="V144" i="2" s="1"/>
  <c r="W144" i="2" s="1"/>
  <c r="T102" i="2"/>
  <c r="U102" i="2" s="1"/>
  <c r="V102" i="2" s="1"/>
  <c r="W102" i="2" s="1"/>
  <c r="T167" i="2"/>
  <c r="U167" i="2" s="1"/>
  <c r="V167" i="2" s="1"/>
  <c r="W167" i="2" s="1"/>
  <c r="T55" i="2"/>
  <c r="U55" i="2" s="1"/>
  <c r="V55" i="2" s="1"/>
  <c r="W55" i="2" s="1"/>
  <c r="T172" i="2"/>
  <c r="U172" i="2" s="1"/>
  <c r="V172" i="2" s="1"/>
  <c r="W172" i="2" s="1"/>
  <c r="T69" i="2"/>
  <c r="T166" i="2"/>
  <c r="U166" i="2" s="1"/>
  <c r="V166" i="2" s="1"/>
  <c r="W166" i="2" s="1"/>
  <c r="T71" i="2"/>
  <c r="U71" i="2" s="1"/>
  <c r="V71" i="2" s="1"/>
  <c r="W71" i="2" s="1"/>
  <c r="T176" i="2"/>
  <c r="U176" i="2" s="1"/>
  <c r="V176" i="2" s="1"/>
  <c r="W176" i="2" s="1"/>
  <c r="T118" i="2"/>
  <c r="U118" i="2" s="1"/>
  <c r="V118" i="2" s="1"/>
  <c r="W118" i="2" s="1"/>
  <c r="T153" i="2"/>
  <c r="U153" i="2" s="1"/>
  <c r="V153" i="2" s="1"/>
  <c r="W153" i="2" s="1"/>
  <c r="T189" i="2"/>
  <c r="U189" i="2" s="1"/>
  <c r="V189" i="2" s="1"/>
  <c r="W189" i="2" s="1"/>
  <c r="T35" i="2"/>
  <c r="U35" i="2" s="1"/>
  <c r="V35" i="2" s="1"/>
  <c r="W35" i="2" s="1"/>
  <c r="T119" i="2"/>
  <c r="U119" i="2" s="1"/>
  <c r="V119" i="2" s="1"/>
  <c r="W119" i="2" s="1"/>
  <c r="T187" i="2"/>
  <c r="U187" i="2" s="1"/>
  <c r="V187" i="2" s="1"/>
  <c r="W187" i="2" s="1"/>
  <c r="T117" i="2"/>
  <c r="U117" i="2" s="1"/>
  <c r="V117" i="2" s="1"/>
  <c r="W117" i="2" s="1"/>
  <c r="T155" i="2"/>
  <c r="U155" i="2" s="1"/>
  <c r="V155" i="2" s="1"/>
  <c r="W155" i="2" s="1"/>
  <c r="T145" i="2"/>
  <c r="U145" i="2" s="1"/>
  <c r="V145" i="2" s="1"/>
  <c r="W145" i="2" s="1"/>
  <c r="T73" i="2"/>
  <c r="U73" i="2" s="1"/>
  <c r="V73" i="2" s="1"/>
  <c r="W73" i="2" s="1"/>
  <c r="T171" i="2"/>
  <c r="U171" i="2" s="1"/>
  <c r="V171" i="2" s="1"/>
  <c r="W171" i="2" s="1"/>
  <c r="T147" i="2"/>
  <c r="U147" i="2" s="1"/>
  <c r="V147" i="2" s="1"/>
  <c r="W147" i="2" s="1"/>
  <c r="T227" i="2"/>
  <c r="U227" i="2" s="1"/>
  <c r="V227" i="2" s="1"/>
  <c r="W227" i="2" s="1"/>
  <c r="T138" i="2"/>
  <c r="U138" i="2" s="1"/>
  <c r="V138" i="2" s="1"/>
  <c r="W138" i="2" s="1"/>
  <c r="T95" i="2"/>
  <c r="U95" i="2" s="1"/>
  <c r="V95" i="2" s="1"/>
  <c r="W95" i="2" s="1"/>
  <c r="T188" i="2"/>
  <c r="U188" i="2" s="1"/>
  <c r="V188" i="2" s="1"/>
  <c r="W188" i="2" s="1"/>
  <c r="T134" i="2"/>
  <c r="U134" i="2" s="1"/>
  <c r="V134" i="2" s="1"/>
  <c r="W134" i="2" s="1"/>
  <c r="T229" i="2"/>
  <c r="U229" i="2" s="1"/>
  <c r="V229" i="2" s="1"/>
  <c r="W229" i="2" s="1"/>
  <c r="T179" i="2"/>
  <c r="U179" i="2" s="1"/>
  <c r="V179" i="2" s="1"/>
  <c r="W179" i="2" s="1"/>
  <c r="T177" i="2"/>
  <c r="U177" i="2" s="1"/>
  <c r="V177" i="2" s="1"/>
  <c r="W177" i="2" s="1"/>
  <c r="T143" i="2"/>
  <c r="U143" i="2" s="1"/>
  <c r="V143" i="2" s="1"/>
  <c r="W143" i="2" s="1"/>
  <c r="T83" i="2"/>
  <c r="U83" i="2" s="1"/>
  <c r="V83" i="2" s="1"/>
  <c r="W83" i="2" s="1"/>
  <c r="T193" i="2"/>
  <c r="U193" i="2" s="1"/>
  <c r="V193" i="2" s="1"/>
  <c r="W193" i="2" s="1"/>
  <c r="T151" i="2"/>
  <c r="U151" i="2" s="1"/>
  <c r="V151" i="2" s="1"/>
  <c r="W151" i="2" s="1"/>
  <c r="T111" i="2"/>
  <c r="U111" i="2" s="1"/>
  <c r="V111" i="2" s="1"/>
  <c r="W111" i="2" s="1"/>
  <c r="T203" i="2"/>
  <c r="U203" i="2" s="1"/>
  <c r="V203" i="2" s="1"/>
  <c r="W203" i="2" s="1"/>
  <c r="T107" i="2"/>
  <c r="U107" i="2" s="1"/>
  <c r="V107" i="2" s="1"/>
  <c r="W107" i="2" s="1"/>
  <c r="T205" i="2"/>
  <c r="U205" i="2" s="1"/>
  <c r="V205" i="2" s="1"/>
  <c r="W205" i="2" s="1"/>
  <c r="T180" i="2"/>
  <c r="U180" i="2" s="1"/>
  <c r="V180" i="2" s="1"/>
  <c r="W180" i="2" s="1"/>
  <c r="T103" i="2"/>
  <c r="U103" i="2" s="1"/>
  <c r="V103" i="2" s="1"/>
  <c r="W103" i="2" s="1"/>
  <c r="T184" i="2"/>
  <c r="U184" i="2" s="1"/>
  <c r="V184" i="2" s="1"/>
  <c r="W184" i="2" s="1"/>
  <c r="T201" i="2"/>
  <c r="U201" i="2" s="1"/>
  <c r="V201" i="2" s="1"/>
  <c r="W201" i="2" s="1"/>
  <c r="T104" i="2"/>
  <c r="U104" i="2" s="1"/>
  <c r="V104" i="2" s="1"/>
  <c r="W104" i="2" s="1"/>
  <c r="T158" i="2"/>
  <c r="U158" i="2" s="1"/>
  <c r="V158" i="2" s="1"/>
  <c r="W158" i="2" s="1"/>
  <c r="T84" i="2"/>
  <c r="U84" i="2" s="1"/>
  <c r="V84" i="2" s="1"/>
  <c r="W84" i="2" s="1"/>
  <c r="T90" i="2"/>
  <c r="U90" i="2" s="1"/>
  <c r="V90" i="2" s="1"/>
  <c r="W90" i="2" s="1"/>
  <c r="T113" i="2"/>
  <c r="U113" i="2" s="1"/>
  <c r="V113" i="2" s="1"/>
  <c r="W113" i="2" s="1"/>
  <c r="T160" i="2"/>
  <c r="U160" i="2" s="1"/>
  <c r="V160" i="2" s="1"/>
  <c r="W160" i="2" s="1"/>
  <c r="T183" i="2"/>
  <c r="U183" i="2" s="1"/>
  <c r="V183" i="2" s="1"/>
  <c r="W183" i="2" s="1"/>
  <c r="T141" i="2"/>
  <c r="U141" i="2" s="1"/>
  <c r="V141" i="2" s="1"/>
  <c r="W141" i="2" s="1"/>
  <c r="T97" i="2"/>
  <c r="U97" i="2" s="1"/>
  <c r="V97" i="2" s="1"/>
  <c r="W97" i="2" s="1"/>
  <c r="T106" i="2"/>
  <c r="U106" i="2" s="1"/>
  <c r="V106" i="2" s="1"/>
  <c r="W106" i="2" s="1"/>
  <c r="T152" i="2"/>
  <c r="U152" i="2" s="1"/>
  <c r="V152" i="2" s="1"/>
  <c r="W152" i="2" s="1"/>
  <c r="T223" i="2"/>
  <c r="U223" i="2" s="1"/>
  <c r="V223" i="2" s="1"/>
  <c r="W223" i="2" s="1"/>
  <c r="T75" i="2"/>
  <c r="U75" i="2" s="1"/>
  <c r="V75" i="2" s="1"/>
  <c r="W75" i="2" s="1"/>
  <c r="T169" i="2"/>
  <c r="U169" i="2" s="1"/>
  <c r="V169" i="2" s="1"/>
  <c r="W169" i="2" s="1"/>
  <c r="T206" i="2"/>
  <c r="U206" i="2" s="1"/>
  <c r="V206" i="2" s="1"/>
  <c r="W206" i="2" s="1"/>
  <c r="T89" i="2"/>
  <c r="U89" i="2" s="1"/>
  <c r="V89" i="2" s="1"/>
  <c r="W89" i="2" s="1"/>
  <c r="T226" i="2"/>
  <c r="U226" i="2" s="1"/>
  <c r="V226" i="2" s="1"/>
  <c r="W226" i="2" s="1"/>
  <c r="T123" i="2"/>
  <c r="U123" i="2" s="1"/>
  <c r="V123" i="2" s="1"/>
  <c r="W123" i="2" s="1"/>
  <c r="T129" i="2"/>
  <c r="U129" i="2" s="1"/>
  <c r="V129" i="2" s="1"/>
  <c r="W129" i="2" s="1"/>
  <c r="T87" i="2"/>
  <c r="U87" i="2" s="1"/>
  <c r="V87" i="2" s="1"/>
  <c r="W87" i="2" s="1"/>
  <c r="T198" i="2"/>
  <c r="U198" i="2" s="1"/>
  <c r="V198" i="2" s="1"/>
  <c r="W198" i="2" s="1"/>
  <c r="T162" i="2"/>
  <c r="U162" i="2" s="1"/>
  <c r="V162" i="2" s="1"/>
  <c r="W162" i="2" s="1"/>
  <c r="T74" i="2"/>
  <c r="U74" i="2" s="1"/>
  <c r="V74" i="2" s="1"/>
  <c r="W74" i="2" s="1"/>
  <c r="T105" i="2"/>
  <c r="U105" i="2" s="1"/>
  <c r="V105" i="2" s="1"/>
  <c r="W105" i="2" s="1"/>
  <c r="T186" i="2"/>
  <c r="U186" i="2" s="1"/>
  <c r="V186" i="2" s="1"/>
  <c r="W186" i="2" s="1"/>
  <c r="T132" i="2"/>
  <c r="U132" i="2" s="1"/>
  <c r="V132" i="2" s="1"/>
  <c r="W132" i="2" s="1"/>
  <c r="T214" i="2"/>
  <c r="U214" i="2" s="1"/>
  <c r="V214" i="2" s="1"/>
  <c r="W214" i="2" s="1"/>
  <c r="T149" i="2"/>
  <c r="U149" i="2" s="1"/>
  <c r="V149" i="2" s="1"/>
  <c r="W149" i="2" s="1"/>
  <c r="T170" i="2"/>
  <c r="U170" i="2" s="1"/>
  <c r="V170" i="2" s="1"/>
  <c r="W170" i="2" s="1"/>
  <c r="T124" i="2"/>
  <c r="U124" i="2" s="1"/>
  <c r="V124" i="2" s="1"/>
  <c r="W124" i="2" s="1"/>
  <c r="T137" i="2"/>
  <c r="U137" i="2" s="1"/>
  <c r="V137" i="2" s="1"/>
  <c r="W137" i="2" s="1"/>
  <c r="T81" i="2"/>
  <c r="U81" i="2" s="1"/>
  <c r="V81" i="2" s="1"/>
  <c r="W81" i="2" s="1"/>
  <c r="T220" i="2"/>
  <c r="U220" i="2" s="1"/>
  <c r="V220" i="2" s="1"/>
  <c r="W220" i="2" s="1"/>
  <c r="T112" i="2"/>
  <c r="U112" i="2" s="1"/>
  <c r="V112" i="2" s="1"/>
  <c r="W112" i="2" s="1"/>
  <c r="T228" i="2"/>
  <c r="U228" i="2" s="1"/>
  <c r="V228" i="2" s="1"/>
  <c r="W228" i="2" s="1"/>
  <c r="T109" i="2"/>
  <c r="U109" i="2" s="1"/>
  <c r="V109" i="2" s="1"/>
  <c r="W109" i="2" s="1"/>
  <c r="T148" i="2"/>
  <c r="U148" i="2" s="1"/>
  <c r="V148" i="2" s="1"/>
  <c r="W148" i="2" s="1"/>
  <c r="T213" i="2"/>
  <c r="U213" i="2" s="1"/>
  <c r="V213" i="2" s="1"/>
  <c r="W213" i="2" s="1"/>
  <c r="T196" i="2"/>
  <c r="U196" i="2" s="1"/>
  <c r="V196" i="2" s="1"/>
  <c r="W196" i="2" s="1"/>
  <c r="T199" i="2"/>
  <c r="U199" i="2" s="1"/>
  <c r="V199" i="2" s="1"/>
  <c r="W199" i="2" s="1"/>
  <c r="T122" i="2"/>
  <c r="U122" i="2" s="1"/>
  <c r="V122" i="2" s="1"/>
  <c r="W122" i="2" s="1"/>
  <c r="T88" i="2"/>
  <c r="U88" i="2" s="1"/>
  <c r="V88" i="2" s="1"/>
  <c r="W88" i="2" s="1"/>
  <c r="T126" i="2"/>
  <c r="U126" i="2" s="1"/>
  <c r="V126" i="2" s="1"/>
  <c r="W126" i="2" s="1"/>
  <c r="T200" i="2"/>
  <c r="U200" i="2" s="1"/>
  <c r="V200" i="2" s="1"/>
  <c r="W200" i="2" s="1"/>
  <c r="T142" i="2"/>
  <c r="U142" i="2" s="1"/>
  <c r="V142" i="2" s="1"/>
  <c r="W142" i="2" s="1"/>
  <c r="T70" i="2"/>
  <c r="U70" i="2" s="1"/>
  <c r="V70" i="2" s="1"/>
  <c r="W70" i="2" s="1"/>
  <c r="T108" i="2"/>
  <c r="U108" i="2" s="1"/>
  <c r="V108" i="2" s="1"/>
  <c r="W108" i="2" s="1"/>
  <c r="T72" i="2"/>
  <c r="U72" i="2" s="1"/>
  <c r="V72" i="2" s="1"/>
  <c r="W72" i="2" s="1"/>
  <c r="T161" i="2"/>
  <c r="U161" i="2" s="1"/>
  <c r="V161" i="2" s="1"/>
  <c r="W161" i="2" s="1"/>
  <c r="T120" i="2"/>
  <c r="U120" i="2" s="1"/>
  <c r="V120" i="2" s="1"/>
  <c r="W120" i="2" s="1"/>
  <c r="T182" i="2"/>
  <c r="U182" i="2" s="1"/>
  <c r="V182" i="2" s="1"/>
  <c r="W182" i="2" s="1"/>
  <c r="T164" i="2"/>
  <c r="U164" i="2" s="1"/>
  <c r="V164" i="2" s="1"/>
  <c r="W164" i="2" s="1"/>
  <c r="T221" i="2"/>
  <c r="U221" i="2" s="1"/>
  <c r="V221" i="2" s="1"/>
  <c r="W221" i="2" s="1"/>
  <c r="T77" i="2"/>
  <c r="U77" i="2" s="1"/>
  <c r="V77" i="2" s="1"/>
  <c r="W77" i="2" s="1"/>
  <c r="T157" i="2"/>
  <c r="U157" i="2" s="1"/>
  <c r="V157" i="2" s="1"/>
  <c r="W157" i="2" s="1"/>
  <c r="T85" i="2"/>
  <c r="U85" i="2" s="1"/>
  <c r="V85" i="2" s="1"/>
  <c r="W85" i="2" s="1"/>
  <c r="T140" i="2"/>
  <c r="U140" i="2" s="1"/>
  <c r="V140" i="2" s="1"/>
  <c r="W140" i="2" s="1"/>
  <c r="T139" i="2"/>
  <c r="U139" i="2" s="1"/>
  <c r="V139" i="2" s="1"/>
  <c r="W139" i="2" s="1"/>
  <c r="T91" i="2"/>
  <c r="U91" i="2" s="1"/>
  <c r="V91" i="2" s="1"/>
  <c r="W91" i="2" s="1"/>
  <c r="T195" i="2"/>
  <c r="U195" i="2" s="1"/>
  <c r="V195" i="2" s="1"/>
  <c r="W195" i="2" s="1"/>
  <c r="T110" i="2"/>
  <c r="U110" i="2" s="1"/>
  <c r="V110" i="2" s="1"/>
  <c r="W110" i="2" s="1"/>
  <c r="T78" i="2"/>
  <c r="U78" i="2" s="1"/>
  <c r="V78" i="2" s="1"/>
  <c r="W78" i="2" s="1"/>
  <c r="T202" i="2"/>
  <c r="U202" i="2" s="1"/>
  <c r="V202" i="2" s="1"/>
  <c r="W202" i="2" s="1"/>
  <c r="T76" i="2"/>
  <c r="U76" i="2" s="1"/>
  <c r="V76" i="2" s="1"/>
  <c r="W76" i="2" s="1"/>
  <c r="T57" i="2"/>
  <c r="U57" i="2" s="1"/>
  <c r="V57" i="2" s="1"/>
  <c r="W57" i="2" s="1"/>
  <c r="T63" i="2"/>
  <c r="U63" i="2" s="1"/>
  <c r="V63" i="2" s="1"/>
  <c r="W63" i="2" s="1"/>
  <c r="T32" i="2"/>
  <c r="T53" i="2"/>
  <c r="U53" i="2" s="1"/>
  <c r="V53" i="2" s="1"/>
  <c r="W53" i="2" s="1"/>
  <c r="T49" i="2"/>
  <c r="T42" i="2"/>
  <c r="U42" i="2" s="1"/>
  <c r="V42" i="2" s="1"/>
  <c r="W42" i="2" s="1"/>
  <c r="T34" i="2"/>
  <c r="U34" i="2" s="1"/>
  <c r="V34" i="2" s="1"/>
  <c r="W34" i="2" s="1"/>
  <c r="T43" i="2"/>
  <c r="T44" i="2"/>
  <c r="U44" i="2" s="1"/>
  <c r="V44" i="2" s="1"/>
  <c r="W44" i="2" s="1"/>
  <c r="T46" i="2"/>
  <c r="U46" i="2" s="1"/>
  <c r="V46" i="2" s="1"/>
  <c r="W46" i="2" s="1"/>
  <c r="T60" i="2"/>
  <c r="U60" i="2" s="1"/>
  <c r="V60" i="2" s="1"/>
  <c r="W60" i="2" s="1"/>
  <c r="T40" i="2"/>
  <c r="U40" i="2" s="1"/>
  <c r="V40" i="2" s="1"/>
  <c r="W40" i="2" s="1"/>
  <c r="T47" i="2"/>
  <c r="U47" i="2" s="1"/>
  <c r="V47" i="2" s="1"/>
  <c r="W47" i="2" s="1"/>
  <c r="T66" i="2"/>
  <c r="U66" i="2" s="1"/>
  <c r="V66" i="2" s="1"/>
  <c r="W66" i="2" s="1"/>
  <c r="T52" i="2"/>
  <c r="U52" i="2" s="1"/>
  <c r="V52" i="2" s="1"/>
  <c r="W52" i="2" s="1"/>
  <c r="N221" i="2"/>
  <c r="T41" i="2"/>
  <c r="U41" i="2" s="1"/>
  <c r="V41" i="2" s="1"/>
  <c r="W41" i="2" s="1"/>
  <c r="T48" i="2"/>
  <c r="U48" i="2" s="1"/>
  <c r="V48" i="2" s="1"/>
  <c r="W48" i="2" s="1"/>
  <c r="T36" i="2"/>
  <c r="U36" i="2" s="1"/>
  <c r="V36" i="2" s="1"/>
  <c r="W36" i="2" s="1"/>
  <c r="T64" i="2"/>
  <c r="U64" i="2" s="1"/>
  <c r="V64" i="2" s="1"/>
  <c r="W64" i="2" s="1"/>
  <c r="T61" i="2"/>
  <c r="U61" i="2" s="1"/>
  <c r="V61" i="2" s="1"/>
  <c r="W61" i="2" s="1"/>
  <c r="T54" i="2"/>
  <c r="U54" i="2" s="1"/>
  <c r="V54" i="2" s="1"/>
  <c r="W54" i="2" s="1"/>
  <c r="T33" i="2"/>
  <c r="U33" i="2" s="1"/>
  <c r="V33" i="2" s="1"/>
  <c r="W33" i="2" s="1"/>
  <c r="T51" i="2"/>
  <c r="U51" i="2" s="1"/>
  <c r="V51" i="2" s="1"/>
  <c r="W51" i="2" s="1"/>
  <c r="T38" i="2"/>
  <c r="U38" i="2" s="1"/>
  <c r="V38" i="2" s="1"/>
  <c r="W38" i="2" s="1"/>
  <c r="T62" i="2"/>
  <c r="T67" i="2"/>
  <c r="U67" i="2" s="1"/>
  <c r="V67" i="2" s="1"/>
  <c r="W67" i="2" s="1"/>
  <c r="T50" i="2"/>
  <c r="T37" i="2"/>
  <c r="U37" i="2" s="1"/>
  <c r="V37" i="2" s="1"/>
  <c r="W37" i="2" s="1"/>
  <c r="T59" i="2"/>
  <c r="T39" i="2"/>
  <c r="T45" i="2"/>
  <c r="U45" i="2" s="1"/>
  <c r="V45" i="2" s="1"/>
  <c r="W45" i="2" s="1"/>
  <c r="T58" i="2"/>
  <c r="U58" i="2" s="1"/>
  <c r="V58" i="2" s="1"/>
  <c r="W58" i="2" s="1"/>
  <c r="T68" i="2"/>
  <c r="U68" i="2" s="1"/>
  <c r="V68" i="2" s="1"/>
  <c r="W68" i="2" s="1"/>
  <c r="AZ20" i="2"/>
  <c r="AZ8" i="2"/>
  <c r="AZ19" i="2"/>
  <c r="AZ7" i="2"/>
  <c r="AZ18" i="2"/>
  <c r="AZ6" i="2"/>
  <c r="AZ17" i="2"/>
  <c r="AZ5" i="2"/>
  <c r="AZ16" i="2"/>
  <c r="AZ4" i="2"/>
  <c r="W65" i="3" s="1"/>
  <c r="AZ15" i="2"/>
  <c r="AZ14" i="2"/>
  <c r="AZ13" i="2"/>
  <c r="AZ12" i="2"/>
  <c r="AZ23" i="2"/>
  <c r="AZ11" i="2"/>
  <c r="AZ22" i="2"/>
  <c r="AZ10" i="2"/>
  <c r="AZ21" i="2"/>
  <c r="AZ9" i="2"/>
  <c r="BA4" i="2"/>
  <c r="P24" i="2"/>
  <c r="C39" i="3"/>
  <c r="C41" i="3"/>
  <c r="Q24" i="2"/>
  <c r="N188" i="2"/>
  <c r="X4" i="2"/>
  <c r="O12" i="3"/>
  <c r="M24" i="2"/>
  <c r="O24" i="2" s="1"/>
  <c r="N60" i="2"/>
  <c r="N135" i="2"/>
  <c r="N48" i="2"/>
  <c r="N216" i="2"/>
  <c r="N114" i="2"/>
  <c r="N43" i="2"/>
  <c r="N155" i="2"/>
  <c r="N228" i="2"/>
  <c r="N92" i="2"/>
  <c r="N143" i="2"/>
  <c r="N34" i="2"/>
  <c r="N199" i="2"/>
  <c r="N106" i="2"/>
  <c r="N94" i="2"/>
  <c r="N58" i="2"/>
  <c r="N112" i="2"/>
  <c r="N145" i="2"/>
  <c r="N33" i="2"/>
  <c r="N109" i="2"/>
  <c r="N77" i="2"/>
  <c r="N89" i="2"/>
  <c r="N51" i="2"/>
  <c r="N123" i="2"/>
  <c r="N156" i="2"/>
  <c r="N128" i="2"/>
  <c r="N175" i="2"/>
  <c r="N171" i="2"/>
  <c r="N181" i="2"/>
  <c r="N98" i="2"/>
  <c r="N99" i="2"/>
  <c r="N113" i="2"/>
  <c r="N95" i="2"/>
  <c r="N166" i="2"/>
  <c r="N38" i="2"/>
  <c r="N226" i="2"/>
  <c r="N117" i="2"/>
  <c r="N210" i="2"/>
  <c r="N146" i="2"/>
  <c r="N193" i="2"/>
  <c r="N121" i="2"/>
  <c r="N179" i="2"/>
  <c r="N222" i="2"/>
  <c r="N185" i="2"/>
  <c r="N87" i="2"/>
  <c r="N75" i="2"/>
  <c r="N170" i="2"/>
  <c r="N108" i="2"/>
  <c r="N72" i="2"/>
  <c r="N124" i="2"/>
  <c r="N70" i="2"/>
  <c r="N107" i="2"/>
  <c r="N39" i="2"/>
  <c r="N132" i="2"/>
  <c r="K30" i="2"/>
  <c r="L30" i="2"/>
  <c r="H30" i="2"/>
  <c r="U146" i="2"/>
  <c r="V146" i="2" s="1"/>
  <c r="W146" i="2" s="1"/>
  <c r="M211" i="2"/>
  <c r="M182" i="2"/>
  <c r="M86" i="2"/>
  <c r="G30" i="2"/>
  <c r="N36" i="2"/>
  <c r="N61" i="2"/>
  <c r="N139" i="2"/>
  <c r="N91" i="2"/>
  <c r="N200" i="2"/>
  <c r="N167" i="2"/>
  <c r="N69" i="2"/>
  <c r="N45" i="2"/>
  <c r="N147" i="2"/>
  <c r="N151" i="2"/>
  <c r="N127" i="2"/>
  <c r="N101" i="2"/>
  <c r="N150" i="2"/>
  <c r="N176" i="2"/>
  <c r="N82" i="2"/>
  <c r="N182" i="2"/>
  <c r="N81" i="2"/>
  <c r="P203" i="2"/>
  <c r="N84" i="2"/>
  <c r="P133" i="2"/>
  <c r="N104" i="2"/>
  <c r="N76" i="2"/>
  <c r="N208" i="2"/>
  <c r="N213" i="2"/>
  <c r="N165" i="2"/>
  <c r="P49" i="2"/>
  <c r="N118" i="2"/>
  <c r="N201" i="2"/>
  <c r="N85" i="2"/>
  <c r="N194" i="2"/>
  <c r="N110" i="2"/>
  <c r="N173" i="2"/>
  <c r="N157" i="2"/>
  <c r="N180" i="2"/>
  <c r="N119" i="2"/>
  <c r="N148" i="2"/>
  <c r="N37" i="2"/>
  <c r="N103" i="2"/>
  <c r="N141" i="2"/>
  <c r="N195" i="2"/>
  <c r="N138" i="2"/>
  <c r="N71" i="2"/>
  <c r="N56" i="2"/>
  <c r="N66" i="2"/>
  <c r="N55" i="2"/>
  <c r="N129" i="2"/>
  <c r="N172" i="2"/>
  <c r="N205" i="2"/>
  <c r="N126" i="2"/>
  <c r="P143" i="2"/>
  <c r="P216" i="2"/>
  <c r="M56" i="2"/>
  <c r="P56" i="2"/>
  <c r="P92" i="2"/>
  <c r="P79" i="2"/>
  <c r="P60" i="2"/>
  <c r="P45" i="2"/>
  <c r="P209" i="2"/>
  <c r="P98" i="2"/>
  <c r="M191" i="2"/>
  <c r="P191" i="2"/>
  <c r="M83" i="2"/>
  <c r="O83" i="2" s="1"/>
  <c r="P83" i="2"/>
  <c r="M214" i="2"/>
  <c r="P214" i="2"/>
  <c r="M93" i="2"/>
  <c r="P93" i="2"/>
  <c r="P38" i="2"/>
  <c r="M227" i="2"/>
  <c r="O227" i="2" s="1"/>
  <c r="P227" i="2"/>
  <c r="M131" i="2"/>
  <c r="P131" i="2"/>
  <c r="M121" i="2"/>
  <c r="O121" i="2" s="1"/>
  <c r="P121" i="2"/>
  <c r="P154" i="2"/>
  <c r="P175" i="2"/>
  <c r="M127" i="2"/>
  <c r="P127" i="2"/>
  <c r="P173" i="2"/>
  <c r="M66" i="2"/>
  <c r="P66" i="2"/>
  <c r="P206" i="2"/>
  <c r="P165" i="2"/>
  <c r="P48" i="2"/>
  <c r="M59" i="2"/>
  <c r="P59" i="2"/>
  <c r="M136" i="2"/>
  <c r="P136" i="2"/>
  <c r="M81" i="2"/>
  <c r="O81" i="2" s="1"/>
  <c r="P81" i="2"/>
  <c r="P220" i="2"/>
  <c r="P120" i="2"/>
  <c r="P215" i="2"/>
  <c r="M107" i="2"/>
  <c r="O107" i="2" s="1"/>
  <c r="P107" i="2"/>
  <c r="P180" i="2"/>
  <c r="M184" i="2"/>
  <c r="O184" i="2" s="1"/>
  <c r="P184" i="2"/>
  <c r="M104" i="2"/>
  <c r="P104" i="2"/>
  <c r="P202" i="2"/>
  <c r="P113" i="2"/>
  <c r="P167" i="2"/>
  <c r="M183" i="2"/>
  <c r="O183" i="2" s="1"/>
  <c r="P183" i="2"/>
  <c r="P69" i="2"/>
  <c r="P182" i="2"/>
  <c r="M181" i="2"/>
  <c r="O181" i="2" s="1"/>
  <c r="P181" i="2"/>
  <c r="M106" i="2"/>
  <c r="P106" i="2"/>
  <c r="M152" i="2"/>
  <c r="P152" i="2"/>
  <c r="M158" i="2"/>
  <c r="P158" i="2"/>
  <c r="P86" i="2"/>
  <c r="P224" i="2"/>
  <c r="P77" i="2"/>
  <c r="P157" i="2"/>
  <c r="P140" i="2"/>
  <c r="P91" i="2"/>
  <c r="Q184" i="2"/>
  <c r="P57" i="2"/>
  <c r="P200" i="2"/>
  <c r="P218" i="2"/>
  <c r="M35" i="2"/>
  <c r="P35" i="2"/>
  <c r="P119" i="2"/>
  <c r="P94" i="2"/>
  <c r="P212" i="2"/>
  <c r="P187" i="2"/>
  <c r="P208" i="2"/>
  <c r="P159" i="2"/>
  <c r="P117" i="2"/>
  <c r="N134" i="2"/>
  <c r="M169" i="2"/>
  <c r="P169" i="2"/>
  <c r="P72" i="2"/>
  <c r="P84" i="2"/>
  <c r="Q55" i="2"/>
  <c r="N57" i="2"/>
  <c r="P197" i="2"/>
  <c r="P178" i="2"/>
  <c r="P225" i="2"/>
  <c r="P162" i="2"/>
  <c r="M88" i="2"/>
  <c r="P88" i="2"/>
  <c r="M149" i="2"/>
  <c r="P149" i="2"/>
  <c r="M192" i="2"/>
  <c r="O192" i="2" s="1"/>
  <c r="P192" i="2"/>
  <c r="M128" i="2"/>
  <c r="O128" i="2" s="1"/>
  <c r="P128" i="2"/>
  <c r="M151" i="2"/>
  <c r="O151" i="2" s="1"/>
  <c r="P151" i="2"/>
  <c r="P229" i="2"/>
  <c r="M210" i="2"/>
  <c r="P210" i="2"/>
  <c r="P176" i="2"/>
  <c r="P34" i="2"/>
  <c r="P137" i="2"/>
  <c r="P118" i="2"/>
  <c r="M63" i="2"/>
  <c r="P63" i="2"/>
  <c r="P112" i="2"/>
  <c r="P161" i="2"/>
  <c r="P125" i="2"/>
  <c r="P228" i="2"/>
  <c r="M109" i="2"/>
  <c r="P109" i="2"/>
  <c r="P103" i="2"/>
  <c r="M201" i="2"/>
  <c r="P201" i="2"/>
  <c r="P148" i="2"/>
  <c r="M185" i="2"/>
  <c r="O185" i="2" s="1"/>
  <c r="P185" i="2"/>
  <c r="P146" i="2"/>
  <c r="M50" i="2"/>
  <c r="P50" i="2"/>
  <c r="P76" i="2"/>
  <c r="M42" i="2"/>
  <c r="P42" i="2"/>
  <c r="M55" i="2"/>
  <c r="P55" i="2"/>
  <c r="M160" i="2"/>
  <c r="O160" i="2" s="1"/>
  <c r="P160" i="2"/>
  <c r="P199" i="2"/>
  <c r="P37" i="2"/>
  <c r="P102" i="2"/>
  <c r="M54" i="2"/>
  <c r="P54" i="2"/>
  <c r="P179" i="2"/>
  <c r="P166" i="2"/>
  <c r="P101" i="2"/>
  <c r="M142" i="2"/>
  <c r="P142" i="2"/>
  <c r="M70" i="2"/>
  <c r="O70" i="2" s="1"/>
  <c r="P70" i="2"/>
  <c r="M32" i="2"/>
  <c r="P32" i="2"/>
  <c r="M67" i="2"/>
  <c r="P67" i="2"/>
  <c r="P108" i="2"/>
  <c r="M62" i="2"/>
  <c r="P62" i="2"/>
  <c r="P47" i="2"/>
  <c r="P129" i="2"/>
  <c r="P87" i="2"/>
  <c r="P114" i="2"/>
  <c r="P217" i="2"/>
  <c r="P64" i="2"/>
  <c r="P211" i="2"/>
  <c r="P221" i="2"/>
  <c r="P85" i="2"/>
  <c r="P139" i="2"/>
  <c r="P36" i="2"/>
  <c r="M65" i="2"/>
  <c r="P65" i="2"/>
  <c r="N54" i="2"/>
  <c r="P155" i="2"/>
  <c r="M145" i="2"/>
  <c r="P145" i="2"/>
  <c r="M73" i="2"/>
  <c r="P73" i="2"/>
  <c r="N80" i="2"/>
  <c r="N214" i="2"/>
  <c r="P130" i="2"/>
  <c r="P116" i="2"/>
  <c r="N115" i="2"/>
  <c r="N159" i="2"/>
  <c r="P171" i="2"/>
  <c r="N32" i="2"/>
  <c r="N100" i="2"/>
  <c r="M147" i="2"/>
  <c r="P147" i="2"/>
  <c r="M74" i="2"/>
  <c r="O74" i="2" s="1"/>
  <c r="P74" i="2"/>
  <c r="N227" i="2"/>
  <c r="M156" i="2"/>
  <c r="P156" i="2"/>
  <c r="M110" i="2"/>
  <c r="P110" i="2"/>
  <c r="N162" i="2"/>
  <c r="M122" i="2"/>
  <c r="P122" i="2"/>
  <c r="N204" i="2"/>
  <c r="P124" i="2"/>
  <c r="P52" i="2"/>
  <c r="M150" i="2"/>
  <c r="P150" i="2"/>
  <c r="P193" i="2"/>
  <c r="P100" i="2"/>
  <c r="P190" i="2"/>
  <c r="M204" i="2"/>
  <c r="P204" i="2"/>
  <c r="P61" i="2"/>
  <c r="P115" i="2"/>
  <c r="P198" i="2"/>
  <c r="P213" i="2"/>
  <c r="P33" i="2"/>
  <c r="P51" i="2"/>
  <c r="P78" i="2"/>
  <c r="P90" i="2"/>
  <c r="P170" i="2"/>
  <c r="P82" i="2"/>
  <c r="P80" i="2"/>
  <c r="P219" i="2"/>
  <c r="P111" i="2"/>
  <c r="P126" i="2"/>
  <c r="P132" i="2"/>
  <c r="M39" i="2"/>
  <c r="P39" i="2"/>
  <c r="M135" i="2"/>
  <c r="O135" i="2" s="1"/>
  <c r="P135" i="2"/>
  <c r="M153" i="2"/>
  <c r="P153" i="2"/>
  <c r="P144" i="2"/>
  <c r="M205" i="2"/>
  <c r="P205" i="2"/>
  <c r="M168" i="2"/>
  <c r="O168" i="2" s="1"/>
  <c r="P168" i="2"/>
  <c r="M68" i="2"/>
  <c r="P68" i="2"/>
  <c r="M53" i="2"/>
  <c r="P53" i="2"/>
  <c r="P164" i="2"/>
  <c r="P172" i="2"/>
  <c r="P141" i="2"/>
  <c r="P196" i="2"/>
  <c r="M222" i="2"/>
  <c r="P222" i="2"/>
  <c r="M71" i="2"/>
  <c r="P71" i="2"/>
  <c r="M97" i="2"/>
  <c r="O97" i="2" s="1"/>
  <c r="P97" i="2"/>
  <c r="M223" i="2"/>
  <c r="P223" i="2"/>
  <c r="M43" i="2"/>
  <c r="P43" i="2"/>
  <c r="M44" i="2"/>
  <c r="P44" i="2"/>
  <c r="M75" i="2"/>
  <c r="P75" i="2"/>
  <c r="P174" i="2"/>
  <c r="P89" i="2"/>
  <c r="P226" i="2"/>
  <c r="P123" i="2"/>
  <c r="P177" i="2"/>
  <c r="P138" i="2"/>
  <c r="P96" i="2"/>
  <c r="P195" i="2"/>
  <c r="N206" i="2"/>
  <c r="P194" i="2"/>
  <c r="P95" i="2"/>
  <c r="P58" i="2"/>
  <c r="M188" i="2"/>
  <c r="P188" i="2"/>
  <c r="P163" i="2"/>
  <c r="M99" i="2"/>
  <c r="O99" i="2" s="1"/>
  <c r="P99" i="2"/>
  <c r="N225" i="2"/>
  <c r="M105" i="2"/>
  <c r="P105" i="2"/>
  <c r="P40" i="2"/>
  <c r="N211" i="2"/>
  <c r="P186" i="2"/>
  <c r="N191" i="2"/>
  <c r="N41" i="2"/>
  <c r="M134" i="2"/>
  <c r="O134" i="2" s="1"/>
  <c r="P134" i="2"/>
  <c r="N168" i="2"/>
  <c r="N78" i="2"/>
  <c r="N197" i="2"/>
  <c r="N196" i="2"/>
  <c r="P189" i="2"/>
  <c r="N212" i="2"/>
  <c r="M41" i="2"/>
  <c r="P41" i="2"/>
  <c r="P207" i="2"/>
  <c r="P46" i="2"/>
  <c r="Q33" i="2"/>
  <c r="Q206" i="2"/>
  <c r="Q160" i="2"/>
  <c r="Q225" i="2"/>
  <c r="Q169" i="2"/>
  <c r="Q62" i="2"/>
  <c r="Q39" i="2"/>
  <c r="Q174" i="2"/>
  <c r="Q78" i="2"/>
  <c r="Q218" i="2"/>
  <c r="Q229" i="2"/>
  <c r="Q119" i="2"/>
  <c r="Q178" i="2"/>
  <c r="Q163" i="2"/>
  <c r="Q212" i="2"/>
  <c r="Q117" i="2"/>
  <c r="Q199" i="2"/>
  <c r="Q60" i="2"/>
  <c r="Q221" i="2"/>
  <c r="Q89" i="2"/>
  <c r="Q47" i="2"/>
  <c r="Q112" i="2"/>
  <c r="Q137" i="2"/>
  <c r="Q57" i="2"/>
  <c r="Q155" i="2"/>
  <c r="Q145" i="2"/>
  <c r="Q73" i="2"/>
  <c r="Q130" i="2"/>
  <c r="Q94" i="2"/>
  <c r="Q116" i="2"/>
  <c r="Q159" i="2"/>
  <c r="Q45" i="2"/>
  <c r="Q147" i="2"/>
  <c r="Q113" i="2"/>
  <c r="Q110" i="2"/>
  <c r="Q72" i="2"/>
  <c r="M162" i="2"/>
  <c r="Q162" i="2"/>
  <c r="Q108" i="2"/>
  <c r="Q189" i="2"/>
  <c r="Q150" i="2"/>
  <c r="Q165" i="2"/>
  <c r="Q95" i="2"/>
  <c r="Q171" i="2"/>
  <c r="Q166" i="2"/>
  <c r="Q51" i="2"/>
  <c r="Q99" i="2"/>
  <c r="Q105" i="2"/>
  <c r="Q49" i="2"/>
  <c r="Q217" i="2"/>
  <c r="Q204" i="2"/>
  <c r="Q41" i="2"/>
  <c r="Q120" i="2"/>
  <c r="Q194" i="2"/>
  <c r="Q143" i="2"/>
  <c r="Q133" i="2"/>
  <c r="Q61" i="2"/>
  <c r="Q216" i="2"/>
  <c r="Q52" i="2"/>
  <c r="Q118" i="2"/>
  <c r="Q46" i="2"/>
  <c r="Q92" i="2"/>
  <c r="Q175" i="2"/>
  <c r="Q115" i="2"/>
  <c r="Q79" i="2"/>
  <c r="Q148" i="2"/>
  <c r="Q164" i="2"/>
  <c r="Q173" i="2"/>
  <c r="Q36" i="2"/>
  <c r="Q156" i="2"/>
  <c r="Q191" i="2"/>
  <c r="Q214" i="2"/>
  <c r="Q121" i="2"/>
  <c r="Q192" i="2"/>
  <c r="Q80" i="2"/>
  <c r="Q128" i="2"/>
  <c r="Q111" i="2"/>
  <c r="Q101" i="2"/>
  <c r="Q66" i="2"/>
  <c r="Q180" i="2"/>
  <c r="Q88" i="2"/>
  <c r="Q170" i="2"/>
  <c r="Q135" i="2"/>
  <c r="Q153" i="2"/>
  <c r="Q107" i="2"/>
  <c r="Q205" i="2"/>
  <c r="Q68" i="2"/>
  <c r="Q201" i="2"/>
  <c r="Q104" i="2"/>
  <c r="Q64" i="2"/>
  <c r="Q185" i="2"/>
  <c r="Q50" i="2"/>
  <c r="Q161" i="2"/>
  <c r="Q183" i="2"/>
  <c r="Q69" i="2"/>
  <c r="Q56" i="2"/>
  <c r="Q207" i="2"/>
  <c r="Q193" i="2"/>
  <c r="M132" i="2"/>
  <c r="O132" i="2" s="1"/>
  <c r="Q132" i="2"/>
  <c r="Q203" i="2"/>
  <c r="Q53" i="2"/>
  <c r="Q71" i="2"/>
  <c r="Q181" i="2"/>
  <c r="Q142" i="2"/>
  <c r="Q106" i="2"/>
  <c r="Q70" i="2"/>
  <c r="Q152" i="2"/>
  <c r="Q223" i="2"/>
  <c r="Q43" i="2"/>
  <c r="Q67" i="2"/>
  <c r="Q75" i="2"/>
  <c r="Q102" i="2"/>
  <c r="Q122" i="2"/>
  <c r="Q158" i="2"/>
  <c r="Q38" i="2"/>
  <c r="Q86" i="2"/>
  <c r="M215" i="2"/>
  <c r="Q215" i="2"/>
  <c r="Q136" i="2"/>
  <c r="N116" i="2"/>
  <c r="Q186" i="2"/>
  <c r="M174" i="2"/>
  <c r="Q197" i="2"/>
  <c r="N47" i="2"/>
  <c r="Q226" i="2"/>
  <c r="Q190" i="2"/>
  <c r="Q187" i="2"/>
  <c r="Q224" i="2"/>
  <c r="Q219" i="2"/>
  <c r="Q123" i="2"/>
  <c r="Q32" i="2"/>
  <c r="Q129" i="2"/>
  <c r="M200" i="2"/>
  <c r="Q200" i="2"/>
  <c r="Q44" i="2"/>
  <c r="Q196" i="2"/>
  <c r="Q87" i="2"/>
  <c r="Q211" i="2"/>
  <c r="N152" i="2"/>
  <c r="M96" i="2"/>
  <c r="Q96" i="2"/>
  <c r="Q65" i="2"/>
  <c r="Q42" i="2"/>
  <c r="M138" i="2"/>
  <c r="Q177" i="2"/>
  <c r="Q83" i="2"/>
  <c r="Q188" i="2"/>
  <c r="Q93" i="2"/>
  <c r="Q124" i="2"/>
  <c r="Q144" i="2"/>
  <c r="Q227" i="2"/>
  <c r="Q134" i="2"/>
  <c r="Q74" i="2"/>
  <c r="Q34" i="2"/>
  <c r="Q213" i="2"/>
  <c r="Q209" i="2"/>
  <c r="M98" i="2"/>
  <c r="Q98" i="2"/>
  <c r="Q131" i="2"/>
  <c r="Q154" i="2"/>
  <c r="Q82" i="2"/>
  <c r="Q208" i="2"/>
  <c r="Q151" i="2"/>
  <c r="Q127" i="2"/>
  <c r="Q146" i="2"/>
  <c r="Q179" i="2"/>
  <c r="M165" i="2"/>
  <c r="M100" i="2"/>
  <c r="Q100" i="2"/>
  <c r="Q59" i="2"/>
  <c r="Q202" i="2"/>
  <c r="Q63" i="2"/>
  <c r="Q81" i="2"/>
  <c r="Q220" i="2"/>
  <c r="Q37" i="2"/>
  <c r="Q84" i="2"/>
  <c r="Q126" i="2"/>
  <c r="Q48" i="2"/>
  <c r="Q228" i="2"/>
  <c r="Q167" i="2"/>
  <c r="Q109" i="2"/>
  <c r="Q168" i="2"/>
  <c r="Q176" i="2"/>
  <c r="Q103" i="2"/>
  <c r="Q77" i="2"/>
  <c r="Q182" i="2"/>
  <c r="Q141" i="2"/>
  <c r="Q210" i="2"/>
  <c r="Q54" i="2"/>
  <c r="Q149" i="2"/>
  <c r="Q76" i="2"/>
  <c r="Q198" i="2"/>
  <c r="Q222" i="2"/>
  <c r="Q97" i="2"/>
  <c r="M218" i="2"/>
  <c r="Q157" i="2"/>
  <c r="Q85" i="2"/>
  <c r="Q35" i="2"/>
  <c r="Q195" i="2"/>
  <c r="M94" i="2"/>
  <c r="Q58" i="2"/>
  <c r="M212" i="2"/>
  <c r="Q140" i="2"/>
  <c r="Q139" i="2"/>
  <c r="Q91" i="2"/>
  <c r="M208" i="2"/>
  <c r="O208" i="2" s="1"/>
  <c r="N207" i="2"/>
  <c r="Q172" i="2"/>
  <c r="M159" i="2"/>
  <c r="N177" i="2"/>
  <c r="N164" i="2"/>
  <c r="N88" i="2"/>
  <c r="Q40" i="2"/>
  <c r="N224" i="2"/>
  <c r="N136" i="2"/>
  <c r="N93" i="2"/>
  <c r="Q125" i="2"/>
  <c r="Q114" i="2"/>
  <c r="N83" i="2"/>
  <c r="N131" i="2"/>
  <c r="N90" i="2"/>
  <c r="Q138" i="2"/>
  <c r="N137" i="2"/>
  <c r="N149" i="2"/>
  <c r="Q90" i="2"/>
  <c r="M78" i="2"/>
  <c r="N62" i="2"/>
  <c r="M120" i="2"/>
  <c r="N158" i="2"/>
  <c r="N161" i="2"/>
  <c r="M72" i="2"/>
  <c r="O72" i="2" s="1"/>
  <c r="M84" i="2"/>
  <c r="M161" i="2"/>
  <c r="M130" i="2"/>
  <c r="O130" i="2" s="1"/>
  <c r="M194" i="2"/>
  <c r="M95" i="2"/>
  <c r="O95" i="2" s="1"/>
  <c r="M58" i="2"/>
  <c r="M163" i="2"/>
  <c r="M40" i="2"/>
  <c r="M52" i="2"/>
  <c r="M143" i="2"/>
  <c r="O143" i="2" s="1"/>
  <c r="M61" i="2"/>
  <c r="M115" i="2"/>
  <c r="M79" i="2"/>
  <c r="N40" i="2"/>
  <c r="M60" i="2"/>
  <c r="N215" i="2"/>
  <c r="M189" i="2"/>
  <c r="O189" i="2" s="1"/>
  <c r="M33" i="2"/>
  <c r="M38" i="2"/>
  <c r="N74" i="2"/>
  <c r="M170" i="2"/>
  <c r="O170" i="2" s="1"/>
  <c r="M82" i="2"/>
  <c r="M219" i="2"/>
  <c r="N183" i="2"/>
  <c r="M111" i="2"/>
  <c r="M229" i="2"/>
  <c r="O229" i="2" s="1"/>
  <c r="M206" i="2"/>
  <c r="M137" i="2"/>
  <c r="M118" i="2"/>
  <c r="M144" i="2"/>
  <c r="N202" i="2"/>
  <c r="N174" i="2"/>
  <c r="M228" i="2"/>
  <c r="N169" i="2"/>
  <c r="M180" i="2"/>
  <c r="N64" i="2"/>
  <c r="M103" i="2"/>
  <c r="N219" i="2"/>
  <c r="M148" i="2"/>
  <c r="N86" i="2"/>
  <c r="M36" i="2"/>
  <c r="M113" i="2"/>
  <c r="O113" i="2" s="1"/>
  <c r="M167" i="2"/>
  <c r="M141" i="2"/>
  <c r="M69" i="2"/>
  <c r="O69" i="2" s="1"/>
  <c r="M196" i="2"/>
  <c r="N68" i="2"/>
  <c r="M37" i="2"/>
  <c r="M102" i="2"/>
  <c r="N73" i="2"/>
  <c r="M166" i="2"/>
  <c r="O166" i="2" s="1"/>
  <c r="M76" i="2"/>
  <c r="M176" i="2"/>
  <c r="M90" i="2"/>
  <c r="M197" i="2"/>
  <c r="M178" i="2"/>
  <c r="O178" i="2" s="1"/>
  <c r="M225" i="2"/>
  <c r="M101" i="2"/>
  <c r="N223" i="2"/>
  <c r="N111" i="2"/>
  <c r="M108" i="2"/>
  <c r="O108" i="2" s="1"/>
  <c r="N50" i="2"/>
  <c r="M47" i="2"/>
  <c r="N153" i="2"/>
  <c r="M45" i="2"/>
  <c r="M209" i="2"/>
  <c r="N140" i="2"/>
  <c r="M193" i="2"/>
  <c r="M89" i="2"/>
  <c r="O89" i="2" s="1"/>
  <c r="N218" i="2"/>
  <c r="N203" i="2"/>
  <c r="N144" i="2"/>
  <c r="M226" i="2"/>
  <c r="O226" i="2" s="1"/>
  <c r="N190" i="2"/>
  <c r="M224" i="2"/>
  <c r="M123" i="2"/>
  <c r="O123" i="2" s="1"/>
  <c r="N220" i="2"/>
  <c r="N189" i="2"/>
  <c r="M129" i="2"/>
  <c r="M87" i="2"/>
  <c r="N229" i="2"/>
  <c r="N65" i="2"/>
  <c r="N217" i="2"/>
  <c r="M114" i="2"/>
  <c r="O114" i="2" s="1"/>
  <c r="M217" i="2"/>
  <c r="O217" i="2" s="1"/>
  <c r="N142" i="2"/>
  <c r="N186" i="2"/>
  <c r="M207" i="2"/>
  <c r="M203" i="2"/>
  <c r="M119" i="2"/>
  <c r="M187" i="2"/>
  <c r="M117" i="2"/>
  <c r="O117" i="2" s="1"/>
  <c r="M155" i="2"/>
  <c r="O155" i="2" s="1"/>
  <c r="M116" i="2"/>
  <c r="M171" i="2"/>
  <c r="O171" i="2" s="1"/>
  <c r="M34" i="2"/>
  <c r="N96" i="2"/>
  <c r="N178" i="2"/>
  <c r="N79" i="2"/>
  <c r="M186" i="2"/>
  <c r="M124" i="2"/>
  <c r="O124" i="2" s="1"/>
  <c r="M133" i="2"/>
  <c r="O133" i="2" s="1"/>
  <c r="M216" i="2"/>
  <c r="O216" i="2" s="1"/>
  <c r="M92" i="2"/>
  <c r="N187" i="2"/>
  <c r="N52" i="2"/>
  <c r="N97" i="2"/>
  <c r="M198" i="2"/>
  <c r="N192" i="2"/>
  <c r="M51" i="2"/>
  <c r="N46" i="2"/>
  <c r="M154" i="2"/>
  <c r="O154" i="2" s="1"/>
  <c r="M80" i="2"/>
  <c r="O80" i="2" s="1"/>
  <c r="M175" i="2"/>
  <c r="O175" i="2" s="1"/>
  <c r="M173" i="2"/>
  <c r="M213" i="2"/>
  <c r="M46" i="2"/>
  <c r="N198" i="2"/>
  <c r="M48" i="2"/>
  <c r="M220" i="2"/>
  <c r="M112" i="2"/>
  <c r="N49" i="2"/>
  <c r="M49" i="2"/>
  <c r="M125" i="2"/>
  <c r="M146" i="2"/>
  <c r="O146" i="2" s="1"/>
  <c r="M202" i="2"/>
  <c r="O202" i="2" s="1"/>
  <c r="N102" i="2"/>
  <c r="N163" i="2"/>
  <c r="M172" i="2"/>
  <c r="N67" i="2"/>
  <c r="M199" i="2"/>
  <c r="O199" i="2" s="1"/>
  <c r="M179" i="2"/>
  <c r="M221" i="2"/>
  <c r="M77" i="2"/>
  <c r="O77" i="2" s="1"/>
  <c r="N35" i="2"/>
  <c r="M157" i="2"/>
  <c r="M85" i="2"/>
  <c r="M140" i="2"/>
  <c r="M139" i="2"/>
  <c r="M91" i="2"/>
  <c r="M195" i="2"/>
  <c r="M57" i="2"/>
  <c r="N125" i="2"/>
  <c r="N59" i="2"/>
  <c r="N122" i="2"/>
  <c r="M64" i="2"/>
  <c r="M177" i="2"/>
  <c r="N105" i="2"/>
  <c r="N44" i="2"/>
  <c r="N42" i="2"/>
  <c r="M126" i="2"/>
  <c r="N209" i="2"/>
  <c r="N53" i="2"/>
  <c r="M190" i="2"/>
  <c r="M164" i="2"/>
  <c r="O34" i="2" l="1"/>
  <c r="O61" i="2"/>
  <c r="AI190" i="2"/>
  <c r="O190" i="2"/>
  <c r="O31" i="3"/>
  <c r="O57" i="2"/>
  <c r="X116" i="2"/>
  <c r="O116" i="2"/>
  <c r="AI101" i="2"/>
  <c r="O101" i="2"/>
  <c r="X196" i="2"/>
  <c r="O196" i="2"/>
  <c r="X82" i="2"/>
  <c r="O82" i="2"/>
  <c r="AI98" i="2"/>
  <c r="O98" i="2"/>
  <c r="X200" i="2"/>
  <c r="O200" i="2"/>
  <c r="O68" i="2"/>
  <c r="AI147" i="2"/>
  <c r="O147" i="2"/>
  <c r="O35" i="2"/>
  <c r="X158" i="2"/>
  <c r="O158" i="2"/>
  <c r="AI93" i="2"/>
  <c r="O93" i="2"/>
  <c r="AI102" i="2"/>
  <c r="O102" i="2"/>
  <c r="AI84" i="2"/>
  <c r="O84" i="2"/>
  <c r="AI198" i="2"/>
  <c r="O198" i="2"/>
  <c r="AI115" i="2"/>
  <c r="O115" i="2"/>
  <c r="AI218" i="2"/>
  <c r="O218" i="2"/>
  <c r="AI223" i="2"/>
  <c r="O223" i="2"/>
  <c r="X164" i="2"/>
  <c r="O164" i="2"/>
  <c r="X195" i="2"/>
  <c r="O195" i="2"/>
  <c r="O46" i="2"/>
  <c r="AI225" i="2"/>
  <c r="O225" i="2"/>
  <c r="AI228" i="2"/>
  <c r="O228" i="2"/>
  <c r="O52" i="2"/>
  <c r="AI120" i="2"/>
  <c r="O120" i="2"/>
  <c r="AI100" i="2"/>
  <c r="O100" i="2"/>
  <c r="AI138" i="2"/>
  <c r="O138" i="2"/>
  <c r="AI162" i="2"/>
  <c r="O162" i="2"/>
  <c r="AI145" i="2"/>
  <c r="O145" i="2"/>
  <c r="X127" i="2"/>
  <c r="O127" i="2"/>
  <c r="O37" i="2"/>
  <c r="O19" i="3"/>
  <c r="O39" i="2"/>
  <c r="X73" i="2"/>
  <c r="O73" i="2"/>
  <c r="O32" i="2"/>
  <c r="O13" i="3"/>
  <c r="O63" i="2"/>
  <c r="AI172" i="2"/>
  <c r="O172" i="2"/>
  <c r="X91" i="2"/>
  <c r="O91" i="2"/>
  <c r="X213" i="2"/>
  <c r="O213" i="2"/>
  <c r="AI92" i="2"/>
  <c r="O92" i="2"/>
  <c r="AI87" i="2"/>
  <c r="O87" i="2"/>
  <c r="AI193" i="2"/>
  <c r="O193" i="2"/>
  <c r="X141" i="2"/>
  <c r="O141" i="2"/>
  <c r="O20" i="3"/>
  <c r="O40" i="2"/>
  <c r="AI165" i="2"/>
  <c r="O165" i="2"/>
  <c r="AI188" i="2"/>
  <c r="O188" i="2"/>
  <c r="AI71" i="2"/>
  <c r="O71" i="2"/>
  <c r="AI122" i="2"/>
  <c r="O122" i="2"/>
  <c r="X201" i="2"/>
  <c r="O201" i="2"/>
  <c r="X149" i="2"/>
  <c r="O149" i="2"/>
  <c r="AI169" i="2"/>
  <c r="O169" i="2"/>
  <c r="AI152" i="2"/>
  <c r="O152" i="2"/>
  <c r="AI214" i="2"/>
  <c r="O214" i="2"/>
  <c r="O56" i="2"/>
  <c r="AI103" i="2"/>
  <c r="O103" i="2"/>
  <c r="X150" i="2"/>
  <c r="O150" i="2"/>
  <c r="O67" i="2"/>
  <c r="AI180" i="2"/>
  <c r="O180" i="2"/>
  <c r="X173" i="2"/>
  <c r="O173" i="2"/>
  <c r="AI197" i="2"/>
  <c r="O197" i="2"/>
  <c r="O32" i="3"/>
  <c r="O58" i="2"/>
  <c r="AI215" i="2"/>
  <c r="O215" i="2"/>
  <c r="AI75" i="2"/>
  <c r="O75" i="2"/>
  <c r="AI222" i="2"/>
  <c r="O222" i="2"/>
  <c r="AI205" i="2"/>
  <c r="O205" i="2"/>
  <c r="X204" i="2"/>
  <c r="O204" i="2"/>
  <c r="AI88" i="2"/>
  <c r="O88" i="2"/>
  <c r="AI106" i="2"/>
  <c r="O106" i="2"/>
  <c r="O15" i="3"/>
  <c r="O66" i="2"/>
  <c r="AI174" i="2"/>
  <c r="O174" i="2"/>
  <c r="AI163" i="2"/>
  <c r="O163" i="2"/>
  <c r="O55" i="2"/>
  <c r="X104" i="2"/>
  <c r="O104" i="2"/>
  <c r="AI140" i="2"/>
  <c r="O140" i="2"/>
  <c r="X119" i="2"/>
  <c r="O119" i="2"/>
  <c r="AI209" i="2"/>
  <c r="O209" i="2"/>
  <c r="AI144" i="2"/>
  <c r="O144" i="2"/>
  <c r="AI85" i="2"/>
  <c r="O85" i="2"/>
  <c r="AI203" i="2"/>
  <c r="O203" i="2"/>
  <c r="O38" i="3"/>
  <c r="O45" i="2"/>
  <c r="AI176" i="2"/>
  <c r="O176" i="2"/>
  <c r="O36" i="2"/>
  <c r="X118" i="2"/>
  <c r="O118" i="2"/>
  <c r="AI94" i="2"/>
  <c r="O94" i="2"/>
  <c r="AI96" i="2"/>
  <c r="O96" i="2"/>
  <c r="O21" i="3"/>
  <c r="O41" i="2"/>
  <c r="AI110" i="2"/>
  <c r="O110" i="2"/>
  <c r="O65" i="2"/>
  <c r="O42" i="2"/>
  <c r="AI109" i="2"/>
  <c r="O109" i="2"/>
  <c r="AI210" i="2"/>
  <c r="O210" i="2"/>
  <c r="O59" i="2"/>
  <c r="X211" i="2"/>
  <c r="O211" i="2"/>
  <c r="AI179" i="2"/>
  <c r="O179" i="2"/>
  <c r="O27" i="3"/>
  <c r="O53" i="2"/>
  <c r="AI219" i="2"/>
  <c r="O219" i="2"/>
  <c r="AI139" i="2"/>
  <c r="O139" i="2"/>
  <c r="AI129" i="2"/>
  <c r="O129" i="2"/>
  <c r="X167" i="2"/>
  <c r="O167" i="2"/>
  <c r="X78" i="2"/>
  <c r="O78" i="2"/>
  <c r="AI212" i="2"/>
  <c r="O212" i="2"/>
  <c r="AI142" i="2"/>
  <c r="O142" i="2"/>
  <c r="AI136" i="2"/>
  <c r="O136" i="2"/>
  <c r="X90" i="2"/>
  <c r="O90" i="2"/>
  <c r="O33" i="2"/>
  <c r="X157" i="2"/>
  <c r="O157" i="2"/>
  <c r="AI125" i="2"/>
  <c r="O125" i="2"/>
  <c r="X186" i="2"/>
  <c r="O186" i="2"/>
  <c r="AI207" i="2"/>
  <c r="O207" i="2"/>
  <c r="AI76" i="2"/>
  <c r="O76" i="2"/>
  <c r="X137" i="2"/>
  <c r="O137" i="2"/>
  <c r="X194" i="2"/>
  <c r="O194" i="2"/>
  <c r="O37" i="3"/>
  <c r="O44" i="2"/>
  <c r="O62" i="2"/>
  <c r="AI191" i="2"/>
  <c r="O191" i="2"/>
  <c r="AI221" i="2"/>
  <c r="O221" i="2"/>
  <c r="AI111" i="2"/>
  <c r="O111" i="2"/>
  <c r="AI220" i="2"/>
  <c r="O220" i="2"/>
  <c r="O48" i="2"/>
  <c r="O38" i="2"/>
  <c r="X148" i="2"/>
  <c r="O148" i="2"/>
  <c r="AI206" i="2"/>
  <c r="O206" i="2"/>
  <c r="AI153" i="2"/>
  <c r="O153" i="2"/>
  <c r="AI156" i="2"/>
  <c r="O156" i="2"/>
  <c r="AI131" i="2"/>
  <c r="O131" i="2"/>
  <c r="X86" i="2"/>
  <c r="O86" i="2"/>
  <c r="AI112" i="2"/>
  <c r="O112" i="2"/>
  <c r="AI79" i="2"/>
  <c r="O79" i="2"/>
  <c r="AI126" i="2"/>
  <c r="O126" i="2"/>
  <c r="AI187" i="2"/>
  <c r="O187" i="2"/>
  <c r="AI177" i="2"/>
  <c r="O177" i="2"/>
  <c r="O49" i="2"/>
  <c r="AI224" i="2"/>
  <c r="O224" i="2"/>
  <c r="O39" i="3"/>
  <c r="O47" i="2"/>
  <c r="O33" i="3"/>
  <c r="O60" i="2"/>
  <c r="O14" i="3"/>
  <c r="O64" i="2"/>
  <c r="O26" i="3"/>
  <c r="O51" i="2"/>
  <c r="AI161" i="2"/>
  <c r="O161" i="2"/>
  <c r="X159" i="2"/>
  <c r="O159" i="2"/>
  <c r="AI105" i="2"/>
  <c r="O105" i="2"/>
  <c r="O43" i="2"/>
  <c r="O54" i="2"/>
  <c r="O25" i="3"/>
  <c r="O50" i="2"/>
  <c r="X182" i="2"/>
  <c r="O182" i="2"/>
  <c r="W67" i="3"/>
  <c r="Y65" i="3"/>
  <c r="Y66" i="3"/>
  <c r="Y68" i="3"/>
  <c r="Y69" i="3"/>
  <c r="Y67" i="3"/>
  <c r="W68" i="3"/>
  <c r="C40" i="3"/>
  <c r="W66" i="3"/>
  <c r="W69" i="3"/>
  <c r="T5" i="2"/>
  <c r="T8" i="2"/>
  <c r="R8" i="2" s="1"/>
  <c r="T6" i="2"/>
  <c r="R6" i="2" s="1"/>
  <c r="T9" i="2"/>
  <c r="R9" i="2" s="1"/>
  <c r="T7" i="2"/>
  <c r="R7" i="2" s="1"/>
  <c r="T23" i="2"/>
  <c r="R23" i="2" s="1"/>
  <c r="T11" i="2"/>
  <c r="R11" i="2" s="1"/>
  <c r="T22" i="2"/>
  <c r="R22" i="2" s="1"/>
  <c r="T10" i="2"/>
  <c r="R10" i="2" s="1"/>
  <c r="T21" i="2"/>
  <c r="R21" i="2" s="1"/>
  <c r="T20" i="2"/>
  <c r="R20" i="2" s="1"/>
  <c r="T12" i="2"/>
  <c r="R12" i="2" s="1"/>
  <c r="T19" i="2"/>
  <c r="R19" i="2" s="1"/>
  <c r="T18" i="2"/>
  <c r="R18" i="2" s="1"/>
  <c r="T17" i="2"/>
  <c r="R17" i="2" s="1"/>
  <c r="T16" i="2"/>
  <c r="R16" i="2" s="1"/>
  <c r="T15" i="2"/>
  <c r="R15" i="2" s="1"/>
  <c r="T14" i="2"/>
  <c r="R14" i="2" s="1"/>
  <c r="T13" i="2"/>
  <c r="R13" i="2" s="1"/>
  <c r="T4" i="2"/>
  <c r="C36" i="3" s="1"/>
  <c r="U56" i="2"/>
  <c r="U32" i="2"/>
  <c r="U43" i="2"/>
  <c r="U39" i="2"/>
  <c r="U49" i="2"/>
  <c r="U69" i="2"/>
  <c r="X24" i="2"/>
  <c r="Y4" i="2" s="1"/>
  <c r="U50" i="2"/>
  <c r="V50" i="2" s="1"/>
  <c r="W50" i="2" s="1"/>
  <c r="U59" i="2"/>
  <c r="V59" i="2" s="1"/>
  <c r="W59" i="2" s="1"/>
  <c r="U62" i="2"/>
  <c r="U4" i="2" s="1"/>
  <c r="BA24" i="2"/>
  <c r="Y70" i="3" s="1"/>
  <c r="AZ24" i="2"/>
  <c r="W70" i="3" s="1"/>
  <c r="AF43" i="2"/>
  <c r="AI43" i="2" s="1"/>
  <c r="AF48" i="2"/>
  <c r="AI48" i="2" s="1"/>
  <c r="AF57" i="2"/>
  <c r="AI57" i="2" s="1"/>
  <c r="AF58" i="2"/>
  <c r="AI58" i="2" s="1"/>
  <c r="AF65" i="2"/>
  <c r="AI65" i="2" s="1"/>
  <c r="E41" i="3"/>
  <c r="D39" i="3"/>
  <c r="X56" i="2"/>
  <c r="X66" i="2"/>
  <c r="X61" i="2"/>
  <c r="X41" i="2"/>
  <c r="M30" i="2"/>
  <c r="O30" i="2" s="1"/>
  <c r="P30" i="2"/>
  <c r="N30" i="2"/>
  <c r="AI182" i="2"/>
  <c r="X126" i="2"/>
  <c r="X174" i="2"/>
  <c r="AI211" i="2"/>
  <c r="AI86" i="2"/>
  <c r="AI150" i="2"/>
  <c r="X111" i="2"/>
  <c r="X147" i="2"/>
  <c r="X221" i="2"/>
  <c r="X220" i="2"/>
  <c r="X87" i="2"/>
  <c r="X103" i="2"/>
  <c r="X69" i="2"/>
  <c r="X102" i="2"/>
  <c r="X176" i="2"/>
  <c r="X128" i="2"/>
  <c r="X207" i="2"/>
  <c r="X60" i="2"/>
  <c r="X219" i="2"/>
  <c r="X39" i="2"/>
  <c r="X210" i="2"/>
  <c r="X139" i="2"/>
  <c r="X169" i="2"/>
  <c r="X53" i="2"/>
  <c r="X70" i="2"/>
  <c r="X71" i="2"/>
  <c r="X48" i="2"/>
  <c r="X100" i="2"/>
  <c r="X38" i="2"/>
  <c r="X93" i="2"/>
  <c r="X177" i="2"/>
  <c r="X172" i="2"/>
  <c r="X160" i="2"/>
  <c r="X162" i="2"/>
  <c r="X81" i="2"/>
  <c r="X136" i="2"/>
  <c r="X185" i="2"/>
  <c r="X129" i="2"/>
  <c r="X68" i="2"/>
  <c r="X55" i="2"/>
  <c r="X206" i="2"/>
  <c r="X99" i="2"/>
  <c r="X165" i="2"/>
  <c r="X216" i="2"/>
  <c r="X122" i="2"/>
  <c r="X85" i="2"/>
  <c r="X113" i="2"/>
  <c r="X123" i="2"/>
  <c r="X145" i="2"/>
  <c r="X140" i="2"/>
  <c r="X188" i="2"/>
  <c r="X120" i="2"/>
  <c r="X212" i="2"/>
  <c r="X95" i="2"/>
  <c r="X52" i="2"/>
  <c r="X209" i="2"/>
  <c r="X98" i="2"/>
  <c r="X142" i="2"/>
  <c r="X214" i="2"/>
  <c r="X181" i="2"/>
  <c r="X101" i="2"/>
  <c r="X34" i="2"/>
  <c r="X112" i="2"/>
  <c r="X133" i="2"/>
  <c r="AI83" i="2"/>
  <c r="X83" i="2"/>
  <c r="AI217" i="2"/>
  <c r="X217" i="2"/>
  <c r="X37" i="2"/>
  <c r="X94" i="2"/>
  <c r="X58" i="2"/>
  <c r="X114" i="2"/>
  <c r="X62" i="2"/>
  <c r="X79" i="2"/>
  <c r="X163" i="2"/>
  <c r="X54" i="2"/>
  <c r="X51" i="2"/>
  <c r="X77" i="2"/>
  <c r="X57" i="2"/>
  <c r="X170" i="2"/>
  <c r="AI74" i="2"/>
  <c r="X74" i="2"/>
  <c r="X75" i="2"/>
  <c r="X187" i="2"/>
  <c r="X106" i="2"/>
  <c r="X47" i="2"/>
  <c r="X190" i="2"/>
  <c r="X67" i="2"/>
  <c r="X191" i="2"/>
  <c r="X43" i="2"/>
  <c r="X155" i="2"/>
  <c r="X44" i="2"/>
  <c r="X117" i="2"/>
  <c r="X32" i="2"/>
  <c r="X197" i="2"/>
  <c r="AI189" i="2"/>
  <c r="X189" i="2"/>
  <c r="AI134" i="2"/>
  <c r="X134" i="2"/>
  <c r="X89" i="2"/>
  <c r="X226" i="2"/>
  <c r="X121" i="2"/>
  <c r="X63" i="2"/>
  <c r="X108" i="2"/>
  <c r="X223" i="2"/>
  <c r="X59" i="2"/>
  <c r="X154" i="2"/>
  <c r="X135" i="2"/>
  <c r="X222" i="2"/>
  <c r="AI178" i="2"/>
  <c r="X178" i="2"/>
  <c r="AI168" i="2"/>
  <c r="X168" i="2"/>
  <c r="X45" i="2"/>
  <c r="X193" i="2"/>
  <c r="X203" i="2"/>
  <c r="X132" i="2"/>
  <c r="X153" i="2"/>
  <c r="X180" i="2"/>
  <c r="X179" i="2"/>
  <c r="X138" i="2"/>
  <c r="X144" i="2"/>
  <c r="X125" i="2"/>
  <c r="X152" i="2"/>
  <c r="X109" i="2"/>
  <c r="X92" i="2"/>
  <c r="X171" i="2"/>
  <c r="X84" i="2"/>
  <c r="AI202" i="2"/>
  <c r="X202" i="2"/>
  <c r="X65" i="2"/>
  <c r="X184" i="2"/>
  <c r="X72" i="2"/>
  <c r="X146" i="2"/>
  <c r="X36" i="2"/>
  <c r="X46" i="2"/>
  <c r="X96" i="2"/>
  <c r="X151" i="2"/>
  <c r="AI107" i="2"/>
  <c r="X107" i="2"/>
  <c r="X198" i="2"/>
  <c r="X156" i="2"/>
  <c r="X88" i="2"/>
  <c r="AI227" i="2"/>
  <c r="X227" i="2"/>
  <c r="X49" i="2"/>
  <c r="AI229" i="2"/>
  <c r="X229" i="2"/>
  <c r="AI183" i="2"/>
  <c r="X183" i="2"/>
  <c r="X124" i="2"/>
  <c r="X175" i="2"/>
  <c r="X205" i="2"/>
  <c r="X105" i="2"/>
  <c r="AI80" i="2"/>
  <c r="X80" i="2"/>
  <c r="X42" i="2"/>
  <c r="X131" i="2"/>
  <c r="X76" i="2"/>
  <c r="AI97" i="2"/>
  <c r="X97" i="2"/>
  <c r="AI192" i="2"/>
  <c r="X192" i="2"/>
  <c r="X199" i="2"/>
  <c r="X35" i="2"/>
  <c r="X33" i="2"/>
  <c r="X215" i="2"/>
  <c r="X110" i="2"/>
  <c r="X218" i="2"/>
  <c r="X40" i="2"/>
  <c r="X225" i="2"/>
  <c r="X64" i="2"/>
  <c r="X161" i="2"/>
  <c r="X50" i="2"/>
  <c r="X166" i="2"/>
  <c r="X130" i="2"/>
  <c r="X115" i="2"/>
  <c r="X208" i="2"/>
  <c r="X224" i="2"/>
  <c r="X143" i="2"/>
  <c r="X228" i="2"/>
  <c r="AI181" i="2"/>
  <c r="AI128" i="2"/>
  <c r="AI99" i="2"/>
  <c r="AI127" i="2"/>
  <c r="AI104" i="2"/>
  <c r="AI121" i="2"/>
  <c r="AI184" i="2"/>
  <c r="AJ184" i="2" s="1"/>
  <c r="AP184" i="2" s="1"/>
  <c r="AI151" i="2"/>
  <c r="AI135" i="2"/>
  <c r="AI132" i="2"/>
  <c r="AI81" i="2"/>
  <c r="AJ81" i="2" s="1"/>
  <c r="AP81" i="2" s="1"/>
  <c r="AI160" i="2"/>
  <c r="AJ160" i="2" s="1"/>
  <c r="AP160" i="2" s="1"/>
  <c r="AI204" i="2"/>
  <c r="AI200" i="2"/>
  <c r="AI91" i="2"/>
  <c r="AI108" i="2"/>
  <c r="AI159" i="2"/>
  <c r="AI195" i="2"/>
  <c r="AI208" i="2"/>
  <c r="AI154" i="2"/>
  <c r="AJ154" i="2" s="1"/>
  <c r="AP154" i="2" s="1"/>
  <c r="AI166" i="2"/>
  <c r="AI141" i="2"/>
  <c r="AI77" i="2"/>
  <c r="AI78" i="2"/>
  <c r="AI213" i="2"/>
  <c r="AI113" i="2"/>
  <c r="AI116" i="2"/>
  <c r="AI90" i="2"/>
  <c r="AI226" i="2"/>
  <c r="AI173" i="2"/>
  <c r="AI118" i="2"/>
  <c r="AI89" i="2"/>
  <c r="AI123" i="2"/>
  <c r="AI124" i="2"/>
  <c r="AI72" i="2"/>
  <c r="AI164" i="2"/>
  <c r="AI137" i="2"/>
  <c r="AI186" i="2"/>
  <c r="AI201" i="2"/>
  <c r="AI185" i="2"/>
  <c r="AI149" i="2"/>
  <c r="AI146" i="2"/>
  <c r="AI114" i="2"/>
  <c r="AI157" i="2"/>
  <c r="AI70" i="2"/>
  <c r="AI158" i="2"/>
  <c r="AI199" i="2"/>
  <c r="AI73" i="2"/>
  <c r="AI82" i="2"/>
  <c r="AI196" i="2"/>
  <c r="AI95" i="2"/>
  <c r="AI171" i="2"/>
  <c r="AI155" i="2"/>
  <c r="AI170" i="2"/>
  <c r="AI133" i="2"/>
  <c r="AI143" i="2"/>
  <c r="AI175" i="2"/>
  <c r="AI69" i="2"/>
  <c r="AI130" i="2"/>
  <c r="AI148" i="2"/>
  <c r="AI117" i="2"/>
  <c r="AI119" i="2"/>
  <c r="AI194" i="2"/>
  <c r="AI216" i="2"/>
  <c r="AI167" i="2"/>
  <c r="AJ218" i="2" l="1"/>
  <c r="AP218" i="2" s="1"/>
  <c r="AJ225" i="2"/>
  <c r="AP225" i="2" s="1"/>
  <c r="AJ162" i="2"/>
  <c r="AP162" i="2" s="1"/>
  <c r="AJ197" i="2"/>
  <c r="AP197" i="2" s="1"/>
  <c r="AJ71" i="2"/>
  <c r="AP71" i="2" s="1"/>
  <c r="AJ85" i="2"/>
  <c r="AP85" i="2" s="1"/>
  <c r="AJ94" i="2"/>
  <c r="AP94" i="2" s="1"/>
  <c r="AJ163" i="2"/>
  <c r="AP163" i="2" s="1"/>
  <c r="AJ115" i="2"/>
  <c r="AP115" i="2" s="1"/>
  <c r="AJ193" i="2"/>
  <c r="AP193" i="2" s="1"/>
  <c r="AJ228" i="2"/>
  <c r="AP228" i="2" s="1"/>
  <c r="AJ161" i="2"/>
  <c r="AP161" i="2" s="1"/>
  <c r="AJ122" i="2"/>
  <c r="AP122" i="2" s="1"/>
  <c r="AJ177" i="2"/>
  <c r="AP177" i="2" s="1"/>
  <c r="AJ207" i="2"/>
  <c r="AP207" i="2" s="1"/>
  <c r="AJ109" i="2"/>
  <c r="AP109" i="2" s="1"/>
  <c r="AF40" i="2"/>
  <c r="AI40" i="2" s="1"/>
  <c r="AJ40" i="2" s="1"/>
  <c r="AP40" i="2" s="1"/>
  <c r="AF36" i="2"/>
  <c r="AI36" i="2" s="1"/>
  <c r="AJ36" i="2" s="1"/>
  <c r="AP36" i="2" s="1"/>
  <c r="AF33" i="2"/>
  <c r="AI33" i="2" s="1"/>
  <c r="AJ33" i="2" s="1"/>
  <c r="AP33" i="2" s="1"/>
  <c r="AF37" i="2"/>
  <c r="AI37" i="2" s="1"/>
  <c r="AJ37" i="2" s="1"/>
  <c r="AP37" i="2" s="1"/>
  <c r="AF34" i="2"/>
  <c r="AI34" i="2" s="1"/>
  <c r="AJ34" i="2" s="1"/>
  <c r="AP34" i="2" s="1"/>
  <c r="AF39" i="2"/>
  <c r="AI39" i="2" s="1"/>
  <c r="AJ39" i="2" s="1"/>
  <c r="AP39" i="2" s="1"/>
  <c r="AJ84" i="2"/>
  <c r="AP84" i="2" s="1"/>
  <c r="AJ102" i="2"/>
  <c r="AP102" i="2" s="1"/>
  <c r="AJ169" i="2"/>
  <c r="AP169" i="2" s="1"/>
  <c r="AJ165" i="2"/>
  <c r="AP165" i="2" s="1"/>
  <c r="AJ100" i="2"/>
  <c r="AP100" i="2" s="1"/>
  <c r="AJ75" i="2"/>
  <c r="AP75" i="2" s="1"/>
  <c r="AJ110" i="2"/>
  <c r="AP110" i="2" s="1"/>
  <c r="AJ206" i="2"/>
  <c r="AP206" i="2" s="1"/>
  <c r="AJ76" i="2"/>
  <c r="AP76" i="2" s="1"/>
  <c r="AJ126" i="2"/>
  <c r="AP126" i="2" s="1"/>
  <c r="AJ153" i="2"/>
  <c r="AP153" i="2" s="1"/>
  <c r="AJ111" i="2"/>
  <c r="AP111" i="2" s="1"/>
  <c r="AJ140" i="2"/>
  <c r="AP140" i="2" s="1"/>
  <c r="AJ106" i="2"/>
  <c r="AP106" i="2" s="1"/>
  <c r="AJ176" i="2"/>
  <c r="AP176" i="2" s="1"/>
  <c r="U5" i="2"/>
  <c r="V5" i="2" s="1"/>
  <c r="W5" i="2" s="1"/>
  <c r="U8" i="2"/>
  <c r="S8" i="2" s="1"/>
  <c r="AJ223" i="2"/>
  <c r="AP223" i="2" s="1"/>
  <c r="U9" i="2"/>
  <c r="V9" i="2" s="1"/>
  <c r="W9" i="2" s="1"/>
  <c r="AJ210" i="2"/>
  <c r="AP210" i="2" s="1"/>
  <c r="AJ219" i="2"/>
  <c r="AP219" i="2" s="1"/>
  <c r="AJ145" i="2"/>
  <c r="AP145" i="2" s="1"/>
  <c r="AJ224" i="2"/>
  <c r="AP224" i="2" s="1"/>
  <c r="AJ112" i="2"/>
  <c r="AP112" i="2" s="1"/>
  <c r="AJ191" i="2"/>
  <c r="AP191" i="2" s="1"/>
  <c r="AJ136" i="2"/>
  <c r="AP136" i="2" s="1"/>
  <c r="AJ139" i="2"/>
  <c r="AP139" i="2" s="1"/>
  <c r="AJ96" i="2"/>
  <c r="AP96" i="2" s="1"/>
  <c r="AJ203" i="2"/>
  <c r="AP203" i="2" s="1"/>
  <c r="AJ88" i="2"/>
  <c r="AP88" i="2" s="1"/>
  <c r="AJ103" i="2"/>
  <c r="AP103" i="2" s="1"/>
  <c r="AJ172" i="2"/>
  <c r="AP172" i="2" s="1"/>
  <c r="AJ93" i="2"/>
  <c r="AP93" i="2" s="1"/>
  <c r="AJ98" i="2"/>
  <c r="AP98" i="2" s="1"/>
  <c r="AJ190" i="2"/>
  <c r="AP190" i="2" s="1"/>
  <c r="AJ142" i="2"/>
  <c r="AP142" i="2" s="1"/>
  <c r="AJ144" i="2"/>
  <c r="AP144" i="2" s="1"/>
  <c r="AJ205" i="2"/>
  <c r="AP205" i="2" s="1"/>
  <c r="AJ87" i="2"/>
  <c r="AP87" i="2" s="1"/>
  <c r="AJ129" i="2"/>
  <c r="AP129" i="2" s="1"/>
  <c r="AJ131" i="2"/>
  <c r="AP131" i="2" s="1"/>
  <c r="AJ125" i="2"/>
  <c r="AP125" i="2" s="1"/>
  <c r="AJ212" i="2"/>
  <c r="AP212" i="2" s="1"/>
  <c r="AJ214" i="2"/>
  <c r="AP214" i="2" s="1"/>
  <c r="AJ105" i="2"/>
  <c r="AP105" i="2" s="1"/>
  <c r="AJ79" i="2"/>
  <c r="AP79" i="2" s="1"/>
  <c r="AJ221" i="2"/>
  <c r="AP221" i="2" s="1"/>
  <c r="AJ215" i="2"/>
  <c r="AP215" i="2" s="1"/>
  <c r="AJ120" i="2"/>
  <c r="AP120" i="2" s="1"/>
  <c r="AJ188" i="2"/>
  <c r="AP188" i="2" s="1"/>
  <c r="AJ138" i="2"/>
  <c r="AP138" i="2" s="1"/>
  <c r="AJ152" i="2"/>
  <c r="AP152" i="2" s="1"/>
  <c r="AJ101" i="2"/>
  <c r="AP101" i="2" s="1"/>
  <c r="AJ220" i="2"/>
  <c r="AP220" i="2" s="1"/>
  <c r="AJ174" i="2"/>
  <c r="AP174" i="2" s="1"/>
  <c r="AJ147" i="2"/>
  <c r="AP147" i="2" s="1"/>
  <c r="AJ187" i="2"/>
  <c r="AP187" i="2" s="1"/>
  <c r="AJ222" i="2"/>
  <c r="AP222" i="2" s="1"/>
  <c r="AJ198" i="2"/>
  <c r="AP198" i="2" s="1"/>
  <c r="AJ179" i="2"/>
  <c r="AP179" i="2" s="1"/>
  <c r="AJ156" i="2"/>
  <c r="AP156" i="2" s="1"/>
  <c r="AJ209" i="2"/>
  <c r="AP209" i="2" s="1"/>
  <c r="AJ92" i="2"/>
  <c r="AP92" i="2" s="1"/>
  <c r="AJ180" i="2"/>
  <c r="AP180" i="2" s="1"/>
  <c r="U7" i="2"/>
  <c r="S7" i="2" s="1"/>
  <c r="U23" i="2"/>
  <c r="S23" i="2" s="1"/>
  <c r="U11" i="2"/>
  <c r="S11" i="2" s="1"/>
  <c r="U22" i="2"/>
  <c r="S22" i="2" s="1"/>
  <c r="U10" i="2"/>
  <c r="S10" i="2" s="1"/>
  <c r="U21" i="2"/>
  <c r="S21" i="2" s="1"/>
  <c r="U20" i="2"/>
  <c r="S20" i="2" s="1"/>
  <c r="U19" i="2"/>
  <c r="S19" i="2" s="1"/>
  <c r="U18" i="2"/>
  <c r="S18" i="2" s="1"/>
  <c r="U17" i="2"/>
  <c r="S17" i="2" s="1"/>
  <c r="U16" i="2"/>
  <c r="S16" i="2" s="1"/>
  <c r="U15" i="2"/>
  <c r="S15" i="2" s="1"/>
  <c r="U14" i="2"/>
  <c r="V14" i="2" s="1"/>
  <c r="W14" i="2" s="1"/>
  <c r="U13" i="2"/>
  <c r="S13" i="2" s="1"/>
  <c r="U12" i="2"/>
  <c r="S12" i="2" s="1"/>
  <c r="U6" i="2"/>
  <c r="S6" i="2" s="1"/>
  <c r="V32" i="2"/>
  <c r="W32" i="2" s="1"/>
  <c r="V56" i="2"/>
  <c r="W56" i="2" s="1"/>
  <c r="V49" i="2"/>
  <c r="W49" i="2" s="1"/>
  <c r="V62" i="2"/>
  <c r="W62" i="2" s="1"/>
  <c r="V39" i="2"/>
  <c r="W39" i="2" s="1"/>
  <c r="V43" i="2"/>
  <c r="W43" i="2" s="1"/>
  <c r="V69" i="2"/>
  <c r="W69" i="2" s="1"/>
  <c r="D36" i="3"/>
  <c r="D37" i="3" s="1"/>
  <c r="R4" i="2"/>
  <c r="Q12" i="3" s="1"/>
  <c r="Y6" i="2"/>
  <c r="AA6" i="2" s="1"/>
  <c r="Y9" i="2"/>
  <c r="AA9" i="2" s="1"/>
  <c r="Y8" i="2"/>
  <c r="Z8" i="2" s="1"/>
  <c r="Y7" i="2"/>
  <c r="Z7" i="2" s="1"/>
  <c r="Y5" i="2"/>
  <c r="Z5" i="2" s="1"/>
  <c r="Y22" i="2"/>
  <c r="AA22" i="2" s="1"/>
  <c r="Y18" i="2"/>
  <c r="AA18" i="2" s="1"/>
  <c r="Y14" i="2"/>
  <c r="Z14" i="2" s="1"/>
  <c r="Y20" i="2"/>
  <c r="Z20" i="2" s="1"/>
  <c r="Y23" i="2"/>
  <c r="Z23" i="2" s="1"/>
  <c r="Y13" i="2"/>
  <c r="Z13" i="2" s="1"/>
  <c r="Y19" i="2"/>
  <c r="Z19" i="2" s="1"/>
  <c r="Y11" i="2"/>
  <c r="Z11" i="2" s="1"/>
  <c r="Y17" i="2"/>
  <c r="Z17" i="2" s="1"/>
  <c r="Y10" i="2"/>
  <c r="AA10" i="2" s="1"/>
  <c r="Y15" i="2"/>
  <c r="Z15" i="2" s="1"/>
  <c r="Y16" i="2"/>
  <c r="Z16" i="2" s="1"/>
  <c r="Y12" i="2"/>
  <c r="Z12" i="2" s="1"/>
  <c r="Y21" i="2"/>
  <c r="Z21" i="2" s="1"/>
  <c r="C37" i="3"/>
  <c r="AJ128" i="2"/>
  <c r="AP128" i="2" s="1"/>
  <c r="T24" i="2"/>
  <c r="R5" i="2"/>
  <c r="AJ107" i="2"/>
  <c r="AP107" i="2" s="1"/>
  <c r="AF35" i="2"/>
  <c r="AI35" i="2" s="1"/>
  <c r="AJ35" i="2" s="1"/>
  <c r="AP35" i="2" s="1"/>
  <c r="AF46" i="2"/>
  <c r="AI46" i="2" s="1"/>
  <c r="AJ46" i="2" s="1"/>
  <c r="AP46" i="2" s="1"/>
  <c r="AF61" i="2"/>
  <c r="AI61" i="2" s="1"/>
  <c r="AJ61" i="2" s="1"/>
  <c r="AP61" i="2" s="1"/>
  <c r="AF55" i="2"/>
  <c r="AI55" i="2" s="1"/>
  <c r="AJ55" i="2" s="1"/>
  <c r="AP55" i="2" s="1"/>
  <c r="S32" i="3"/>
  <c r="AF47" i="2"/>
  <c r="AI47" i="2" s="1"/>
  <c r="AJ47" i="2" s="1"/>
  <c r="AP47" i="2" s="1"/>
  <c r="AF53" i="2"/>
  <c r="AI53" i="2" s="1"/>
  <c r="AJ53" i="2" s="1"/>
  <c r="AP53" i="2" s="1"/>
  <c r="AF62" i="2"/>
  <c r="AI62" i="2" s="1"/>
  <c r="AJ62" i="2" s="1"/>
  <c r="AP62" i="2" s="1"/>
  <c r="AF54" i="2"/>
  <c r="AI54" i="2" s="1"/>
  <c r="AJ54" i="2" s="1"/>
  <c r="AP54" i="2" s="1"/>
  <c r="AF44" i="2"/>
  <c r="AI44" i="2" s="1"/>
  <c r="AJ44" i="2" s="1"/>
  <c r="AP44" i="2" s="1"/>
  <c r="AF59" i="2"/>
  <c r="AI59" i="2" s="1"/>
  <c r="AJ59" i="2" s="1"/>
  <c r="AP59" i="2" s="1"/>
  <c r="AF42" i="2"/>
  <c r="AI42" i="2" s="1"/>
  <c r="AJ42" i="2" s="1"/>
  <c r="AP42" i="2" s="1"/>
  <c r="AF41" i="2"/>
  <c r="AI41" i="2" s="1"/>
  <c r="AJ41" i="2" s="1"/>
  <c r="AF56" i="2"/>
  <c r="AI56" i="2" s="1"/>
  <c r="AJ56" i="2" s="1"/>
  <c r="AP56" i="2" s="1"/>
  <c r="AJ135" i="2"/>
  <c r="AP135" i="2" s="1"/>
  <c r="AF45" i="2"/>
  <c r="AI45" i="2" s="1"/>
  <c r="AJ45" i="2" s="1"/>
  <c r="AP45" i="2" s="1"/>
  <c r="AF49" i="2"/>
  <c r="AI49" i="2" s="1"/>
  <c r="AJ49" i="2" s="1"/>
  <c r="AP49" i="2" s="1"/>
  <c r="AF52" i="2"/>
  <c r="AI52" i="2" s="1"/>
  <c r="AJ52" i="2" s="1"/>
  <c r="AP52" i="2" s="1"/>
  <c r="S19" i="3"/>
  <c r="AF68" i="2"/>
  <c r="AI68" i="2" s="1"/>
  <c r="AJ68" i="2" s="1"/>
  <c r="AP68" i="2" s="1"/>
  <c r="AF60" i="2"/>
  <c r="AI60" i="2" s="1"/>
  <c r="AJ60" i="2" s="1"/>
  <c r="AP60" i="2" s="1"/>
  <c r="AF51" i="2"/>
  <c r="AI51" i="2" s="1"/>
  <c r="AJ51" i="2" s="1"/>
  <c r="AP51" i="2" s="1"/>
  <c r="AF38" i="2"/>
  <c r="AI38" i="2" s="1"/>
  <c r="AJ38" i="2" s="1"/>
  <c r="AP38" i="2" s="1"/>
  <c r="AF32" i="2"/>
  <c r="AF50" i="2"/>
  <c r="AI50" i="2" s="1"/>
  <c r="AJ50" i="2" s="1"/>
  <c r="AP50" i="2" s="1"/>
  <c r="S31" i="3"/>
  <c r="S20" i="3"/>
  <c r="AF66" i="2"/>
  <c r="AI66" i="2" s="1"/>
  <c r="AJ66" i="2" s="1"/>
  <c r="AP66" i="2" s="1"/>
  <c r="AF64" i="2"/>
  <c r="AI64" i="2" s="1"/>
  <c r="AJ64" i="2" s="1"/>
  <c r="AP64" i="2" s="1"/>
  <c r="AF67" i="2"/>
  <c r="AI67" i="2" s="1"/>
  <c r="AJ67" i="2" s="1"/>
  <c r="AP67" i="2" s="1"/>
  <c r="AJ83" i="2"/>
  <c r="AP83" i="2" s="1"/>
  <c r="S13" i="3"/>
  <c r="AF63" i="2"/>
  <c r="AI63" i="2" s="1"/>
  <c r="AJ63" i="2" s="1"/>
  <c r="AP63" i="2" s="1"/>
  <c r="AJ123" i="2"/>
  <c r="AP123" i="2" s="1"/>
  <c r="AJ43" i="2"/>
  <c r="AP43" i="2" s="1"/>
  <c r="AJ124" i="2"/>
  <c r="AP124" i="2" s="1"/>
  <c r="AJ121" i="2"/>
  <c r="AP121" i="2" s="1"/>
  <c r="AJ113" i="2"/>
  <c r="AP113" i="2" s="1"/>
  <c r="AJ99" i="2"/>
  <c r="AP99" i="2" s="1"/>
  <c r="AJ166" i="2"/>
  <c r="AP166" i="2" s="1"/>
  <c r="Z4" i="2"/>
  <c r="AA4" i="2"/>
  <c r="AJ89" i="2"/>
  <c r="AP89" i="2" s="1"/>
  <c r="AJ181" i="2"/>
  <c r="AP181" i="2" s="1"/>
  <c r="AJ77" i="2"/>
  <c r="AP77" i="2" s="1"/>
  <c r="AJ185" i="2"/>
  <c r="AP185" i="2" s="1"/>
  <c r="AJ182" i="2"/>
  <c r="AP182" i="2" s="1"/>
  <c r="AJ108" i="2"/>
  <c r="AP108" i="2" s="1"/>
  <c r="AJ226" i="2"/>
  <c r="AP226" i="2" s="1"/>
  <c r="AJ72" i="2"/>
  <c r="AP72" i="2" s="1"/>
  <c r="AJ132" i="2"/>
  <c r="AP132" i="2" s="1"/>
  <c r="AJ80" i="2"/>
  <c r="AP80" i="2" s="1"/>
  <c r="AJ57" i="2"/>
  <c r="AP57" i="2" s="1"/>
  <c r="AJ211" i="2"/>
  <c r="AP211" i="2" s="1"/>
  <c r="AJ86" i="2"/>
  <c r="AP86" i="2" s="1"/>
  <c r="AJ217" i="2"/>
  <c r="AP217" i="2" s="1"/>
  <c r="AJ178" i="2"/>
  <c r="AP178" i="2" s="1"/>
  <c r="AJ150" i="2"/>
  <c r="AP150" i="2" s="1"/>
  <c r="AJ189" i="2"/>
  <c r="AP189" i="2" s="1"/>
  <c r="AJ65" i="2"/>
  <c r="AP65" i="2" s="1"/>
  <c r="AJ208" i="2"/>
  <c r="AP208" i="2" s="1"/>
  <c r="AJ151" i="2"/>
  <c r="AP151" i="2" s="1"/>
  <c r="AJ127" i="2"/>
  <c r="AP127" i="2" s="1"/>
  <c r="AJ192" i="2"/>
  <c r="AP192" i="2" s="1"/>
  <c r="AJ200" i="2"/>
  <c r="AP200" i="2" s="1"/>
  <c r="AJ97" i="2"/>
  <c r="AP97" i="2" s="1"/>
  <c r="AJ229" i="2"/>
  <c r="AP229" i="2" s="1"/>
  <c r="AJ91" i="2"/>
  <c r="AP91" i="2" s="1"/>
  <c r="AJ74" i="2"/>
  <c r="AP74" i="2" s="1"/>
  <c r="AJ227" i="2"/>
  <c r="AP227" i="2" s="1"/>
  <c r="AJ134" i="2"/>
  <c r="AP134" i="2" s="1"/>
  <c r="X30" i="2"/>
  <c r="Y33" i="2" s="1"/>
  <c r="AJ183" i="2"/>
  <c r="AP183" i="2" s="1"/>
  <c r="AJ202" i="2"/>
  <c r="AP202" i="2" s="1"/>
  <c r="AJ168" i="2"/>
  <c r="AP168" i="2" s="1"/>
  <c r="AJ104" i="2"/>
  <c r="AP104" i="2" s="1"/>
  <c r="AJ118" i="2"/>
  <c r="AP118" i="2" s="1"/>
  <c r="AJ78" i="2"/>
  <c r="AP78" i="2" s="1"/>
  <c r="AJ204" i="2"/>
  <c r="AP204" i="2" s="1"/>
  <c r="AJ173" i="2"/>
  <c r="AP173" i="2" s="1"/>
  <c r="AJ213" i="2"/>
  <c r="AP213" i="2" s="1"/>
  <c r="AJ141" i="2"/>
  <c r="AP141" i="2" s="1"/>
  <c r="AJ195" i="2"/>
  <c r="AP195" i="2" s="1"/>
  <c r="AJ159" i="2"/>
  <c r="AP159" i="2" s="1"/>
  <c r="AJ137" i="2"/>
  <c r="AP137" i="2" s="1"/>
  <c r="AJ116" i="2"/>
  <c r="AP116" i="2" s="1"/>
  <c r="AJ90" i="2"/>
  <c r="AP90" i="2" s="1"/>
  <c r="AJ164" i="2"/>
  <c r="AP164" i="2" s="1"/>
  <c r="AJ114" i="2"/>
  <c r="AP114" i="2" s="1"/>
  <c r="AJ146" i="2"/>
  <c r="AP146" i="2" s="1"/>
  <c r="AJ186" i="2"/>
  <c r="AP186" i="2" s="1"/>
  <c r="AJ158" i="2"/>
  <c r="AP158" i="2" s="1"/>
  <c r="AJ149" i="2"/>
  <c r="AP149" i="2" s="1"/>
  <c r="AJ70" i="2"/>
  <c r="AP70" i="2" s="1"/>
  <c r="AJ73" i="2"/>
  <c r="AP73" i="2" s="1"/>
  <c r="AJ216" i="2"/>
  <c r="AP216" i="2" s="1"/>
  <c r="AJ201" i="2"/>
  <c r="AP201" i="2" s="1"/>
  <c r="AJ157" i="2"/>
  <c r="AP157" i="2" s="1"/>
  <c r="AJ69" i="2"/>
  <c r="AP69" i="2" s="1"/>
  <c r="AJ199" i="2"/>
  <c r="AP199" i="2" s="1"/>
  <c r="AJ117" i="2"/>
  <c r="AP117" i="2" s="1"/>
  <c r="AJ171" i="2"/>
  <c r="AP171" i="2" s="1"/>
  <c r="AJ175" i="2"/>
  <c r="AP175" i="2" s="1"/>
  <c r="AJ148" i="2"/>
  <c r="AP148" i="2" s="1"/>
  <c r="AJ95" i="2"/>
  <c r="AP95" i="2" s="1"/>
  <c r="AJ119" i="2"/>
  <c r="AP119" i="2" s="1"/>
  <c r="AJ130" i="2"/>
  <c r="AP130" i="2" s="1"/>
  <c r="AJ143" i="2"/>
  <c r="AP143" i="2" s="1"/>
  <c r="AJ167" i="2"/>
  <c r="AP167" i="2" s="1"/>
  <c r="AJ196" i="2"/>
  <c r="AP196" i="2" s="1"/>
  <c r="AJ48" i="2"/>
  <c r="AP48" i="2" s="1"/>
  <c r="AJ133" i="2"/>
  <c r="AP133" i="2" s="1"/>
  <c r="AJ155" i="2"/>
  <c r="AP155" i="2" s="1"/>
  <c r="AJ82" i="2"/>
  <c r="AP82" i="2" s="1"/>
  <c r="AJ170" i="2"/>
  <c r="AP170" i="2" s="1"/>
  <c r="AJ58" i="2"/>
  <c r="AJ194" i="2"/>
  <c r="AP194" i="2" s="1"/>
  <c r="Z22" i="2" l="1"/>
  <c r="S9" i="2"/>
  <c r="V8" i="2"/>
  <c r="W8" i="2" s="1"/>
  <c r="AA12" i="2"/>
  <c r="AB12" i="2" s="1"/>
  <c r="AA11" i="2"/>
  <c r="AB11" i="2" s="1"/>
  <c r="Z6" i="2"/>
  <c r="Z10" i="2"/>
  <c r="AA15" i="2"/>
  <c r="Z9" i="2"/>
  <c r="AA7" i="2"/>
  <c r="AC7" i="2" s="1"/>
  <c r="AA17" i="2"/>
  <c r="AB17" i="2" s="1"/>
  <c r="AA8" i="2"/>
  <c r="AB8" i="2" s="1"/>
  <c r="AF17" i="2" a="1"/>
  <c r="AF17" i="2" s="1"/>
  <c r="AX17" i="2" s="1"/>
  <c r="AF11" i="2" a="1"/>
  <c r="AF11" i="2" s="1"/>
  <c r="AX11" i="2" s="1"/>
  <c r="AF21" i="2" a="1"/>
  <c r="AF21" i="2" s="1"/>
  <c r="AX21" i="2" s="1"/>
  <c r="AF15" i="2" a="1"/>
  <c r="AF15" i="2" s="1"/>
  <c r="AX15" i="2" s="1"/>
  <c r="AF8" i="2" a="1"/>
  <c r="AF8" i="2" s="1"/>
  <c r="AF7" i="2" a="1"/>
  <c r="AF7" i="2" s="1"/>
  <c r="AF6" i="2" a="1"/>
  <c r="AF6" i="2" s="1"/>
  <c r="AF22" i="2" a="1"/>
  <c r="AF22" i="2" s="1"/>
  <c r="AX22" i="2" s="1"/>
  <c r="AF16" i="2" a="1"/>
  <c r="AF16" i="2" s="1"/>
  <c r="AX16" i="2" s="1"/>
  <c r="AF10" i="2" a="1"/>
  <c r="AF10" i="2" s="1"/>
  <c r="AX10" i="2" s="1"/>
  <c r="AF12" i="2" a="1"/>
  <c r="AF12" i="2" s="1"/>
  <c r="AI32" i="2"/>
  <c r="AJ32" i="2" s="1"/>
  <c r="AP32" i="2" s="1"/>
  <c r="AF4" i="2" a="1"/>
  <c r="AF4" i="2" s="1"/>
  <c r="V13" i="2"/>
  <c r="W13" i="2" s="1"/>
  <c r="V12" i="2"/>
  <c r="W12" i="2" s="1"/>
  <c r="S14" i="2"/>
  <c r="V10" i="2"/>
  <c r="W10" i="2" s="1"/>
  <c r="V11" i="2"/>
  <c r="W11" i="2" s="1"/>
  <c r="S5" i="2"/>
  <c r="D38" i="3" s="1"/>
  <c r="V19" i="2"/>
  <c r="W19" i="2" s="1"/>
  <c r="V16" i="2"/>
  <c r="W16" i="2" s="1"/>
  <c r="V18" i="2"/>
  <c r="W18" i="2" s="1"/>
  <c r="V17" i="2"/>
  <c r="W17" i="2" s="1"/>
  <c r="V23" i="2"/>
  <c r="W23" i="2" s="1"/>
  <c r="V21" i="2"/>
  <c r="W21" i="2" s="1"/>
  <c r="V20" i="2"/>
  <c r="W20" i="2" s="1"/>
  <c r="V15" i="2"/>
  <c r="W15" i="2" s="1"/>
  <c r="V22" i="2"/>
  <c r="W22" i="2" s="1"/>
  <c r="V4" i="2"/>
  <c r="W4" i="2" s="1"/>
  <c r="E36" i="3"/>
  <c r="E37" i="3" s="1"/>
  <c r="AA19" i="2"/>
  <c r="AB19" i="2" s="1"/>
  <c r="Z18" i="2"/>
  <c r="AA13" i="2"/>
  <c r="AB13" i="2" s="1"/>
  <c r="AA23" i="2"/>
  <c r="AB23" i="2" s="1"/>
  <c r="AA5" i="2"/>
  <c r="AC5" i="2" s="1"/>
  <c r="I36" i="3" s="1"/>
  <c r="AA14" i="2"/>
  <c r="AB14" i="2" s="1"/>
  <c r="AA16" i="2"/>
  <c r="AB16" i="2" s="1"/>
  <c r="AA21" i="2"/>
  <c r="AB21" i="2" s="1"/>
  <c r="AA20" i="2"/>
  <c r="AC20" i="2" s="1"/>
  <c r="V6" i="2"/>
  <c r="W6" i="2" s="1"/>
  <c r="S4" i="2"/>
  <c r="C38" i="3" s="1"/>
  <c r="Q18" i="3"/>
  <c r="V7" i="2"/>
  <c r="W7" i="2" s="1"/>
  <c r="U24" i="2"/>
  <c r="S38" i="3"/>
  <c r="S39" i="3"/>
  <c r="S26" i="3"/>
  <c r="S33" i="3"/>
  <c r="S21" i="3"/>
  <c r="S37" i="3"/>
  <c r="S25" i="3"/>
  <c r="S27" i="3"/>
  <c r="AB4" i="2"/>
  <c r="S14" i="3"/>
  <c r="S15" i="3"/>
  <c r="AC4" i="2"/>
  <c r="AP58" i="2"/>
  <c r="AB15" i="2"/>
  <c r="AC15" i="2"/>
  <c r="AP41" i="2"/>
  <c r="AB6" i="2"/>
  <c r="AC6" i="2"/>
  <c r="AB9" i="2"/>
  <c r="AC9" i="2"/>
  <c r="AB10" i="2"/>
  <c r="AC10" i="2"/>
  <c r="AB18" i="2"/>
  <c r="AC18" i="2"/>
  <c r="AB22" i="2"/>
  <c r="AC22" i="2"/>
  <c r="Y124" i="2"/>
  <c r="AA124" i="2" s="1"/>
  <c r="AC124" i="2" s="1"/>
  <c r="Y168" i="2"/>
  <c r="AA168" i="2" s="1"/>
  <c r="AC168" i="2" s="1"/>
  <c r="Y77" i="2"/>
  <c r="AA77" i="2" s="1"/>
  <c r="AC77" i="2" s="1"/>
  <c r="Y109" i="2"/>
  <c r="AA109" i="2" s="1"/>
  <c r="AC109" i="2" s="1"/>
  <c r="Y187" i="2"/>
  <c r="AA187" i="2" s="1"/>
  <c r="AC187" i="2" s="1"/>
  <c r="Y74" i="2"/>
  <c r="Z74" i="2" s="1"/>
  <c r="Y62" i="2"/>
  <c r="Z62" i="2" s="1"/>
  <c r="Y189" i="2"/>
  <c r="AA189" i="2" s="1"/>
  <c r="AC189" i="2" s="1"/>
  <c r="Y223" i="2"/>
  <c r="AA223" i="2" s="1"/>
  <c r="AC223" i="2" s="1"/>
  <c r="Y179" i="2"/>
  <c r="AA179" i="2" s="1"/>
  <c r="AC179" i="2" s="1"/>
  <c r="Y163" i="2"/>
  <c r="AA163" i="2" s="1"/>
  <c r="AC163" i="2" s="1"/>
  <c r="Y115" i="2"/>
  <c r="AA115" i="2" s="1"/>
  <c r="AC115" i="2" s="1"/>
  <c r="Y97" i="2"/>
  <c r="AA97" i="2" s="1"/>
  <c r="AC97" i="2" s="1"/>
  <c r="Y135" i="2"/>
  <c r="Z135" i="2" s="1"/>
  <c r="Y161" i="2"/>
  <c r="AA161" i="2" s="1"/>
  <c r="AC161" i="2" s="1"/>
  <c r="Y143" i="2"/>
  <c r="Z143" i="2" s="1"/>
  <c r="Y184" i="2"/>
  <c r="Z184" i="2" s="1"/>
  <c r="Y130" i="2"/>
  <c r="AA130" i="2" s="1"/>
  <c r="AC130" i="2" s="1"/>
  <c r="Y67" i="2"/>
  <c r="AA67" i="2" s="1"/>
  <c r="AC67" i="2" s="1"/>
  <c r="Y107" i="2"/>
  <c r="AA107" i="2" s="1"/>
  <c r="AC107" i="2" s="1"/>
  <c r="Y83" i="2"/>
  <c r="Z83" i="2" s="1"/>
  <c r="Y170" i="2"/>
  <c r="Z170" i="2" s="1"/>
  <c r="Y54" i="2"/>
  <c r="Z54" i="2" s="1"/>
  <c r="Y224" i="2"/>
  <c r="AA224" i="2" s="1"/>
  <c r="AC224" i="2" s="1"/>
  <c r="Y84" i="2"/>
  <c r="Z84" i="2" s="1"/>
  <c r="Y155" i="2"/>
  <c r="AA155" i="2" s="1"/>
  <c r="AC155" i="2" s="1"/>
  <c r="Y50" i="2"/>
  <c r="Z50" i="2" s="1"/>
  <c r="Y43" i="2"/>
  <c r="AA43" i="2" s="1"/>
  <c r="AC43" i="2" s="1"/>
  <c r="Y226" i="2"/>
  <c r="AA226" i="2" s="1"/>
  <c r="AC226" i="2" s="1"/>
  <c r="Y175" i="2"/>
  <c r="AA175" i="2" s="1"/>
  <c r="AC175" i="2" s="1"/>
  <c r="Y166" i="2"/>
  <c r="Z166" i="2" s="1"/>
  <c r="Y72" i="2"/>
  <c r="AA72" i="2" s="1"/>
  <c r="AC72" i="2" s="1"/>
  <c r="Y228" i="2"/>
  <c r="AA228" i="2" s="1"/>
  <c r="AC228" i="2" s="1"/>
  <c r="Y134" i="2"/>
  <c r="Z134" i="2" s="1"/>
  <c r="Y35" i="2"/>
  <c r="Z35" i="2" s="1"/>
  <c r="Y138" i="2"/>
  <c r="Z138" i="2" s="1"/>
  <c r="Y57" i="2"/>
  <c r="Z57" i="2" s="1"/>
  <c r="Y171" i="2"/>
  <c r="Z171" i="2" s="1"/>
  <c r="Y65" i="2"/>
  <c r="Z65" i="2" s="1"/>
  <c r="Y154" i="2"/>
  <c r="AA154" i="2" s="1"/>
  <c r="AC154" i="2" s="1"/>
  <c r="Y79" i="2"/>
  <c r="AA79" i="2" s="1"/>
  <c r="AC79" i="2" s="1"/>
  <c r="Y58" i="2"/>
  <c r="Z58" i="2" s="1"/>
  <c r="Y205" i="2"/>
  <c r="Z205" i="2" s="1"/>
  <c r="Y156" i="2"/>
  <c r="Z156" i="2" s="1"/>
  <c r="Y42" i="2"/>
  <c r="AA42" i="2" s="1"/>
  <c r="AC42" i="2" s="1"/>
  <c r="Y229" i="2"/>
  <c r="AA229" i="2" s="1"/>
  <c r="AC229" i="2" s="1"/>
  <c r="Y59" i="2"/>
  <c r="AA59" i="2" s="1"/>
  <c r="AC59" i="2" s="1"/>
  <c r="Y225" i="2"/>
  <c r="AA225" i="2" s="1"/>
  <c r="AC225" i="2" s="1"/>
  <c r="Y44" i="2"/>
  <c r="AA44" i="2" s="1"/>
  <c r="AC44" i="2" s="1"/>
  <c r="Y47" i="2"/>
  <c r="Z47" i="2" s="1"/>
  <c r="Y218" i="2"/>
  <c r="Z218" i="2" s="1"/>
  <c r="Y199" i="2"/>
  <c r="Z199" i="2" s="1"/>
  <c r="Y178" i="2"/>
  <c r="AA178" i="2" s="1"/>
  <c r="AC178" i="2" s="1"/>
  <c r="Y222" i="2"/>
  <c r="AA222" i="2" s="1"/>
  <c r="AC222" i="2" s="1"/>
  <c r="Y36" i="2"/>
  <c r="AA36" i="2" s="1"/>
  <c r="AC36" i="2" s="1"/>
  <c r="Y215" i="2"/>
  <c r="Z215" i="2" s="1"/>
  <c r="Y192" i="2"/>
  <c r="Z192" i="2" s="1"/>
  <c r="Y183" i="2"/>
  <c r="AA183" i="2" s="1"/>
  <c r="AC183" i="2" s="1"/>
  <c r="Y153" i="2"/>
  <c r="AA153" i="2" s="1"/>
  <c r="AC153" i="2" s="1"/>
  <c r="Y45" i="2"/>
  <c r="Z45" i="2" s="1"/>
  <c r="Y208" i="2"/>
  <c r="AA208" i="2" s="1"/>
  <c r="AC208" i="2" s="1"/>
  <c r="Y88" i="2"/>
  <c r="Z88" i="2" s="1"/>
  <c r="Y92" i="2"/>
  <c r="Z92" i="2" s="1"/>
  <c r="Y37" i="2"/>
  <c r="Z37" i="2" s="1"/>
  <c r="Y46" i="2"/>
  <c r="AA46" i="2" s="1"/>
  <c r="AC46" i="2" s="1"/>
  <c r="Y227" i="2"/>
  <c r="Z227" i="2" s="1"/>
  <c r="Y197" i="2"/>
  <c r="Z197" i="2" s="1"/>
  <c r="Y144" i="2"/>
  <c r="Z144" i="2" s="1"/>
  <c r="Y198" i="2"/>
  <c r="AA198" i="2" s="1"/>
  <c r="AC198" i="2" s="1"/>
  <c r="Y131" i="2"/>
  <c r="Z131" i="2" s="1"/>
  <c r="Y203" i="2"/>
  <c r="Z203" i="2" s="1"/>
  <c r="Y180" i="2"/>
  <c r="AA180" i="2" s="1"/>
  <c r="AC180" i="2" s="1"/>
  <c r="Y96" i="2"/>
  <c r="AA96" i="2" s="1"/>
  <c r="AC96" i="2" s="1"/>
  <c r="Y121" i="2"/>
  <c r="AA121" i="2" s="1"/>
  <c r="AC121" i="2" s="1"/>
  <c r="Y49" i="2"/>
  <c r="AA49" i="2" s="1"/>
  <c r="AC49" i="2" s="1"/>
  <c r="Y191" i="2"/>
  <c r="Z191" i="2" s="1"/>
  <c r="Y202" i="2"/>
  <c r="AA202" i="2" s="1"/>
  <c r="AC202" i="2" s="1"/>
  <c r="Y32" i="2"/>
  <c r="Z32" i="2" s="1"/>
  <c r="Y190" i="2"/>
  <c r="Z190" i="2" s="1"/>
  <c r="Z33" i="2"/>
  <c r="AA33" i="2"/>
  <c r="AC33" i="2" s="1"/>
  <c r="Y86" i="2"/>
  <c r="Y164" i="2"/>
  <c r="Y194" i="2"/>
  <c r="Y61" i="2"/>
  <c r="Y162" i="2"/>
  <c r="Y128" i="2"/>
  <c r="Y176" i="2"/>
  <c r="Y185" i="2"/>
  <c r="Y56" i="2"/>
  <c r="Y82" i="2"/>
  <c r="Y48" i="2"/>
  <c r="Y68" i="2"/>
  <c r="Y159" i="2"/>
  <c r="Y103" i="2"/>
  <c r="Y195" i="2"/>
  <c r="Y158" i="2"/>
  <c r="Y127" i="2"/>
  <c r="Y181" i="2"/>
  <c r="Y93" i="2"/>
  <c r="Y111" i="2"/>
  <c r="Y148" i="2"/>
  <c r="Y102" i="2"/>
  <c r="Y112" i="2"/>
  <c r="Y182" i="2"/>
  <c r="Y137" i="2"/>
  <c r="Y145" i="2"/>
  <c r="Y34" i="2"/>
  <c r="Y139" i="2"/>
  <c r="Y173" i="2"/>
  <c r="Y221" i="2"/>
  <c r="Y220" i="2"/>
  <c r="Y200" i="2"/>
  <c r="Y169" i="2"/>
  <c r="Y188" i="2"/>
  <c r="Y165" i="2"/>
  <c r="Y85" i="2"/>
  <c r="Y209" i="2"/>
  <c r="Y122" i="2"/>
  <c r="Y157" i="2"/>
  <c r="Y39" i="2"/>
  <c r="Y113" i="2"/>
  <c r="Y211" i="2"/>
  <c r="Y160" i="2"/>
  <c r="Y186" i="2"/>
  <c r="Y90" i="2"/>
  <c r="Y140" i="2"/>
  <c r="Y71" i="2"/>
  <c r="Y142" i="2"/>
  <c r="Y118" i="2"/>
  <c r="Y214" i="2"/>
  <c r="Y204" i="2"/>
  <c r="Y66" i="2"/>
  <c r="Y116" i="2"/>
  <c r="Y150" i="2"/>
  <c r="Y60" i="2"/>
  <c r="Y219" i="2"/>
  <c r="Y216" i="2"/>
  <c r="Y120" i="2"/>
  <c r="Y177" i="2"/>
  <c r="Y147" i="2"/>
  <c r="Y73" i="2"/>
  <c r="Y101" i="2"/>
  <c r="Y172" i="2"/>
  <c r="Y123" i="2"/>
  <c r="Y55" i="2"/>
  <c r="Y41" i="2"/>
  <c r="Y119" i="2"/>
  <c r="Y38" i="2"/>
  <c r="Y98" i="2"/>
  <c r="Y213" i="2"/>
  <c r="Y70" i="2"/>
  <c r="Y207" i="2"/>
  <c r="Y167" i="2"/>
  <c r="Y126" i="2"/>
  <c r="Y99" i="2"/>
  <c r="Y149" i="2"/>
  <c r="Y174" i="2"/>
  <c r="Y100" i="2"/>
  <c r="Y53" i="2"/>
  <c r="Y196" i="2"/>
  <c r="Y95" i="2"/>
  <c r="Y87" i="2"/>
  <c r="Y201" i="2"/>
  <c r="Y78" i="2"/>
  <c r="Y212" i="2"/>
  <c r="Y210" i="2"/>
  <c r="Y141" i="2"/>
  <c r="Y104" i="2"/>
  <c r="Y136" i="2"/>
  <c r="Y206" i="2"/>
  <c r="Y52" i="2"/>
  <c r="Y69" i="2"/>
  <c r="Y133" i="2"/>
  <c r="Y91" i="2"/>
  <c r="Y81" i="2"/>
  <c r="Y129" i="2"/>
  <c r="Y114" i="2"/>
  <c r="Y64" i="2"/>
  <c r="Y152" i="2"/>
  <c r="Y146" i="2"/>
  <c r="Y80" i="2"/>
  <c r="Y89" i="2"/>
  <c r="Y217" i="2"/>
  <c r="Y108" i="2"/>
  <c r="Y132" i="2"/>
  <c r="Y51" i="2"/>
  <c r="Y94" i="2"/>
  <c r="Y151" i="2"/>
  <c r="Y117" i="2"/>
  <c r="Y110" i="2"/>
  <c r="Y40" i="2"/>
  <c r="Y125" i="2"/>
  <c r="Y63" i="2"/>
  <c r="Y193" i="2"/>
  <c r="Y105" i="2"/>
  <c r="Y75" i="2"/>
  <c r="Y106" i="2"/>
  <c r="Y76" i="2"/>
  <c r="AC14" i="2" l="1"/>
  <c r="G36" i="3"/>
  <c r="G35" i="3"/>
  <c r="AF5" i="2" a="1"/>
  <c r="AF5" i="2" s="1"/>
  <c r="BC21" i="2" s="1"/>
  <c r="AF23" i="2" a="1"/>
  <c r="AF23" i="2" s="1"/>
  <c r="AX23" i="2" s="1"/>
  <c r="AF18" i="2" a="1"/>
  <c r="AF18" i="2" s="1"/>
  <c r="AX18" i="2" s="1"/>
  <c r="AF13" i="2" a="1"/>
  <c r="AF13" i="2" s="1"/>
  <c r="AX13" i="2" s="1"/>
  <c r="AF19" i="2" a="1"/>
  <c r="AF19" i="2" s="1"/>
  <c r="AX19" i="2" s="1"/>
  <c r="AF14" i="2" a="1"/>
  <c r="AF14" i="2" s="1"/>
  <c r="AX14" i="2" s="1"/>
  <c r="AF20" i="2" a="1"/>
  <c r="AF20" i="2" s="1"/>
  <c r="AX20" i="2" s="1"/>
  <c r="AC12" i="2"/>
  <c r="AD12" i="2" s="1"/>
  <c r="AB7" i="2"/>
  <c r="G34" i="3" s="1"/>
  <c r="H34" i="3" s="1"/>
  <c r="AC17" i="2"/>
  <c r="AD17" i="2" s="1"/>
  <c r="AC11" i="2"/>
  <c r="AD11" i="2" s="1"/>
  <c r="AC8" i="2"/>
  <c r="AD8" i="2" s="1"/>
  <c r="AC13" i="2"/>
  <c r="AD13" i="2" s="1"/>
  <c r="R18" i="3"/>
  <c r="AC16" i="2"/>
  <c r="AD16" i="2" s="1"/>
  <c r="AC23" i="2"/>
  <c r="AD23" i="2" s="1"/>
  <c r="AC19" i="2"/>
  <c r="AD19" i="2" s="1"/>
  <c r="I35" i="3"/>
  <c r="J35" i="3" s="1"/>
  <c r="AB5" i="2"/>
  <c r="AD5" i="2" s="1"/>
  <c r="I38" i="3" s="1"/>
  <c r="AK32" i="2"/>
  <c r="AL32" i="2" s="1"/>
  <c r="AM32" i="2" s="1"/>
  <c r="AN32" i="2" s="1"/>
  <c r="AO32" i="2" s="1"/>
  <c r="AF9" i="2" a="1"/>
  <c r="AF9" i="2" s="1"/>
  <c r="AX9" i="2" s="1"/>
  <c r="AD10" i="2"/>
  <c r="AB20" i="2"/>
  <c r="AD20" i="2" s="1"/>
  <c r="AC21" i="2"/>
  <c r="AD21" i="2" s="1"/>
  <c r="AA24" i="2"/>
  <c r="R12" i="3"/>
  <c r="BB16" i="2"/>
  <c r="BB15" i="2"/>
  <c r="BB8" i="2"/>
  <c r="BB7" i="2"/>
  <c r="X68" i="3" s="1"/>
  <c r="BB12" i="2"/>
  <c r="BB6" i="2"/>
  <c r="BB17" i="2"/>
  <c r="BB11" i="2"/>
  <c r="BB22" i="2"/>
  <c r="BB10" i="2"/>
  <c r="BB4" i="2"/>
  <c r="X65" i="3" s="1"/>
  <c r="BB21" i="2"/>
  <c r="H35" i="3"/>
  <c r="AD4" i="2"/>
  <c r="J36" i="3"/>
  <c r="P30" i="3"/>
  <c r="S29" i="3" s="1"/>
  <c r="AX7" i="2"/>
  <c r="P24" i="3"/>
  <c r="S23" i="3" s="1"/>
  <c r="AX6" i="2"/>
  <c r="P36" i="3"/>
  <c r="S35" i="3" s="1"/>
  <c r="AX8" i="2"/>
  <c r="AI12" i="2"/>
  <c r="AJ12" i="2" s="1"/>
  <c r="AP12" i="2" s="1"/>
  <c r="AX12" i="2"/>
  <c r="P12" i="3"/>
  <c r="S11" i="3" s="1"/>
  <c r="AX4" i="2"/>
  <c r="AI4" i="2"/>
  <c r="AJ4" i="2" s="1"/>
  <c r="AD14" i="2"/>
  <c r="AD15" i="2"/>
  <c r="AD6" i="2"/>
  <c r="AD22" i="2"/>
  <c r="AD9" i="2"/>
  <c r="AD18" i="2"/>
  <c r="AP30" i="2"/>
  <c r="AQ116" i="2" s="1"/>
  <c r="AR116" i="2" s="1"/>
  <c r="AI22" i="2"/>
  <c r="AJ22" i="2" s="1"/>
  <c r="AP22" i="2" s="1"/>
  <c r="AI17" i="2"/>
  <c r="AJ17" i="2" s="1"/>
  <c r="AP17" i="2" s="1"/>
  <c r="AI10" i="2"/>
  <c r="AJ10" i="2" s="1"/>
  <c r="AP10" i="2" s="1"/>
  <c r="AI7" i="2"/>
  <c r="AJ7" i="2" s="1"/>
  <c r="AP7" i="2" s="1"/>
  <c r="AI16" i="2"/>
  <c r="AJ16" i="2" s="1"/>
  <c r="AP16" i="2" s="1"/>
  <c r="AI6" i="2"/>
  <c r="AJ6" i="2" s="1"/>
  <c r="AP6" i="2" s="1"/>
  <c r="AI21" i="2"/>
  <c r="AJ21" i="2" s="1"/>
  <c r="AP21" i="2" s="1"/>
  <c r="AI11" i="2"/>
  <c r="AJ11" i="2" s="1"/>
  <c r="AP11" i="2" s="1"/>
  <c r="AI15" i="2"/>
  <c r="AJ15" i="2" s="1"/>
  <c r="AP15" i="2" s="1"/>
  <c r="AI8" i="2"/>
  <c r="AJ8" i="2" s="1"/>
  <c r="AP8" i="2" s="1"/>
  <c r="AA218" i="2"/>
  <c r="AC218" i="2" s="1"/>
  <c r="Z121" i="2"/>
  <c r="AA88" i="2"/>
  <c r="AC88" i="2" s="1"/>
  <c r="AA184" i="2"/>
  <c r="AC184" i="2" s="1"/>
  <c r="AA47" i="2"/>
  <c r="AC47" i="2" s="1"/>
  <c r="AA171" i="2"/>
  <c r="AC171" i="2" s="1"/>
  <c r="AA50" i="2"/>
  <c r="AC50" i="2" s="1"/>
  <c r="Z124" i="2"/>
  <c r="Z168" i="2"/>
  <c r="Z155" i="2"/>
  <c r="AA135" i="2"/>
  <c r="AC135" i="2" s="1"/>
  <c r="Z161" i="2"/>
  <c r="Z43" i="2"/>
  <c r="AA143" i="2"/>
  <c r="AC143" i="2" s="1"/>
  <c r="Z226" i="2"/>
  <c r="Z187" i="2"/>
  <c r="AA65" i="2"/>
  <c r="AC65" i="2" s="1"/>
  <c r="Z77" i="2"/>
  <c r="AA92" i="2"/>
  <c r="AC92" i="2" s="1"/>
  <c r="AA37" i="2"/>
  <c r="AC37" i="2" s="1"/>
  <c r="AA166" i="2"/>
  <c r="AC166" i="2" s="1"/>
  <c r="AA199" i="2"/>
  <c r="AA62" i="2"/>
  <c r="AC62" i="2" s="1"/>
  <c r="Z79" i="2"/>
  <c r="Z189" i="2"/>
  <c r="Z183" i="2"/>
  <c r="Z154" i="2"/>
  <c r="Z107" i="2"/>
  <c r="Z222" i="2"/>
  <c r="Z179" i="2"/>
  <c r="Z42" i="2"/>
  <c r="Z36" i="2"/>
  <c r="AA191" i="2"/>
  <c r="Z49" i="2"/>
  <c r="AA215" i="2"/>
  <c r="AA74" i="2"/>
  <c r="AA58" i="2"/>
  <c r="AA203" i="2"/>
  <c r="AC203" i="2" s="1"/>
  <c r="Z223" i="2"/>
  <c r="Z198" i="2"/>
  <c r="AA170" i="2"/>
  <c r="AC170" i="2" s="1"/>
  <c r="AA134" i="2"/>
  <c r="AC134" i="2" s="1"/>
  <c r="AA32" i="2"/>
  <c r="AC32" i="2" s="1"/>
  <c r="AA205" i="2"/>
  <c r="AC205" i="2" s="1"/>
  <c r="Z46" i="2"/>
  <c r="AA156" i="2"/>
  <c r="AC156" i="2" s="1"/>
  <c r="Z72" i="2"/>
  <c r="AA192" i="2"/>
  <c r="AA190" i="2"/>
  <c r="AC190" i="2" s="1"/>
  <c r="Z67" i="2"/>
  <c r="Z96" i="2"/>
  <c r="AA35" i="2"/>
  <c r="AA45" i="2"/>
  <c r="AC45" i="2" s="1"/>
  <c r="AA57" i="2"/>
  <c r="Z44" i="2"/>
  <c r="Z130" i="2"/>
  <c r="Z229" i="2"/>
  <c r="Z224" i="2"/>
  <c r="Z115" i="2"/>
  <c r="Z208" i="2"/>
  <c r="AA227" i="2"/>
  <c r="Z180" i="2"/>
  <c r="Z97" i="2"/>
  <c r="Z153" i="2"/>
  <c r="Z163" i="2"/>
  <c r="AA83" i="2"/>
  <c r="AC83" i="2" s="1"/>
  <c r="AA138" i="2"/>
  <c r="AC138" i="2" s="1"/>
  <c r="AA54" i="2"/>
  <c r="Z225" i="2"/>
  <c r="Z59" i="2"/>
  <c r="Z178" i="2"/>
  <c r="Z228" i="2"/>
  <c r="AA131" i="2"/>
  <c r="AC131" i="2" s="1"/>
  <c r="Z202" i="2"/>
  <c r="AA197" i="2"/>
  <c r="AC197" i="2" s="1"/>
  <c r="Z175" i="2"/>
  <c r="Z109" i="2"/>
  <c r="AA144" i="2"/>
  <c r="AC144" i="2" s="1"/>
  <c r="AA84" i="2"/>
  <c r="AA75" i="2"/>
  <c r="AC75" i="2" s="1"/>
  <c r="Z75" i="2"/>
  <c r="Z69" i="2"/>
  <c r="AA69" i="2"/>
  <c r="AC69" i="2" s="1"/>
  <c r="AA219" i="2"/>
  <c r="AC219" i="2" s="1"/>
  <c r="Z219" i="2"/>
  <c r="AA200" i="2"/>
  <c r="AC200" i="2" s="1"/>
  <c r="Z200" i="2"/>
  <c r="Z185" i="2"/>
  <c r="AA185" i="2"/>
  <c r="AC185" i="2" s="1"/>
  <c r="AB222" i="2"/>
  <c r="AD222" i="2" s="1"/>
  <c r="Z105" i="2"/>
  <c r="AA105" i="2"/>
  <c r="AC105" i="2" s="1"/>
  <c r="Z52" i="2"/>
  <c r="AA52" i="2"/>
  <c r="AC52" i="2" s="1"/>
  <c r="Z119" i="2"/>
  <c r="AA119" i="2"/>
  <c r="AC119" i="2" s="1"/>
  <c r="AA60" i="2"/>
  <c r="AC60" i="2" s="1"/>
  <c r="Z60" i="2"/>
  <c r="AA220" i="2"/>
  <c r="AC220" i="2" s="1"/>
  <c r="Z220" i="2"/>
  <c r="AA93" i="2"/>
  <c r="AC93" i="2" s="1"/>
  <c r="Z93" i="2"/>
  <c r="AB154" i="2"/>
  <c r="AD154" i="2" s="1"/>
  <c r="AB189" i="2"/>
  <c r="AD189" i="2" s="1"/>
  <c r="AB43" i="2"/>
  <c r="AD43" i="2" s="1"/>
  <c r="AB79" i="2"/>
  <c r="AD79" i="2" s="1"/>
  <c r="AB67" i="2"/>
  <c r="AD67" i="2" s="1"/>
  <c r="AA193" i="2"/>
  <c r="AC193" i="2" s="1"/>
  <c r="Z193" i="2"/>
  <c r="Z206" i="2"/>
  <c r="AA206" i="2"/>
  <c r="AC206" i="2" s="1"/>
  <c r="Z41" i="2"/>
  <c r="AA41" i="2"/>
  <c r="AC41" i="2" s="1"/>
  <c r="AA211" i="2"/>
  <c r="AC211" i="2" s="1"/>
  <c r="Z211" i="2"/>
  <c r="AA181" i="2"/>
  <c r="AC181" i="2" s="1"/>
  <c r="Z181" i="2"/>
  <c r="AA63" i="2"/>
  <c r="AC63" i="2" s="1"/>
  <c r="Z63" i="2"/>
  <c r="AA136" i="2"/>
  <c r="AC136" i="2" s="1"/>
  <c r="Z136" i="2"/>
  <c r="AA55" i="2"/>
  <c r="AC55" i="2" s="1"/>
  <c r="Z55" i="2"/>
  <c r="AA113" i="2"/>
  <c r="AC113" i="2" s="1"/>
  <c r="Z113" i="2"/>
  <c r="AA127" i="2"/>
  <c r="AC127" i="2" s="1"/>
  <c r="Z127" i="2"/>
  <c r="AB223" i="2"/>
  <c r="AD223" i="2" s="1"/>
  <c r="AB153" i="2"/>
  <c r="AD153" i="2" s="1"/>
  <c r="AB163" i="2"/>
  <c r="AD163" i="2" s="1"/>
  <c r="AB155" i="2"/>
  <c r="AD155" i="2" s="1"/>
  <c r="AB225" i="2"/>
  <c r="AD225" i="2" s="1"/>
  <c r="AB168" i="2"/>
  <c r="AD168" i="2" s="1"/>
  <c r="Z146" i="2"/>
  <c r="AA146" i="2"/>
  <c r="AC146" i="2" s="1"/>
  <c r="Z149" i="2"/>
  <c r="AA149" i="2"/>
  <c r="AC149" i="2" s="1"/>
  <c r="Z66" i="2"/>
  <c r="AA66" i="2"/>
  <c r="AC66" i="2" s="1"/>
  <c r="Z39" i="2"/>
  <c r="AA39" i="2"/>
  <c r="AC39" i="2" s="1"/>
  <c r="Z158" i="2"/>
  <c r="AA158" i="2"/>
  <c r="AC158" i="2" s="1"/>
  <c r="Z61" i="2"/>
  <c r="AA61" i="2"/>
  <c r="AC61" i="2" s="1"/>
  <c r="Z40" i="2"/>
  <c r="AA40" i="2"/>
  <c r="AC40" i="2" s="1"/>
  <c r="AA141" i="2"/>
  <c r="AC141" i="2" s="1"/>
  <c r="Z141" i="2"/>
  <c r="Z99" i="2"/>
  <c r="AA99" i="2"/>
  <c r="AC99" i="2" s="1"/>
  <c r="AA172" i="2"/>
  <c r="AC172" i="2" s="1"/>
  <c r="Z172" i="2"/>
  <c r="Z157" i="2"/>
  <c r="AA157" i="2"/>
  <c r="AC157" i="2" s="1"/>
  <c r="Z195" i="2"/>
  <c r="AA195" i="2"/>
  <c r="AC195" i="2" s="1"/>
  <c r="AB178" i="2"/>
  <c r="AD178" i="2" s="1"/>
  <c r="AB121" i="2"/>
  <c r="AD121" i="2" s="1"/>
  <c r="AB109" i="2"/>
  <c r="AD109" i="2" s="1"/>
  <c r="Z110" i="2"/>
  <c r="AA110" i="2"/>
  <c r="AC110" i="2" s="1"/>
  <c r="Z210" i="2"/>
  <c r="AA210" i="2"/>
  <c r="AC210" i="2" s="1"/>
  <c r="AA101" i="2"/>
  <c r="AC101" i="2" s="1"/>
  <c r="Z101" i="2"/>
  <c r="Z122" i="2"/>
  <c r="AA122" i="2"/>
  <c r="AC122" i="2" s="1"/>
  <c r="AA103" i="2"/>
  <c r="AC103" i="2" s="1"/>
  <c r="Z103" i="2"/>
  <c r="AB179" i="2"/>
  <c r="AD179" i="2" s="1"/>
  <c r="Z212" i="2"/>
  <c r="AA212" i="2"/>
  <c r="AC212" i="2" s="1"/>
  <c r="Z118" i="2"/>
  <c r="AA118" i="2"/>
  <c r="AC118" i="2" s="1"/>
  <c r="AA159" i="2"/>
  <c r="AC159" i="2" s="1"/>
  <c r="Z159" i="2"/>
  <c r="AB183" i="2"/>
  <c r="AD183" i="2" s="1"/>
  <c r="AB42" i="2"/>
  <c r="AD42" i="2" s="1"/>
  <c r="AA129" i="2"/>
  <c r="AC129" i="2" s="1"/>
  <c r="Z129" i="2"/>
  <c r="AA207" i="2"/>
  <c r="AC207" i="2" s="1"/>
  <c r="Z207" i="2"/>
  <c r="AA142" i="2"/>
  <c r="AC142" i="2" s="1"/>
  <c r="Z142" i="2"/>
  <c r="Z182" i="2"/>
  <c r="AA182" i="2"/>
  <c r="AC182" i="2" s="1"/>
  <c r="Z68" i="2"/>
  <c r="AA68" i="2"/>
  <c r="AC68" i="2" s="1"/>
  <c r="Z81" i="2"/>
  <c r="AA81" i="2"/>
  <c r="AC81" i="2" s="1"/>
  <c r="Z70" i="2"/>
  <c r="AA70" i="2"/>
  <c r="AC70" i="2" s="1"/>
  <c r="Z71" i="2"/>
  <c r="AA71" i="2"/>
  <c r="AC71" i="2" s="1"/>
  <c r="AA112" i="2"/>
  <c r="AC112" i="2" s="1"/>
  <c r="Z112" i="2"/>
  <c r="AA48" i="2"/>
  <c r="AC48" i="2" s="1"/>
  <c r="Z48" i="2"/>
  <c r="AB180" i="2"/>
  <c r="AD180" i="2" s="1"/>
  <c r="AB187" i="2"/>
  <c r="AD187" i="2" s="1"/>
  <c r="AB161" i="2"/>
  <c r="AD161" i="2" s="1"/>
  <c r="AB36" i="2"/>
  <c r="AD36" i="2" s="1"/>
  <c r="AA213" i="2"/>
  <c r="AC213" i="2" s="1"/>
  <c r="Z213" i="2"/>
  <c r="Z108" i="2"/>
  <c r="AA108" i="2"/>
  <c r="AC108" i="2" s="1"/>
  <c r="Z196" i="2"/>
  <c r="AA196" i="2"/>
  <c r="AC196" i="2" s="1"/>
  <c r="Z38" i="2"/>
  <c r="AA38" i="2"/>
  <c r="AC38" i="2" s="1"/>
  <c r="AA186" i="2"/>
  <c r="AC186" i="2" s="1"/>
  <c r="Z186" i="2"/>
  <c r="AA111" i="2"/>
  <c r="AC111" i="2" s="1"/>
  <c r="Z111" i="2"/>
  <c r="AB107" i="2"/>
  <c r="AD107" i="2" s="1"/>
  <c r="AA217" i="2"/>
  <c r="AC217" i="2" s="1"/>
  <c r="Z217" i="2"/>
  <c r="Z53" i="2"/>
  <c r="AA53" i="2"/>
  <c r="AC53" i="2" s="1"/>
  <c r="AA160" i="2"/>
  <c r="AC160" i="2" s="1"/>
  <c r="Z160" i="2"/>
  <c r="AA176" i="2"/>
  <c r="AC176" i="2" s="1"/>
  <c r="Z176" i="2"/>
  <c r="AB59" i="2"/>
  <c r="AD59" i="2" s="1"/>
  <c r="AA89" i="2"/>
  <c r="AC89" i="2" s="1"/>
  <c r="Z89" i="2"/>
  <c r="Z100" i="2"/>
  <c r="AA100" i="2"/>
  <c r="AC100" i="2" s="1"/>
  <c r="Z150" i="2"/>
  <c r="AA150" i="2"/>
  <c r="AC150" i="2" s="1"/>
  <c r="Z221" i="2"/>
  <c r="AA221" i="2"/>
  <c r="AC221" i="2" s="1"/>
  <c r="AA128" i="2"/>
  <c r="AC128" i="2" s="1"/>
  <c r="Z128" i="2"/>
  <c r="AB72" i="2"/>
  <c r="AD72" i="2" s="1"/>
  <c r="AA80" i="2"/>
  <c r="AC80" i="2" s="1"/>
  <c r="Z80" i="2"/>
  <c r="AA174" i="2"/>
  <c r="AC174" i="2" s="1"/>
  <c r="Z174" i="2"/>
  <c r="AA116" i="2"/>
  <c r="AC116" i="2" s="1"/>
  <c r="Z116" i="2"/>
  <c r="AA173" i="2"/>
  <c r="AC173" i="2" s="1"/>
  <c r="Z173" i="2"/>
  <c r="Z162" i="2"/>
  <c r="AA162" i="2"/>
  <c r="AC162" i="2" s="1"/>
  <c r="AB97" i="2"/>
  <c r="AD97" i="2" s="1"/>
  <c r="AB77" i="2"/>
  <c r="AD77" i="2" s="1"/>
  <c r="AB49" i="2"/>
  <c r="AD49" i="2" s="1"/>
  <c r="AA125" i="2"/>
  <c r="AC125" i="2" s="1"/>
  <c r="Z125" i="2"/>
  <c r="Z104" i="2"/>
  <c r="AA104" i="2"/>
  <c r="AC104" i="2" s="1"/>
  <c r="AA123" i="2"/>
  <c r="AC123" i="2" s="1"/>
  <c r="Z123" i="2"/>
  <c r="AA139" i="2"/>
  <c r="AC139" i="2" s="1"/>
  <c r="Z139" i="2"/>
  <c r="AB226" i="2"/>
  <c r="AD226" i="2" s="1"/>
  <c r="AA152" i="2"/>
  <c r="AC152" i="2" s="1"/>
  <c r="Z152" i="2"/>
  <c r="Z204" i="2"/>
  <c r="AA204" i="2"/>
  <c r="AC204" i="2" s="1"/>
  <c r="AA34" i="2"/>
  <c r="AC34" i="2" s="1"/>
  <c r="Z34" i="2"/>
  <c r="Z194" i="2"/>
  <c r="AA194" i="2"/>
  <c r="AC194" i="2" s="1"/>
  <c r="AB124" i="2"/>
  <c r="AD124" i="2" s="1"/>
  <c r="AB228" i="2"/>
  <c r="AD228" i="2" s="1"/>
  <c r="AB202" i="2"/>
  <c r="AD202" i="2" s="1"/>
  <c r="AB175" i="2"/>
  <c r="AD175" i="2" s="1"/>
  <c r="AA64" i="2"/>
  <c r="AC64" i="2" s="1"/>
  <c r="Z64" i="2"/>
  <c r="AA126" i="2"/>
  <c r="AC126" i="2" s="1"/>
  <c r="Z126" i="2"/>
  <c r="AA214" i="2"/>
  <c r="AC214" i="2" s="1"/>
  <c r="Z214" i="2"/>
  <c r="AA145" i="2"/>
  <c r="AC145" i="2" s="1"/>
  <c r="Z145" i="2"/>
  <c r="AA164" i="2"/>
  <c r="AC164" i="2" s="1"/>
  <c r="Z164" i="2"/>
  <c r="Z117" i="2"/>
  <c r="AA117" i="2"/>
  <c r="AC117" i="2" s="1"/>
  <c r="AA114" i="2"/>
  <c r="AC114" i="2" s="1"/>
  <c r="Z114" i="2"/>
  <c r="AA167" i="2"/>
  <c r="AC167" i="2" s="1"/>
  <c r="Z167" i="2"/>
  <c r="AA73" i="2"/>
  <c r="AC73" i="2" s="1"/>
  <c r="Z73" i="2"/>
  <c r="Z209" i="2"/>
  <c r="AA209" i="2"/>
  <c r="AC209" i="2" s="1"/>
  <c r="AA137" i="2"/>
  <c r="AC137" i="2" s="1"/>
  <c r="Z137" i="2"/>
  <c r="Z86" i="2"/>
  <c r="AA86" i="2"/>
  <c r="AC86" i="2" s="1"/>
  <c r="AB198" i="2"/>
  <c r="AD198" i="2" s="1"/>
  <c r="AB46" i="2"/>
  <c r="AD46" i="2" s="1"/>
  <c r="AB96" i="2"/>
  <c r="AD96" i="2" s="1"/>
  <c r="AA151" i="2"/>
  <c r="AC151" i="2" s="1"/>
  <c r="Z151" i="2"/>
  <c r="AA78" i="2"/>
  <c r="AC78" i="2" s="1"/>
  <c r="Z78" i="2"/>
  <c r="AA147" i="2"/>
  <c r="AC147" i="2" s="1"/>
  <c r="Z147" i="2"/>
  <c r="Z85" i="2"/>
  <c r="AA85" i="2"/>
  <c r="AC85" i="2" s="1"/>
  <c r="AA94" i="2"/>
  <c r="AC94" i="2" s="1"/>
  <c r="Z94" i="2"/>
  <c r="Z201" i="2"/>
  <c r="AA201" i="2"/>
  <c r="AC201" i="2" s="1"/>
  <c r="Z177" i="2"/>
  <c r="AA177" i="2"/>
  <c r="AC177" i="2" s="1"/>
  <c r="AA165" i="2"/>
  <c r="AC165" i="2" s="1"/>
  <c r="Z165" i="2"/>
  <c r="AA76" i="2"/>
  <c r="AC76" i="2" s="1"/>
  <c r="Z76" i="2"/>
  <c r="AA51" i="2"/>
  <c r="AC51" i="2" s="1"/>
  <c r="Z51" i="2"/>
  <c r="AA91" i="2"/>
  <c r="AC91" i="2" s="1"/>
  <c r="Z91" i="2"/>
  <c r="Z87" i="2"/>
  <c r="AA87" i="2"/>
  <c r="AC87" i="2" s="1"/>
  <c r="AA120" i="2"/>
  <c r="AC120" i="2" s="1"/>
  <c r="Z120" i="2"/>
  <c r="Z140" i="2"/>
  <c r="AA140" i="2"/>
  <c r="AC140" i="2" s="1"/>
  <c r="Z188" i="2"/>
  <c r="AA188" i="2"/>
  <c r="AC188" i="2" s="1"/>
  <c r="AA102" i="2"/>
  <c r="AC102" i="2" s="1"/>
  <c r="Z102" i="2"/>
  <c r="AA82" i="2"/>
  <c r="AC82" i="2" s="1"/>
  <c r="Z82" i="2"/>
  <c r="AB33" i="2"/>
  <c r="AD33" i="2" s="1"/>
  <c r="Z106" i="2"/>
  <c r="AA106" i="2"/>
  <c r="AC106" i="2" s="1"/>
  <c r="AA132" i="2"/>
  <c r="AC132" i="2" s="1"/>
  <c r="Z132" i="2"/>
  <c r="Z133" i="2"/>
  <c r="AA133" i="2"/>
  <c r="AC133" i="2" s="1"/>
  <c r="AA95" i="2"/>
  <c r="AC95" i="2" s="1"/>
  <c r="Z95" i="2"/>
  <c r="Z98" i="2"/>
  <c r="AA98" i="2"/>
  <c r="AC98" i="2" s="1"/>
  <c r="AA216" i="2"/>
  <c r="AC216" i="2" s="1"/>
  <c r="Z216" i="2"/>
  <c r="Z90" i="2"/>
  <c r="AA90" i="2"/>
  <c r="AC90" i="2" s="1"/>
  <c r="Z169" i="2"/>
  <c r="AA169" i="2"/>
  <c r="AC169" i="2" s="1"/>
  <c r="Z148" i="2"/>
  <c r="AA148" i="2"/>
  <c r="AC148" i="2" s="1"/>
  <c r="Z56" i="2"/>
  <c r="AA56" i="2"/>
  <c r="AC56" i="2" s="1"/>
  <c r="AB44" i="2"/>
  <c r="AD44" i="2" s="1"/>
  <c r="AB130" i="2"/>
  <c r="AD130" i="2" s="1"/>
  <c r="AB229" i="2"/>
  <c r="AD229" i="2" s="1"/>
  <c r="AB224" i="2"/>
  <c r="AD224" i="2" s="1"/>
  <c r="AB115" i="2"/>
  <c r="AD115" i="2" s="1"/>
  <c r="AB208" i="2"/>
  <c r="AD208" i="2" s="1"/>
  <c r="AD7" i="2" l="1"/>
  <c r="G38" i="3"/>
  <c r="BB5" i="2"/>
  <c r="P18" i="3"/>
  <c r="S17" i="3" s="1"/>
  <c r="BC15" i="2"/>
  <c r="BC7" i="2"/>
  <c r="Z68" i="3" s="1"/>
  <c r="BC16" i="2"/>
  <c r="BC18" i="2"/>
  <c r="BB18" i="2"/>
  <c r="BC5" i="2"/>
  <c r="Z66" i="3" s="1"/>
  <c r="BC17" i="2"/>
  <c r="AI5" i="2"/>
  <c r="AJ5" i="2" s="1"/>
  <c r="AP5" i="2" s="1"/>
  <c r="BC11" i="2"/>
  <c r="BC23" i="2"/>
  <c r="BB13" i="2"/>
  <c r="AI18" i="2"/>
  <c r="AJ18" i="2" s="1"/>
  <c r="AP18" i="2" s="1"/>
  <c r="AI19" i="2"/>
  <c r="AJ19" i="2" s="1"/>
  <c r="AP19" i="2" s="1"/>
  <c r="BC4" i="2"/>
  <c r="Z65" i="3" s="1"/>
  <c r="AI13" i="2"/>
  <c r="AJ13" i="2" s="1"/>
  <c r="AP13" i="2" s="1"/>
  <c r="BC10" i="2"/>
  <c r="BC22" i="2"/>
  <c r="BB23" i="2"/>
  <c r="BC6" i="2"/>
  <c r="Z67" i="3" s="1"/>
  <c r="BC12" i="2"/>
  <c r="BC19" i="2"/>
  <c r="BB19" i="2"/>
  <c r="AX5" i="2"/>
  <c r="BC8" i="2"/>
  <c r="Z69" i="3" s="1"/>
  <c r="BC14" i="2"/>
  <c r="AI23" i="2"/>
  <c r="AJ23" i="2" s="1"/>
  <c r="AP23" i="2" s="1"/>
  <c r="AI14" i="2"/>
  <c r="AJ14" i="2" s="1"/>
  <c r="AP14" i="2" s="1"/>
  <c r="BC13" i="2"/>
  <c r="BB20" i="2"/>
  <c r="AI20" i="2"/>
  <c r="AJ20" i="2" s="1"/>
  <c r="AP20" i="2" s="1"/>
  <c r="BC20" i="2"/>
  <c r="BB14" i="2"/>
  <c r="X69" i="3"/>
  <c r="X67" i="3"/>
  <c r="X66" i="3"/>
  <c r="AB24" i="2"/>
  <c r="K34" i="3" s="1"/>
  <c r="I34" i="3"/>
  <c r="K35" i="3"/>
  <c r="G39" i="3" s="1"/>
  <c r="H39" i="3" s="1"/>
  <c r="AI9" i="2"/>
  <c r="AJ9" i="2" s="1"/>
  <c r="AP9" i="2" s="1"/>
  <c r="BB9" i="2"/>
  <c r="BC9" i="2"/>
  <c r="H38" i="3"/>
  <c r="G37" i="3"/>
  <c r="H37" i="3" s="1"/>
  <c r="H36" i="3"/>
  <c r="J38" i="3"/>
  <c r="G41" i="3"/>
  <c r="H41" i="3" s="1"/>
  <c r="AP4" i="2"/>
  <c r="AQ214" i="2"/>
  <c r="AR214" i="2" s="1"/>
  <c r="AS214" i="2" s="1"/>
  <c r="AQ144" i="2"/>
  <c r="AR144" i="2" s="1"/>
  <c r="AT144" i="2" s="1"/>
  <c r="AQ82" i="2"/>
  <c r="AR82" i="2" s="1"/>
  <c r="AS82" i="2" s="1"/>
  <c r="AQ77" i="2"/>
  <c r="AR77" i="2" s="1"/>
  <c r="AT77" i="2" s="1"/>
  <c r="AQ150" i="2"/>
  <c r="AR150" i="2" s="1"/>
  <c r="AT150" i="2" s="1"/>
  <c r="AQ99" i="2"/>
  <c r="AR99" i="2" s="1"/>
  <c r="AT99" i="2" s="1"/>
  <c r="AQ157" i="2"/>
  <c r="AR157" i="2" s="1"/>
  <c r="AS157" i="2" s="1"/>
  <c r="AQ89" i="2"/>
  <c r="AR89" i="2" s="1"/>
  <c r="AT89" i="2" s="1"/>
  <c r="AQ130" i="2"/>
  <c r="AR130" i="2" s="1"/>
  <c r="AS130" i="2" s="1"/>
  <c r="AQ63" i="2"/>
  <c r="AR63" i="2" s="1"/>
  <c r="AS63" i="2" s="1"/>
  <c r="AQ170" i="2"/>
  <c r="AR170" i="2" s="1"/>
  <c r="AS170" i="2" s="1"/>
  <c r="AQ181" i="2"/>
  <c r="AR181" i="2" s="1"/>
  <c r="AS181" i="2" s="1"/>
  <c r="AQ73" i="2"/>
  <c r="AR73" i="2" s="1"/>
  <c r="AS73" i="2" s="1"/>
  <c r="AQ210" i="2"/>
  <c r="AR210" i="2" s="1"/>
  <c r="AS210" i="2" s="1"/>
  <c r="AQ147" i="2"/>
  <c r="AR147" i="2" s="1"/>
  <c r="AS147" i="2" s="1"/>
  <c r="AQ134" i="2"/>
  <c r="AR134" i="2" s="1"/>
  <c r="AT134" i="2" s="1"/>
  <c r="AQ226" i="2"/>
  <c r="AR226" i="2" s="1"/>
  <c r="AS226" i="2" s="1"/>
  <c r="AQ208" i="2"/>
  <c r="AR208" i="2" s="1"/>
  <c r="AS208" i="2" s="1"/>
  <c r="AQ96" i="2"/>
  <c r="AR96" i="2" s="1"/>
  <c r="AS96" i="2" s="1"/>
  <c r="AQ67" i="2"/>
  <c r="AR67" i="2" s="1"/>
  <c r="AS67" i="2" s="1"/>
  <c r="AQ179" i="2"/>
  <c r="AR179" i="2" s="1"/>
  <c r="AT179" i="2" s="1"/>
  <c r="AQ133" i="2"/>
  <c r="AR133" i="2" s="1"/>
  <c r="AS133" i="2" s="1"/>
  <c r="AQ161" i="2"/>
  <c r="AR161" i="2" s="1"/>
  <c r="AS161" i="2" s="1"/>
  <c r="AQ220" i="2"/>
  <c r="AR220" i="2" s="1"/>
  <c r="AT220" i="2" s="1"/>
  <c r="AQ229" i="2"/>
  <c r="AR229" i="2" s="1"/>
  <c r="AS229" i="2" s="1"/>
  <c r="AQ125" i="2"/>
  <c r="AR125" i="2" s="1"/>
  <c r="AS125" i="2" s="1"/>
  <c r="AQ221" i="2"/>
  <c r="AR221" i="2" s="1"/>
  <c r="AS221" i="2" s="1"/>
  <c r="AQ45" i="2"/>
  <c r="AR45" i="2" s="1"/>
  <c r="AT45" i="2" s="1"/>
  <c r="AQ162" i="2"/>
  <c r="AR162" i="2" s="1"/>
  <c r="AS162" i="2" s="1"/>
  <c r="AQ49" i="2"/>
  <c r="AR49" i="2" s="1"/>
  <c r="AS49" i="2" s="1"/>
  <c r="AQ203" i="2"/>
  <c r="AR203" i="2" s="1"/>
  <c r="AS203" i="2" s="1"/>
  <c r="AQ202" i="2"/>
  <c r="AR202" i="2" s="1"/>
  <c r="AT202" i="2" s="1"/>
  <c r="AQ169" i="2"/>
  <c r="AR169" i="2" s="1"/>
  <c r="AS169" i="2" s="1"/>
  <c r="AQ95" i="2"/>
  <c r="AR95" i="2" s="1"/>
  <c r="AS95" i="2" s="1"/>
  <c r="AQ142" i="2"/>
  <c r="AR142" i="2" s="1"/>
  <c r="AT142" i="2" s="1"/>
  <c r="AQ98" i="2"/>
  <c r="AR98" i="2" s="1"/>
  <c r="AT98" i="2" s="1"/>
  <c r="AB218" i="2"/>
  <c r="AD218" i="2" s="1"/>
  <c r="AQ140" i="2"/>
  <c r="AR140" i="2" s="1"/>
  <c r="AS140" i="2" s="1"/>
  <c r="AQ105" i="2"/>
  <c r="AR105" i="2" s="1"/>
  <c r="AS105" i="2" s="1"/>
  <c r="AQ86" i="2"/>
  <c r="AR86" i="2" s="1"/>
  <c r="AT86" i="2" s="1"/>
  <c r="AQ167" i="2"/>
  <c r="AR167" i="2" s="1"/>
  <c r="AS167" i="2" s="1"/>
  <c r="AB171" i="2"/>
  <c r="AD171" i="2" s="1"/>
  <c r="AQ57" i="2"/>
  <c r="AR57" i="2" s="1"/>
  <c r="AS57" i="2" s="1"/>
  <c r="AQ225" i="2"/>
  <c r="AR225" i="2" s="1"/>
  <c r="AS225" i="2" s="1"/>
  <c r="AQ212" i="2"/>
  <c r="AR212" i="2" s="1"/>
  <c r="AS212" i="2" s="1"/>
  <c r="AQ120" i="2"/>
  <c r="AR120" i="2" s="1"/>
  <c r="AT120" i="2" s="1"/>
  <c r="AQ211" i="2"/>
  <c r="AR211" i="2" s="1"/>
  <c r="AS211" i="2" s="1"/>
  <c r="AQ46" i="2"/>
  <c r="AR46" i="2" s="1"/>
  <c r="AS46" i="2" s="1"/>
  <c r="AQ191" i="2"/>
  <c r="AR191" i="2" s="1"/>
  <c r="AT191" i="2" s="1"/>
  <c r="AQ137" i="2"/>
  <c r="AR137" i="2" s="1"/>
  <c r="AS137" i="2" s="1"/>
  <c r="AQ196" i="2"/>
  <c r="AR196" i="2" s="1"/>
  <c r="AS196" i="2" s="1"/>
  <c r="AQ129" i="2"/>
  <c r="AR129" i="2" s="1"/>
  <c r="AT129" i="2" s="1"/>
  <c r="AQ160" i="2"/>
  <c r="AR160" i="2" s="1"/>
  <c r="AS160" i="2" s="1"/>
  <c r="AQ156" i="2"/>
  <c r="AR156" i="2" s="1"/>
  <c r="AS156" i="2" s="1"/>
  <c r="AQ195" i="2"/>
  <c r="AR195" i="2" s="1"/>
  <c r="AT195" i="2" s="1"/>
  <c r="AQ109" i="2"/>
  <c r="AR109" i="2" s="1"/>
  <c r="AS109" i="2" s="1"/>
  <c r="AQ146" i="2"/>
  <c r="AR146" i="2" s="1"/>
  <c r="AS146" i="2" s="1"/>
  <c r="AQ102" i="2"/>
  <c r="AR102" i="2" s="1"/>
  <c r="AS102" i="2" s="1"/>
  <c r="AQ100" i="2"/>
  <c r="AR100" i="2" s="1"/>
  <c r="AS100" i="2" s="1"/>
  <c r="AQ72" i="2"/>
  <c r="AR72" i="2" s="1"/>
  <c r="AS72" i="2" s="1"/>
  <c r="AQ37" i="2"/>
  <c r="AR37" i="2" s="1"/>
  <c r="AQ48" i="2"/>
  <c r="AR48" i="2" s="1"/>
  <c r="AS48" i="2" s="1"/>
  <c r="AQ141" i="2"/>
  <c r="AR141" i="2" s="1"/>
  <c r="AT141" i="2" s="1"/>
  <c r="AQ97" i="2"/>
  <c r="AR97" i="2" s="1"/>
  <c r="AS97" i="2" s="1"/>
  <c r="AQ107" i="2"/>
  <c r="AR107" i="2" s="1"/>
  <c r="AS107" i="2" s="1"/>
  <c r="AQ124" i="2"/>
  <c r="AR124" i="2" s="1"/>
  <c r="AS124" i="2" s="1"/>
  <c r="AQ135" i="2"/>
  <c r="AR135" i="2" s="1"/>
  <c r="AT135" i="2" s="1"/>
  <c r="AQ139" i="2"/>
  <c r="AR139" i="2" s="1"/>
  <c r="AS139" i="2" s="1"/>
  <c r="AQ188" i="2"/>
  <c r="AR188" i="2" s="1"/>
  <c r="AS188" i="2" s="1"/>
  <c r="AQ103" i="2"/>
  <c r="AR103" i="2" s="1"/>
  <c r="AS103" i="2" s="1"/>
  <c r="AQ128" i="2"/>
  <c r="AR128" i="2" s="1"/>
  <c r="AT128" i="2" s="1"/>
  <c r="AQ154" i="2"/>
  <c r="AR154" i="2" s="1"/>
  <c r="AS154" i="2" s="1"/>
  <c r="AQ200" i="2"/>
  <c r="AR200" i="2" s="1"/>
  <c r="AS200" i="2" s="1"/>
  <c r="AQ32" i="2"/>
  <c r="AR32" i="2" s="1"/>
  <c r="AS32" i="2" s="1"/>
  <c r="AQ117" i="2"/>
  <c r="AR117" i="2" s="1"/>
  <c r="AS117" i="2" s="1"/>
  <c r="AQ75" i="2"/>
  <c r="AR75" i="2" s="1"/>
  <c r="AT75" i="2" s="1"/>
  <c r="AQ184" i="2"/>
  <c r="AR184" i="2" s="1"/>
  <c r="AS184" i="2" s="1"/>
  <c r="AQ151" i="2"/>
  <c r="AR151" i="2" s="1"/>
  <c r="AS151" i="2" s="1"/>
  <c r="AQ148" i="2"/>
  <c r="AR148" i="2" s="1"/>
  <c r="AT148" i="2" s="1"/>
  <c r="AQ118" i="2"/>
  <c r="AR118" i="2" s="1"/>
  <c r="AS118" i="2" s="1"/>
  <c r="AQ108" i="2"/>
  <c r="AR108" i="2" s="1"/>
  <c r="AS108" i="2" s="1"/>
  <c r="AQ44" i="2"/>
  <c r="AR44" i="2" s="1"/>
  <c r="AS44" i="2" s="1"/>
  <c r="AQ123" i="2"/>
  <c r="AR123" i="2" s="1"/>
  <c r="AS123" i="2" s="1"/>
  <c r="AQ84" i="2"/>
  <c r="AR84" i="2" s="1"/>
  <c r="AS84" i="2" s="1"/>
  <c r="AQ71" i="2"/>
  <c r="AR71" i="2" s="1"/>
  <c r="AS71" i="2" s="1"/>
  <c r="AQ50" i="2"/>
  <c r="AR50" i="2" s="1"/>
  <c r="AS50" i="2" s="1"/>
  <c r="AQ43" i="2"/>
  <c r="AR43" i="2" s="1"/>
  <c r="AT43" i="2" s="1"/>
  <c r="AQ206" i="2"/>
  <c r="AR206" i="2" s="1"/>
  <c r="AS206" i="2" s="1"/>
  <c r="AQ189" i="2"/>
  <c r="AR189" i="2" s="1"/>
  <c r="AS189" i="2" s="1"/>
  <c r="AQ178" i="2"/>
  <c r="AR178" i="2" s="1"/>
  <c r="AS178" i="2" s="1"/>
  <c r="AQ158" i="2"/>
  <c r="AR158" i="2" s="1"/>
  <c r="AS158" i="2" s="1"/>
  <c r="AQ92" i="2"/>
  <c r="AR92" i="2" s="1"/>
  <c r="AS92" i="2" s="1"/>
  <c r="AQ193" i="2"/>
  <c r="AR193" i="2" s="1"/>
  <c r="AS193" i="2" s="1"/>
  <c r="AQ131" i="2"/>
  <c r="AR131" i="2" s="1"/>
  <c r="AT131" i="2" s="1"/>
  <c r="AQ93" i="2"/>
  <c r="AR93" i="2" s="1"/>
  <c r="AS93" i="2" s="1"/>
  <c r="AQ187" i="2"/>
  <c r="AR187" i="2" s="1"/>
  <c r="AS187" i="2" s="1"/>
  <c r="AQ185" i="2"/>
  <c r="AR185" i="2" s="1"/>
  <c r="AS185" i="2" s="1"/>
  <c r="AQ173" i="2"/>
  <c r="AR173" i="2" s="1"/>
  <c r="AT173" i="2" s="1"/>
  <c r="AQ186" i="2"/>
  <c r="AR186" i="2" s="1"/>
  <c r="AS186" i="2" s="1"/>
  <c r="AQ213" i="2"/>
  <c r="AR213" i="2" s="1"/>
  <c r="AS213" i="2" s="1"/>
  <c r="AQ122" i="2"/>
  <c r="AR122" i="2" s="1"/>
  <c r="AT122" i="2" s="1"/>
  <c r="AQ35" i="2"/>
  <c r="AR35" i="2" s="1"/>
  <c r="AS35" i="2" s="1"/>
  <c r="AQ54" i="2"/>
  <c r="AR54" i="2" s="1"/>
  <c r="AT54" i="2" s="1"/>
  <c r="AQ132" i="2"/>
  <c r="AR132" i="2" s="1"/>
  <c r="AS132" i="2" s="1"/>
  <c r="AQ155" i="2"/>
  <c r="AR155" i="2" s="1"/>
  <c r="AT155" i="2" s="1"/>
  <c r="AQ215" i="2"/>
  <c r="AR215" i="2" s="1"/>
  <c r="AT215" i="2" s="1"/>
  <c r="AQ199" i="2"/>
  <c r="AR199" i="2" s="1"/>
  <c r="AT199" i="2" s="1"/>
  <c r="AQ192" i="2"/>
  <c r="AR192" i="2" s="1"/>
  <c r="AS192" i="2" s="1"/>
  <c r="AQ61" i="2"/>
  <c r="AR61" i="2" s="1"/>
  <c r="AS61" i="2" s="1"/>
  <c r="AQ121" i="2"/>
  <c r="AR121" i="2" s="1"/>
  <c r="AS121" i="2" s="1"/>
  <c r="AQ52" i="2"/>
  <c r="AR52" i="2" s="1"/>
  <c r="AS52" i="2" s="1"/>
  <c r="AQ153" i="2"/>
  <c r="AR153" i="2" s="1"/>
  <c r="AS153" i="2" s="1"/>
  <c r="AQ172" i="2"/>
  <c r="AR172" i="2" s="1"/>
  <c r="AS172" i="2" s="1"/>
  <c r="AQ219" i="2"/>
  <c r="AR219" i="2" s="1"/>
  <c r="AS219" i="2" s="1"/>
  <c r="AQ41" i="2"/>
  <c r="AR41" i="2" s="1"/>
  <c r="AS41" i="2" s="1"/>
  <c r="AQ70" i="2"/>
  <c r="AR70" i="2" s="1"/>
  <c r="AS70" i="2" s="1"/>
  <c r="AQ171" i="2"/>
  <c r="AR171" i="2" s="1"/>
  <c r="AS171" i="2" s="1"/>
  <c r="AQ164" i="2"/>
  <c r="AR164" i="2" s="1"/>
  <c r="AS164" i="2" s="1"/>
  <c r="AQ74" i="2"/>
  <c r="AR74" i="2" s="1"/>
  <c r="AS74" i="2" s="1"/>
  <c r="AQ159" i="2"/>
  <c r="AR159" i="2" s="1"/>
  <c r="AS159" i="2" s="1"/>
  <c r="AQ94" i="2"/>
  <c r="AR94" i="2" s="1"/>
  <c r="AS94" i="2" s="1"/>
  <c r="AQ218" i="2"/>
  <c r="AR218" i="2" s="1"/>
  <c r="AS218" i="2" s="1"/>
  <c r="AQ53" i="2"/>
  <c r="AR53" i="2" s="1"/>
  <c r="AS53" i="2" s="1"/>
  <c r="AQ68" i="2"/>
  <c r="AR68" i="2" s="1"/>
  <c r="AT68" i="2" s="1"/>
  <c r="AQ47" i="2"/>
  <c r="AR47" i="2" s="1"/>
  <c r="AT47" i="2" s="1"/>
  <c r="AQ64" i="2"/>
  <c r="AR64" i="2" s="1"/>
  <c r="AT64" i="2" s="1"/>
  <c r="AQ80" i="2"/>
  <c r="AR80" i="2" s="1"/>
  <c r="AS80" i="2" s="1"/>
  <c r="AQ182" i="2"/>
  <c r="AR182" i="2" s="1"/>
  <c r="AS182" i="2" s="1"/>
  <c r="AQ104" i="2"/>
  <c r="AR104" i="2" s="1"/>
  <c r="AS104" i="2" s="1"/>
  <c r="AQ58" i="2"/>
  <c r="AR58" i="2" s="1"/>
  <c r="AT58" i="2" s="1"/>
  <c r="AQ59" i="2"/>
  <c r="AR59" i="2" s="1"/>
  <c r="AT59" i="2" s="1"/>
  <c r="AQ115" i="2"/>
  <c r="AR115" i="2" s="1"/>
  <c r="AT115" i="2" s="1"/>
  <c r="AQ127" i="2"/>
  <c r="AR127" i="2" s="1"/>
  <c r="AT127" i="2" s="1"/>
  <c r="AQ110" i="2"/>
  <c r="AR110" i="2" s="1"/>
  <c r="AS110" i="2" s="1"/>
  <c r="AQ33" i="2"/>
  <c r="AR33" i="2" s="1"/>
  <c r="AT33" i="2" s="1"/>
  <c r="AQ88" i="2"/>
  <c r="AR88" i="2" s="1"/>
  <c r="AS88" i="2" s="1"/>
  <c r="AQ224" i="2"/>
  <c r="AR224" i="2" s="1"/>
  <c r="AS224" i="2" s="1"/>
  <c r="AQ149" i="2"/>
  <c r="AR149" i="2" s="1"/>
  <c r="AT149" i="2" s="1"/>
  <c r="AQ114" i="2"/>
  <c r="AR114" i="2" s="1"/>
  <c r="AS114" i="2" s="1"/>
  <c r="AQ65" i="2"/>
  <c r="AR65" i="2" s="1"/>
  <c r="AS65" i="2" s="1"/>
  <c r="AQ91" i="2"/>
  <c r="AR91" i="2" s="1"/>
  <c r="AS91" i="2" s="1"/>
  <c r="AQ223" i="2"/>
  <c r="AR223" i="2" s="1"/>
  <c r="AS223" i="2" s="1"/>
  <c r="AQ228" i="2"/>
  <c r="AR228" i="2" s="1"/>
  <c r="AT228" i="2" s="1"/>
  <c r="AQ174" i="2"/>
  <c r="AR174" i="2" s="1"/>
  <c r="AS174" i="2" s="1"/>
  <c r="AQ205" i="2"/>
  <c r="AR205" i="2" s="1"/>
  <c r="AS205" i="2" s="1"/>
  <c r="AQ136" i="2"/>
  <c r="AR136" i="2" s="1"/>
  <c r="AS136" i="2" s="1"/>
  <c r="AQ76" i="2"/>
  <c r="AR76" i="2" s="1"/>
  <c r="AS76" i="2" s="1"/>
  <c r="AQ145" i="2"/>
  <c r="AR145" i="2" s="1"/>
  <c r="AT145" i="2" s="1"/>
  <c r="AQ119" i="2"/>
  <c r="AR119" i="2" s="1"/>
  <c r="AS119" i="2" s="1"/>
  <c r="AQ38" i="2"/>
  <c r="AR38" i="2" s="1"/>
  <c r="AT38" i="2" s="1"/>
  <c r="AQ69" i="2"/>
  <c r="AR69" i="2" s="1"/>
  <c r="AS69" i="2" s="1"/>
  <c r="AQ106" i="2"/>
  <c r="AR106" i="2" s="1"/>
  <c r="AS106" i="2" s="1"/>
  <c r="AQ197" i="2"/>
  <c r="AR197" i="2" s="1"/>
  <c r="AS197" i="2" s="1"/>
  <c r="AQ112" i="2"/>
  <c r="AR112" i="2" s="1"/>
  <c r="AS112" i="2" s="1"/>
  <c r="AQ62" i="2"/>
  <c r="AR62" i="2" s="1"/>
  <c r="AS62" i="2" s="1"/>
  <c r="AQ138" i="2"/>
  <c r="AR138" i="2" s="1"/>
  <c r="AT138" i="2" s="1"/>
  <c r="AQ113" i="2"/>
  <c r="AR113" i="2" s="1"/>
  <c r="AT113" i="2" s="1"/>
  <c r="AQ39" i="2"/>
  <c r="AR39" i="2" s="1"/>
  <c r="AS39" i="2" s="1"/>
  <c r="AQ180" i="2"/>
  <c r="AR180" i="2" s="1"/>
  <c r="AS180" i="2" s="1"/>
  <c r="AQ55" i="2"/>
  <c r="AR55" i="2" s="1"/>
  <c r="AT55" i="2" s="1"/>
  <c r="AQ165" i="2"/>
  <c r="AR165" i="2" s="1"/>
  <c r="AT165" i="2" s="1"/>
  <c r="AQ190" i="2"/>
  <c r="AR190" i="2" s="1"/>
  <c r="AS190" i="2" s="1"/>
  <c r="AQ143" i="2"/>
  <c r="AR143" i="2" s="1"/>
  <c r="AS143" i="2" s="1"/>
  <c r="AQ36" i="2"/>
  <c r="AR36" i="2" s="1"/>
  <c r="AT36" i="2" s="1"/>
  <c r="AQ217" i="2"/>
  <c r="AR217" i="2" s="1"/>
  <c r="AT217" i="2" s="1"/>
  <c r="AQ78" i="2"/>
  <c r="AR78" i="2" s="1"/>
  <c r="AS78" i="2" s="1"/>
  <c r="AQ216" i="2"/>
  <c r="AR216" i="2" s="1"/>
  <c r="AS216" i="2" s="1"/>
  <c r="AQ207" i="2"/>
  <c r="AR207" i="2" s="1"/>
  <c r="AS207" i="2" s="1"/>
  <c r="AQ81" i="2"/>
  <c r="AR81" i="2" s="1"/>
  <c r="AS81" i="2" s="1"/>
  <c r="AQ85" i="2"/>
  <c r="AR85" i="2" s="1"/>
  <c r="AS85" i="2" s="1"/>
  <c r="AQ111" i="2"/>
  <c r="AR111" i="2" s="1"/>
  <c r="AT111" i="2" s="1"/>
  <c r="AQ126" i="2"/>
  <c r="AR126" i="2" s="1"/>
  <c r="AS126" i="2" s="1"/>
  <c r="AQ79" i="2"/>
  <c r="AR79" i="2" s="1"/>
  <c r="AS79" i="2" s="1"/>
  <c r="AQ222" i="2"/>
  <c r="AR222" i="2" s="1"/>
  <c r="AS222" i="2" s="1"/>
  <c r="AQ166" i="2"/>
  <c r="AR166" i="2" s="1"/>
  <c r="AS166" i="2" s="1"/>
  <c r="AQ177" i="2"/>
  <c r="AR177" i="2" s="1"/>
  <c r="AS177" i="2" s="1"/>
  <c r="AQ51" i="2"/>
  <c r="AR51" i="2" s="1"/>
  <c r="AS51" i="2" s="1"/>
  <c r="AQ34" i="2"/>
  <c r="AR34" i="2" s="1"/>
  <c r="AT34" i="2" s="1"/>
  <c r="AQ90" i="2"/>
  <c r="AR90" i="2" s="1"/>
  <c r="AS90" i="2" s="1"/>
  <c r="AQ201" i="2"/>
  <c r="AR201" i="2" s="1"/>
  <c r="AS201" i="2" s="1"/>
  <c r="AQ183" i="2"/>
  <c r="AR183" i="2" s="1"/>
  <c r="AS183" i="2" s="1"/>
  <c r="AQ168" i="2"/>
  <c r="AR168" i="2" s="1"/>
  <c r="AT168" i="2" s="1"/>
  <c r="AQ66" i="2"/>
  <c r="AR66" i="2" s="1"/>
  <c r="AS66" i="2" s="1"/>
  <c r="AQ40" i="2"/>
  <c r="AR40" i="2" s="1"/>
  <c r="AS40" i="2" s="1"/>
  <c r="AQ209" i="2"/>
  <c r="AR209" i="2" s="1"/>
  <c r="AS209" i="2" s="1"/>
  <c r="AQ198" i="2"/>
  <c r="AR198" i="2" s="1"/>
  <c r="AT198" i="2" s="1"/>
  <c r="AQ42" i="2"/>
  <c r="AR42" i="2" s="1"/>
  <c r="AS42" i="2" s="1"/>
  <c r="AQ176" i="2"/>
  <c r="AR176" i="2" s="1"/>
  <c r="AS176" i="2" s="1"/>
  <c r="AQ83" i="2"/>
  <c r="AR83" i="2" s="1"/>
  <c r="AT83" i="2" s="1"/>
  <c r="AQ163" i="2"/>
  <c r="AR163" i="2" s="1"/>
  <c r="AT163" i="2" s="1"/>
  <c r="AQ60" i="2"/>
  <c r="AR60" i="2" s="1"/>
  <c r="AT60" i="2" s="1"/>
  <c r="AQ152" i="2"/>
  <c r="AR152" i="2" s="1"/>
  <c r="AT152" i="2" s="1"/>
  <c r="AQ101" i="2"/>
  <c r="AR101" i="2" s="1"/>
  <c r="AS101" i="2" s="1"/>
  <c r="AQ87" i="2"/>
  <c r="AR87" i="2" s="1"/>
  <c r="AS87" i="2" s="1"/>
  <c r="AQ227" i="2"/>
  <c r="AR227" i="2" s="1"/>
  <c r="AS227" i="2" s="1"/>
  <c r="AQ204" i="2"/>
  <c r="AR204" i="2" s="1"/>
  <c r="AT204" i="2" s="1"/>
  <c r="AQ56" i="2"/>
  <c r="AR56" i="2" s="1"/>
  <c r="AS56" i="2" s="1"/>
  <c r="AQ194" i="2"/>
  <c r="AR194" i="2" s="1"/>
  <c r="AS194" i="2" s="1"/>
  <c r="AQ175" i="2"/>
  <c r="AR175" i="2" s="1"/>
  <c r="AS175" i="2" s="1"/>
  <c r="AB184" i="2"/>
  <c r="AD184" i="2" s="1"/>
  <c r="AB88" i="2"/>
  <c r="AD88" i="2" s="1"/>
  <c r="AS116" i="2"/>
  <c r="AT116" i="2"/>
  <c r="AB47" i="2"/>
  <c r="AD47" i="2" s="1"/>
  <c r="AB50" i="2"/>
  <c r="AD50" i="2" s="1"/>
  <c r="AB92" i="2"/>
  <c r="AD92" i="2" s="1"/>
  <c r="AB135" i="2"/>
  <c r="AD135" i="2" s="1"/>
  <c r="AB143" i="2"/>
  <c r="AD143" i="2" s="1"/>
  <c r="AB65" i="2"/>
  <c r="AD65" i="2" s="1"/>
  <c r="AB166" i="2"/>
  <c r="AD166" i="2" s="1"/>
  <c r="AB37" i="2"/>
  <c r="AD37" i="2" s="1"/>
  <c r="AB62" i="2"/>
  <c r="AD62" i="2" s="1"/>
  <c r="AB84" i="2"/>
  <c r="AC84" i="2"/>
  <c r="AB205" i="2"/>
  <c r="AD205" i="2" s="1"/>
  <c r="AB35" i="2"/>
  <c r="AC35" i="2"/>
  <c r="AB227" i="2"/>
  <c r="AC227" i="2"/>
  <c r="AB58" i="2"/>
  <c r="AC58" i="2"/>
  <c r="AB32" i="2"/>
  <c r="AD32" i="2" s="1"/>
  <c r="AB192" i="2"/>
  <c r="AC192" i="2"/>
  <c r="AB74" i="2"/>
  <c r="AC74" i="2"/>
  <c r="AB215" i="2"/>
  <c r="AC215" i="2"/>
  <c r="AB54" i="2"/>
  <c r="AC54" i="2"/>
  <c r="AB199" i="2"/>
  <c r="AC199" i="2"/>
  <c r="AB57" i="2"/>
  <c r="AC57" i="2"/>
  <c r="AB191" i="2"/>
  <c r="AC191" i="2"/>
  <c r="AB203" i="2"/>
  <c r="AD203" i="2" s="1"/>
  <c r="AB144" i="2"/>
  <c r="AD144" i="2" s="1"/>
  <c r="AB134" i="2"/>
  <c r="AD134" i="2" s="1"/>
  <c r="AB138" i="2"/>
  <c r="AD138" i="2" s="1"/>
  <c r="AB83" i="2"/>
  <c r="AD83" i="2" s="1"/>
  <c r="AB170" i="2"/>
  <c r="AD170" i="2" s="1"/>
  <c r="AB156" i="2"/>
  <c r="AD156" i="2" s="1"/>
  <c r="AB45" i="2"/>
  <c r="AD45" i="2" s="1"/>
  <c r="AB190" i="2"/>
  <c r="AD190" i="2" s="1"/>
  <c r="AB197" i="2"/>
  <c r="AD197" i="2" s="1"/>
  <c r="AB131" i="2"/>
  <c r="AD131" i="2" s="1"/>
  <c r="AB56" i="2"/>
  <c r="AD56" i="2" s="1"/>
  <c r="AB100" i="2"/>
  <c r="AD100" i="2" s="1"/>
  <c r="AB182" i="2"/>
  <c r="AD182" i="2" s="1"/>
  <c r="AB99" i="2"/>
  <c r="AD99" i="2" s="1"/>
  <c r="AB91" i="2"/>
  <c r="AD91" i="2" s="1"/>
  <c r="AB165" i="2"/>
  <c r="AD165" i="2" s="1"/>
  <c r="AB64" i="2"/>
  <c r="AD64" i="2" s="1"/>
  <c r="AB34" i="2"/>
  <c r="AD34" i="2" s="1"/>
  <c r="AB159" i="2"/>
  <c r="AD159" i="2" s="1"/>
  <c r="AB133" i="2"/>
  <c r="AD133" i="2" s="1"/>
  <c r="AB204" i="2"/>
  <c r="AD204" i="2" s="1"/>
  <c r="AB38" i="2"/>
  <c r="AD38" i="2" s="1"/>
  <c r="AB185" i="2"/>
  <c r="AD185" i="2" s="1"/>
  <c r="AB102" i="2"/>
  <c r="AD102" i="2" s="1"/>
  <c r="AB51" i="2"/>
  <c r="AD51" i="2" s="1"/>
  <c r="AB73" i="2"/>
  <c r="AD73" i="2" s="1"/>
  <c r="AB89" i="2"/>
  <c r="AD89" i="2" s="1"/>
  <c r="AB217" i="2"/>
  <c r="AD217" i="2" s="1"/>
  <c r="AB103" i="2"/>
  <c r="AD103" i="2" s="1"/>
  <c r="AB141" i="2"/>
  <c r="AD141" i="2" s="1"/>
  <c r="AB55" i="2"/>
  <c r="AD55" i="2" s="1"/>
  <c r="AB220" i="2"/>
  <c r="AD220" i="2" s="1"/>
  <c r="AB188" i="2"/>
  <c r="AD188" i="2" s="1"/>
  <c r="AB201" i="2"/>
  <c r="AD201" i="2" s="1"/>
  <c r="AB85" i="2"/>
  <c r="AD85" i="2" s="1"/>
  <c r="AB196" i="2"/>
  <c r="AD196" i="2" s="1"/>
  <c r="AB212" i="2"/>
  <c r="AD212" i="2" s="1"/>
  <c r="AB40" i="2"/>
  <c r="AD40" i="2" s="1"/>
  <c r="AB66" i="2"/>
  <c r="AD66" i="2" s="1"/>
  <c r="AB41" i="2"/>
  <c r="AD41" i="2" s="1"/>
  <c r="AB132" i="2"/>
  <c r="AD132" i="2" s="1"/>
  <c r="AB167" i="2"/>
  <c r="AD167" i="2" s="1"/>
  <c r="AB164" i="2"/>
  <c r="AD164" i="2" s="1"/>
  <c r="AB152" i="2"/>
  <c r="AD152" i="2" s="1"/>
  <c r="AB207" i="2"/>
  <c r="AD207" i="2" s="1"/>
  <c r="AB136" i="2"/>
  <c r="AD136" i="2" s="1"/>
  <c r="AB200" i="2"/>
  <c r="AD200" i="2" s="1"/>
  <c r="AB90" i="2"/>
  <c r="AD90" i="2" s="1"/>
  <c r="AB104" i="2"/>
  <c r="AD104" i="2" s="1"/>
  <c r="AB108" i="2"/>
  <c r="AD108" i="2" s="1"/>
  <c r="AB206" i="2"/>
  <c r="AD206" i="2" s="1"/>
  <c r="AB94" i="2"/>
  <c r="AD94" i="2" s="1"/>
  <c r="AB145" i="2"/>
  <c r="AD145" i="2" s="1"/>
  <c r="AB128" i="2"/>
  <c r="AD128" i="2" s="1"/>
  <c r="AB48" i="2"/>
  <c r="AD48" i="2" s="1"/>
  <c r="AB129" i="2"/>
  <c r="AD129" i="2" s="1"/>
  <c r="AB101" i="2"/>
  <c r="AD101" i="2" s="1"/>
  <c r="AB219" i="2"/>
  <c r="AD219" i="2" s="1"/>
  <c r="AB117" i="2"/>
  <c r="AD117" i="2" s="1"/>
  <c r="AB221" i="2"/>
  <c r="AD221" i="2" s="1"/>
  <c r="AB210" i="2"/>
  <c r="AD210" i="2" s="1"/>
  <c r="AB52" i="2"/>
  <c r="AD52" i="2" s="1"/>
  <c r="AB216" i="2"/>
  <c r="AD216" i="2" s="1"/>
  <c r="AB78" i="2"/>
  <c r="AD78" i="2" s="1"/>
  <c r="AB214" i="2"/>
  <c r="AD214" i="2" s="1"/>
  <c r="AB125" i="2"/>
  <c r="AD125" i="2" s="1"/>
  <c r="AB112" i="2"/>
  <c r="AD112" i="2" s="1"/>
  <c r="AB193" i="2"/>
  <c r="AD193" i="2" s="1"/>
  <c r="AB87" i="2"/>
  <c r="AD87" i="2" s="1"/>
  <c r="AB194" i="2"/>
  <c r="AD194" i="2" s="1"/>
  <c r="AB150" i="2"/>
  <c r="AD150" i="2" s="1"/>
  <c r="AB71" i="2"/>
  <c r="AD71" i="2" s="1"/>
  <c r="AB68" i="2"/>
  <c r="AD68" i="2" s="1"/>
  <c r="AB110" i="2"/>
  <c r="AD110" i="2" s="1"/>
  <c r="AB61" i="2"/>
  <c r="AD61" i="2" s="1"/>
  <c r="AB105" i="2"/>
  <c r="AD105" i="2" s="1"/>
  <c r="AB209" i="2"/>
  <c r="AD209" i="2" s="1"/>
  <c r="AB53" i="2"/>
  <c r="AD53" i="2" s="1"/>
  <c r="AB70" i="2"/>
  <c r="AD70" i="2" s="1"/>
  <c r="AB158" i="2"/>
  <c r="AD158" i="2" s="1"/>
  <c r="AB95" i="2"/>
  <c r="AD95" i="2" s="1"/>
  <c r="AB82" i="2"/>
  <c r="AD82" i="2" s="1"/>
  <c r="AB80" i="2"/>
  <c r="AD80" i="2" s="1"/>
  <c r="AB186" i="2"/>
  <c r="AD186" i="2" s="1"/>
  <c r="AB113" i="2"/>
  <c r="AD113" i="2" s="1"/>
  <c r="AB181" i="2"/>
  <c r="AD181" i="2" s="1"/>
  <c r="AB93" i="2"/>
  <c r="AD93" i="2" s="1"/>
  <c r="AB148" i="2"/>
  <c r="AD148" i="2" s="1"/>
  <c r="AB177" i="2"/>
  <c r="AD177" i="2" s="1"/>
  <c r="AB81" i="2"/>
  <c r="AD81" i="2" s="1"/>
  <c r="AB118" i="2"/>
  <c r="AD118" i="2" s="1"/>
  <c r="AB39" i="2"/>
  <c r="AD39" i="2" s="1"/>
  <c r="AB139" i="2"/>
  <c r="AD139" i="2" s="1"/>
  <c r="AB142" i="2"/>
  <c r="AD142" i="2" s="1"/>
  <c r="AB211" i="2"/>
  <c r="AD211" i="2" s="1"/>
  <c r="AB169" i="2"/>
  <c r="AD169" i="2" s="1"/>
  <c r="AB162" i="2"/>
  <c r="AD162" i="2" s="1"/>
  <c r="AB122" i="2"/>
  <c r="AD122" i="2" s="1"/>
  <c r="AB76" i="2"/>
  <c r="AD76" i="2" s="1"/>
  <c r="AB123" i="2"/>
  <c r="AD123" i="2" s="1"/>
  <c r="AB60" i="2"/>
  <c r="AD60" i="2" s="1"/>
  <c r="AB106" i="2"/>
  <c r="AD106" i="2" s="1"/>
  <c r="AB140" i="2"/>
  <c r="AD140" i="2" s="1"/>
  <c r="AB195" i="2"/>
  <c r="AD195" i="2" s="1"/>
  <c r="AB149" i="2"/>
  <c r="AD149" i="2" s="1"/>
  <c r="AB119" i="2"/>
  <c r="AD119" i="2" s="1"/>
  <c r="AB147" i="2"/>
  <c r="AD147" i="2" s="1"/>
  <c r="AB114" i="2"/>
  <c r="AD114" i="2" s="1"/>
  <c r="AB173" i="2"/>
  <c r="AD173" i="2" s="1"/>
  <c r="AB63" i="2"/>
  <c r="AD63" i="2" s="1"/>
  <c r="AB86" i="2"/>
  <c r="AD86" i="2" s="1"/>
  <c r="AB157" i="2"/>
  <c r="AD157" i="2" s="1"/>
  <c r="AB146" i="2"/>
  <c r="AD146" i="2" s="1"/>
  <c r="AB69" i="2"/>
  <c r="AD69" i="2" s="1"/>
  <c r="AB120" i="2"/>
  <c r="AD120" i="2" s="1"/>
  <c r="AB116" i="2"/>
  <c r="AD116" i="2" s="1"/>
  <c r="AB176" i="2"/>
  <c r="AD176" i="2" s="1"/>
  <c r="AB213" i="2"/>
  <c r="AD213" i="2" s="1"/>
  <c r="AB98" i="2"/>
  <c r="AD98" i="2" s="1"/>
  <c r="AB151" i="2"/>
  <c r="AD151" i="2" s="1"/>
  <c r="AB137" i="2"/>
  <c r="AD137" i="2" s="1"/>
  <c r="AB126" i="2"/>
  <c r="AD126" i="2" s="1"/>
  <c r="AB174" i="2"/>
  <c r="AD174" i="2" s="1"/>
  <c r="AB160" i="2"/>
  <c r="AD160" i="2" s="1"/>
  <c r="AB111" i="2"/>
  <c r="AD111" i="2" s="1"/>
  <c r="AB172" i="2"/>
  <c r="AD172" i="2" s="1"/>
  <c r="AB127" i="2"/>
  <c r="AD127" i="2" s="1"/>
  <c r="AB75" i="2"/>
  <c r="AD75" i="2" s="1"/>
  <c r="AJ24" i="2" l="1"/>
  <c r="AP24" i="2"/>
  <c r="AQ9" i="2" s="1"/>
  <c r="AR9" i="2" s="1"/>
  <c r="AS9" i="2" s="1"/>
  <c r="I39" i="3"/>
  <c r="J39" i="3" s="1"/>
  <c r="I37" i="3"/>
  <c r="J37" i="3" s="1"/>
  <c r="I41" i="3"/>
  <c r="J41" i="3" s="1"/>
  <c r="AK4" i="2"/>
  <c r="AL4" i="2" s="1"/>
  <c r="J34" i="3"/>
  <c r="AT82" i="2"/>
  <c r="AU82" i="2" s="1"/>
  <c r="AS173" i="2"/>
  <c r="AD54" i="2"/>
  <c r="AS144" i="2"/>
  <c r="G40" i="3"/>
  <c r="H40" i="3" s="1"/>
  <c r="K41" i="3"/>
  <c r="I40" i="3"/>
  <c r="J40" i="3" s="1"/>
  <c r="AT125" i="2"/>
  <c r="AU125" i="2" s="1"/>
  <c r="AS47" i="2"/>
  <c r="AT210" i="2"/>
  <c r="AU210" i="2" s="1"/>
  <c r="AS145" i="2"/>
  <c r="AS45" i="2"/>
  <c r="AS64" i="2"/>
  <c r="AS77" i="2"/>
  <c r="AS134" i="2"/>
  <c r="AS150" i="2"/>
  <c r="AS99" i="2"/>
  <c r="AT189" i="2"/>
  <c r="AV189" i="2" s="1"/>
  <c r="AT219" i="2"/>
  <c r="AV219" i="2" s="1"/>
  <c r="AT214" i="2"/>
  <c r="AU214" i="2" s="1"/>
  <c r="AT157" i="2"/>
  <c r="AV157" i="2" s="1"/>
  <c r="AS149" i="2"/>
  <c r="AS89" i="2"/>
  <c r="AT175" i="2"/>
  <c r="AV175" i="2" s="1"/>
  <c r="AT186" i="2"/>
  <c r="AU186" i="2" s="1"/>
  <c r="AT130" i="2"/>
  <c r="AV130" i="2" s="1"/>
  <c r="AS33" i="2"/>
  <c r="AS129" i="2"/>
  <c r="AS54" i="2"/>
  <c r="AT109" i="2"/>
  <c r="AU109" i="2" s="1"/>
  <c r="AS202" i="2"/>
  <c r="AT35" i="2"/>
  <c r="AU35" i="2" s="1"/>
  <c r="AT85" i="2"/>
  <c r="AU85" i="2" s="1"/>
  <c r="AT158" i="2"/>
  <c r="AU158" i="2" s="1"/>
  <c r="AT208" i="2"/>
  <c r="AU208" i="2" s="1"/>
  <c r="AS113" i="2"/>
  <c r="AT188" i="2"/>
  <c r="AV188" i="2" s="1"/>
  <c r="AS122" i="2"/>
  <c r="AT133" i="2"/>
  <c r="AU133" i="2" s="1"/>
  <c r="AT226" i="2"/>
  <c r="AV226" i="2" s="1"/>
  <c r="AT69" i="2"/>
  <c r="AU69" i="2" s="1"/>
  <c r="AT169" i="2"/>
  <c r="AU169" i="2" s="1"/>
  <c r="AT67" i="2"/>
  <c r="AV67" i="2" s="1"/>
  <c r="AS68" i="2"/>
  <c r="AT147" i="2"/>
  <c r="AV147" i="2" s="1"/>
  <c r="AT57" i="2"/>
  <c r="AV57" i="2" s="1"/>
  <c r="AT161" i="2"/>
  <c r="AU161" i="2" s="1"/>
  <c r="AS179" i="2"/>
  <c r="AS111" i="2"/>
  <c r="AS195" i="2"/>
  <c r="AT225" i="2"/>
  <c r="AV225" i="2" s="1"/>
  <c r="AS59" i="2"/>
  <c r="AT170" i="2"/>
  <c r="AU170" i="2" s="1"/>
  <c r="AS220" i="2"/>
  <c r="AS98" i="2"/>
  <c r="AT81" i="2"/>
  <c r="AU81" i="2" s="1"/>
  <c r="AS120" i="2"/>
  <c r="AT114" i="2"/>
  <c r="AV114" i="2" s="1"/>
  <c r="AS131" i="2"/>
  <c r="AT73" i="2"/>
  <c r="AV73" i="2" s="1"/>
  <c r="AT96" i="2"/>
  <c r="AU96" i="2" s="1"/>
  <c r="AT80" i="2"/>
  <c r="AV80" i="2" s="1"/>
  <c r="AS142" i="2"/>
  <c r="AT139" i="2"/>
  <c r="AV139" i="2" s="1"/>
  <c r="AD227" i="2"/>
  <c r="AT181" i="2"/>
  <c r="AV181" i="2" s="1"/>
  <c r="AT184" i="2"/>
  <c r="AV184" i="2" s="1"/>
  <c r="AT212" i="2"/>
  <c r="AU212" i="2" s="1"/>
  <c r="AT63" i="2"/>
  <c r="AV63" i="2" s="1"/>
  <c r="AT41" i="2"/>
  <c r="AV41" i="2" s="1"/>
  <c r="AT95" i="2"/>
  <c r="AV95" i="2" s="1"/>
  <c r="AS135" i="2"/>
  <c r="AT107" i="2"/>
  <c r="AU107" i="2" s="1"/>
  <c r="AT124" i="2"/>
  <c r="AU124" i="2" s="1"/>
  <c r="AT172" i="2"/>
  <c r="AU172" i="2" s="1"/>
  <c r="AS148" i="2"/>
  <c r="AS141" i="2"/>
  <c r="AS215" i="2"/>
  <c r="AT102" i="2"/>
  <c r="AU102" i="2" s="1"/>
  <c r="AT46" i="2"/>
  <c r="AV46" i="2" s="1"/>
  <c r="AD74" i="2"/>
  <c r="AD84" i="2"/>
  <c r="AS138" i="2"/>
  <c r="AT201" i="2"/>
  <c r="AU201" i="2" s="1"/>
  <c r="AT104" i="2"/>
  <c r="AU104" i="2" s="1"/>
  <c r="AT51" i="2"/>
  <c r="AU51" i="2" s="1"/>
  <c r="AD191" i="2"/>
  <c r="AD192" i="2"/>
  <c r="AT49" i="2"/>
  <c r="AV49" i="2" s="1"/>
  <c r="AT192" i="2"/>
  <c r="AU192" i="2" s="1"/>
  <c r="AT162" i="2"/>
  <c r="AU162" i="2" s="1"/>
  <c r="AT229" i="2"/>
  <c r="AU229" i="2" s="1"/>
  <c r="AS38" i="2"/>
  <c r="AT178" i="2"/>
  <c r="AU178" i="2" s="1"/>
  <c r="AT177" i="2"/>
  <c r="AV177" i="2" s="1"/>
  <c r="AT221" i="2"/>
  <c r="AU221" i="2" s="1"/>
  <c r="AS58" i="2"/>
  <c r="AS155" i="2"/>
  <c r="AT211" i="2"/>
  <c r="AU211" i="2" s="1"/>
  <c r="AS152" i="2"/>
  <c r="AT151" i="2"/>
  <c r="AV151" i="2" s="1"/>
  <c r="AT203" i="2"/>
  <c r="AV203" i="2" s="1"/>
  <c r="AT164" i="2"/>
  <c r="AV164" i="2" s="1"/>
  <c r="AT167" i="2"/>
  <c r="AV167" i="2" s="1"/>
  <c r="AD199" i="2"/>
  <c r="AS199" i="2"/>
  <c r="AS228" i="2"/>
  <c r="AS86" i="2"/>
  <c r="AT56" i="2"/>
  <c r="AV56" i="2" s="1"/>
  <c r="AT205" i="2"/>
  <c r="AU205" i="2" s="1"/>
  <c r="AS128" i="2"/>
  <c r="AS115" i="2"/>
  <c r="AT100" i="2"/>
  <c r="AU100" i="2" s="1"/>
  <c r="AT65" i="2"/>
  <c r="AU65" i="2" s="1"/>
  <c r="AT160" i="2"/>
  <c r="AU160" i="2" s="1"/>
  <c r="AT71" i="2"/>
  <c r="AU71" i="2" s="1"/>
  <c r="AT174" i="2"/>
  <c r="AU174" i="2" s="1"/>
  <c r="AT193" i="2"/>
  <c r="AU193" i="2" s="1"/>
  <c r="AS127" i="2"/>
  <c r="AT91" i="2"/>
  <c r="AV91" i="2" s="1"/>
  <c r="AT70" i="2"/>
  <c r="AV70" i="2" s="1"/>
  <c r="AT74" i="2"/>
  <c r="AV74" i="2" s="1"/>
  <c r="AT146" i="2"/>
  <c r="AV146" i="2" s="1"/>
  <c r="AT182" i="2"/>
  <c r="AU182" i="2" s="1"/>
  <c r="AT118" i="2"/>
  <c r="AV118" i="2" s="1"/>
  <c r="AD35" i="2"/>
  <c r="AT108" i="2"/>
  <c r="AV108" i="2" s="1"/>
  <c r="AT61" i="2"/>
  <c r="AV61" i="2" s="1"/>
  <c r="AT92" i="2"/>
  <c r="AU92" i="2" s="1"/>
  <c r="AT132" i="2"/>
  <c r="AV132" i="2" s="1"/>
  <c r="AS34" i="2"/>
  <c r="AT137" i="2"/>
  <c r="AV137" i="2" s="1"/>
  <c r="AT32" i="2"/>
  <c r="AU32" i="2" s="1"/>
  <c r="AD215" i="2"/>
  <c r="AS168" i="2"/>
  <c r="AT88" i="2"/>
  <c r="AU88" i="2" s="1"/>
  <c r="AT50" i="2"/>
  <c r="AU50" i="2" s="1"/>
  <c r="AT53" i="2"/>
  <c r="AU53" i="2" s="1"/>
  <c r="AT78" i="2"/>
  <c r="AU78" i="2" s="1"/>
  <c r="AS60" i="2"/>
  <c r="AT84" i="2"/>
  <c r="AU84" i="2" s="1"/>
  <c r="AT154" i="2"/>
  <c r="AV154" i="2" s="1"/>
  <c r="AT97" i="2"/>
  <c r="AU97" i="2" s="1"/>
  <c r="AT200" i="2"/>
  <c r="AU200" i="2" s="1"/>
  <c r="AT187" i="2"/>
  <c r="AV187" i="2" s="1"/>
  <c r="AT185" i="2"/>
  <c r="AU185" i="2" s="1"/>
  <c r="AS83" i="2"/>
  <c r="AS75" i="2"/>
  <c r="AS163" i="2"/>
  <c r="AT213" i="2"/>
  <c r="AU213" i="2" s="1"/>
  <c r="AT72" i="2"/>
  <c r="AU72" i="2" s="1"/>
  <c r="AT110" i="2"/>
  <c r="AU110" i="2" s="1"/>
  <c r="AT176" i="2"/>
  <c r="AV176" i="2" s="1"/>
  <c r="AT197" i="2"/>
  <c r="AV197" i="2" s="1"/>
  <c r="AS43" i="2"/>
  <c r="AS191" i="2"/>
  <c r="AS36" i="2"/>
  <c r="AT105" i="2"/>
  <c r="AU105" i="2" s="1"/>
  <c r="AT44" i="2"/>
  <c r="AV44" i="2" s="1"/>
  <c r="AT206" i="2"/>
  <c r="AU206" i="2" s="1"/>
  <c r="AT42" i="2"/>
  <c r="AU42" i="2" s="1"/>
  <c r="AT218" i="2"/>
  <c r="AV218" i="2" s="1"/>
  <c r="AT90" i="2"/>
  <c r="AV90" i="2" s="1"/>
  <c r="AT136" i="2"/>
  <c r="AU136" i="2" s="1"/>
  <c r="AT117" i="2"/>
  <c r="AV117" i="2" s="1"/>
  <c r="AT62" i="2"/>
  <c r="AU62" i="2" s="1"/>
  <c r="AT48" i="2"/>
  <c r="AU48" i="2" s="1"/>
  <c r="AT112" i="2"/>
  <c r="AU112" i="2" s="1"/>
  <c r="AS217" i="2"/>
  <c r="AS198" i="2"/>
  <c r="AT93" i="2"/>
  <c r="AV93" i="2" s="1"/>
  <c r="AT196" i="2"/>
  <c r="AU196" i="2" s="1"/>
  <c r="AT94" i="2"/>
  <c r="AU94" i="2" s="1"/>
  <c r="AT223" i="2"/>
  <c r="AV223" i="2" s="1"/>
  <c r="AT140" i="2"/>
  <c r="AU140" i="2" s="1"/>
  <c r="AT119" i="2"/>
  <c r="AV119" i="2" s="1"/>
  <c r="AT166" i="2"/>
  <c r="AV166" i="2" s="1"/>
  <c r="AT121" i="2"/>
  <c r="AV121" i="2" s="1"/>
  <c r="AT103" i="2"/>
  <c r="AV103" i="2" s="1"/>
  <c r="AT171" i="2"/>
  <c r="AV171" i="2" s="1"/>
  <c r="AT123" i="2"/>
  <c r="AU123" i="2" s="1"/>
  <c r="AT224" i="2"/>
  <c r="AV224" i="2" s="1"/>
  <c r="AT159" i="2"/>
  <c r="AU159" i="2" s="1"/>
  <c r="AT52" i="2"/>
  <c r="AU52" i="2" s="1"/>
  <c r="AT156" i="2"/>
  <c r="AV156" i="2" s="1"/>
  <c r="AT153" i="2"/>
  <c r="AV153" i="2" s="1"/>
  <c r="AD57" i="2"/>
  <c r="AT143" i="2"/>
  <c r="AU143" i="2" s="1"/>
  <c r="AT106" i="2"/>
  <c r="AV106" i="2" s="1"/>
  <c r="AT216" i="2"/>
  <c r="AV216" i="2" s="1"/>
  <c r="AS37" i="2"/>
  <c r="AT37" i="2"/>
  <c r="AT76" i="2"/>
  <c r="AV76" i="2" s="1"/>
  <c r="AD58" i="2"/>
  <c r="AS165" i="2"/>
  <c r="AT190" i="2"/>
  <c r="AV190" i="2" s="1"/>
  <c r="AT194" i="2"/>
  <c r="AU194" i="2" s="1"/>
  <c r="AT87" i="2"/>
  <c r="AU87" i="2" s="1"/>
  <c r="AT126" i="2"/>
  <c r="AV126" i="2" s="1"/>
  <c r="AT227" i="2"/>
  <c r="AV227" i="2" s="1"/>
  <c r="AS55" i="2"/>
  <c r="AT207" i="2"/>
  <c r="AU207" i="2" s="1"/>
  <c r="AT101" i="2"/>
  <c r="AU101" i="2" s="1"/>
  <c r="AT40" i="2"/>
  <c r="AV40" i="2" s="1"/>
  <c r="AT222" i="2"/>
  <c r="AV222" i="2" s="1"/>
  <c r="AS204" i="2"/>
  <c r="AT180" i="2"/>
  <c r="AV180" i="2" s="1"/>
  <c r="AT209" i="2"/>
  <c r="AU209" i="2" s="1"/>
  <c r="AT66" i="2"/>
  <c r="AV66" i="2" s="1"/>
  <c r="AT183" i="2"/>
  <c r="AU183" i="2" s="1"/>
  <c r="AT79" i="2"/>
  <c r="AV79" i="2" s="1"/>
  <c r="AT39" i="2"/>
  <c r="AU39" i="2" s="1"/>
  <c r="AU77" i="2"/>
  <c r="AV77" i="2"/>
  <c r="AU38" i="2"/>
  <c r="AV38" i="2"/>
  <c r="AU217" i="2"/>
  <c r="AV217" i="2"/>
  <c r="AU83" i="2"/>
  <c r="AV83" i="2"/>
  <c r="AU131" i="2"/>
  <c r="AV131" i="2"/>
  <c r="AV68" i="2"/>
  <c r="AU68" i="2"/>
  <c r="AU215" i="2"/>
  <c r="AV215" i="2"/>
  <c r="AV134" i="2"/>
  <c r="AU134" i="2"/>
  <c r="AU89" i="2"/>
  <c r="AV89" i="2"/>
  <c r="AV228" i="2"/>
  <c r="AU228" i="2"/>
  <c r="AV116" i="2"/>
  <c r="AU116" i="2"/>
  <c r="AV115" i="2"/>
  <c r="AU115" i="2"/>
  <c r="AV34" i="2"/>
  <c r="AU34" i="2"/>
  <c r="AU138" i="2"/>
  <c r="AV138" i="2"/>
  <c r="AV75" i="2"/>
  <c r="AU75" i="2"/>
  <c r="AU58" i="2"/>
  <c r="AV58" i="2"/>
  <c r="AV54" i="2"/>
  <c r="AU54" i="2"/>
  <c r="AV204" i="2"/>
  <c r="AU204" i="2"/>
  <c r="AU86" i="2"/>
  <c r="AV86" i="2"/>
  <c r="AV165" i="2"/>
  <c r="AU165" i="2"/>
  <c r="AU99" i="2"/>
  <c r="AV99" i="2"/>
  <c r="AV60" i="2"/>
  <c r="AU60" i="2"/>
  <c r="AV202" i="2"/>
  <c r="AU202" i="2"/>
  <c r="AU149" i="2"/>
  <c r="AV149" i="2"/>
  <c r="AU144" i="2"/>
  <c r="AV144" i="2"/>
  <c r="AU195" i="2"/>
  <c r="AV195" i="2"/>
  <c r="AU127" i="2"/>
  <c r="AV127" i="2"/>
  <c r="AV145" i="2"/>
  <c r="AU145" i="2"/>
  <c r="AU173" i="2"/>
  <c r="AV173" i="2"/>
  <c r="AV33" i="2"/>
  <c r="AU33" i="2"/>
  <c r="AU155" i="2"/>
  <c r="AV155" i="2"/>
  <c r="AV141" i="2"/>
  <c r="AU141" i="2"/>
  <c r="AU59" i="2"/>
  <c r="AV59" i="2"/>
  <c r="AV179" i="2"/>
  <c r="AU179" i="2"/>
  <c r="AV152" i="2"/>
  <c r="AU152" i="2"/>
  <c r="AV36" i="2"/>
  <c r="AU36" i="2"/>
  <c r="AU128" i="2"/>
  <c r="AV128" i="2"/>
  <c r="AU199" i="2"/>
  <c r="AV199" i="2"/>
  <c r="AV198" i="2"/>
  <c r="AU198" i="2"/>
  <c r="AV168" i="2"/>
  <c r="AU168" i="2"/>
  <c r="AU135" i="2"/>
  <c r="AV135" i="2"/>
  <c r="AU98" i="2"/>
  <c r="AV98" i="2"/>
  <c r="AU45" i="2"/>
  <c r="AV45" i="2"/>
  <c r="AU148" i="2"/>
  <c r="AV148" i="2"/>
  <c r="AV163" i="2"/>
  <c r="AU163" i="2"/>
  <c r="AU111" i="2"/>
  <c r="AV111" i="2"/>
  <c r="AU113" i="2"/>
  <c r="AV113" i="2"/>
  <c r="AU120" i="2"/>
  <c r="AV120" i="2"/>
  <c r="AV142" i="2"/>
  <c r="AU142" i="2"/>
  <c r="AU47" i="2"/>
  <c r="AV47" i="2"/>
  <c r="AV122" i="2"/>
  <c r="AU122" i="2"/>
  <c r="AU129" i="2"/>
  <c r="AV129" i="2"/>
  <c r="AV64" i="2"/>
  <c r="AU64" i="2"/>
  <c r="AU220" i="2"/>
  <c r="AV220" i="2"/>
  <c r="AV43" i="2"/>
  <c r="AU43" i="2"/>
  <c r="AU150" i="2"/>
  <c r="AV150" i="2"/>
  <c r="AV191" i="2"/>
  <c r="AU191" i="2"/>
  <c r="AV55" i="2"/>
  <c r="AU55" i="2"/>
  <c r="AM4" i="2" l="1"/>
  <c r="AN4" i="2" s="1"/>
  <c r="AO4" i="2" s="1"/>
  <c r="AT9" i="2" s="1"/>
  <c r="AQ21" i="2"/>
  <c r="AR21" i="2" s="1"/>
  <c r="AS21" i="2" s="1"/>
  <c r="AQ4" i="2"/>
  <c r="AR4" i="2" s="1"/>
  <c r="AQ5" i="2"/>
  <c r="AR5" i="2" s="1"/>
  <c r="AS5" i="2" s="1"/>
  <c r="AQ23" i="2"/>
  <c r="AR23" i="2" s="1"/>
  <c r="AQ17" i="2"/>
  <c r="AR17" i="2" s="1"/>
  <c r="AS17" i="2" s="1"/>
  <c r="AQ22" i="2"/>
  <c r="AR22" i="2" s="1"/>
  <c r="AS22" i="2" s="1"/>
  <c r="AQ11" i="2"/>
  <c r="AR11" i="2" s="1"/>
  <c r="AS11" i="2" s="1"/>
  <c r="AQ12" i="2"/>
  <c r="AR12" i="2" s="1"/>
  <c r="AS12" i="2" s="1"/>
  <c r="AQ16" i="2"/>
  <c r="AR16" i="2" s="1"/>
  <c r="AS16" i="2" s="1"/>
  <c r="AQ10" i="2"/>
  <c r="AR10" i="2" s="1"/>
  <c r="AS10" i="2" s="1"/>
  <c r="AQ14" i="2"/>
  <c r="AR14" i="2" s="1"/>
  <c r="AS14" i="2" s="1"/>
  <c r="AQ6" i="2"/>
  <c r="AR6" i="2" s="1"/>
  <c r="AS6" i="2" s="1"/>
  <c r="AQ18" i="2"/>
  <c r="AR18" i="2" s="1"/>
  <c r="AQ19" i="2"/>
  <c r="AR19" i="2" s="1"/>
  <c r="AS19" i="2" s="1"/>
  <c r="AQ8" i="2"/>
  <c r="AR8" i="2" s="1"/>
  <c r="AS8" i="2" s="1"/>
  <c r="AQ7" i="2"/>
  <c r="AR7" i="2" s="1"/>
  <c r="AS7" i="2" s="1"/>
  <c r="AQ20" i="2"/>
  <c r="AR20" i="2" s="1"/>
  <c r="AS20" i="2" s="1"/>
  <c r="AQ24" i="2"/>
  <c r="AR24" i="2" s="1"/>
  <c r="AQ13" i="2"/>
  <c r="AR13" i="2" s="1"/>
  <c r="AS13" i="2" s="1"/>
  <c r="AQ15" i="2"/>
  <c r="AR15" i="2" s="1"/>
  <c r="AS15" i="2" s="1"/>
  <c r="AV82" i="2"/>
  <c r="AW82" i="2" s="1"/>
  <c r="AV125" i="2"/>
  <c r="AW125" i="2" s="1"/>
  <c r="AV210" i="2"/>
  <c r="AW210" i="2" s="1"/>
  <c r="AW215" i="2"/>
  <c r="AV214" i="2"/>
  <c r="AW214" i="2" s="1"/>
  <c r="AU219" i="2"/>
  <c r="AW220" i="2"/>
  <c r="AV213" i="2"/>
  <c r="AW213" i="2" s="1"/>
  <c r="AV92" i="2"/>
  <c r="AW92" i="2" s="1"/>
  <c r="AW144" i="2"/>
  <c r="AW111" i="2"/>
  <c r="AW149" i="2"/>
  <c r="AV229" i="2"/>
  <c r="AW229" i="2" s="1"/>
  <c r="AU166" i="2"/>
  <c r="AU189" i="2"/>
  <c r="AV169" i="2"/>
  <c r="AW169" i="2" s="1"/>
  <c r="AV208" i="2"/>
  <c r="AW208" i="2" s="1"/>
  <c r="AV161" i="2"/>
  <c r="AW161" i="2" s="1"/>
  <c r="AV192" i="2"/>
  <c r="AW192" i="2" s="1"/>
  <c r="AU63" i="2"/>
  <c r="AU41" i="2"/>
  <c r="AW45" i="2"/>
  <c r="AV85" i="2"/>
  <c r="AW85" i="2" s="1"/>
  <c r="AW89" i="2"/>
  <c r="AU130" i="2"/>
  <c r="AU175" i="2"/>
  <c r="AV182" i="2"/>
  <c r="AW182" i="2" s="1"/>
  <c r="AV186" i="2"/>
  <c r="AW186" i="2" s="1"/>
  <c r="AU57" i="2"/>
  <c r="AV62" i="2"/>
  <c r="AV158" i="2"/>
  <c r="AW158" i="2" s="1"/>
  <c r="AU157" i="2"/>
  <c r="AW59" i="2"/>
  <c r="AV35" i="2"/>
  <c r="AW35" i="2" s="1"/>
  <c r="AU67" i="2"/>
  <c r="AV206" i="2"/>
  <c r="AW206" i="2" s="1"/>
  <c r="AU153" i="2"/>
  <c r="AU181" i="2"/>
  <c r="AV212" i="2"/>
  <c r="AW212" i="2" s="1"/>
  <c r="AU184" i="2"/>
  <c r="AV102" i="2"/>
  <c r="AW102" i="2" s="1"/>
  <c r="AV109" i="2"/>
  <c r="AW109" i="2" s="1"/>
  <c r="AU203" i="2"/>
  <c r="AU139" i="2"/>
  <c r="AV194" i="2"/>
  <c r="AW194" i="2" s="1"/>
  <c r="AV107" i="2"/>
  <c r="AW107" i="2" s="1"/>
  <c r="AU188" i="2"/>
  <c r="AU95" i="2"/>
  <c r="AU171" i="2"/>
  <c r="AU132" i="2"/>
  <c r="AV170" i="2"/>
  <c r="AW170" i="2" s="1"/>
  <c r="AV69" i="2"/>
  <c r="AV196" i="2"/>
  <c r="AW196" i="2" s="1"/>
  <c r="AV133" i="2"/>
  <c r="AW133" i="2" s="1"/>
  <c r="AU226" i="2"/>
  <c r="AU121" i="2"/>
  <c r="AU147" i="2"/>
  <c r="AU225" i="2"/>
  <c r="AU190" i="2"/>
  <c r="AV201" i="2"/>
  <c r="AW201" i="2" s="1"/>
  <c r="AV110" i="2"/>
  <c r="AW110" i="2" s="1"/>
  <c r="AV81" i="2"/>
  <c r="AW81" i="2" s="1"/>
  <c r="AU46" i="2"/>
  <c r="AU73" i="2"/>
  <c r="AU154" i="2"/>
  <c r="AV104" i="2"/>
  <c r="AW104" i="2" s="1"/>
  <c r="AU114" i="2"/>
  <c r="AV51" i="2"/>
  <c r="AW51" i="2" s="1"/>
  <c r="AV221" i="2"/>
  <c r="AW221" i="2" s="1"/>
  <c r="AU117" i="2"/>
  <c r="AW150" i="2"/>
  <c r="AV96" i="2"/>
  <c r="AW96" i="2" s="1"/>
  <c r="AW99" i="2"/>
  <c r="AV178" i="2"/>
  <c r="AW178" i="2" s="1"/>
  <c r="AU177" i="2"/>
  <c r="AV172" i="2"/>
  <c r="AW172" i="2" s="1"/>
  <c r="AV124" i="2"/>
  <c r="AW124" i="2" s="1"/>
  <c r="AV205" i="2"/>
  <c r="AW205" i="2" s="1"/>
  <c r="AU80" i="2"/>
  <c r="AU56" i="2"/>
  <c r="AW155" i="2"/>
  <c r="AW127" i="2"/>
  <c r="AW131" i="2"/>
  <c r="AV78" i="2"/>
  <c r="AW78" i="2" s="1"/>
  <c r="AU156" i="2"/>
  <c r="AV87" i="2"/>
  <c r="AW87" i="2" s="1"/>
  <c r="AU74" i="2"/>
  <c r="AV183" i="2"/>
  <c r="AW183" i="2" s="1"/>
  <c r="AV140" i="2"/>
  <c r="AW140" i="2" s="1"/>
  <c r="AV94" i="2"/>
  <c r="AW94" i="2" s="1"/>
  <c r="AV65" i="2"/>
  <c r="AW65" i="2" s="1"/>
  <c r="AU61" i="2"/>
  <c r="AW120" i="2"/>
  <c r="AU167" i="2"/>
  <c r="AU164" i="2"/>
  <c r="AW135" i="2"/>
  <c r="AU79" i="2"/>
  <c r="AU119" i="2"/>
  <c r="AV88" i="2"/>
  <c r="AW88" i="2" s="1"/>
  <c r="AU108" i="2"/>
  <c r="AU118" i="2"/>
  <c r="AV209" i="2"/>
  <c r="AW209" i="2" s="1"/>
  <c r="AU49" i="2"/>
  <c r="AV162" i="2"/>
  <c r="AW162" i="2" s="1"/>
  <c r="AU151" i="2"/>
  <c r="AV160" i="2"/>
  <c r="AW160" i="2" s="1"/>
  <c r="AU218" i="2"/>
  <c r="AV52" i="2"/>
  <c r="AW52" i="2" s="1"/>
  <c r="AV42" i="2"/>
  <c r="AW42" i="2" s="1"/>
  <c r="AV211" i="2"/>
  <c r="AW211" i="2" s="1"/>
  <c r="AU70" i="2"/>
  <c r="AU146" i="2"/>
  <c r="AV100" i="2"/>
  <c r="AW100" i="2" s="1"/>
  <c r="AV53" i="2"/>
  <c r="AW53" i="2" s="1"/>
  <c r="AU66" i="2"/>
  <c r="AV72" i="2"/>
  <c r="AW72" i="2" s="1"/>
  <c r="AW77" i="2"/>
  <c r="AW113" i="2"/>
  <c r="AW148" i="2"/>
  <c r="AW199" i="2"/>
  <c r="AU91" i="2"/>
  <c r="AW43" i="2"/>
  <c r="AV32" i="2"/>
  <c r="AU106" i="2"/>
  <c r="AU137" i="2"/>
  <c r="AV71" i="2"/>
  <c r="AW71" i="2" s="1"/>
  <c r="AV193" i="2"/>
  <c r="AW193" i="2" s="1"/>
  <c r="AU216" i="2"/>
  <c r="AU197" i="2"/>
  <c r="AU223" i="2"/>
  <c r="AV123" i="2"/>
  <c r="AW123" i="2" s="1"/>
  <c r="AV185" i="2"/>
  <c r="AW185" i="2" s="1"/>
  <c r="AU187" i="2"/>
  <c r="AV200" i="2"/>
  <c r="AW200" i="2" s="1"/>
  <c r="AV174" i="2"/>
  <c r="AW174" i="2" s="1"/>
  <c r="AU176" i="2"/>
  <c r="AV50" i="2"/>
  <c r="AW50" i="2" s="1"/>
  <c r="AV39" i="2"/>
  <c r="AU103" i="2"/>
  <c r="AW86" i="2"/>
  <c r="AW58" i="2"/>
  <c r="AV97" i="2"/>
  <c r="AW97" i="2" s="1"/>
  <c r="AW217" i="2"/>
  <c r="AW122" i="2"/>
  <c r="AW134" i="2"/>
  <c r="AW163" i="2"/>
  <c r="AW36" i="2"/>
  <c r="AU76" i="2"/>
  <c r="AU93" i="2"/>
  <c r="AV105" i="2"/>
  <c r="AW105" i="2" s="1"/>
  <c r="AW191" i="2"/>
  <c r="AW142" i="2"/>
  <c r="AV84" i="2"/>
  <c r="AW84" i="2" s="1"/>
  <c r="AW204" i="2"/>
  <c r="AV159" i="2"/>
  <c r="AW159" i="2" s="1"/>
  <c r="AV143" i="2"/>
  <c r="AW143" i="2" s="1"/>
  <c r="AW60" i="2"/>
  <c r="AW54" i="2"/>
  <c r="AV136" i="2"/>
  <c r="AW136" i="2" s="1"/>
  <c r="AU180" i="2"/>
  <c r="AW145" i="2"/>
  <c r="AW202" i="2"/>
  <c r="AW116" i="2"/>
  <c r="AW168" i="2"/>
  <c r="AU44" i="2"/>
  <c r="AV112" i="2"/>
  <c r="AW112" i="2" s="1"/>
  <c r="AW228" i="2"/>
  <c r="AW64" i="2"/>
  <c r="AW198" i="2"/>
  <c r="AU126" i="2"/>
  <c r="AV48" i="2"/>
  <c r="AW48" i="2" s="1"/>
  <c r="AW55" i="2"/>
  <c r="AW152" i="2"/>
  <c r="AW33" i="2"/>
  <c r="AU224" i="2"/>
  <c r="AW138" i="2"/>
  <c r="AU90" i="2"/>
  <c r="AW83" i="2"/>
  <c r="AW38" i="2"/>
  <c r="AW115" i="2"/>
  <c r="AW179" i="2"/>
  <c r="AU222" i="2"/>
  <c r="AW75" i="2"/>
  <c r="AW68" i="2"/>
  <c r="AV37" i="2"/>
  <c r="AU37" i="2"/>
  <c r="AW34" i="2"/>
  <c r="AW141" i="2"/>
  <c r="AW165" i="2"/>
  <c r="AW129" i="2"/>
  <c r="AW47" i="2"/>
  <c r="AW98" i="2"/>
  <c r="AW128" i="2"/>
  <c r="AW173" i="2"/>
  <c r="AW195" i="2"/>
  <c r="AU40" i="2"/>
  <c r="AU227" i="2"/>
  <c r="AV101" i="2"/>
  <c r="AW101" i="2" s="1"/>
  <c r="AV207" i="2"/>
  <c r="AW207" i="2" s="1"/>
  <c r="AT23" i="2" l="1"/>
  <c r="AU23" i="2" s="1"/>
  <c r="AT18" i="2"/>
  <c r="AU18" i="2" s="1"/>
  <c r="AG7" i="2"/>
  <c r="AX53" i="2"/>
  <c r="AX37" i="2"/>
  <c r="AT17" i="2"/>
  <c r="AU17" i="2" s="1"/>
  <c r="AT5" i="2"/>
  <c r="Y35" i="3" s="1"/>
  <c r="Z35" i="3" s="1"/>
  <c r="AT21" i="2"/>
  <c r="AU21" i="2" s="1"/>
  <c r="AS18" i="2"/>
  <c r="AT16" i="2"/>
  <c r="AU16" i="2" s="1"/>
  <c r="AS23" i="2"/>
  <c r="AT22" i="2"/>
  <c r="AU22" i="2" s="1"/>
  <c r="AT12" i="2"/>
  <c r="AU12" i="2" s="1"/>
  <c r="AT14" i="2"/>
  <c r="AU14" i="2" s="1"/>
  <c r="AT11" i="2"/>
  <c r="AU11" i="2" s="1"/>
  <c r="AT10" i="2"/>
  <c r="AU10" i="2" s="1"/>
  <c r="AT6" i="2"/>
  <c r="AU6" i="2" s="1"/>
  <c r="AT8" i="2"/>
  <c r="AU8" i="2" s="1"/>
  <c r="AX48" i="2"/>
  <c r="AG6" i="2"/>
  <c r="AW69" i="2"/>
  <c r="AG19" i="2"/>
  <c r="AG18" i="2"/>
  <c r="AV18" i="2" s="1"/>
  <c r="AW18" i="2" s="1"/>
  <c r="AG17" i="2"/>
  <c r="AV17" i="2" s="1"/>
  <c r="AG16" i="2"/>
  <c r="AG15" i="2"/>
  <c r="AG21" i="2"/>
  <c r="AG20" i="2"/>
  <c r="AG14" i="2"/>
  <c r="AG22" i="2"/>
  <c r="AG13" i="2"/>
  <c r="AG12" i="2"/>
  <c r="AG11" i="2"/>
  <c r="AG10" i="2"/>
  <c r="AG23" i="2"/>
  <c r="AW32" i="2"/>
  <c r="AG9" i="2"/>
  <c r="AV9" i="2" s="1"/>
  <c r="AT20" i="2"/>
  <c r="AU20" i="2" s="1"/>
  <c r="AT19" i="2"/>
  <c r="AW39" i="2"/>
  <c r="AG5" i="2"/>
  <c r="AW62" i="2"/>
  <c r="AG4" i="2"/>
  <c r="AG8" i="2"/>
  <c r="AT7" i="2"/>
  <c r="AU7" i="2" s="1"/>
  <c r="AT13" i="2"/>
  <c r="AU13" i="2" s="1"/>
  <c r="AX62" i="2"/>
  <c r="AX59" i="2"/>
  <c r="AX64" i="2"/>
  <c r="AX39" i="2"/>
  <c r="AX35" i="2"/>
  <c r="AX55" i="2"/>
  <c r="AX50" i="2"/>
  <c r="AX33" i="2"/>
  <c r="AX54" i="2"/>
  <c r="AX36" i="2"/>
  <c r="AX38" i="2"/>
  <c r="AX65" i="2"/>
  <c r="AX51" i="2"/>
  <c r="AX107" i="2"/>
  <c r="AX217" i="2"/>
  <c r="AX69" i="2"/>
  <c r="AX214" i="2"/>
  <c r="AX89" i="2"/>
  <c r="AW176" i="2"/>
  <c r="AX176" i="2"/>
  <c r="AW108" i="2"/>
  <c r="AX108" i="2"/>
  <c r="AX210" i="2"/>
  <c r="AX127" i="2"/>
  <c r="AX100" i="2"/>
  <c r="AX212" i="2"/>
  <c r="AW70" i="2"/>
  <c r="AX70" i="2"/>
  <c r="AW74" i="2"/>
  <c r="AX74" i="2"/>
  <c r="AW46" i="2"/>
  <c r="AX46" i="2"/>
  <c r="AX158" i="2"/>
  <c r="AX202" i="2"/>
  <c r="AX101" i="2"/>
  <c r="AX215" i="2"/>
  <c r="AX81" i="2"/>
  <c r="AW222" i="2"/>
  <c r="AX222" i="2"/>
  <c r="AW181" i="2"/>
  <c r="AX181" i="2"/>
  <c r="AX185" i="2"/>
  <c r="AX152" i="2"/>
  <c r="AX110" i="2"/>
  <c r="AX105" i="2"/>
  <c r="AX170" i="2"/>
  <c r="AW187" i="2"/>
  <c r="AX187" i="2"/>
  <c r="AW156" i="2"/>
  <c r="AX156" i="2"/>
  <c r="AW171" i="2"/>
  <c r="AX171" i="2"/>
  <c r="AX163" i="2"/>
  <c r="AX109" i="2"/>
  <c r="AX102" i="2"/>
  <c r="AX115" i="2"/>
  <c r="AX195" i="2"/>
  <c r="AX191" i="2"/>
  <c r="AX201" i="2"/>
  <c r="AX122" i="2"/>
  <c r="AX42" i="2"/>
  <c r="AW218" i="2"/>
  <c r="AX218" i="2"/>
  <c r="AW164" i="2"/>
  <c r="AX164" i="2"/>
  <c r="AW190" i="2"/>
  <c r="AX190" i="2"/>
  <c r="AW188" i="2"/>
  <c r="AX188" i="2"/>
  <c r="AW67" i="2"/>
  <c r="AX67" i="2"/>
  <c r="AX207" i="2"/>
  <c r="AX111" i="2"/>
  <c r="AX192" i="2"/>
  <c r="AX162" i="2"/>
  <c r="AX199" i="2"/>
  <c r="AX133" i="2"/>
  <c r="AX221" i="2"/>
  <c r="AX172" i="2"/>
  <c r="AX194" i="2"/>
  <c r="AX204" i="2"/>
  <c r="AW223" i="2"/>
  <c r="AX223" i="2"/>
  <c r="AW167" i="2"/>
  <c r="AX167" i="2"/>
  <c r="AW117" i="2"/>
  <c r="AX117" i="2"/>
  <c r="AW225" i="2"/>
  <c r="AX225" i="2"/>
  <c r="AX34" i="2"/>
  <c r="AX182" i="2"/>
  <c r="AX160" i="2"/>
  <c r="AX92" i="2"/>
  <c r="AX148" i="2"/>
  <c r="AX211" i="2"/>
  <c r="AX200" i="2"/>
  <c r="AX159" i="2"/>
  <c r="AX173" i="2"/>
  <c r="AX85" i="2"/>
  <c r="AW227" i="2"/>
  <c r="AX227" i="2"/>
  <c r="AW93" i="2"/>
  <c r="AX93" i="2"/>
  <c r="AW137" i="2"/>
  <c r="AX137" i="2"/>
  <c r="AW154" i="2"/>
  <c r="AX154" i="2"/>
  <c r="AW57" i="2"/>
  <c r="AX57" i="2"/>
  <c r="AX120" i="2"/>
  <c r="AW76" i="2"/>
  <c r="AX76" i="2"/>
  <c r="AW106" i="2"/>
  <c r="AX106" i="2"/>
  <c r="AW73" i="2"/>
  <c r="AX73" i="2"/>
  <c r="AX174" i="2"/>
  <c r="AX168" i="2"/>
  <c r="AW189" i="2"/>
  <c r="AX189" i="2"/>
  <c r="AX94" i="2"/>
  <c r="AX229" i="2"/>
  <c r="AX205" i="2"/>
  <c r="AX99" i="2"/>
  <c r="AW126" i="2"/>
  <c r="AX126" i="2"/>
  <c r="AW119" i="2"/>
  <c r="AX119" i="2"/>
  <c r="AW166" i="2"/>
  <c r="AX166" i="2"/>
  <c r="AX155" i="2"/>
  <c r="AX71" i="2"/>
  <c r="AW91" i="2"/>
  <c r="AX91" i="2"/>
  <c r="AW79" i="2"/>
  <c r="AX79" i="2"/>
  <c r="AW153" i="2"/>
  <c r="AX153" i="2"/>
  <c r="AW130" i="2"/>
  <c r="AX130" i="2"/>
  <c r="AX193" i="2"/>
  <c r="AX135" i="2"/>
  <c r="AX143" i="2"/>
  <c r="AX198" i="2"/>
  <c r="AX136" i="2"/>
  <c r="AW95" i="2"/>
  <c r="AX95" i="2"/>
  <c r="AX58" i="2"/>
  <c r="AT15" i="2"/>
  <c r="AU15" i="2" s="1"/>
  <c r="AW90" i="2"/>
  <c r="AX90" i="2"/>
  <c r="AW44" i="2"/>
  <c r="AX44" i="2"/>
  <c r="AW147" i="2"/>
  <c r="AX147" i="2"/>
  <c r="AW41" i="2"/>
  <c r="AX41" i="2"/>
  <c r="AX86" i="2"/>
  <c r="AX113" i="2"/>
  <c r="AW216" i="2"/>
  <c r="AX216" i="2"/>
  <c r="AW56" i="2"/>
  <c r="AX56" i="2"/>
  <c r="AW121" i="2"/>
  <c r="AX121" i="2"/>
  <c r="AW139" i="2"/>
  <c r="AX139" i="2"/>
  <c r="AW157" i="2"/>
  <c r="AX157" i="2"/>
  <c r="AW63" i="2"/>
  <c r="AX63" i="2"/>
  <c r="AX43" i="2"/>
  <c r="AX213" i="2"/>
  <c r="AX140" i="2"/>
  <c r="AX150" i="2"/>
  <c r="AX206" i="2"/>
  <c r="AX134" i="2"/>
  <c r="AX88" i="2"/>
  <c r="AX169" i="2"/>
  <c r="AX77" i="2"/>
  <c r="AW224" i="2"/>
  <c r="AX224" i="2"/>
  <c r="AW103" i="2"/>
  <c r="AX103" i="2"/>
  <c r="AW66" i="2"/>
  <c r="AX66" i="2"/>
  <c r="AW49" i="2"/>
  <c r="AX49" i="2"/>
  <c r="AW80" i="2"/>
  <c r="AX80" i="2"/>
  <c r="AW114" i="2"/>
  <c r="AX114" i="2"/>
  <c r="AW226" i="2"/>
  <c r="AX226" i="2"/>
  <c r="AW203" i="2"/>
  <c r="AX203" i="2"/>
  <c r="AX141" i="2"/>
  <c r="AX179" i="2"/>
  <c r="AX87" i="2"/>
  <c r="AX98" i="2"/>
  <c r="AX208" i="2"/>
  <c r="AX96" i="2"/>
  <c r="AX60" i="2"/>
  <c r="AX165" i="2"/>
  <c r="AX52" i="2"/>
  <c r="AX72" i="2"/>
  <c r="AX144" i="2"/>
  <c r="AW118" i="2"/>
  <c r="AX118" i="2"/>
  <c r="AX123" i="2"/>
  <c r="AX116" i="2"/>
  <c r="AX97" i="2"/>
  <c r="AX145" i="2"/>
  <c r="AW40" i="2"/>
  <c r="AX40" i="2"/>
  <c r="AW180" i="2"/>
  <c r="AX180" i="2"/>
  <c r="AW146" i="2"/>
  <c r="AX146" i="2"/>
  <c r="AW184" i="2"/>
  <c r="AX184" i="2"/>
  <c r="AW177" i="2"/>
  <c r="AX177" i="2"/>
  <c r="AX124" i="2"/>
  <c r="AW132" i="2"/>
  <c r="AX132" i="2"/>
  <c r="AW175" i="2"/>
  <c r="AX175" i="2"/>
  <c r="AX178" i="2"/>
  <c r="AX131" i="2"/>
  <c r="AX138" i="2"/>
  <c r="AX125" i="2"/>
  <c r="AX75" i="2"/>
  <c r="AW197" i="2"/>
  <c r="AX197" i="2"/>
  <c r="AW151" i="2"/>
  <c r="AX151" i="2"/>
  <c r="AX142" i="2"/>
  <c r="AX196" i="2"/>
  <c r="AX78" i="2"/>
  <c r="AX47" i="2"/>
  <c r="AX83" i="2"/>
  <c r="AX112" i="2"/>
  <c r="AX129" i="2"/>
  <c r="AX84" i="2"/>
  <c r="AW61" i="2"/>
  <c r="AX61" i="2"/>
  <c r="AX228" i="2"/>
  <c r="AX128" i="2"/>
  <c r="AW219" i="2"/>
  <c r="AX219" i="2"/>
  <c r="AX104" i="2"/>
  <c r="AX82" i="2"/>
  <c r="AX183" i="2"/>
  <c r="AX220" i="2"/>
  <c r="AX161" i="2"/>
  <c r="AX32" i="2"/>
  <c r="AX68" i="2"/>
  <c r="AX186" i="2"/>
  <c r="AX209" i="2"/>
  <c r="AX149" i="2"/>
  <c r="AX45" i="2"/>
  <c r="AS24" i="2"/>
  <c r="AS4" i="2"/>
  <c r="AT4" i="2"/>
  <c r="W35" i="3" s="1"/>
  <c r="AU9" i="2"/>
  <c r="AW37" i="2"/>
  <c r="AV23" i="2" l="1"/>
  <c r="AU5" i="2"/>
  <c r="AY33" i="2" s="1"/>
  <c r="AV21" i="2"/>
  <c r="AW21" i="2" s="1"/>
  <c r="AH8" i="2"/>
  <c r="AV16" i="2"/>
  <c r="AW16" i="2" s="1"/>
  <c r="AH6" i="2"/>
  <c r="AY84" i="2"/>
  <c r="AY184" i="2"/>
  <c r="AY163" i="2"/>
  <c r="AY75" i="2"/>
  <c r="AY225" i="2"/>
  <c r="AY118" i="2"/>
  <c r="AY133" i="2"/>
  <c r="AY141" i="2"/>
  <c r="AY164" i="2"/>
  <c r="AY213" i="2"/>
  <c r="AY181" i="2"/>
  <c r="AY216" i="2"/>
  <c r="AY214" i="2"/>
  <c r="AY227" i="2"/>
  <c r="AH5" i="2"/>
  <c r="Y38" i="3" s="1"/>
  <c r="AV22" i="2"/>
  <c r="AW22" i="2" s="1"/>
  <c r="AV5" i="2"/>
  <c r="Y36" i="3" s="1"/>
  <c r="Z36" i="3" s="1"/>
  <c r="AV14" i="2"/>
  <c r="AW14" i="2" s="1"/>
  <c r="AY149" i="2"/>
  <c r="AY151" i="2"/>
  <c r="AY145" i="2"/>
  <c r="AY208" i="2"/>
  <c r="AY134" i="2"/>
  <c r="AY121" i="2"/>
  <c r="AY193" i="2"/>
  <c r="AY174" i="2"/>
  <c r="AY137" i="2"/>
  <c r="AY92" i="2"/>
  <c r="AY204" i="2"/>
  <c r="AY188" i="2"/>
  <c r="AY195" i="2"/>
  <c r="AY105" i="2"/>
  <c r="AY158" i="2"/>
  <c r="AV12" i="2"/>
  <c r="AW12" i="2" s="1"/>
  <c r="AV6" i="2"/>
  <c r="AW6" i="2" s="1"/>
  <c r="AY128" i="2"/>
  <c r="AY209" i="2"/>
  <c r="AY228" i="2"/>
  <c r="AY124" i="2"/>
  <c r="AY97" i="2"/>
  <c r="AY98" i="2"/>
  <c r="AY206" i="2"/>
  <c r="AY130" i="2"/>
  <c r="AY119" i="2"/>
  <c r="AY73" i="2"/>
  <c r="AV13" i="2"/>
  <c r="AW13" i="2" s="1"/>
  <c r="AY219" i="2"/>
  <c r="AY196" i="2"/>
  <c r="AY169" i="2"/>
  <c r="AY139" i="2"/>
  <c r="AY147" i="2"/>
  <c r="AY143" i="2"/>
  <c r="AY155" i="2"/>
  <c r="AY154" i="2"/>
  <c r="AY211" i="2"/>
  <c r="AY223" i="2"/>
  <c r="AY201" i="2"/>
  <c r="AY101" i="2"/>
  <c r="AY210" i="2"/>
  <c r="AY142" i="2"/>
  <c r="AY132" i="2"/>
  <c r="AY96" i="2"/>
  <c r="AY80" i="2"/>
  <c r="AY88" i="2"/>
  <c r="AY135" i="2"/>
  <c r="AY166" i="2"/>
  <c r="AY168" i="2"/>
  <c r="AY148" i="2"/>
  <c r="AY191" i="2"/>
  <c r="AY170" i="2"/>
  <c r="AY202" i="2"/>
  <c r="AY108" i="2"/>
  <c r="AV11" i="2"/>
  <c r="AW11" i="2" s="1"/>
  <c r="AY115" i="2"/>
  <c r="AY197" i="2"/>
  <c r="AY177" i="2"/>
  <c r="AY116" i="2"/>
  <c r="AY87" i="2"/>
  <c r="AY150" i="2"/>
  <c r="AY90" i="2"/>
  <c r="AY93" i="2"/>
  <c r="AY182" i="2"/>
  <c r="AY172" i="2"/>
  <c r="AY190" i="2"/>
  <c r="AY102" i="2"/>
  <c r="AY152" i="2"/>
  <c r="AY160" i="2"/>
  <c r="AY194" i="2"/>
  <c r="AY110" i="2"/>
  <c r="AY176" i="2"/>
  <c r="AY186" i="2"/>
  <c r="AY123" i="2"/>
  <c r="AY179" i="2"/>
  <c r="AY140" i="2"/>
  <c r="AY153" i="2"/>
  <c r="AY126" i="2"/>
  <c r="AY106" i="2"/>
  <c r="AY221" i="2"/>
  <c r="AY109" i="2"/>
  <c r="AY185" i="2"/>
  <c r="AY74" i="2"/>
  <c r="AY89" i="2"/>
  <c r="AY161" i="2"/>
  <c r="AY103" i="2"/>
  <c r="AY79" i="2"/>
  <c r="AY171" i="2"/>
  <c r="AY138" i="2"/>
  <c r="AY113" i="2"/>
  <c r="AY85" i="2"/>
  <c r="AY218" i="2"/>
  <c r="AY217" i="2"/>
  <c r="AV10" i="2"/>
  <c r="AW10" i="2" s="1"/>
  <c r="AY83" i="2"/>
  <c r="AY131" i="2"/>
  <c r="AY72" i="2"/>
  <c r="AY226" i="2"/>
  <c r="AY224" i="2"/>
  <c r="AY86" i="2"/>
  <c r="AY91" i="2"/>
  <c r="AY229" i="2"/>
  <c r="AY120" i="2"/>
  <c r="AY173" i="2"/>
  <c r="AY192" i="2"/>
  <c r="AY156" i="2"/>
  <c r="AY212" i="2"/>
  <c r="AY107" i="2"/>
  <c r="AV19" i="2"/>
  <c r="AY129" i="2"/>
  <c r="AY203" i="2"/>
  <c r="AY99" i="2"/>
  <c r="AY199" i="2"/>
  <c r="AY69" i="2"/>
  <c r="AY112" i="2"/>
  <c r="AY144" i="2"/>
  <c r="AY95" i="2"/>
  <c r="AY117" i="2"/>
  <c r="AY222" i="2"/>
  <c r="AY183" i="2"/>
  <c r="AY82" i="2"/>
  <c r="AY178" i="2"/>
  <c r="AY180" i="2"/>
  <c r="AY157" i="2"/>
  <c r="AY136" i="2"/>
  <c r="AY94" i="2"/>
  <c r="AY159" i="2"/>
  <c r="AY167" i="2"/>
  <c r="AY111" i="2"/>
  <c r="AY81" i="2"/>
  <c r="AY100" i="2"/>
  <c r="AY125" i="2"/>
  <c r="AY76" i="2"/>
  <c r="AY70" i="2"/>
  <c r="AY220" i="2"/>
  <c r="AY146" i="2"/>
  <c r="AY205" i="2"/>
  <c r="AY162" i="2"/>
  <c r="AY104" i="2"/>
  <c r="AY78" i="2"/>
  <c r="AY175" i="2"/>
  <c r="AY165" i="2"/>
  <c r="AY114" i="2"/>
  <c r="AY77" i="2"/>
  <c r="AY198" i="2"/>
  <c r="AY71" i="2"/>
  <c r="AY189" i="2"/>
  <c r="AY200" i="2"/>
  <c r="AY207" i="2"/>
  <c r="AY122" i="2"/>
  <c r="AY187" i="2"/>
  <c r="AY215" i="2"/>
  <c r="AY127" i="2"/>
  <c r="AV8" i="2"/>
  <c r="AW8" i="2" s="1"/>
  <c r="AY48" i="2"/>
  <c r="AU19" i="2"/>
  <c r="AV7" i="2"/>
  <c r="AW7" i="2" s="1"/>
  <c r="AH7" i="2"/>
  <c r="AV20" i="2"/>
  <c r="AW20" i="2" s="1"/>
  <c r="AY45" i="2"/>
  <c r="AH23" i="2"/>
  <c r="AH11" i="2"/>
  <c r="AH22" i="2"/>
  <c r="AH10" i="2"/>
  <c r="AH21" i="2"/>
  <c r="AH20" i="2"/>
  <c r="AH19" i="2"/>
  <c r="AH18" i="2"/>
  <c r="AH17" i="2"/>
  <c r="AH16" i="2"/>
  <c r="AH15" i="2"/>
  <c r="AH14" i="2"/>
  <c r="AH13" i="2"/>
  <c r="AH12" i="2"/>
  <c r="AH9" i="2"/>
  <c r="AY59" i="2"/>
  <c r="AV15" i="2"/>
  <c r="AW15" i="2" s="1"/>
  <c r="AH4" i="2"/>
  <c r="AY60" i="2"/>
  <c r="AY55" i="2"/>
  <c r="AY47" i="2"/>
  <c r="AY52" i="2"/>
  <c r="AY53" i="2"/>
  <c r="AY40" i="2"/>
  <c r="AY57" i="2"/>
  <c r="AY44" i="2"/>
  <c r="AY42" i="2"/>
  <c r="AY41" i="2"/>
  <c r="AY61" i="2"/>
  <c r="AY32" i="2"/>
  <c r="AY46" i="2"/>
  <c r="AY49" i="2"/>
  <c r="Y34" i="3"/>
  <c r="Y41" i="3" s="1"/>
  <c r="Z41" i="3" s="1"/>
  <c r="AW23" i="2"/>
  <c r="AY56" i="2"/>
  <c r="AY51" i="2"/>
  <c r="AY39" i="2"/>
  <c r="AY43" i="2"/>
  <c r="AY50" i="2"/>
  <c r="AY54" i="2"/>
  <c r="AY58" i="2"/>
  <c r="AU4" i="2"/>
  <c r="AY67" i="2" s="1"/>
  <c r="AW17" i="2"/>
  <c r="AW9" i="2"/>
  <c r="AV4" i="2"/>
  <c r="AT24" i="2"/>
  <c r="AA35" i="3" s="1"/>
  <c r="AY38" i="2" l="1"/>
  <c r="W38" i="3"/>
  <c r="W36" i="3"/>
  <c r="AY37" i="2"/>
  <c r="AY34" i="2"/>
  <c r="AY36" i="2"/>
  <c r="AY35" i="2"/>
  <c r="AW5" i="2"/>
  <c r="AW19" i="2"/>
  <c r="Y37" i="3"/>
  <c r="Z37" i="3" s="1"/>
  <c r="AY66" i="2"/>
  <c r="W34" i="3"/>
  <c r="W41" i="3" s="1"/>
  <c r="X41" i="3" s="1"/>
  <c r="AY65" i="2"/>
  <c r="AY62" i="2"/>
  <c r="AY64" i="2"/>
  <c r="AY63" i="2"/>
  <c r="AY68" i="2"/>
  <c r="Z34" i="3"/>
  <c r="AU24" i="2"/>
  <c r="AY4" i="2" s="1"/>
  <c r="AW4" i="2"/>
  <c r="X35" i="3"/>
  <c r="AZ217" i="2" l="1"/>
  <c r="X34" i="3"/>
  <c r="AZ163" i="2"/>
  <c r="AZ199" i="2"/>
  <c r="AZ58" i="2"/>
  <c r="AZ57" i="2"/>
  <c r="AZ156" i="2"/>
  <c r="AZ190" i="2"/>
  <c r="AZ152" i="2"/>
  <c r="AZ62" i="2"/>
  <c r="AZ185" i="2"/>
  <c r="AZ227" i="2"/>
  <c r="AZ213" i="2"/>
  <c r="AZ165" i="2"/>
  <c r="AZ92" i="2"/>
  <c r="AZ110" i="2"/>
  <c r="AZ168" i="2"/>
  <c r="AZ78" i="2"/>
  <c r="AZ122" i="2"/>
  <c r="AZ147" i="2"/>
  <c r="AZ178" i="2"/>
  <c r="AZ36" i="2"/>
  <c r="AZ79" i="2"/>
  <c r="AZ159" i="2"/>
  <c r="AZ45" i="2"/>
  <c r="AZ226" i="2"/>
  <c r="AZ162" i="2"/>
  <c r="AZ205" i="2"/>
  <c r="AZ140" i="2"/>
  <c r="AZ82" i="2"/>
  <c r="AZ224" i="2"/>
  <c r="AZ197" i="2"/>
  <c r="AZ139" i="2"/>
  <c r="AZ155" i="2"/>
  <c r="AZ53" i="2"/>
  <c r="AZ148" i="2"/>
  <c r="AZ154" i="2"/>
  <c r="AZ206" i="2"/>
  <c r="AZ51" i="2"/>
  <c r="AZ198" i="2"/>
  <c r="AZ191" i="2"/>
  <c r="AZ105" i="2"/>
  <c r="AZ153" i="2"/>
  <c r="AZ116" i="2"/>
  <c r="AZ192" i="2"/>
  <c r="AZ95" i="2"/>
  <c r="AZ97" i="2"/>
  <c r="AZ157" i="2"/>
  <c r="AZ211" i="2"/>
  <c r="AZ225" i="2"/>
  <c r="AZ84" i="2"/>
  <c r="AZ41" i="2"/>
  <c r="AZ164" i="2"/>
  <c r="AZ107" i="2"/>
  <c r="AZ194" i="2"/>
  <c r="AZ181" i="2"/>
  <c r="AZ88" i="2"/>
  <c r="AZ99" i="2"/>
  <c r="AZ75" i="2"/>
  <c r="AZ66" i="2"/>
  <c r="AZ59" i="2"/>
  <c r="AZ136" i="2"/>
  <c r="AZ176" i="2"/>
  <c r="AZ38" i="2"/>
  <c r="AZ169" i="2"/>
  <c r="AZ166" i="2"/>
  <c r="AZ173" i="2"/>
  <c r="AZ124" i="2"/>
  <c r="AZ80" i="2"/>
  <c r="AZ172" i="2"/>
  <c r="AZ50" i="2"/>
  <c r="T25" i="3" s="1"/>
  <c r="AZ52" i="2"/>
  <c r="AZ113" i="2"/>
  <c r="AZ175" i="2"/>
  <c r="AZ184" i="2"/>
  <c r="AZ67" i="2"/>
  <c r="AZ229" i="2"/>
  <c r="AZ146" i="2"/>
  <c r="AZ101" i="2"/>
  <c r="AZ109" i="2"/>
  <c r="AZ188" i="2"/>
  <c r="AZ89" i="2"/>
  <c r="AZ65" i="2"/>
  <c r="AZ98" i="2"/>
  <c r="AZ112" i="2"/>
  <c r="AZ119" i="2"/>
  <c r="AZ120" i="2"/>
  <c r="AZ85" i="2"/>
  <c r="AZ186" i="2"/>
  <c r="AZ142" i="2"/>
  <c r="AZ104" i="2"/>
  <c r="AZ43" i="2"/>
  <c r="AZ160" i="2"/>
  <c r="AZ40" i="2"/>
  <c r="AZ180" i="2"/>
  <c r="AZ207" i="2"/>
  <c r="AZ39" i="2"/>
  <c r="T19" i="3" s="1"/>
  <c r="AZ117" i="2"/>
  <c r="AZ149" i="2"/>
  <c r="AZ131" i="2"/>
  <c r="AZ61" i="2"/>
  <c r="AZ203" i="2"/>
  <c r="AZ81" i="2"/>
  <c r="AZ54" i="2"/>
  <c r="AZ72" i="2"/>
  <c r="AZ151" i="2"/>
  <c r="AZ127" i="2"/>
  <c r="AZ195" i="2"/>
  <c r="AZ161" i="2"/>
  <c r="AZ187" i="2"/>
  <c r="AZ37" i="2"/>
  <c r="AZ219" i="2"/>
  <c r="AZ47" i="2"/>
  <c r="AZ34" i="2"/>
  <c r="AZ44" i="2"/>
  <c r="AZ202" i="2"/>
  <c r="AZ210" i="2"/>
  <c r="AZ171" i="2"/>
  <c r="AZ132" i="2"/>
  <c r="AZ215" i="2"/>
  <c r="AZ137" i="2"/>
  <c r="AZ42" i="2"/>
  <c r="AZ46" i="2"/>
  <c r="AZ129" i="2"/>
  <c r="AZ32" i="2"/>
  <c r="AZ128" i="2"/>
  <c r="AZ60" i="2"/>
  <c r="AZ71" i="2"/>
  <c r="AZ144" i="2"/>
  <c r="AZ200" i="2"/>
  <c r="AZ106" i="2"/>
  <c r="AZ33" i="2"/>
  <c r="AZ174" i="2"/>
  <c r="AZ96" i="2"/>
  <c r="AZ118" i="2"/>
  <c r="AZ103" i="2"/>
  <c r="AZ87" i="2"/>
  <c r="AZ150" i="2"/>
  <c r="AZ189" i="2"/>
  <c r="AZ100" i="2"/>
  <c r="AZ214" i="2"/>
  <c r="AZ143" i="2"/>
  <c r="AZ212" i="2"/>
  <c r="AZ208" i="2"/>
  <c r="AZ111" i="2"/>
  <c r="AZ56" i="2"/>
  <c r="AZ196" i="2"/>
  <c r="AZ158" i="2"/>
  <c r="AZ83" i="2"/>
  <c r="AZ77" i="2"/>
  <c r="AZ63" i="2"/>
  <c r="AZ216" i="2"/>
  <c r="AZ201" i="2"/>
  <c r="AZ193" i="2"/>
  <c r="AZ204" i="2"/>
  <c r="AZ177" i="2"/>
  <c r="AZ130" i="2"/>
  <c r="AZ93" i="2"/>
  <c r="AZ126" i="2"/>
  <c r="AZ134" i="2"/>
  <c r="AZ209" i="2"/>
  <c r="AZ182" i="2"/>
  <c r="AZ121" i="2"/>
  <c r="AZ48" i="2"/>
  <c r="AY10" i="2"/>
  <c r="AY18" i="2"/>
  <c r="AY13" i="2"/>
  <c r="AY16" i="2"/>
  <c r="AY22" i="2"/>
  <c r="AY19" i="2"/>
  <c r="AY8" i="2"/>
  <c r="AY6" i="2"/>
  <c r="AY7" i="2"/>
  <c r="AY5" i="2"/>
  <c r="AY17" i="2"/>
  <c r="AY15" i="2"/>
  <c r="AY12" i="2"/>
  <c r="AY9" i="2"/>
  <c r="AY21" i="2"/>
  <c r="AY14" i="2"/>
  <c r="AY23" i="2"/>
  <c r="AY20" i="2"/>
  <c r="AY11" i="2"/>
  <c r="AZ228" i="2"/>
  <c r="AZ125" i="2"/>
  <c r="AZ222" i="2"/>
  <c r="AZ86" i="2"/>
  <c r="AZ145" i="2"/>
  <c r="AZ76" i="2"/>
  <c r="AZ220" i="2"/>
  <c r="AZ179" i="2"/>
  <c r="AZ218" i="2"/>
  <c r="AZ170" i="2"/>
  <c r="AZ123" i="2"/>
  <c r="AZ138" i="2"/>
  <c r="AZ49" i="2"/>
  <c r="AZ94" i="2"/>
  <c r="AZ55" i="2"/>
  <c r="AZ90" i="2"/>
  <c r="AZ74" i="2"/>
  <c r="AZ91" i="2"/>
  <c r="AZ70" i="2"/>
  <c r="AZ35" i="2"/>
  <c r="AZ108" i="2"/>
  <c r="AZ115" i="2"/>
  <c r="AZ221" i="2"/>
  <c r="AZ141" i="2"/>
  <c r="AZ73" i="2"/>
  <c r="AZ102" i="2"/>
  <c r="AZ114" i="2"/>
  <c r="AZ68" i="2"/>
  <c r="AZ69" i="2"/>
  <c r="AZ167" i="2"/>
  <c r="AZ133" i="2"/>
  <c r="AZ64" i="2"/>
  <c r="AZ183" i="2"/>
  <c r="AZ223" i="2"/>
  <c r="AZ135" i="2"/>
  <c r="Z38" i="3"/>
  <c r="AA34" i="3"/>
  <c r="AB34" i="3" s="1"/>
  <c r="AF24" i="2"/>
  <c r="BB24" i="2" s="1"/>
  <c r="X70" i="3" s="1"/>
  <c r="AB35" i="3"/>
  <c r="W39" i="3"/>
  <c r="X39" i="3" s="1"/>
  <c r="Y39" i="3"/>
  <c r="Z39" i="3" s="1"/>
  <c r="W37" i="3"/>
  <c r="X37" i="3" s="1"/>
  <c r="X36" i="3"/>
  <c r="X38" i="3"/>
  <c r="T33" i="3" l="1"/>
  <c r="T32" i="3"/>
  <c r="T15" i="3"/>
  <c r="T14" i="3"/>
  <c r="T27" i="3"/>
  <c r="T20" i="3"/>
  <c r="T37" i="3"/>
  <c r="T31" i="3"/>
  <c r="T39" i="3"/>
  <c r="T38" i="3"/>
  <c r="T26" i="3"/>
  <c r="T21" i="3"/>
  <c r="T13" i="3"/>
  <c r="Y40" i="3"/>
  <c r="Z40" i="3" s="1"/>
  <c r="W40" i="3"/>
  <c r="X40" i="3" s="1"/>
  <c r="AA41" i="3"/>
  <c r="AB41" i="3" s="1"/>
  <c r="BC24" i="2"/>
  <c r="Z70" i="3" s="1"/>
  <c r="T30" i="3" l="1"/>
  <c r="T12" i="3"/>
  <c r="T24" i="3"/>
  <c r="T18" i="3"/>
  <c r="T3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<sst xmlns="http://schemas.openxmlformats.org/spreadsheetml/2006/main" count="1886" uniqueCount="122">
  <si>
    <t>Channel</t>
  </si>
  <si>
    <t>Brand</t>
  </si>
  <si>
    <t>PPG</t>
  </si>
  <si>
    <t>RSV</t>
  </si>
  <si>
    <t>Vol</t>
  </si>
  <si>
    <t>CSF</t>
  </si>
  <si>
    <t>MCV</t>
  </si>
  <si>
    <t>RSV_Total</t>
  </si>
  <si>
    <t>Volume_Total</t>
  </si>
  <si>
    <t>Key</t>
  </si>
  <si>
    <t>Current Price</t>
  </si>
  <si>
    <t>Elasticity</t>
  </si>
  <si>
    <t>Price_FP</t>
  </si>
  <si>
    <t>New Price</t>
  </si>
  <si>
    <t>Price_Chng</t>
  </si>
  <si>
    <t>Revised_New_Vol</t>
  </si>
  <si>
    <t>NSV_to_RSV</t>
  </si>
  <si>
    <t>NSV_to_GM</t>
  </si>
  <si>
    <t>GM</t>
  </si>
  <si>
    <t>Vol. Share</t>
  </si>
  <si>
    <t>Val Share</t>
  </si>
  <si>
    <t>NSV_i</t>
  </si>
  <si>
    <t>TPV</t>
  </si>
  <si>
    <t>PVS</t>
  </si>
  <si>
    <t>MS Headroom</t>
  </si>
  <si>
    <t>New RSV</t>
  </si>
  <si>
    <t>Vol_i</t>
  </si>
  <si>
    <t>NSV_to_RSV_o</t>
  </si>
  <si>
    <t>NSV_to_GM_o</t>
  </si>
  <si>
    <t>NSV_o</t>
  </si>
  <si>
    <t>GM_o</t>
  </si>
  <si>
    <t>New Category Price</t>
  </si>
  <si>
    <t>Chng in Cat Vol.</t>
  </si>
  <si>
    <t>Category MCV</t>
  </si>
  <si>
    <t>New Cat Vol</t>
  </si>
  <si>
    <t>New Cat Val</t>
  </si>
  <si>
    <t>TPV_n</t>
  </si>
  <si>
    <t>TPV_Share</t>
  </si>
  <si>
    <t>New Vol</t>
  </si>
  <si>
    <t>New NSV</t>
  </si>
  <si>
    <t>New GP</t>
  </si>
  <si>
    <t>Key_Input</t>
  </si>
  <si>
    <t>Key_Brand</t>
  </si>
  <si>
    <t>TOTAL CATEGORY</t>
  </si>
  <si>
    <t>PVS_N</t>
  </si>
  <si>
    <t>MSP_N</t>
  </si>
  <si>
    <t>RSV_N</t>
  </si>
  <si>
    <t>Fixed Cost</t>
  </si>
  <si>
    <t>Fixed Cost per Unit</t>
  </si>
  <si>
    <t>Current Scenario</t>
  </si>
  <si>
    <t>Price Change</t>
  </si>
  <si>
    <t>Proposed Price</t>
  </si>
  <si>
    <t>RSV to NSV</t>
  </si>
  <si>
    <t>NSV to GM</t>
  </si>
  <si>
    <t>Price Change %</t>
  </si>
  <si>
    <t>Current</t>
  </si>
  <si>
    <t>Total Category</t>
  </si>
  <si>
    <t>Value</t>
  </si>
  <si>
    <t>Volume (Litres)</t>
  </si>
  <si>
    <t>NSV</t>
  </si>
  <si>
    <t>Value Realization</t>
  </si>
  <si>
    <t>GM%</t>
  </si>
  <si>
    <t>N/A</t>
  </si>
  <si>
    <t>Price</t>
  </si>
  <si>
    <t>Channel:</t>
  </si>
  <si>
    <t>Simulated Scenario</t>
  </si>
  <si>
    <t>Delta</t>
  </si>
  <si>
    <t>Simulated (Delta from Current)</t>
  </si>
  <si>
    <t>RSV_i</t>
  </si>
  <si>
    <t>GM_i</t>
  </si>
  <si>
    <t>Final CSF</t>
  </si>
  <si>
    <t>Current RPI</t>
  </si>
  <si>
    <t>Current RPI_1</t>
  </si>
  <si>
    <t>Current RPI_2</t>
  </si>
  <si>
    <t>Proposed RPI_1</t>
  </si>
  <si>
    <t>Proposed RPI_2</t>
  </si>
  <si>
    <t>Brands</t>
  </si>
  <si>
    <t>Historical Financial Metrics</t>
  </si>
  <si>
    <t>Simulated Financial Metrics</t>
  </si>
  <si>
    <t>Value Share % (Delta in BPS)</t>
  </si>
  <si>
    <t>Volume Share % (Delta in BPS)</t>
  </si>
  <si>
    <t>Unique Brands</t>
  </si>
  <si>
    <t>Fill Sorting Order</t>
  </si>
  <si>
    <t>Chg Category Price</t>
  </si>
  <si>
    <t>Brand-Pack Level</t>
  </si>
  <si>
    <t>Brand Level</t>
  </si>
  <si>
    <t>Simulated RPI</t>
  </si>
  <si>
    <t>Graph_Colour</t>
  </si>
  <si>
    <t>#FFC000</t>
  </si>
  <si>
    <t>#B7A19F</t>
  </si>
  <si>
    <t>#0F9ED5</t>
  </si>
  <si>
    <t>#156082</t>
  </si>
  <si>
    <t>#A02B93</t>
  </si>
  <si>
    <t>Fill Manually; Empy cells fill with ""</t>
  </si>
  <si>
    <t>c1</t>
  </si>
  <si>
    <t>c2</t>
  </si>
  <si>
    <t>c3</t>
  </si>
  <si>
    <t>c4</t>
  </si>
  <si>
    <t>c5</t>
  </si>
  <si>
    <t>c6</t>
  </si>
  <si>
    <t>Simulated</t>
  </si>
  <si>
    <t>Simulated Vol Share</t>
  </si>
  <si>
    <t>Vol_Contri</t>
  </si>
  <si>
    <t>Updated_Vol</t>
  </si>
  <si>
    <t>Sim. Vol Share</t>
  </si>
  <si>
    <t>Supermarket</t>
  </si>
  <si>
    <t>DADDIES</t>
  </si>
  <si>
    <t>HP</t>
  </si>
  <si>
    <t>PRIVATE LABEL</t>
  </si>
  <si>
    <t>RESTOFCATEGORY</t>
  </si>
  <si>
    <t>BRANSTON</t>
  </si>
  <si>
    <t>Medium</t>
  </si>
  <si>
    <t>Large</t>
  </si>
  <si>
    <t>Small</t>
  </si>
  <si>
    <t>Mar-24 to Feb-25</t>
  </si>
  <si>
    <t>Tesco</t>
  </si>
  <si>
    <t>Iceland</t>
  </si>
  <si>
    <t>GOLD STAR</t>
  </si>
  <si>
    <t>Convenience</t>
  </si>
  <si>
    <t>medium</t>
  </si>
  <si>
    <t>large</t>
  </si>
  <si>
    <t>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</si>
</sst>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0.0%"/>
    <numFmt numFmtId="165" formatCode="0.0"/>
    <numFmt numFmtId="166" formatCode="#,##0.0"/>
    <numFmt numFmtId="167" formatCode="&quot;₹&quot;\ 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 tint="-0.499984740745262"/>
      <name val="Aptos Narrow"/>
      <family val="2"/>
      <scheme val="minor"/>
    </font>
    <font>
      <b/>
      <sz val="18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8D1D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D3A29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7A19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8EBAE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54F"/>
        <bgColor indexed="64"/>
      </patternFill>
    </fill>
    <fill>
      <patternFill patternType="solid">
        <fgColor rgb="FFD1C2C1"/>
        <bgColor indexed="64"/>
      </patternFill>
    </fill>
    <fill>
      <patternFill patternType="solid">
        <fgColor rgb="FF85DFFF"/>
        <bgColor indexed="64"/>
      </patternFill>
    </fill>
    <fill>
      <patternFill patternType="solid">
        <fgColor rgb="FF0070C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7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1" applyNumberFormat="1" applyFont="1"/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0" borderId="2" xfId="0" applyBorder="1"/>
    <xf numFmtId="2" fontId="0" fillId="0" borderId="0" xfId="0" applyNumberFormat="1"/>
    <xf numFmtId="10" fontId="0" fillId="0" borderId="0" xfId="1" applyNumberFormat="1" applyFont="1" applyAlignment="1">
      <alignment horizontal="center"/>
    </xf>
    <xf numFmtId="165" fontId="0" fillId="0" borderId="0" xfId="0" applyNumberFormat="1"/>
    <xf numFmtId="1" fontId="0" fillId="0" borderId="0" xfId="0" applyNumberFormat="1"/>
    <xf numFmtId="1" fontId="0" fillId="0" borderId="0" xfId="1" applyNumberFormat="1" applyFont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4" borderId="0" xfId="0" applyNumberFormat="1" applyFill="1"/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3" borderId="0" xfId="0" applyNumberFormat="1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2" fontId="0" fillId="0" borderId="0" xfId="0" applyNumberFormat="1" applyAlignment="1">
      <alignment horizontal="center"/>
    </xf>
    <xf numFmtId="0" fontId="2" fillId="6" borderId="0" xfId="0" applyFont="1" applyFill="1"/>
    <xf numFmtId="165" fontId="2" fillId="6" borderId="0" xfId="0" applyNumberFormat="1" applyFont="1" applyFill="1" applyAlignment="1">
      <alignment horizontal="center"/>
    </xf>
    <xf numFmtId="0" fontId="0" fillId="7" borderId="2" xfId="0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0" fontId="3" fillId="0" borderId="0" xfId="0" applyFont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center"/>
      <protection hidden="1"/>
    </xf>
    <xf numFmtId="3" fontId="6" fillId="0" borderId="0" xfId="2" applyNumberFormat="1" applyFont="1" applyFill="1" applyBorder="1" applyAlignment="1" applyProtection="1">
      <alignment horizontal="center" vertical="center"/>
      <protection hidden="1"/>
    </xf>
    <xf numFmtId="1" fontId="9" fillId="0" borderId="0" xfId="2" applyNumberFormat="1" applyFont="1" applyBorder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1" fontId="9" fillId="0" borderId="0" xfId="2" applyNumberFormat="1" applyFont="1" applyFill="1" applyBorder="1" applyAlignment="1" applyProtection="1">
      <alignment horizontal="center" vertical="center"/>
      <protection hidden="1"/>
    </xf>
    <xf numFmtId="165" fontId="9" fillId="0" borderId="0" xfId="2" applyNumberFormat="1" applyFont="1" applyFill="1" applyBorder="1" applyAlignment="1" applyProtection="1">
      <alignment horizontal="center" vertical="center"/>
      <protection hidden="1"/>
    </xf>
    <xf numFmtId="9" fontId="9" fillId="0" borderId="0" xfId="1" applyFont="1" applyFill="1" applyBorder="1" applyAlignment="1" applyProtection="1">
      <alignment horizontal="center" vertical="center"/>
      <protection hidden="1"/>
    </xf>
    <xf numFmtId="9" fontId="11" fillId="13" borderId="0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66" fontId="6" fillId="0" borderId="0" xfId="2" applyNumberFormat="1" applyFont="1" applyFill="1" applyBorder="1" applyAlignment="1" applyProtection="1">
      <alignment horizontal="center" vertical="center"/>
      <protection hidden="1"/>
    </xf>
    <xf numFmtId="164" fontId="6" fillId="0" borderId="0" xfId="1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 applyProtection="1">
      <alignment horizontal="center" vertical="center"/>
      <protection hidden="1"/>
    </xf>
    <xf numFmtId="165" fontId="5" fillId="21" borderId="0" xfId="0" applyNumberFormat="1" applyFont="1" applyFill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165" fontId="9" fillId="21" borderId="0" xfId="0" applyNumberFormat="1" applyFont="1" applyFill="1" applyAlignment="1" applyProtection="1">
      <alignment horizontal="center" vertical="center"/>
      <protection hidden="1"/>
    </xf>
    <xf numFmtId="0" fontId="9" fillId="0" borderId="0" xfId="0" applyFont="1"/>
    <xf numFmtId="165" fontId="5" fillId="22" borderId="0" xfId="0" applyNumberFormat="1" applyFont="1" applyFill="1" applyAlignment="1" applyProtection="1">
      <alignment horizontal="center" vertical="center"/>
      <protection hidden="1"/>
    </xf>
    <xf numFmtId="165" fontId="9" fillId="22" borderId="0" xfId="0" applyNumberFormat="1" applyFont="1" applyFill="1" applyAlignment="1" applyProtection="1">
      <alignment horizontal="center" vertical="center"/>
      <protection hidden="1"/>
    </xf>
    <xf numFmtId="165" fontId="5" fillId="23" borderId="0" xfId="0" applyNumberFormat="1" applyFont="1" applyFill="1" applyAlignment="1" applyProtection="1">
      <alignment horizontal="center" vertical="center"/>
      <protection hidden="1"/>
    </xf>
    <xf numFmtId="165" fontId="9" fillId="23" borderId="0" xfId="0" applyNumberFormat="1" applyFont="1" applyFill="1" applyAlignment="1" applyProtection="1">
      <alignment horizontal="center" vertical="center"/>
      <protection hidden="1"/>
    </xf>
    <xf numFmtId="165" fontId="5" fillId="17" borderId="0" xfId="0" applyNumberFormat="1" applyFont="1" applyFill="1" applyAlignment="1" applyProtection="1">
      <alignment horizontal="center" vertical="center"/>
      <protection hidden="1"/>
    </xf>
    <xf numFmtId="165" fontId="9" fillId="17" borderId="0" xfId="0" applyNumberFormat="1" applyFont="1" applyFill="1" applyAlignment="1" applyProtection="1">
      <alignment horizontal="center" vertical="center"/>
      <protection hidden="1"/>
    </xf>
    <xf numFmtId="165" fontId="5" fillId="19" borderId="0" xfId="0" applyNumberFormat="1" applyFont="1" applyFill="1" applyAlignment="1" applyProtection="1">
      <alignment horizontal="center" vertical="center"/>
      <protection hidden="1"/>
    </xf>
    <xf numFmtId="165" fontId="9" fillId="19" borderId="0" xfId="0" applyNumberFormat="1" applyFont="1" applyFill="1" applyAlignment="1" applyProtection="1">
      <alignment horizontal="center" vertical="center"/>
      <protection hidden="1"/>
    </xf>
    <xf numFmtId="0" fontId="11" fillId="12" borderId="3" xfId="0" applyFon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1" fillId="12" borderId="4" xfId="0" applyFont="1" applyFill="1" applyBorder="1" applyAlignment="1" applyProtection="1">
      <alignment horizontal="center" vertical="center"/>
      <protection hidden="1"/>
    </xf>
    <xf numFmtId="9" fontId="5" fillId="13" borderId="0" xfId="1" applyFont="1" applyFill="1" applyAlignment="1" applyProtection="1">
      <alignment horizontal="center" vertical="center"/>
      <protection hidden="1"/>
    </xf>
    <xf numFmtId="9" fontId="15" fillId="10" borderId="0" xfId="0" applyNumberFormat="1" applyFont="1" applyFill="1" applyAlignment="1" applyProtection="1">
      <alignment horizontal="center" vertical="center"/>
      <protection hidden="1"/>
    </xf>
    <xf numFmtId="0" fontId="9" fillId="0" borderId="0" xfId="0" applyFont="1" applyAlignment="1">
      <alignment vertical="center"/>
    </xf>
    <xf numFmtId="0" fontId="11" fillId="12" borderId="6" xfId="0" applyFont="1" applyFill="1" applyBorder="1" applyAlignment="1" applyProtection="1">
      <alignment horizontal="center" vertical="center"/>
      <protection hidden="1"/>
    </xf>
    <xf numFmtId="0" fontId="11" fillId="12" borderId="8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right" vertical="center"/>
    </xf>
    <xf numFmtId="0" fontId="5" fillId="0" borderId="17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3" fontId="9" fillId="0" borderId="21" xfId="2" applyNumberFormat="1" applyFont="1" applyFill="1" applyBorder="1" applyAlignment="1" applyProtection="1">
      <alignment horizontal="center" vertical="center"/>
      <protection hidden="1"/>
    </xf>
    <xf numFmtId="3" fontId="9" fillId="0" borderId="12" xfId="2" applyNumberFormat="1" applyFont="1" applyFill="1" applyBorder="1" applyAlignment="1" applyProtection="1">
      <alignment horizontal="center" vertical="center"/>
      <protection hidden="1"/>
    </xf>
    <xf numFmtId="3" fontId="9" fillId="0" borderId="14" xfId="2" applyNumberFormat="1" applyFont="1" applyFill="1" applyBorder="1" applyAlignment="1" applyProtection="1">
      <alignment horizontal="center" vertical="center"/>
      <protection hidden="1"/>
    </xf>
    <xf numFmtId="166" fontId="9" fillId="0" borderId="14" xfId="2" applyNumberFormat="1" applyFont="1" applyFill="1" applyBorder="1" applyAlignment="1" applyProtection="1">
      <alignment horizontal="center" vertical="center"/>
      <protection hidden="1"/>
    </xf>
    <xf numFmtId="9" fontId="9" fillId="0" borderId="14" xfId="1" applyFont="1" applyFill="1" applyBorder="1" applyAlignment="1" applyProtection="1">
      <alignment horizontal="center" vertical="center"/>
      <protection hidden="1"/>
    </xf>
    <xf numFmtId="164" fontId="9" fillId="0" borderId="14" xfId="1" applyNumberFormat="1" applyFont="1" applyFill="1" applyBorder="1" applyAlignment="1" applyProtection="1">
      <alignment horizontal="center" vertical="center"/>
      <protection hidden="1"/>
    </xf>
    <xf numFmtId="0" fontId="14" fillId="9" borderId="7" xfId="0" applyFont="1" applyFill="1" applyBorder="1" applyAlignment="1" applyProtection="1">
      <alignment horizontal="center" vertical="center"/>
      <protection hidden="1"/>
    </xf>
    <xf numFmtId="0" fontId="11" fillId="12" borderId="22" xfId="0" applyFont="1" applyFill="1" applyBorder="1" applyAlignment="1" applyProtection="1">
      <alignment horizontal="center" vertical="center"/>
      <protection hidden="1"/>
    </xf>
    <xf numFmtId="0" fontId="14" fillId="9" borderId="8" xfId="0" applyFont="1" applyFill="1" applyBorder="1" applyAlignment="1" applyProtection="1">
      <alignment horizontal="center" vertical="center"/>
      <protection hidden="1"/>
    </xf>
    <xf numFmtId="0" fontId="14" fillId="11" borderId="7" xfId="0" applyFont="1" applyFill="1" applyBorder="1" applyAlignment="1" applyProtection="1">
      <alignment horizontal="center" vertical="center"/>
      <protection hidden="1"/>
    </xf>
    <xf numFmtId="0" fontId="14" fillId="11" borderId="8" xfId="0" applyFont="1" applyFill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3" fontId="9" fillId="0" borderId="26" xfId="2" applyNumberFormat="1" applyFont="1" applyFill="1" applyBorder="1" applyAlignment="1" applyProtection="1">
      <alignment horizontal="center" vertical="center"/>
      <protection hidden="1"/>
    </xf>
    <xf numFmtId="166" fontId="9" fillId="0" borderId="26" xfId="2" applyNumberFormat="1" applyFont="1" applyFill="1" applyBorder="1" applyAlignment="1" applyProtection="1">
      <alignment horizontal="center" vertical="center"/>
      <protection hidden="1"/>
    </xf>
    <xf numFmtId="0" fontId="14" fillId="11" borderId="3" xfId="0" applyFont="1" applyFill="1" applyBorder="1" applyAlignment="1" applyProtection="1">
      <alignment horizontal="center" vertical="center"/>
      <protection hidden="1"/>
    </xf>
    <xf numFmtId="0" fontId="14" fillId="11" borderId="4" xfId="0" applyFont="1" applyFill="1" applyBorder="1" applyAlignment="1" applyProtection="1">
      <alignment horizontal="center" vertical="center"/>
      <protection hidden="1"/>
    </xf>
    <xf numFmtId="3" fontId="9" fillId="0" borderId="23" xfId="2" applyNumberFormat="1" applyFont="1" applyFill="1" applyBorder="1" applyAlignment="1" applyProtection="1">
      <alignment horizontal="center" vertical="center"/>
      <protection hidden="1"/>
    </xf>
    <xf numFmtId="3" fontId="9" fillId="0" borderId="24" xfId="2" applyNumberFormat="1" applyFont="1" applyFill="1" applyBorder="1" applyAlignment="1" applyProtection="1">
      <alignment horizontal="center" vertical="center"/>
      <protection hidden="1"/>
    </xf>
    <xf numFmtId="166" fontId="9" fillId="0" borderId="24" xfId="2" applyNumberFormat="1" applyFont="1" applyFill="1" applyBorder="1" applyAlignment="1" applyProtection="1">
      <alignment horizontal="center" vertical="center"/>
      <protection hidden="1"/>
    </xf>
    <xf numFmtId="9" fontId="9" fillId="0" borderId="24" xfId="1" applyFont="1" applyFill="1" applyBorder="1" applyAlignment="1" applyProtection="1">
      <alignment horizontal="center" vertical="center"/>
      <protection hidden="1"/>
    </xf>
    <xf numFmtId="164" fontId="9" fillId="0" borderId="24" xfId="1" applyNumberFormat="1" applyFont="1" applyFill="1" applyBorder="1" applyAlignment="1" applyProtection="1">
      <alignment horizontal="center" vertical="center"/>
      <protection hidden="1"/>
    </xf>
    <xf numFmtId="0" fontId="0" fillId="6" borderId="0" xfId="0" applyFill="1" applyAlignment="1">
      <alignment horizontal="center"/>
    </xf>
    <xf numFmtId="1" fontId="9" fillId="0" borderId="15" xfId="0" applyNumberFormat="1" applyFont="1" applyBorder="1" applyAlignment="1">
      <alignment horizontal="center"/>
    </xf>
    <xf numFmtId="1" fontId="9" fillId="0" borderId="11" xfId="0" applyNumberFormat="1" applyFont="1" applyBorder="1" applyAlignment="1">
      <alignment horizontal="center"/>
    </xf>
    <xf numFmtId="1" fontId="9" fillId="0" borderId="13" xfId="0" applyNumberFormat="1" applyFont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/>
    </xf>
    <xf numFmtId="1" fontId="9" fillId="0" borderId="21" xfId="0" applyNumberFormat="1" applyFont="1" applyBorder="1" applyAlignment="1">
      <alignment horizontal="center"/>
    </xf>
    <xf numFmtId="1" fontId="9" fillId="0" borderId="19" xfId="0" applyNumberFormat="1" applyFont="1" applyBorder="1" applyAlignment="1">
      <alignment horizontal="center"/>
    </xf>
    <xf numFmtId="0" fontId="0" fillId="13" borderId="0" xfId="0" applyFill="1"/>
    <xf numFmtId="0" fontId="3" fillId="13" borderId="0" xfId="0" applyFont="1" applyFill="1" applyAlignment="1" applyProtection="1">
      <alignment horizontal="center"/>
      <protection hidden="1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0" fillId="20" borderId="0" xfId="0" applyFill="1"/>
    <xf numFmtId="0" fontId="0" fillId="20" borderId="1" xfId="0" applyFill="1" applyBorder="1"/>
    <xf numFmtId="3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/>
    <xf numFmtId="0" fontId="18" fillId="18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4" borderId="0" xfId="0" applyFill="1"/>
    <xf numFmtId="0" fontId="12" fillId="6" borderId="0" xfId="0" applyFont="1" applyFill="1" applyAlignment="1">
      <alignment horizontal="center" vertical="center"/>
    </xf>
    <xf numFmtId="0" fontId="3" fillId="0" borderId="0" xfId="0" applyFont="1" applyAlignment="1" applyProtection="1">
      <alignment horizontal="center" wrapText="1"/>
      <protection hidden="1"/>
    </xf>
    <xf numFmtId="9" fontId="11" fillId="0" borderId="0" xfId="1" applyFont="1" applyFill="1" applyBorder="1" applyAlignment="1" applyProtection="1">
      <alignment horizontal="center" vertical="center"/>
      <protection locked="0"/>
    </xf>
    <xf numFmtId="0" fontId="0" fillId="20" borderId="0" xfId="0" applyFill="1" applyAlignment="1">
      <alignment horizontal="left"/>
    </xf>
    <xf numFmtId="0" fontId="0" fillId="20" borderId="0" xfId="0" applyFill="1" applyAlignment="1">
      <alignment horizontal="center"/>
    </xf>
    <xf numFmtId="164" fontId="11" fillId="0" borderId="0" xfId="1" applyNumberFormat="1" applyFont="1" applyFill="1" applyBorder="1" applyAlignment="1" applyProtection="1">
      <alignment horizontal="center" vertical="center"/>
      <protection locked="0"/>
    </xf>
    <xf numFmtId="164" fontId="15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0" applyNumberFormat="1"/>
    <xf numFmtId="164" fontId="0" fillId="0" borderId="0" xfId="0" applyNumberFormat="1"/>
    <xf numFmtId="0" fontId="5" fillId="0" borderId="29" xfId="0" applyFont="1" applyBorder="1" applyAlignment="1" applyProtection="1">
      <alignment horizontal="center" vertical="center"/>
      <protection hidden="1"/>
    </xf>
    <xf numFmtId="3" fontId="9" fillId="0" borderId="30" xfId="2" applyNumberFormat="1" applyFont="1" applyFill="1" applyBorder="1" applyAlignment="1" applyProtection="1">
      <alignment horizontal="center" vertical="center"/>
      <protection hidden="1"/>
    </xf>
    <xf numFmtId="3" fontId="9" fillId="0" borderId="18" xfId="2" applyNumberFormat="1" applyFont="1" applyFill="1" applyBorder="1" applyAlignment="1" applyProtection="1">
      <alignment horizontal="center" vertical="center"/>
      <protection hidden="1"/>
    </xf>
    <xf numFmtId="166" fontId="9" fillId="0" borderId="10" xfId="2" applyNumberFormat="1" applyFont="1" applyFill="1" applyBorder="1" applyAlignment="1" applyProtection="1">
      <alignment horizontal="center" vertical="center"/>
      <protection hidden="1"/>
    </xf>
    <xf numFmtId="166" fontId="9" fillId="0" borderId="19" xfId="2" applyNumberFormat="1" applyFont="1" applyFill="1" applyBorder="1" applyAlignment="1" applyProtection="1">
      <alignment horizontal="center" vertical="center"/>
      <protection hidden="1"/>
    </xf>
    <xf numFmtId="0" fontId="5" fillId="0" borderId="28" xfId="0" applyFont="1" applyBorder="1" applyAlignment="1" applyProtection="1">
      <alignment horizontal="center" vertical="center"/>
      <protection hidden="1"/>
    </xf>
    <xf numFmtId="3" fontId="9" fillId="0" borderId="28" xfId="2" applyNumberFormat="1" applyFont="1" applyFill="1" applyBorder="1" applyAlignment="1" applyProtection="1">
      <alignment horizontal="center" vertical="center"/>
      <protection hidden="1"/>
    </xf>
    <xf numFmtId="3" fontId="9" fillId="0" borderId="31" xfId="2" applyNumberFormat="1" applyFont="1" applyFill="1" applyBorder="1" applyAlignment="1" applyProtection="1">
      <alignment horizontal="center" vertical="center"/>
      <protection hidden="1"/>
    </xf>
    <xf numFmtId="166" fontId="9" fillId="0" borderId="25" xfId="2" applyNumberFormat="1" applyFont="1" applyFill="1" applyBorder="1" applyAlignment="1" applyProtection="1">
      <alignment horizontal="center" vertical="center"/>
      <protection hidden="1"/>
    </xf>
    <xf numFmtId="166" fontId="9" fillId="0" borderId="27" xfId="2" applyNumberFormat="1" applyFont="1" applyFill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164" fontId="9" fillId="0" borderId="9" xfId="1" applyNumberFormat="1" applyFont="1" applyBorder="1" applyAlignment="1" applyProtection="1">
      <alignment horizontal="center" vertical="center"/>
      <protection hidden="1"/>
    </xf>
    <xf numFmtId="164" fontId="9" fillId="0" borderId="15" xfId="1" applyNumberFormat="1" applyFont="1" applyBorder="1" applyAlignment="1" applyProtection="1">
      <alignment horizontal="center" vertical="center"/>
      <protection hidden="1"/>
    </xf>
    <xf numFmtId="1" fontId="9" fillId="0" borderId="15" xfId="2" applyNumberFormat="1" applyFont="1" applyBorder="1" applyAlignment="1" applyProtection="1">
      <alignment horizontal="center" vertical="center"/>
      <protection hidden="1"/>
    </xf>
    <xf numFmtId="164" fontId="9" fillId="0" borderId="11" xfId="1" applyNumberFormat="1" applyFont="1" applyBorder="1" applyAlignment="1" applyProtection="1">
      <alignment horizontal="center" vertical="center"/>
      <protection hidden="1"/>
    </xf>
    <xf numFmtId="167" fontId="3" fillId="0" borderId="0" xfId="0" applyNumberFormat="1" applyFont="1" applyAlignment="1" applyProtection="1">
      <alignment horizontal="center" vertical="center"/>
      <protection hidden="1"/>
    </xf>
    <xf numFmtId="9" fontId="9" fillId="13" borderId="0" xfId="1" applyFont="1" applyFill="1" applyBorder="1" applyAlignment="1" applyProtection="1">
      <alignment horizontal="center" vertical="center"/>
      <protection hidden="1"/>
    </xf>
    <xf numFmtId="0" fontId="5" fillId="9" borderId="1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22" borderId="18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16" fillId="18" borderId="0" xfId="0" applyFont="1" applyFill="1" applyAlignment="1" applyProtection="1">
      <alignment horizontal="center" vertical="center"/>
      <protection hidden="1"/>
    </xf>
    <xf numFmtId="0" fontId="13" fillId="24" borderId="5" xfId="0" applyFont="1" applyFill="1" applyBorder="1" applyAlignment="1" applyProtection="1">
      <alignment horizontal="center" vertical="center" wrapText="1"/>
      <protection hidden="1"/>
    </xf>
    <xf numFmtId="0" fontId="13" fillId="24" borderId="7" xfId="0" applyFont="1" applyFill="1" applyBorder="1" applyAlignment="1" applyProtection="1">
      <alignment horizontal="center" vertical="center" wrapText="1"/>
      <protection hidden="1"/>
    </xf>
    <xf numFmtId="0" fontId="14" fillId="9" borderId="5" xfId="0" applyFont="1" applyFill="1" applyBorder="1" applyAlignment="1" applyProtection="1">
      <alignment horizontal="center" vertical="center"/>
      <protection hidden="1"/>
    </xf>
    <xf numFmtId="0" fontId="14" fillId="9" borderId="6" xfId="0" applyFont="1" applyFill="1" applyBorder="1" applyAlignment="1" applyProtection="1">
      <alignment horizontal="center" vertical="center"/>
      <protection hidden="1"/>
    </xf>
    <xf numFmtId="0" fontId="14" fillId="11" borderId="5" xfId="0" applyFont="1" applyFill="1" applyBorder="1" applyAlignment="1" applyProtection="1">
      <alignment horizontal="center" vertical="center"/>
      <protection hidden="1"/>
    </xf>
    <xf numFmtId="0" fontId="14" fillId="11" borderId="6" xfId="0" applyFont="1" applyFill="1" applyBorder="1" applyAlignment="1" applyProtection="1">
      <alignment horizontal="center" vertical="center"/>
      <protection hidden="1"/>
    </xf>
    <xf numFmtId="0" fontId="11" fillId="12" borderId="5" xfId="0" applyFont="1" applyFill="1" applyBorder="1" applyAlignment="1" applyProtection="1">
      <alignment horizontal="center" vertical="center"/>
      <protection hidden="1"/>
    </xf>
    <xf numFmtId="0" fontId="11" fillId="12" borderId="6" xfId="0" applyFont="1" applyFill="1" applyBorder="1" applyAlignment="1" applyProtection="1">
      <alignment horizontal="center" vertical="center"/>
      <protection hidden="1"/>
    </xf>
    <xf numFmtId="167" fontId="3" fillId="6" borderId="0" xfId="0" applyNumberFormat="1" applyFont="1" applyFill="1" applyAlignment="1" applyProtection="1">
      <alignment horizontal="center"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5" fillId="8" borderId="0" xfId="0" applyFont="1" applyFill="1" applyAlignment="1" applyProtection="1">
      <alignment horizontal="center" vertical="center"/>
      <protection hidden="1"/>
    </xf>
    <xf numFmtId="0" fontId="14" fillId="24" borderId="3" xfId="0" applyFont="1" applyFill="1" applyBorder="1" applyAlignment="1" applyProtection="1">
      <alignment horizontal="center" vertical="center"/>
      <protection hidden="1"/>
    </xf>
    <xf numFmtId="0" fontId="14" fillId="24" borderId="4" xfId="0" applyFont="1" applyFill="1" applyBorder="1" applyAlignment="1" applyProtection="1">
      <alignment horizontal="center" vertical="center"/>
      <protection hidden="1"/>
    </xf>
    <xf numFmtId="0" fontId="16" fillId="14" borderId="0" xfId="0" applyFont="1" applyFill="1" applyAlignment="1" applyProtection="1">
      <alignment horizontal="center" vertical="center"/>
      <protection hidden="1"/>
    </xf>
    <xf numFmtId="0" fontId="16" fillId="15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 applyAlignment="1" applyProtection="1">
      <alignment horizontal="center" vertical="center"/>
      <protection hidden="1"/>
    </xf>
    <xf numFmtId="0" fontId="16" fillId="16" borderId="0" xfId="0" applyFont="1" applyFill="1" applyAlignment="1" applyProtection="1">
      <alignment horizontal="center" vertical="center"/>
      <protection hidden="1"/>
    </xf>
  </cellXfs>
  <cellStyles count="3">
    <cellStyle name="Comma" xfId="2" builtinId="3"/>
    <cellStyle name="Normal" xfId="0" builtinId="0"/>
    <cellStyle name="Percent" xfId="1" builtinId="5"/>
  </cellStyles>
  <dxfs count="6"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  <dxf>
      <fill>
        <patternFill>
          <bgColor theme="9" tint="0.79998168889431442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FFC000"/>
      <color rgb="FF897EF6"/>
      <color rgb="FFD8E4F8"/>
      <color rgb="FFFFB9B9"/>
      <color rgb="FFF7BFBF"/>
      <color rgb="FFD1C2C1"/>
      <color rgb="FFB7A19F"/>
      <color rgb="FF85DFFF"/>
      <color rgb="FFFFD54F"/>
      <color rgb="FF8EB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85-469B-AC94-3FB5997BF5AD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5-469B-AC94-3FB5997BF5AD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5-469B-AC94-3FB5997BF5AD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5-469B-AC94-3FB5997BF5AD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85-469B-AC94-3FB5997BF5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[0]!Graph_MS_Do_Nothing_ch1</c:f>
              <c:numCache>
                <c:formatCode>0.0%</c:formatCode>
                <c:ptCount val="5"/>
                <c:pt idx="0">
                  <c:v>0.77285076440763489</c:v>
                </c:pt>
                <c:pt idx="1">
                  <c:v>9.9202685826904474E-2</c:v>
                </c:pt>
                <c:pt idx="2">
                  <c:v>9.6703448908640424E-2</c:v>
                </c:pt>
                <c:pt idx="3">
                  <c:v>1.3918122412842798E-2</c:v>
                </c:pt>
                <c:pt idx="4">
                  <c:v>1.7324978443977443E-2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85-469B-AC94-3FB5997BF5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E1-40B0-8F7A-39B87E0E7DE2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E1-40B0-8F7A-39B87E0E7DE2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E1-40B0-8F7A-39B87E0E7DE2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8E1-40B0-8F7A-39B87E0E7DE2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8E1-40B0-8F7A-39B87E0E7D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[0]!Graph_MS_Final_ch1</c:f>
              <c:numCache>
                <c:formatCode>0.0%</c:formatCode>
                <c:ptCount val="5"/>
                <c:pt idx="0">
                  <c:v>0.77285076440763489</c:v>
                </c:pt>
                <c:pt idx="1">
                  <c:v>9.9202685826904446E-2</c:v>
                </c:pt>
                <c:pt idx="2">
                  <c:v>9.670344890864041E-2</c:v>
                </c:pt>
                <c:pt idx="3">
                  <c:v>1.3918122412842796E-2</c:v>
                </c:pt>
                <c:pt idx="4">
                  <c:v>1.7324978443977439E-2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E1-40B0-8F7A-39B87E0E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088450445689902"/>
          <c:w val="0.2871297076113678"/>
          <c:h val="0.50684693156598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B6-40DD-A1BA-1B0B4B80874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8B6-40DD-A1BA-1B0B4B80874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B6-40DD-A1BA-1B0B4B80874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B6-40DD-A1BA-1B0B4B80874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B6-40DD-A1BA-1B0B4B8087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[0]!Graph_Final_MSP_ch1</c:f>
              <c:numCache>
                <c:formatCode>0.00%</c:formatCode>
                <c:ptCount val="5"/>
                <c:pt idx="0">
                  <c:v>3.015537566621429E-3</c:v>
                </c:pt>
                <c:pt idx="1">
                  <c:v>-3.8688361773660668E-3</c:v>
                </c:pt>
                <c:pt idx="2">
                  <c:v>1.8387463358787576E-3</c:v>
                </c:pt>
                <c:pt idx="3">
                  <c:v>-3.6077506963517851E-4</c:v>
                </c:pt>
                <c:pt idx="4">
                  <c:v>-6.2467265549910264E-4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6-40DD-A1BA-1B0B4B808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56-48F8-B487-3481B5F2AE1D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56-48F8-B487-3481B5F2AE1D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E56-48F8-B487-3481B5F2AE1D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56-48F8-B487-3481B5F2AE1D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E56-48F8-B487-3481B5F2AE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[0]!Initial_CSF_ch1</c:f>
              <c:numCache>
                <c:formatCode>0.00</c:formatCode>
                <c:ptCount val="5"/>
                <c:pt idx="0">
                  <c:v>2.2500845892990098</c:v>
                </c:pt>
                <c:pt idx="1">
                  <c:v>2.1158858934758502</c:v>
                </c:pt>
                <c:pt idx="2">
                  <c:v>2.3001533249041102</c:v>
                </c:pt>
                <c:pt idx="3">
                  <c:v>2.1556060500852601</c:v>
                </c:pt>
                <c:pt idx="4">
                  <c:v>2.1247371826768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6-48F8-B487-3481B5F2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1-459C-A677-B9E64C177480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1-459C-A677-B9E64C177480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1-459C-A677-B9E64C177480}"/>
              </c:ext>
            </c:extLst>
          </c:dPt>
          <c:dPt>
            <c:idx val="3"/>
            <c:invertIfNegative val="0"/>
            <c:bubble3D val="0"/>
            <c:spPr>
              <a:solidFill>
                <a:srgbClr val="1560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1-459C-A677-B9E64C17748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EC1-459C-A677-B9E64C17748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[0]!Final_CSF_ch1</c:f>
              <c:numCache>
                <c:formatCode>General</c:formatCode>
                <c:ptCount val="5"/>
                <c:pt idx="0">
                  <c:v>2.2500845892990116</c:v>
                </c:pt>
                <c:pt idx="1">
                  <c:v>2.1158858934758462</c:v>
                </c:pt>
                <c:pt idx="2">
                  <c:v>2.3001533249041097</c:v>
                </c:pt>
                <c:pt idx="3">
                  <c:v>2.1556060500852614</c:v>
                </c:pt>
                <c:pt idx="4">
                  <c:v>2.1247371826767965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C1-459C-A677-B9E64C177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62-4F5C-A225-717F1C7872FC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62-4F5C-A225-717F1C7872FC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62-4F5C-A225-717F1C7872FC}"/>
              </c:ext>
            </c:extLst>
          </c:dPt>
          <c:dPt>
            <c:idx val="3"/>
            <c:bubble3D val="0"/>
            <c:spPr>
              <a:solidFill>
                <a:srgbClr val="15608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62-4F5C-A225-717F1C7872FC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162-4F5C-A225-717F1C7872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[0]!Graph_Brand_List_ch1</c:f>
              <c:strCache>
                <c:ptCount val="5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BRANSTON</c:v>
                </c:pt>
                <c:pt idx="4">
                  <c:v>RESTOFCATEGORY</c:v>
                </c:pt>
              </c:strCache>
            </c:strRef>
          </c:cat>
          <c:val>
            <c:numRef>
              <c:f>[0]!Graph_MS_Initial_c1</c:f>
              <c:numCache>
                <c:formatCode>0.0%</c:formatCode>
                <c:ptCount val="5"/>
                <c:pt idx="0">
                  <c:v>0.76983522684101346</c:v>
                </c:pt>
                <c:pt idx="1">
                  <c:v>0.10307152200427051</c:v>
                </c:pt>
                <c:pt idx="2">
                  <c:v>9.4864702572761653E-2</c:v>
                </c:pt>
                <c:pt idx="3">
                  <c:v>1.4278897482477975E-2</c:v>
                </c:pt>
                <c:pt idx="4">
                  <c:v>1.7949651099476542E-2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62-4F5C-A225-717F1C78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47464881216234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3A-4125-9B35-7FB535FEBEA5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3A-4125-9B35-7FB535FEBEA5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3A-4125-9B35-7FB535FEBEA5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3A-4125-9B35-7FB535FEBE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Tesco'!$Y$4:$Y$7</c:f>
              <c:numCache>
                <c:formatCode>0.0%</c:formatCode>
                <c:ptCount val="4"/>
                <c:pt idx="0">
                  <c:v>0.80245104204859141</c:v>
                </c:pt>
                <c:pt idx="1">
                  <c:v>0.11195312310595971</c:v>
                </c:pt>
                <c:pt idx="2">
                  <c:v>7.9737888334173376E-2</c:v>
                </c:pt>
                <c:pt idx="3">
                  <c:v>5.8579465112754189E-3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3A-4125-9B35-7FB535FEBE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DA-4532-9A99-E5A2DAE2F6A6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DA-4532-9A99-E5A2DAE2F6A6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DA-4532-9A99-E5A2DAE2F6A6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6DA-4532-9A99-E5A2DAE2F6A6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6DA-4532-9A99-E5A2DAE2F6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Tesco'!$AR$4:$AR$7</c:f>
              <c:numCache>
                <c:formatCode>0.0%</c:formatCode>
                <c:ptCount val="4"/>
                <c:pt idx="0">
                  <c:v>0.80245104204859141</c:v>
                </c:pt>
                <c:pt idx="1">
                  <c:v>0.11195312310595976</c:v>
                </c:pt>
                <c:pt idx="2">
                  <c:v>7.9737888334173376E-2</c:v>
                </c:pt>
                <c:pt idx="3">
                  <c:v>5.8579465112754197E-3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DA-4532-9A99-E5A2DAE2F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088450445689902"/>
          <c:w val="0.2871297076113678"/>
          <c:h val="0.50684693156598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80-4CAB-8BCB-93748972FDB2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80-4CAB-8BCB-93748972FDB2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80-4CAB-8BCB-93748972FDB2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680-4CAB-8BCB-93748972FDB2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680-4CAB-8BCB-93748972FD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Tesco'!$AS$4:$AS$7</c:f>
              <c:numCache>
                <c:formatCode>0.00%</c:formatCode>
                <c:ptCount val="4"/>
                <c:pt idx="0">
                  <c:v>3.6836470815230227E-3</c:v>
                </c:pt>
                <c:pt idx="1">
                  <c:v>-7.715830501017526E-3</c:v>
                </c:pt>
                <c:pt idx="2">
                  <c:v>4.7962014529920327E-3</c:v>
                </c:pt>
                <c:pt idx="3">
                  <c:v>-7.6401803349759965E-4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80-4CAB-8BCB-9374897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56-477F-97F7-E7B9D488518B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56-477F-97F7-E7B9D488518B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356-477F-97F7-E7B9D488518B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356-477F-97F7-E7B9D488518B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356-477F-97F7-E7B9D48851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Tesco'!$I$4:$I$7</c:f>
              <c:numCache>
                <c:formatCode>0.00</c:formatCode>
                <c:ptCount val="4"/>
                <c:pt idx="0">
                  <c:v>2.24632220726998</c:v>
                </c:pt>
                <c:pt idx="1">
                  <c:v>2.02306946178981</c:v>
                </c:pt>
                <c:pt idx="2">
                  <c:v>2.4382279942634799</c:v>
                </c:pt>
                <c:pt idx="3">
                  <c:v>1.8585905720881299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56-477F-97F7-E7B9D4885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73-456C-B310-E8FD1FDC8D58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73-456C-B310-E8FD1FDC8D58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73-456C-B310-E8FD1FDC8D58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73-456C-B310-E8FD1FDC8D58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73-456C-B310-E8FD1FDC8D5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Tesco'!$AX$4:$AX$7</c:f>
              <c:numCache>
                <c:formatCode>General</c:formatCode>
                <c:ptCount val="4"/>
                <c:pt idx="0">
                  <c:v>2.24632220726998</c:v>
                </c:pt>
                <c:pt idx="1">
                  <c:v>2.02306946178981</c:v>
                </c:pt>
                <c:pt idx="2">
                  <c:v>2.4382279942634768</c:v>
                </c:pt>
                <c:pt idx="3">
                  <c:v>1.8585905720881308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73-456C-B310-E8FD1FDC8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A-4AF1-B5FD-6D5D02C5BD4B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CA-4AF1-B5FD-6D5D02C5BD4B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CA-4AF1-B5FD-6D5D02C5BD4B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CA-4AF1-B5FD-6D5D02C5B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Tesco'!$F$4:$F$7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PRIVATE LABEL</c:v>
                </c:pt>
                <c:pt idx="3">
                  <c:v>RESTOFCATEGORY</c:v>
                </c:pt>
              </c:strCache>
            </c:strRef>
          </c:cat>
          <c:val>
            <c:numRef>
              <c:f>'Calculations - Tesco'!$P$4:$P$7</c:f>
              <c:numCache>
                <c:formatCode>0.0%</c:formatCode>
                <c:ptCount val="4"/>
                <c:pt idx="0">
                  <c:v>0.79876739496706839</c:v>
                </c:pt>
                <c:pt idx="1">
                  <c:v>0.11966895360697728</c:v>
                </c:pt>
                <c:pt idx="2">
                  <c:v>7.4941686881181344E-2</c:v>
                </c:pt>
                <c:pt idx="3">
                  <c:v>6.6219645447730194E-3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CA-4AF1-B5FD-6D5D02C5B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47464881216234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4C-4AED-A7F8-69E5EBF5DC8C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4C-4AED-A7F8-69E5EBF5DC8C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4C-4AED-A7F8-69E5EBF5DC8C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4C-4AED-A7F8-69E5EBF5DC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Iceland'!$Y$4:$Y$7</c:f>
              <c:numCache>
                <c:formatCode>0.0%</c:formatCode>
                <c:ptCount val="4"/>
                <c:pt idx="0">
                  <c:v>0.61720784629741499</c:v>
                </c:pt>
                <c:pt idx="1">
                  <c:v>0.27744543109271241</c:v>
                </c:pt>
                <c:pt idx="2">
                  <c:v>3.5093476211167797E-2</c:v>
                </c:pt>
                <c:pt idx="3">
                  <c:v>7.0253246398704977E-2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C-4AED-A7F8-69E5EBF5DC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CF-4F44-AFAD-714A6F98BA0D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CF-4F44-AFAD-714A6F98BA0D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CF-4F44-AFAD-714A6F98BA0D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CF-4F44-AFAD-714A6F98BA0D}"/>
              </c:ext>
            </c:extLst>
          </c:dPt>
          <c:dPt>
            <c:idx val="4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BCF-4F44-AFAD-714A6F98BA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Iceland'!$AR$4:$AR$7</c:f>
              <c:numCache>
                <c:formatCode>0.0%</c:formatCode>
                <c:ptCount val="4"/>
                <c:pt idx="0">
                  <c:v>0.61720784629741499</c:v>
                </c:pt>
                <c:pt idx="1">
                  <c:v>0.27744543109271241</c:v>
                </c:pt>
                <c:pt idx="2">
                  <c:v>3.5093476211167797E-2</c:v>
                </c:pt>
                <c:pt idx="3">
                  <c:v>7.0253246398704977E-2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CF-4F44-AFAD-714A6F98B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088450445689902"/>
          <c:w val="0.2871297076113678"/>
          <c:h val="0.50684693156598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79938840527207"/>
          <c:y val="3.2798696909239686E-2"/>
          <c:w val="0.8170260584815261"/>
          <c:h val="0.9344025051950914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13-437A-A91E-398B7EA18F18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13-437A-A91E-398B7EA18F18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13-437A-A91E-398B7EA18F18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13-437A-A91E-398B7EA18F18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13-437A-A91E-398B7EA18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Iceland'!$AS$4:$AS$7</c:f>
              <c:numCache>
                <c:formatCode>0.00%</c:formatCode>
                <c:ptCount val="4"/>
                <c:pt idx="0">
                  <c:v>2.7208490693054754E-3</c:v>
                </c:pt>
                <c:pt idx="1">
                  <c:v>-7.7348380061458277E-3</c:v>
                </c:pt>
                <c:pt idx="2">
                  <c:v>5.0111082390844053E-4</c:v>
                </c:pt>
                <c:pt idx="3">
                  <c:v>4.5128781129320644E-3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13-437A-A91E-398B7EA1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7769904"/>
        <c:axId val="947770384"/>
      </c:barChart>
      <c:catAx>
        <c:axId val="94776990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947770384"/>
        <c:crosses val="autoZero"/>
        <c:auto val="1"/>
        <c:lblAlgn val="ctr"/>
        <c:lblOffset val="100"/>
        <c:noMultiLvlLbl val="0"/>
      </c:catAx>
      <c:valAx>
        <c:axId val="94777038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9477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56-4E43-BCAA-198232D6C0E5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56-4E43-BCAA-198232D6C0E5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56-4E43-BCAA-198232D6C0E5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56-4E43-BCAA-198232D6C0E5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56-4E43-BCAA-198232D6C0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Iceland'!$I$4:$I$7</c:f>
              <c:numCache>
                <c:formatCode>0.00</c:formatCode>
                <c:ptCount val="4"/>
                <c:pt idx="0">
                  <c:v>1.76227877249831</c:v>
                </c:pt>
                <c:pt idx="1">
                  <c:v>1.6755117826878201</c:v>
                </c:pt>
                <c:pt idx="2">
                  <c:v>1.78994020332587</c:v>
                </c:pt>
                <c:pt idx="3">
                  <c:v>1.9388879628081099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56-4E43-BCAA-198232D6C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7A9-94D7-C569B5CC7A74}"/>
              </c:ext>
            </c:extLst>
          </c:dPt>
          <c:dPt>
            <c:idx val="1"/>
            <c:invertIfNegative val="0"/>
            <c:bubble3D val="0"/>
            <c:spPr>
              <a:solidFill>
                <a:srgbClr val="B7A19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7A9-94D7-C569B5CC7A74}"/>
              </c:ext>
            </c:extLst>
          </c:dPt>
          <c:dPt>
            <c:idx val="2"/>
            <c:invertIfNegative val="0"/>
            <c:bubble3D val="0"/>
            <c:spPr>
              <a:solidFill>
                <a:srgbClr val="0F9E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412-47A9-94D7-C569B5CC7A74}"/>
              </c:ext>
            </c:extLst>
          </c:dPt>
          <c:dPt>
            <c:idx val="3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12-47A9-94D7-C569B5CC7A74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412-47A9-94D7-C569B5CC7A7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Iceland'!$AX$4:$AX$7</c:f>
              <c:numCache>
                <c:formatCode>General</c:formatCode>
                <c:ptCount val="4"/>
                <c:pt idx="0">
                  <c:v>1.7622787724983107</c:v>
                </c:pt>
                <c:pt idx="1">
                  <c:v>1.6755117826878159</c:v>
                </c:pt>
                <c:pt idx="2">
                  <c:v>1.7899402033258658</c:v>
                </c:pt>
                <c:pt idx="3">
                  <c:v>1.9388879628081073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12-47A9-94D7-C569B5CC7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7348694291602"/>
          <c:y val="2.2907848573541736E-2"/>
          <c:w val="0.68773467086463957"/>
          <c:h val="0.929565863897485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E-47D2-A675-1C5A4FCB0A28}"/>
              </c:ext>
            </c:extLst>
          </c:dPt>
          <c:dPt>
            <c:idx val="1"/>
            <c:bubble3D val="0"/>
            <c:spPr>
              <a:solidFill>
                <a:srgbClr val="B7A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7D2-A675-1C5A4FCB0A28}"/>
              </c:ext>
            </c:extLst>
          </c:dPt>
          <c:dPt>
            <c:idx val="2"/>
            <c:bubble3D val="0"/>
            <c:spPr>
              <a:solidFill>
                <a:srgbClr val="0F9ED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7D2-A675-1C5A4FCB0A28}"/>
              </c:ext>
            </c:extLst>
          </c:dPt>
          <c:dPt>
            <c:idx val="3"/>
            <c:bubble3D val="0"/>
            <c:spPr>
              <a:solidFill>
                <a:srgbClr val="A02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51E-47D2-A675-1C5A4FCB0A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'Calculations - Iceland'!$F$4:$F$7</c:f>
              <c:strCache>
                <c:ptCount val="4"/>
                <c:pt idx="0">
                  <c:v>HP</c:v>
                </c:pt>
                <c:pt idx="1">
                  <c:v>DADDIES</c:v>
                </c:pt>
                <c:pt idx="2">
                  <c:v>GOLD STAR</c:v>
                </c:pt>
                <c:pt idx="3">
                  <c:v>RESTOFCATEGORY</c:v>
                </c:pt>
              </c:strCache>
            </c:strRef>
          </c:cat>
          <c:val>
            <c:numRef>
              <c:f>'Calculations - Iceland'!$P$4:$P$7</c:f>
              <c:numCache>
                <c:formatCode>0.0%</c:formatCode>
                <c:ptCount val="4"/>
                <c:pt idx="0">
                  <c:v>0.61448699722810951</c:v>
                </c:pt>
                <c:pt idx="1">
                  <c:v>0.28518026909885824</c:v>
                </c:pt>
                <c:pt idx="2">
                  <c:v>3.4592365387259356E-2</c:v>
                </c:pt>
                <c:pt idx="3">
                  <c:v>6.5740368285772913E-2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1E-47D2-A675-1C5A4FCB0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5357178623554879E-2"/>
          <c:y val="0.25205764946645665"/>
          <c:w val="0.26249804462552062"/>
          <c:h val="0.47464881216234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F7-4DC3-AB5D-1CEF0D084629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F7-4DC3-AB5D-1CEF0D0846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Convenience'!$F$4</c:f>
              <c:strCache>
                <c:ptCount val="1"/>
                <c:pt idx="0">
                  <c:v>HP</c:v>
                </c:pt>
              </c:strCache>
            </c:strRef>
          </c:cat>
          <c:val>
            <c:numRef>
              <c:f>'Calculations - Convenience'!$I$4</c:f>
              <c:numCache>
                <c:formatCode>0.00</c:formatCode>
                <c:ptCount val="1"/>
                <c:pt idx="0">
                  <c:v>2.2193953879714101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7-4DC3-AB5D-1CEF0D084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09-4D51-95AE-951C87868F80}"/>
              </c:ext>
            </c:extLst>
          </c:dPt>
          <c:dPt>
            <c:idx val="4"/>
            <c:invertIfNegative val="0"/>
            <c:bubble3D val="0"/>
            <c:spPr>
              <a:solidFill>
                <a:srgbClr val="A02B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09-4D51-95AE-951C87868F8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'Calculations - Convenience'!$F$4</c:f>
              <c:strCache>
                <c:ptCount val="1"/>
                <c:pt idx="0">
                  <c:v>HP</c:v>
                </c:pt>
              </c:strCache>
            </c:strRef>
          </c:cat>
          <c:val>
            <c:numRef>
              <c:f>'Calculations - Convenience'!$AX$4</c:f>
              <c:numCache>
                <c:formatCode>General</c:formatCode>
                <c:ptCount val="1"/>
                <c:pt idx="0">
                  <c:v>2.2193953879714061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9-4D51-95AE-951C87868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05499151"/>
        <c:axId val="1005499631"/>
      </c:barChart>
      <c:catAx>
        <c:axId val="10054991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99631"/>
        <c:crosses val="autoZero"/>
        <c:auto val="1"/>
        <c:lblAlgn val="ctr"/>
        <c:lblOffset val="100"/>
        <c:noMultiLvlLbl val="0"/>
      </c:catAx>
      <c:valAx>
        <c:axId val="100549963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00549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2.svg"/><Relationship Id="rId7" Type="http://schemas.openxmlformats.org/officeDocument/2006/relationships/chart" Target="../charts/chart11.xml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image" Target="../media/image2.svg"/><Relationship Id="rId7" Type="http://schemas.openxmlformats.org/officeDocument/2006/relationships/chart" Target="../charts/chart17.xml"/><Relationship Id="rId2" Type="http://schemas.openxmlformats.org/officeDocument/2006/relationships/image" Target="../media/image1.png"/><Relationship Id="rId1" Type="http://schemas.openxmlformats.org/officeDocument/2006/relationships/chart" Target="../charts/chart13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324280</xdr:colOff>
      <xdr:row>8</xdr:row>
      <xdr:rowOff>209289</xdr:rowOff>
    </xdr:from>
    <xdr:to>
      <xdr:col>10</xdr:col>
      <xdr:colOff>1579676</xdr:colOff>
      <xdr:row>26</xdr:row>
      <xdr:rowOff>74382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2F4671F-2E2D-4800-A6AC-CDA0AD6C3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549487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A906B8-F814-43B5-AD18-EAD323A126E6}"/>
            </a:ext>
          </a:extLst>
        </xdr:cNvPr>
        <xdr:cNvGrpSpPr/>
      </xdr:nvGrpSpPr>
      <xdr:grpSpPr>
        <a:xfrm>
          <a:off x="0" y="0"/>
          <a:ext cx="57287661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D19D4F13-77DD-80A3-45DD-C52771FB4B02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66CA2E5B-9535-6319-BF43-50B0F3B3A1D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BF798B3-B42B-BB08-67DC-9DC8A5882F54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7" name="Graphic 6" descr="Daily calendar with solid fill">
              <a:extLst>
                <a:ext uri="{FF2B5EF4-FFF2-40B4-BE49-F238E27FC236}">
                  <a16:creationId xmlns:a16="http://schemas.microsoft.com/office/drawing/2014/main" id="{F03B0074-8690-C097-3FF5-B5518C240F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4DD7170-F1DD-77BF-7488-F46657413EA7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438496</xdr:colOff>
      <xdr:row>33</xdr:row>
      <xdr:rowOff>129540</xdr:rowOff>
    </xdr:from>
    <xdr:to>
      <xdr:col>5</xdr:col>
      <xdr:colOff>1352551</xdr:colOff>
      <xdr:row>36</xdr:row>
      <xdr:rowOff>244268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494E2970-E4FB-471E-BA70-3288987BD7BD}"/>
            </a:ext>
          </a:extLst>
        </xdr:cNvPr>
        <xdr:cNvSpPr/>
      </xdr:nvSpPr>
      <xdr:spPr>
        <a:xfrm>
          <a:off x="10941107" y="10264486"/>
          <a:ext cx="914055" cy="104991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54380</xdr:colOff>
      <xdr:row>37</xdr:row>
      <xdr:rowOff>93479</xdr:rowOff>
    </xdr:from>
    <xdr:to>
      <xdr:col>5</xdr:col>
      <xdr:colOff>1464600</xdr:colOff>
      <xdr:row>41</xdr:row>
      <xdr:rowOff>209376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CE6A70F-1915-45E0-A7BE-D5EF27DA26C1}"/>
            </a:ext>
          </a:extLst>
        </xdr:cNvPr>
        <xdr:cNvSpPr txBox="1"/>
      </xdr:nvSpPr>
      <xdr:spPr>
        <a:xfrm>
          <a:off x="10562706" y="11484859"/>
          <a:ext cx="1417840" cy="1362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664410</xdr:colOff>
      <xdr:row>12</xdr:row>
      <xdr:rowOff>285923</xdr:rowOff>
    </xdr:from>
    <xdr:to>
      <xdr:col>6</xdr:col>
      <xdr:colOff>1787582</xdr:colOff>
      <xdr:row>16</xdr:row>
      <xdr:rowOff>95593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F881D85D-3B21-439F-AE62-7C07C3E5D437}"/>
            </a:ext>
          </a:extLst>
        </xdr:cNvPr>
        <xdr:cNvSpPr/>
      </xdr:nvSpPr>
      <xdr:spPr>
        <a:xfrm>
          <a:off x="11172736" y="3866977"/>
          <a:ext cx="2754891" cy="1056579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476163</xdr:colOff>
      <xdr:row>17</xdr:row>
      <xdr:rowOff>38408</xdr:rowOff>
    </xdr:from>
    <xdr:to>
      <xdr:col>6</xdr:col>
      <xdr:colOff>1845252</xdr:colOff>
      <xdr:row>22</xdr:row>
      <xdr:rowOff>174568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E3CE54F1-DE15-4446-874D-385390D7AD39}"/>
            </a:ext>
          </a:extLst>
        </xdr:cNvPr>
        <xdr:cNvSpPr txBox="1"/>
      </xdr:nvSpPr>
      <xdr:spPr>
        <a:xfrm>
          <a:off x="10997824" y="5181908"/>
          <a:ext cx="2983663" cy="1698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23</xdr:col>
      <xdr:colOff>1369574</xdr:colOff>
      <xdr:row>8</xdr:row>
      <xdr:rowOff>683203</xdr:rowOff>
    </xdr:from>
    <xdr:to>
      <xdr:col>28</xdr:col>
      <xdr:colOff>94120</xdr:colOff>
      <xdr:row>27</xdr:row>
      <xdr:rowOff>247650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97B7060-E885-45F7-B4E0-FC77F037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21</xdr:col>
      <xdr:colOff>21243</xdr:colOff>
      <xdr:row>11</xdr:row>
      <xdr:rowOff>304290</xdr:rowOff>
    </xdr:from>
    <xdr:to>
      <xdr:col>23</xdr:col>
      <xdr:colOff>1619576</xdr:colOff>
      <xdr:row>24</xdr:row>
      <xdr:rowOff>263582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8DFF790-1B34-4C67-B73A-96832E849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1388745</xdr:colOff>
      <xdr:row>47</xdr:row>
      <xdr:rowOff>228167</xdr:rowOff>
    </xdr:from>
    <xdr:to>
      <xdr:col>8</xdr:col>
      <xdr:colOff>1122999</xdr:colOff>
      <xdr:row>60</xdr:row>
      <xdr:rowOff>97675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62BD77-E2F4-4B5E-ACE7-DAB307ACD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20</xdr:col>
      <xdr:colOff>1883154</xdr:colOff>
      <xdr:row>47</xdr:row>
      <xdr:rowOff>152658</xdr:rowOff>
    </xdr:from>
    <xdr:to>
      <xdr:col>26</xdr:col>
      <xdr:colOff>1067286</xdr:colOff>
      <xdr:row>60</xdr:row>
      <xdr:rowOff>21905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F5D0C27-2CB9-44EE-9E53-0CA3C94E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515564</xdr:colOff>
      <xdr:row>8</xdr:row>
      <xdr:rowOff>363682</xdr:rowOff>
    </xdr:from>
    <xdr:to>
      <xdr:col>2</xdr:col>
      <xdr:colOff>1050695</xdr:colOff>
      <xdr:row>9</xdr:row>
      <xdr:rowOff>321252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347D0E4-11C4-5FA0-ED50-EB5F06A0CB39}"/>
            </a:ext>
          </a:extLst>
        </xdr:cNvPr>
        <xdr:cNvSpPr txBox="1"/>
      </xdr:nvSpPr>
      <xdr:spPr>
        <a:xfrm>
          <a:off x="1108365" y="2178281"/>
          <a:ext cx="3201958" cy="52526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288694</xdr:colOff>
      <xdr:row>8</xdr:row>
      <xdr:rowOff>475210</xdr:rowOff>
    </xdr:from>
    <xdr:to>
      <xdr:col>7</xdr:col>
      <xdr:colOff>1200669</xdr:colOff>
      <xdr:row>10</xdr:row>
      <xdr:rowOff>36540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10808F8-AAA9-43B9-BDDF-F920B35EDF2A}"/>
            </a:ext>
          </a:extLst>
        </xdr:cNvPr>
        <xdr:cNvSpPr txBox="1"/>
      </xdr:nvSpPr>
      <xdr:spPr>
        <a:xfrm>
          <a:off x="12072678" y="2289809"/>
          <a:ext cx="3194338" cy="5176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2022416</xdr:colOff>
      <xdr:row>44</xdr:row>
      <xdr:rowOff>225138</xdr:rowOff>
    </xdr:from>
    <xdr:to>
      <xdr:col>6</xdr:col>
      <xdr:colOff>1198935</xdr:colOff>
      <xdr:row>46</xdr:row>
      <xdr:rowOff>117418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AF5C402-651C-4E09-BF0D-846195CDCD6E}"/>
            </a:ext>
          </a:extLst>
        </xdr:cNvPr>
        <xdr:cNvSpPr txBox="1"/>
      </xdr:nvSpPr>
      <xdr:spPr>
        <a:xfrm>
          <a:off x="9780961" y="13594774"/>
          <a:ext cx="3203863" cy="5157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22</xdr:col>
      <xdr:colOff>1466331</xdr:colOff>
      <xdr:row>44</xdr:row>
      <xdr:rowOff>225137</xdr:rowOff>
    </xdr:from>
    <xdr:to>
      <xdr:col>24</xdr:col>
      <xdr:colOff>343305</xdr:colOff>
      <xdr:row>46</xdr:row>
      <xdr:rowOff>115512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5201FC2-A38C-48FA-AA65-3C605B00BA76}"/>
            </a:ext>
          </a:extLst>
        </xdr:cNvPr>
        <xdr:cNvSpPr txBox="1"/>
      </xdr:nvSpPr>
      <xdr:spPr>
        <a:xfrm>
          <a:off x="45356319" y="13594773"/>
          <a:ext cx="3209578" cy="5138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23</xdr:col>
      <xdr:colOff>1696296</xdr:colOff>
      <xdr:row>8</xdr:row>
      <xdr:rowOff>419619</xdr:rowOff>
    </xdr:from>
    <xdr:to>
      <xdr:col>25</xdr:col>
      <xdr:colOff>1105476</xdr:colOff>
      <xdr:row>9</xdr:row>
      <xdr:rowOff>379094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E91AEF5-04C0-4719-9BCB-086355ADBDB9}"/>
            </a:ext>
          </a:extLst>
        </xdr:cNvPr>
        <xdr:cNvSpPr txBox="1"/>
      </xdr:nvSpPr>
      <xdr:spPr>
        <a:xfrm>
          <a:off x="48194941" y="2289983"/>
          <a:ext cx="3442680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21</xdr:col>
      <xdr:colOff>20242</xdr:colOff>
      <xdr:row>8</xdr:row>
      <xdr:rowOff>419446</xdr:rowOff>
    </xdr:from>
    <xdr:to>
      <xdr:col>22</xdr:col>
      <xdr:colOff>1503043</xdr:colOff>
      <xdr:row>9</xdr:row>
      <xdr:rowOff>361776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8B939B4-4676-4960-A4EF-43EEFB6E8B66}"/>
            </a:ext>
          </a:extLst>
        </xdr:cNvPr>
        <xdr:cNvSpPr txBox="1"/>
      </xdr:nvSpPr>
      <xdr:spPr>
        <a:xfrm>
          <a:off x="41070240" y="2289810"/>
          <a:ext cx="4632613" cy="7081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17</xdr:col>
      <xdr:colOff>1164148</xdr:colOff>
      <xdr:row>8</xdr:row>
      <xdr:rowOff>169199</xdr:rowOff>
    </xdr:from>
    <xdr:to>
      <xdr:col>18</xdr:col>
      <xdr:colOff>1921432</xdr:colOff>
      <xdr:row>8</xdr:row>
      <xdr:rowOff>688745</xdr:rowOff>
    </xdr:to>
    <xdr:sp macro="[0]!Price_Reset_Supermarket" textlink="">
      <xdr:nvSpPr>
        <xdr:cNvPr id="10" name="Rectangle 9">
          <a:extLst>
            <a:ext uri="{FF2B5EF4-FFF2-40B4-BE49-F238E27FC236}">
              <a16:creationId xmlns:a16="http://schemas.microsoft.com/office/drawing/2014/main" id="{95A36040-6FA1-A3F8-86D8-4758DA36B501}"/>
            </a:ext>
          </a:extLst>
        </xdr:cNvPr>
        <xdr:cNvSpPr/>
      </xdr:nvSpPr>
      <xdr:spPr>
        <a:xfrm>
          <a:off x="33551033" y="1987608"/>
          <a:ext cx="3136495" cy="51954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592744</xdr:colOff>
      <xdr:row>22</xdr:row>
      <xdr:rowOff>20738</xdr:rowOff>
    </xdr:from>
    <xdr:to>
      <xdr:col>17</xdr:col>
      <xdr:colOff>1886971</xdr:colOff>
      <xdr:row>24</xdr:row>
      <xdr:rowOff>267003</xdr:rowOff>
    </xdr:to>
    <xdr:sp macro="[0]!Financials_Reset_Supermarket" textlink="">
      <xdr:nvSpPr>
        <xdr:cNvPr id="16" name="Rectangle 15">
          <a:extLst>
            <a:ext uri="{FF2B5EF4-FFF2-40B4-BE49-F238E27FC236}">
              <a16:creationId xmlns:a16="http://schemas.microsoft.com/office/drawing/2014/main" id="{46CF0ED1-AEB0-485D-95B9-D9FEF90123D9}"/>
            </a:ext>
          </a:extLst>
        </xdr:cNvPr>
        <xdr:cNvSpPr/>
      </xdr:nvSpPr>
      <xdr:spPr>
        <a:xfrm>
          <a:off x="31033374" y="6688661"/>
          <a:ext cx="3115195" cy="85967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10</xdr:col>
      <xdr:colOff>1656832</xdr:colOff>
      <xdr:row>8</xdr:row>
      <xdr:rowOff>515735</xdr:rowOff>
    </xdr:from>
    <xdr:to>
      <xdr:col>13</xdr:col>
      <xdr:colOff>473481</xdr:colOff>
      <xdr:row>10</xdr:row>
      <xdr:rowOff>246264</xdr:rowOff>
    </xdr:to>
    <xdr:sp macro="[0]!ApplyColorsToAllCharts_Supermarket" textlink="">
      <xdr:nvSpPr>
        <xdr:cNvPr id="23" name="Rectangle 22">
          <a:extLst>
            <a:ext uri="{FF2B5EF4-FFF2-40B4-BE49-F238E27FC236}">
              <a16:creationId xmlns:a16="http://schemas.microsoft.com/office/drawing/2014/main" id="{331434F5-44F9-46D6-A522-66F811B0C95F}"/>
            </a:ext>
          </a:extLst>
        </xdr:cNvPr>
        <xdr:cNvSpPr/>
      </xdr:nvSpPr>
      <xdr:spPr>
        <a:xfrm>
          <a:off x="21651539" y="2337954"/>
          <a:ext cx="3115541" cy="873529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Set Graphs Colour </a:t>
          </a:r>
          <a:r>
            <a:rPr lang="en-IN" sz="2400" b="1" kern="1200" baseline="0">
              <a:solidFill>
                <a:sysClr val="windowText" lastClr="000000"/>
              </a:solidFill>
            </a:rPr>
            <a:t>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325063</xdr:rowOff>
    </xdr:from>
    <xdr:to>
      <xdr:col>4</xdr:col>
      <xdr:colOff>2342632</xdr:colOff>
      <xdr:row>26</xdr:row>
      <xdr:rowOff>174916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FD8C2F-787E-476D-BAF0-BA8AB6793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320470</xdr:colOff>
      <xdr:row>8</xdr:row>
      <xdr:rowOff>213099</xdr:rowOff>
    </xdr:from>
    <xdr:to>
      <xdr:col>10</xdr:col>
      <xdr:colOff>1583486</xdr:colOff>
      <xdr:row>26</xdr:row>
      <xdr:rowOff>74382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8D4E19-6EAA-4252-8DC0-D54ABC391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545677</xdr:colOff>
      <xdr:row>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CB2068F-E811-4FEE-86F0-5F68A7E6E614}"/>
            </a:ext>
          </a:extLst>
        </xdr:cNvPr>
        <xdr:cNvGrpSpPr/>
      </xdr:nvGrpSpPr>
      <xdr:grpSpPr>
        <a:xfrm>
          <a:off x="0" y="0"/>
          <a:ext cx="57283851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664E77B4-BB1D-1CAE-E60B-0C787BE8C6A1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3BD0F8EF-5B45-E9D3-6443-8056FF8A3452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E524AA13-197B-C236-AAE5-987D2D741DB7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8" name="Graphic 7" descr="Daily calendar with solid fill">
              <a:extLst>
                <a:ext uri="{FF2B5EF4-FFF2-40B4-BE49-F238E27FC236}">
                  <a16:creationId xmlns:a16="http://schemas.microsoft.com/office/drawing/2014/main" id="{47F58FAE-0CD5-E732-D921-09B87D70FDD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3B2C8390-EEAD-19B8-4723-7427185AD190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434686</xdr:colOff>
      <xdr:row>33</xdr:row>
      <xdr:rowOff>133350</xdr:rowOff>
    </xdr:from>
    <xdr:to>
      <xdr:col>5</xdr:col>
      <xdr:colOff>1348741</xdr:colOff>
      <xdr:row>36</xdr:row>
      <xdr:rowOff>248078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87FEB6BF-F5AE-425D-B2E3-D4D94F4E0125}"/>
            </a:ext>
          </a:extLst>
        </xdr:cNvPr>
        <xdr:cNvSpPr/>
      </xdr:nvSpPr>
      <xdr:spPr>
        <a:xfrm>
          <a:off x="10942666" y="10328910"/>
          <a:ext cx="914055" cy="1051988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58190</xdr:colOff>
      <xdr:row>37</xdr:row>
      <xdr:rowOff>97289</xdr:rowOff>
    </xdr:from>
    <xdr:to>
      <xdr:col>5</xdr:col>
      <xdr:colOff>1468410</xdr:colOff>
      <xdr:row>41</xdr:row>
      <xdr:rowOff>213186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C1FBDD7-6F87-4844-AA3F-D713A8E1710C}"/>
            </a:ext>
          </a:extLst>
        </xdr:cNvPr>
        <xdr:cNvSpPr txBox="1"/>
      </xdr:nvSpPr>
      <xdr:spPr>
        <a:xfrm>
          <a:off x="10566170" y="11542529"/>
          <a:ext cx="1410220" cy="1365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668220</xdr:colOff>
      <xdr:row>12</xdr:row>
      <xdr:rowOff>282113</xdr:rowOff>
    </xdr:from>
    <xdr:to>
      <xdr:col>6</xdr:col>
      <xdr:colOff>1787582</xdr:colOff>
      <xdr:row>16</xdr:row>
      <xdr:rowOff>91783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57C36A68-AD69-4465-B8B6-361C7B55B751}"/>
            </a:ext>
          </a:extLst>
        </xdr:cNvPr>
        <xdr:cNvSpPr/>
      </xdr:nvSpPr>
      <xdr:spPr>
        <a:xfrm>
          <a:off x="11176200" y="3916853"/>
          <a:ext cx="2734802" cy="105935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479973</xdr:colOff>
      <xdr:row>17</xdr:row>
      <xdr:rowOff>38408</xdr:rowOff>
    </xdr:from>
    <xdr:to>
      <xdr:col>6</xdr:col>
      <xdr:colOff>1849062</xdr:colOff>
      <xdr:row>22</xdr:row>
      <xdr:rowOff>170758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D5D3D49-9DF0-4F08-9DB5-63986BE46720}"/>
            </a:ext>
          </a:extLst>
        </xdr:cNvPr>
        <xdr:cNvSpPr txBox="1"/>
      </xdr:nvSpPr>
      <xdr:spPr>
        <a:xfrm>
          <a:off x="10987953" y="5235248"/>
          <a:ext cx="2984529" cy="1694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23</xdr:col>
      <xdr:colOff>1369574</xdr:colOff>
      <xdr:row>8</xdr:row>
      <xdr:rowOff>683203</xdr:rowOff>
    </xdr:from>
    <xdr:to>
      <xdr:col>28</xdr:col>
      <xdr:colOff>97930</xdr:colOff>
      <xdr:row>27</xdr:row>
      <xdr:rowOff>243840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608D5CD-4BF3-402C-BC3C-B801394F4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21</xdr:col>
      <xdr:colOff>28863</xdr:colOff>
      <xdr:row>11</xdr:row>
      <xdr:rowOff>304290</xdr:rowOff>
    </xdr:from>
    <xdr:to>
      <xdr:col>23</xdr:col>
      <xdr:colOff>1615766</xdr:colOff>
      <xdr:row>24</xdr:row>
      <xdr:rowOff>263582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49FC26C-0EC9-4260-A91A-32593C016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1392555</xdr:colOff>
      <xdr:row>47</xdr:row>
      <xdr:rowOff>228167</xdr:rowOff>
    </xdr:from>
    <xdr:to>
      <xdr:col>8</xdr:col>
      <xdr:colOff>1126809</xdr:colOff>
      <xdr:row>60</xdr:row>
      <xdr:rowOff>93865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5E193A0-EBFF-405B-B645-5EE60805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20</xdr:col>
      <xdr:colOff>1879344</xdr:colOff>
      <xdr:row>47</xdr:row>
      <xdr:rowOff>152658</xdr:rowOff>
    </xdr:from>
    <xdr:to>
      <xdr:col>26</xdr:col>
      <xdr:colOff>1067286</xdr:colOff>
      <xdr:row>60</xdr:row>
      <xdr:rowOff>18095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A7D6024-B709-4815-AC3B-AB311F29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511754</xdr:colOff>
      <xdr:row>8</xdr:row>
      <xdr:rowOff>359872</xdr:rowOff>
    </xdr:from>
    <xdr:to>
      <xdr:col>2</xdr:col>
      <xdr:colOff>1046885</xdr:colOff>
      <xdr:row>9</xdr:row>
      <xdr:rowOff>325062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B5269B4-E128-45DE-AA1E-B844D6088DF1}"/>
            </a:ext>
          </a:extLst>
        </xdr:cNvPr>
        <xdr:cNvSpPr txBox="1"/>
      </xdr:nvSpPr>
      <xdr:spPr>
        <a:xfrm>
          <a:off x="1121354" y="2226772"/>
          <a:ext cx="3545031" cy="72719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284884</xdr:colOff>
      <xdr:row>8</xdr:row>
      <xdr:rowOff>479020</xdr:rowOff>
    </xdr:from>
    <xdr:to>
      <xdr:col>7</xdr:col>
      <xdr:colOff>1196859</xdr:colOff>
      <xdr:row>10</xdr:row>
      <xdr:rowOff>36540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BB7E159-C05C-4D06-B7D0-1ECFBF12CB0F}"/>
            </a:ext>
          </a:extLst>
        </xdr:cNvPr>
        <xdr:cNvSpPr txBox="1"/>
      </xdr:nvSpPr>
      <xdr:spPr>
        <a:xfrm>
          <a:off x="12408304" y="2345920"/>
          <a:ext cx="3205595" cy="7005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2022416</xdr:colOff>
      <xdr:row>44</xdr:row>
      <xdr:rowOff>225138</xdr:rowOff>
    </xdr:from>
    <xdr:to>
      <xdr:col>6</xdr:col>
      <xdr:colOff>1202745</xdr:colOff>
      <xdr:row>46</xdr:row>
      <xdr:rowOff>117418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C4004F3-2E6E-478E-B61D-CAB5D6AA505C}"/>
            </a:ext>
          </a:extLst>
        </xdr:cNvPr>
        <xdr:cNvSpPr txBox="1"/>
      </xdr:nvSpPr>
      <xdr:spPr>
        <a:xfrm>
          <a:off x="10137716" y="13857318"/>
          <a:ext cx="3188449" cy="5171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22</xdr:col>
      <xdr:colOff>1470141</xdr:colOff>
      <xdr:row>44</xdr:row>
      <xdr:rowOff>225137</xdr:rowOff>
    </xdr:from>
    <xdr:to>
      <xdr:col>24</xdr:col>
      <xdr:colOff>343305</xdr:colOff>
      <xdr:row>46</xdr:row>
      <xdr:rowOff>115512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D1152AF-2DCD-474D-98A7-FF2EED720F16}"/>
            </a:ext>
          </a:extLst>
        </xdr:cNvPr>
        <xdr:cNvSpPr txBox="1"/>
      </xdr:nvSpPr>
      <xdr:spPr>
        <a:xfrm>
          <a:off x="45635661" y="13857317"/>
          <a:ext cx="3178464" cy="51521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23</xdr:col>
      <xdr:colOff>1692486</xdr:colOff>
      <xdr:row>8</xdr:row>
      <xdr:rowOff>419619</xdr:rowOff>
    </xdr:from>
    <xdr:to>
      <xdr:col>25</xdr:col>
      <xdr:colOff>1105476</xdr:colOff>
      <xdr:row>9</xdr:row>
      <xdr:rowOff>379094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C570F7A-80E0-46F2-9D3B-29A796CAAED2}"/>
            </a:ext>
          </a:extLst>
        </xdr:cNvPr>
        <xdr:cNvSpPr txBox="1"/>
      </xdr:nvSpPr>
      <xdr:spPr>
        <a:xfrm>
          <a:off x="48145911" y="2286519"/>
          <a:ext cx="3442065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21</xdr:col>
      <xdr:colOff>10717</xdr:colOff>
      <xdr:row>8</xdr:row>
      <xdr:rowOff>419446</xdr:rowOff>
    </xdr:from>
    <xdr:to>
      <xdr:col>22</xdr:col>
      <xdr:colOff>1506853</xdr:colOff>
      <xdr:row>9</xdr:row>
      <xdr:rowOff>365586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A336A55-8432-4B21-9D07-825A3D87702B}"/>
            </a:ext>
          </a:extLst>
        </xdr:cNvPr>
        <xdr:cNvSpPr txBox="1"/>
      </xdr:nvSpPr>
      <xdr:spPr>
        <a:xfrm>
          <a:off x="41028138" y="2286346"/>
          <a:ext cx="4644235" cy="7081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17</xdr:col>
      <xdr:colOff>1160338</xdr:colOff>
      <xdr:row>8</xdr:row>
      <xdr:rowOff>173009</xdr:rowOff>
    </xdr:from>
    <xdr:to>
      <xdr:col>18</xdr:col>
      <xdr:colOff>1917622</xdr:colOff>
      <xdr:row>8</xdr:row>
      <xdr:rowOff>688745</xdr:rowOff>
    </xdr:to>
    <xdr:sp macro="[0]!Price_Reset_Tesco" textlink="">
      <xdr:nvSpPr>
        <xdr:cNvPr id="23" name="Rectangle 22">
          <a:extLst>
            <a:ext uri="{FF2B5EF4-FFF2-40B4-BE49-F238E27FC236}">
              <a16:creationId xmlns:a16="http://schemas.microsoft.com/office/drawing/2014/main" id="{89FB1C39-63AA-4C63-A09D-640DF49B7415}"/>
            </a:ext>
          </a:extLst>
        </xdr:cNvPr>
        <xdr:cNvSpPr/>
      </xdr:nvSpPr>
      <xdr:spPr>
        <a:xfrm>
          <a:off x="33484378" y="2039909"/>
          <a:ext cx="3123294" cy="51573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600364</xdr:colOff>
      <xdr:row>22</xdr:row>
      <xdr:rowOff>16928</xdr:rowOff>
    </xdr:from>
    <xdr:to>
      <xdr:col>17</xdr:col>
      <xdr:colOff>1877446</xdr:colOff>
      <xdr:row>24</xdr:row>
      <xdr:rowOff>267003</xdr:rowOff>
    </xdr:to>
    <xdr:sp macro="[0]!Financials_Reset_Tesco" textlink="">
      <xdr:nvSpPr>
        <xdr:cNvPr id="24" name="Rectangle 23">
          <a:extLst>
            <a:ext uri="{FF2B5EF4-FFF2-40B4-BE49-F238E27FC236}">
              <a16:creationId xmlns:a16="http://schemas.microsoft.com/office/drawing/2014/main" id="{B0EE7481-DBB0-4D66-BFE4-E4DE3E6C64D4}"/>
            </a:ext>
          </a:extLst>
        </xdr:cNvPr>
        <xdr:cNvSpPr/>
      </xdr:nvSpPr>
      <xdr:spPr>
        <a:xfrm>
          <a:off x="31076554" y="6775868"/>
          <a:ext cx="3113502" cy="87491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10</xdr:col>
      <xdr:colOff>1660642</xdr:colOff>
      <xdr:row>8</xdr:row>
      <xdr:rowOff>511925</xdr:rowOff>
    </xdr:from>
    <xdr:to>
      <xdr:col>13</xdr:col>
      <xdr:colOff>477291</xdr:colOff>
      <xdr:row>10</xdr:row>
      <xdr:rowOff>250074</xdr:rowOff>
    </xdr:to>
    <xdr:sp macro="[0]!ApplyColorsToAllCharts_Tesco" textlink="">
      <xdr:nvSpPr>
        <xdr:cNvPr id="25" name="Rectangle 24">
          <a:extLst>
            <a:ext uri="{FF2B5EF4-FFF2-40B4-BE49-F238E27FC236}">
              <a16:creationId xmlns:a16="http://schemas.microsoft.com/office/drawing/2014/main" id="{C5669EF4-7996-4627-9922-2656DE366755}"/>
            </a:ext>
          </a:extLst>
        </xdr:cNvPr>
        <xdr:cNvSpPr/>
      </xdr:nvSpPr>
      <xdr:spPr>
        <a:xfrm>
          <a:off x="21625042" y="2378825"/>
          <a:ext cx="3121949" cy="881149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Set Graphs Colour </a:t>
          </a:r>
          <a:r>
            <a:rPr lang="en-IN" sz="2400" b="1" kern="1200" baseline="0">
              <a:solidFill>
                <a:sysClr val="windowText" lastClr="000000"/>
              </a:solidFill>
            </a:rPr>
            <a:t>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321253</xdr:rowOff>
    </xdr:from>
    <xdr:to>
      <xdr:col>4</xdr:col>
      <xdr:colOff>2346442</xdr:colOff>
      <xdr:row>26</xdr:row>
      <xdr:rowOff>171106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BF26256-5FD2-4D2D-BA94-E502CB554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320470</xdr:colOff>
      <xdr:row>8</xdr:row>
      <xdr:rowOff>213099</xdr:rowOff>
    </xdr:from>
    <xdr:to>
      <xdr:col>10</xdr:col>
      <xdr:colOff>1583486</xdr:colOff>
      <xdr:row>26</xdr:row>
      <xdr:rowOff>74382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EB6877-2C0E-4E84-9583-3EABE506DA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545677</xdr:colOff>
      <xdr:row>4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28537E0-7F17-4972-9779-2D041BD4A7A9}"/>
            </a:ext>
          </a:extLst>
        </xdr:cNvPr>
        <xdr:cNvGrpSpPr/>
      </xdr:nvGrpSpPr>
      <xdr:grpSpPr>
        <a:xfrm>
          <a:off x="0" y="0"/>
          <a:ext cx="57283851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86FCD65D-8F18-DBDC-70F0-AFAD19D5EFFD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550CDA9B-8947-FB85-E2B9-5928D25E5733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F2ABA81-9C9F-5E5F-DC9D-3D20EBE3E8CE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8" name="Graphic 7" descr="Daily calendar with solid fill">
              <a:extLst>
                <a:ext uri="{FF2B5EF4-FFF2-40B4-BE49-F238E27FC236}">
                  <a16:creationId xmlns:a16="http://schemas.microsoft.com/office/drawing/2014/main" id="{DA9A0849-A5EA-2CDE-8CCD-B3DBBE449A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3B2C604C-3D8C-BF2D-4B90-C2EB1FDF52DA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5</xdr:col>
      <xdr:colOff>434686</xdr:colOff>
      <xdr:row>33</xdr:row>
      <xdr:rowOff>133350</xdr:rowOff>
    </xdr:from>
    <xdr:to>
      <xdr:col>5</xdr:col>
      <xdr:colOff>1348741</xdr:colOff>
      <xdr:row>36</xdr:row>
      <xdr:rowOff>248078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E459FB11-BE47-41D1-8D3D-28544EE1328B}"/>
            </a:ext>
          </a:extLst>
        </xdr:cNvPr>
        <xdr:cNvSpPr/>
      </xdr:nvSpPr>
      <xdr:spPr>
        <a:xfrm>
          <a:off x="10942666" y="10328910"/>
          <a:ext cx="914055" cy="1051988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58190</xdr:colOff>
      <xdr:row>37</xdr:row>
      <xdr:rowOff>97289</xdr:rowOff>
    </xdr:from>
    <xdr:to>
      <xdr:col>5</xdr:col>
      <xdr:colOff>1468410</xdr:colOff>
      <xdr:row>41</xdr:row>
      <xdr:rowOff>213186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2993455-86C3-4B3E-B2A8-0BBCCE97F847}"/>
            </a:ext>
          </a:extLst>
        </xdr:cNvPr>
        <xdr:cNvSpPr txBox="1"/>
      </xdr:nvSpPr>
      <xdr:spPr>
        <a:xfrm>
          <a:off x="10566170" y="11542529"/>
          <a:ext cx="1410220" cy="1365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5</xdr:col>
      <xdr:colOff>668220</xdr:colOff>
      <xdr:row>12</xdr:row>
      <xdr:rowOff>282113</xdr:rowOff>
    </xdr:from>
    <xdr:to>
      <xdr:col>6</xdr:col>
      <xdr:colOff>1787582</xdr:colOff>
      <xdr:row>16</xdr:row>
      <xdr:rowOff>91783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99599745-D74E-4278-92CA-DB85A2D8C563}"/>
            </a:ext>
          </a:extLst>
        </xdr:cNvPr>
        <xdr:cNvSpPr/>
      </xdr:nvSpPr>
      <xdr:spPr>
        <a:xfrm>
          <a:off x="11176200" y="3916853"/>
          <a:ext cx="2734802" cy="105935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5</xdr:col>
      <xdr:colOff>479973</xdr:colOff>
      <xdr:row>17</xdr:row>
      <xdr:rowOff>38408</xdr:rowOff>
    </xdr:from>
    <xdr:to>
      <xdr:col>6</xdr:col>
      <xdr:colOff>1849062</xdr:colOff>
      <xdr:row>22</xdr:row>
      <xdr:rowOff>170758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CFC9694-A829-4E24-8F9B-96CA182FEEB0}"/>
            </a:ext>
          </a:extLst>
        </xdr:cNvPr>
        <xdr:cNvSpPr txBox="1"/>
      </xdr:nvSpPr>
      <xdr:spPr>
        <a:xfrm>
          <a:off x="10987953" y="5235248"/>
          <a:ext cx="2984529" cy="1694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23</xdr:col>
      <xdr:colOff>1369574</xdr:colOff>
      <xdr:row>8</xdr:row>
      <xdr:rowOff>683203</xdr:rowOff>
    </xdr:from>
    <xdr:to>
      <xdr:col>28</xdr:col>
      <xdr:colOff>97930</xdr:colOff>
      <xdr:row>27</xdr:row>
      <xdr:rowOff>243840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80955A3-DCB3-4D5D-AEB2-61DA070B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21</xdr:col>
      <xdr:colOff>28863</xdr:colOff>
      <xdr:row>11</xdr:row>
      <xdr:rowOff>304290</xdr:rowOff>
    </xdr:from>
    <xdr:to>
      <xdr:col>23</xdr:col>
      <xdr:colOff>1615766</xdr:colOff>
      <xdr:row>24</xdr:row>
      <xdr:rowOff>263582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E79003E-1C91-4292-92DE-FA0632412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</xdr:col>
      <xdr:colOff>1392555</xdr:colOff>
      <xdr:row>47</xdr:row>
      <xdr:rowOff>228167</xdr:rowOff>
    </xdr:from>
    <xdr:to>
      <xdr:col>8</xdr:col>
      <xdr:colOff>1126809</xdr:colOff>
      <xdr:row>60</xdr:row>
      <xdr:rowOff>93865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BE09C47-255A-4BE6-9A58-E014B9558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20</xdr:col>
      <xdr:colOff>1879344</xdr:colOff>
      <xdr:row>47</xdr:row>
      <xdr:rowOff>152658</xdr:rowOff>
    </xdr:from>
    <xdr:to>
      <xdr:col>26</xdr:col>
      <xdr:colOff>1067286</xdr:colOff>
      <xdr:row>60</xdr:row>
      <xdr:rowOff>18095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FC67DEC-F015-4AC3-8220-9F53A7E42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511754</xdr:colOff>
      <xdr:row>8</xdr:row>
      <xdr:rowOff>359872</xdr:rowOff>
    </xdr:from>
    <xdr:to>
      <xdr:col>2</xdr:col>
      <xdr:colOff>1046885</xdr:colOff>
      <xdr:row>9</xdr:row>
      <xdr:rowOff>325062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1D8FCB8F-E590-4712-ADAF-68B1683817D8}"/>
            </a:ext>
          </a:extLst>
        </xdr:cNvPr>
        <xdr:cNvSpPr txBox="1"/>
      </xdr:nvSpPr>
      <xdr:spPr>
        <a:xfrm>
          <a:off x="1121354" y="2226772"/>
          <a:ext cx="3545031" cy="72719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Current Market Share</a:t>
          </a:r>
        </a:p>
      </xdr:txBody>
    </xdr:sp>
    <xdr:clientData/>
  </xdr:twoCellAnchor>
  <xdr:twoCellAnchor editAs="absolute">
    <xdr:from>
      <xdr:col>6</xdr:col>
      <xdr:colOff>284884</xdr:colOff>
      <xdr:row>8</xdr:row>
      <xdr:rowOff>479020</xdr:rowOff>
    </xdr:from>
    <xdr:to>
      <xdr:col>7</xdr:col>
      <xdr:colOff>1196859</xdr:colOff>
      <xdr:row>10</xdr:row>
      <xdr:rowOff>36540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D5FEE23F-6022-4E0B-A5EE-CC3CAC2E0F09}"/>
            </a:ext>
          </a:extLst>
        </xdr:cNvPr>
        <xdr:cNvSpPr txBox="1"/>
      </xdr:nvSpPr>
      <xdr:spPr>
        <a:xfrm>
          <a:off x="12408304" y="2345920"/>
          <a:ext cx="3205595" cy="7005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Projected Market Share</a:t>
          </a:r>
        </a:p>
      </xdr:txBody>
    </xdr:sp>
    <xdr:clientData/>
  </xdr:twoCellAnchor>
  <xdr:twoCellAnchor editAs="absolute">
    <xdr:from>
      <xdr:col>4</xdr:col>
      <xdr:colOff>2022416</xdr:colOff>
      <xdr:row>44</xdr:row>
      <xdr:rowOff>225138</xdr:rowOff>
    </xdr:from>
    <xdr:to>
      <xdr:col>6</xdr:col>
      <xdr:colOff>1202745</xdr:colOff>
      <xdr:row>46</xdr:row>
      <xdr:rowOff>117418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F2CE172-8A40-4E50-AF72-C7EE618A127B}"/>
            </a:ext>
          </a:extLst>
        </xdr:cNvPr>
        <xdr:cNvSpPr txBox="1"/>
      </xdr:nvSpPr>
      <xdr:spPr>
        <a:xfrm>
          <a:off x="10137716" y="13857318"/>
          <a:ext cx="3188449" cy="5171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22</xdr:col>
      <xdr:colOff>1470141</xdr:colOff>
      <xdr:row>44</xdr:row>
      <xdr:rowOff>225137</xdr:rowOff>
    </xdr:from>
    <xdr:to>
      <xdr:col>24</xdr:col>
      <xdr:colOff>343305</xdr:colOff>
      <xdr:row>46</xdr:row>
      <xdr:rowOff>115512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6B80260E-9301-4D3F-B9D8-26771DB48FCE}"/>
            </a:ext>
          </a:extLst>
        </xdr:cNvPr>
        <xdr:cNvSpPr txBox="1"/>
      </xdr:nvSpPr>
      <xdr:spPr>
        <a:xfrm>
          <a:off x="45635661" y="13857317"/>
          <a:ext cx="3178464" cy="51521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23</xdr:col>
      <xdr:colOff>1692486</xdr:colOff>
      <xdr:row>8</xdr:row>
      <xdr:rowOff>419619</xdr:rowOff>
    </xdr:from>
    <xdr:to>
      <xdr:col>25</xdr:col>
      <xdr:colOff>1105476</xdr:colOff>
      <xdr:row>9</xdr:row>
      <xdr:rowOff>379094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CB779F55-0953-4B6B-9E10-B099ED28AEDF}"/>
            </a:ext>
          </a:extLst>
        </xdr:cNvPr>
        <xdr:cNvSpPr txBox="1"/>
      </xdr:nvSpPr>
      <xdr:spPr>
        <a:xfrm>
          <a:off x="48145911" y="2286519"/>
          <a:ext cx="3442065" cy="7214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</a:t>
          </a:r>
        </a:p>
      </xdr:txBody>
    </xdr:sp>
    <xdr:clientData/>
  </xdr:twoCellAnchor>
  <xdr:twoCellAnchor editAs="absolute">
    <xdr:from>
      <xdr:col>21</xdr:col>
      <xdr:colOff>10717</xdr:colOff>
      <xdr:row>8</xdr:row>
      <xdr:rowOff>419446</xdr:rowOff>
    </xdr:from>
    <xdr:to>
      <xdr:col>22</xdr:col>
      <xdr:colOff>1506853</xdr:colOff>
      <xdr:row>9</xdr:row>
      <xdr:rowOff>365586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C070D42-72EF-44A1-8771-C66686D4045A}"/>
            </a:ext>
          </a:extLst>
        </xdr:cNvPr>
        <xdr:cNvSpPr txBox="1"/>
      </xdr:nvSpPr>
      <xdr:spPr>
        <a:xfrm>
          <a:off x="41028138" y="2286346"/>
          <a:ext cx="4644235" cy="7081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Market Share Potential</a:t>
          </a:r>
        </a:p>
      </xdr:txBody>
    </xdr:sp>
    <xdr:clientData/>
  </xdr:twoCellAnchor>
  <xdr:twoCellAnchor editAs="absolute">
    <xdr:from>
      <xdr:col>17</xdr:col>
      <xdr:colOff>1160338</xdr:colOff>
      <xdr:row>8</xdr:row>
      <xdr:rowOff>173009</xdr:rowOff>
    </xdr:from>
    <xdr:to>
      <xdr:col>18</xdr:col>
      <xdr:colOff>1917622</xdr:colOff>
      <xdr:row>8</xdr:row>
      <xdr:rowOff>688745</xdr:rowOff>
    </xdr:to>
    <xdr:sp macro="[0]!Price_Reset_Iceland" textlink="">
      <xdr:nvSpPr>
        <xdr:cNvPr id="23" name="Rectangle 22">
          <a:extLst>
            <a:ext uri="{FF2B5EF4-FFF2-40B4-BE49-F238E27FC236}">
              <a16:creationId xmlns:a16="http://schemas.microsoft.com/office/drawing/2014/main" id="{4852F84F-4183-4E87-9545-8BE5FAC72B7C}"/>
            </a:ext>
          </a:extLst>
        </xdr:cNvPr>
        <xdr:cNvSpPr/>
      </xdr:nvSpPr>
      <xdr:spPr>
        <a:xfrm>
          <a:off x="33484378" y="2039909"/>
          <a:ext cx="3123294" cy="51573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600364</xdr:colOff>
      <xdr:row>22</xdr:row>
      <xdr:rowOff>16928</xdr:rowOff>
    </xdr:from>
    <xdr:to>
      <xdr:col>17</xdr:col>
      <xdr:colOff>1877446</xdr:colOff>
      <xdr:row>24</xdr:row>
      <xdr:rowOff>267003</xdr:rowOff>
    </xdr:to>
    <xdr:sp macro="[0]!Financials_Reset_Iceland" textlink="">
      <xdr:nvSpPr>
        <xdr:cNvPr id="24" name="Rectangle 23">
          <a:extLst>
            <a:ext uri="{FF2B5EF4-FFF2-40B4-BE49-F238E27FC236}">
              <a16:creationId xmlns:a16="http://schemas.microsoft.com/office/drawing/2014/main" id="{FBF7B845-B9A2-4022-A9D1-12261F7E9072}"/>
            </a:ext>
          </a:extLst>
        </xdr:cNvPr>
        <xdr:cNvSpPr/>
      </xdr:nvSpPr>
      <xdr:spPr>
        <a:xfrm>
          <a:off x="31076554" y="6775868"/>
          <a:ext cx="3113502" cy="87491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10</xdr:col>
      <xdr:colOff>1660642</xdr:colOff>
      <xdr:row>8</xdr:row>
      <xdr:rowOff>511925</xdr:rowOff>
    </xdr:from>
    <xdr:to>
      <xdr:col>13</xdr:col>
      <xdr:colOff>477291</xdr:colOff>
      <xdr:row>10</xdr:row>
      <xdr:rowOff>250074</xdr:rowOff>
    </xdr:to>
    <xdr:sp macro="[0]!ApplyColorsToAllCharts_Iceland" textlink="">
      <xdr:nvSpPr>
        <xdr:cNvPr id="25" name="Rectangle 24">
          <a:extLst>
            <a:ext uri="{FF2B5EF4-FFF2-40B4-BE49-F238E27FC236}">
              <a16:creationId xmlns:a16="http://schemas.microsoft.com/office/drawing/2014/main" id="{F5530F1F-0A67-454D-AF7E-0B74423A550C}"/>
            </a:ext>
          </a:extLst>
        </xdr:cNvPr>
        <xdr:cNvSpPr/>
      </xdr:nvSpPr>
      <xdr:spPr>
        <a:xfrm>
          <a:off x="21625042" y="2378825"/>
          <a:ext cx="3121949" cy="881149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Set Graphs Colour </a:t>
          </a:r>
          <a:r>
            <a:rPr lang="en-IN" sz="2400" b="1" kern="1200" baseline="0">
              <a:solidFill>
                <a:sysClr val="windowText" lastClr="000000"/>
              </a:solidFill>
            </a:rPr>
            <a:t>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762000</xdr:colOff>
      <xdr:row>8</xdr:row>
      <xdr:rowOff>321253</xdr:rowOff>
    </xdr:from>
    <xdr:to>
      <xdr:col>4</xdr:col>
      <xdr:colOff>2346442</xdr:colOff>
      <xdr:row>26</xdr:row>
      <xdr:rowOff>171106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6FA05D5-02C0-442D-BCB8-98DA6B085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23</xdr:col>
      <xdr:colOff>1717964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5E648E2-FEF4-4A25-AA8D-D0BC2080308F}"/>
            </a:ext>
          </a:extLst>
        </xdr:cNvPr>
        <xdr:cNvGrpSpPr/>
      </xdr:nvGrpSpPr>
      <xdr:grpSpPr>
        <a:xfrm>
          <a:off x="1" y="0"/>
          <a:ext cx="48130690" cy="692727"/>
          <a:chOff x="380999" y="53072"/>
          <a:chExt cx="34077884" cy="818716"/>
        </a:xfrm>
        <a:solidFill>
          <a:srgbClr val="388087"/>
        </a:solidFill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399FF226-286D-2B63-F2C6-25601BD27B23}"/>
              </a:ext>
            </a:extLst>
          </xdr:cNvPr>
          <xdr:cNvGrpSpPr/>
        </xdr:nvGrpSpPr>
        <xdr:grpSpPr>
          <a:xfrm>
            <a:off x="380999" y="53072"/>
            <a:ext cx="34077884" cy="818716"/>
            <a:chOff x="380999" y="53072"/>
            <a:chExt cx="34077884" cy="818716"/>
          </a:xfrm>
          <a:grpFill/>
        </xdr:grpSpPr>
        <xdr:sp macro="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C620F61A-289A-7C3E-514B-DDFF6B8CF9CB}"/>
                </a:ext>
              </a:extLst>
            </xdr:cNvPr>
            <xdr:cNvSpPr/>
          </xdr:nvSpPr>
          <xdr:spPr>
            <a:xfrm>
              <a:off x="380999" y="72571"/>
              <a:ext cx="34077884" cy="799217"/>
            </a:xfrm>
            <a:prstGeom prst="roundRect">
              <a:avLst>
                <a:gd name="adj" fmla="val 48334"/>
              </a:avLst>
            </a:prstGeom>
            <a:grpFill/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36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Strategic Scenario Planner 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37E6F853-02AB-B029-6B30-12A0492AD4AF}"/>
                </a:ext>
              </a:extLst>
            </xdr:cNvPr>
            <xdr:cNvSpPr txBox="1"/>
          </xdr:nvSpPr>
          <xdr:spPr>
            <a:xfrm>
              <a:off x="893428" y="149629"/>
              <a:ext cx="3510644" cy="468818"/>
            </a:xfrm>
            <a:prstGeom prst="rect">
              <a:avLst/>
            </a:prstGeom>
            <a:grp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Period</a:t>
              </a:r>
              <a:r>
                <a:rPr kumimoji="0" lang="en-IN" sz="24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 Last 12 Months</a:t>
              </a:r>
            </a:p>
          </xdr:txBody>
        </xdr:sp>
        <xdr:pic>
          <xdr:nvPicPr>
            <xdr:cNvPr id="7" name="Graphic 6" descr="Daily calendar with solid fill">
              <a:extLst>
                <a:ext uri="{FF2B5EF4-FFF2-40B4-BE49-F238E27FC236}">
                  <a16:creationId xmlns:a16="http://schemas.microsoft.com/office/drawing/2014/main" id="{8D9BF8E1-5AAB-3731-816F-05667E1582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34999" y="53072"/>
              <a:ext cx="574068" cy="568833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74CFE4F-5114-65C7-CE93-3CE24C2DDECD}"/>
              </a:ext>
            </a:extLst>
          </xdr:cNvPr>
          <xdr:cNvSpPr txBox="1"/>
        </xdr:nvSpPr>
        <xdr:spPr>
          <a:xfrm>
            <a:off x="23059063" y="173161"/>
            <a:ext cx="9047843" cy="521841"/>
          </a:xfrm>
          <a:prstGeom prst="rect">
            <a:avLst/>
          </a:prstGeom>
          <a:grp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2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Directions to Use</a:t>
            </a:r>
            <a:r>
              <a:rPr kumimoji="0" lang="en-IN" sz="2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: Please provide inputs in the cells highlighted below</a:t>
            </a:r>
          </a:p>
        </xdr:txBody>
      </xdr:sp>
    </xdr:grpSp>
    <xdr:clientData/>
  </xdr:twoCellAnchor>
  <xdr:twoCellAnchor editAs="absolute">
    <xdr:from>
      <xdr:col>4</xdr:col>
      <xdr:colOff>927908</xdr:colOff>
      <xdr:row>12</xdr:row>
      <xdr:rowOff>77932</xdr:rowOff>
    </xdr:from>
    <xdr:to>
      <xdr:col>4</xdr:col>
      <xdr:colOff>1841963</xdr:colOff>
      <xdr:row>15</xdr:row>
      <xdr:rowOff>178806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4B301386-AADC-4EEB-B349-E28FD48FBBB5}"/>
            </a:ext>
          </a:extLst>
        </xdr:cNvPr>
        <xdr:cNvSpPr/>
      </xdr:nvSpPr>
      <xdr:spPr>
        <a:xfrm>
          <a:off x="9043208" y="3712672"/>
          <a:ext cx="914055" cy="1038134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4</xdr:col>
      <xdr:colOff>551412</xdr:colOff>
      <xdr:row>16</xdr:row>
      <xdr:rowOff>41872</xdr:rowOff>
    </xdr:from>
    <xdr:to>
      <xdr:col>4</xdr:col>
      <xdr:colOff>1961632</xdr:colOff>
      <xdr:row>20</xdr:row>
      <xdr:rowOff>157769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C851D7B-9106-4888-82AC-CAD08490D0CA}"/>
            </a:ext>
          </a:extLst>
        </xdr:cNvPr>
        <xdr:cNvSpPr txBox="1"/>
      </xdr:nvSpPr>
      <xdr:spPr>
        <a:xfrm>
          <a:off x="8666712" y="4926292"/>
          <a:ext cx="1410220" cy="1365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800" b="1" i="1"/>
            <a:t>if market</a:t>
          </a:r>
          <a:r>
            <a:rPr lang="en-IN" sz="1800" b="1" i="1" baseline="0"/>
            <a:t> conditions remain constant</a:t>
          </a:r>
          <a:endParaRPr lang="en-IN" sz="1800" b="1" i="1"/>
        </a:p>
      </xdr:txBody>
    </xdr:sp>
    <xdr:clientData/>
  </xdr:twoCellAnchor>
  <xdr:twoCellAnchor editAs="absolute">
    <xdr:from>
      <xdr:col>1</xdr:col>
      <xdr:colOff>1788795</xdr:colOff>
      <xdr:row>25</xdr:row>
      <xdr:rowOff>75768</xdr:rowOff>
    </xdr:from>
    <xdr:to>
      <xdr:col>7</xdr:col>
      <xdr:colOff>273369</xdr:colOff>
      <xdr:row>29</xdr:row>
      <xdr:rowOff>13856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7DBBB35-199E-4CB5-866D-8F8D08C77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2088895</xdr:colOff>
      <xdr:row>25</xdr:row>
      <xdr:rowOff>61219</xdr:rowOff>
    </xdr:from>
    <xdr:to>
      <xdr:col>23</xdr:col>
      <xdr:colOff>1200291</xdr:colOff>
      <xdr:row>28</xdr:row>
      <xdr:rowOff>108067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0DCE115-EFB6-4440-9FAD-A9C3E4755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1595696</xdr:colOff>
      <xdr:row>22</xdr:row>
      <xdr:rowOff>72738</xdr:rowOff>
    </xdr:from>
    <xdr:to>
      <xdr:col>5</xdr:col>
      <xdr:colOff>196905</xdr:colOff>
      <xdr:row>23</xdr:row>
      <xdr:rowOff>269818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826D596-26B6-4494-9A71-EE736B555D31}"/>
            </a:ext>
          </a:extLst>
        </xdr:cNvPr>
        <xdr:cNvSpPr txBox="1"/>
      </xdr:nvSpPr>
      <xdr:spPr>
        <a:xfrm>
          <a:off x="7508816" y="6831678"/>
          <a:ext cx="3196069" cy="5095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Initial CSF</a:t>
          </a:r>
        </a:p>
      </xdr:txBody>
    </xdr:sp>
    <xdr:clientData/>
  </xdr:twoCellAnchor>
  <xdr:twoCellAnchor editAs="absolute">
    <xdr:from>
      <xdr:col>19</xdr:col>
      <xdr:colOff>658264</xdr:colOff>
      <xdr:row>22</xdr:row>
      <xdr:rowOff>161406</xdr:rowOff>
    </xdr:from>
    <xdr:to>
      <xdr:col>20</xdr:col>
      <xdr:colOff>1526483</xdr:colOff>
      <xdr:row>24</xdr:row>
      <xdr:rowOff>65636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B9AA43F-03D9-40C5-99DC-95E22F7F4882}"/>
            </a:ext>
          </a:extLst>
        </xdr:cNvPr>
        <xdr:cNvSpPr txBox="1"/>
      </xdr:nvSpPr>
      <xdr:spPr>
        <a:xfrm>
          <a:off x="38651584" y="6920346"/>
          <a:ext cx="3161839" cy="52907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kern="1200"/>
            <a:t>Simulated CSF</a:t>
          </a:r>
        </a:p>
      </xdr:txBody>
    </xdr:sp>
    <xdr:clientData/>
  </xdr:twoCellAnchor>
  <xdr:twoCellAnchor editAs="absolute">
    <xdr:from>
      <xdr:col>14</xdr:col>
      <xdr:colOff>1464444</xdr:colOff>
      <xdr:row>8</xdr:row>
      <xdr:rowOff>186864</xdr:rowOff>
    </xdr:from>
    <xdr:to>
      <xdr:col>16</xdr:col>
      <xdr:colOff>101636</xdr:colOff>
      <xdr:row>8</xdr:row>
      <xdr:rowOff>702600</xdr:rowOff>
    </xdr:to>
    <xdr:sp macro="[0]!Price_Reset_Con" textlink="">
      <xdr:nvSpPr>
        <xdr:cNvPr id="14" name="Rectangle 13">
          <a:extLst>
            <a:ext uri="{FF2B5EF4-FFF2-40B4-BE49-F238E27FC236}">
              <a16:creationId xmlns:a16="http://schemas.microsoft.com/office/drawing/2014/main" id="{1E2D341B-194D-49DB-8BE5-2F482E1AD2DA}"/>
            </a:ext>
          </a:extLst>
        </xdr:cNvPr>
        <xdr:cNvSpPr/>
      </xdr:nvSpPr>
      <xdr:spPr>
        <a:xfrm>
          <a:off x="27608664" y="2053764"/>
          <a:ext cx="3125372" cy="51573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Price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659593</xdr:colOff>
      <xdr:row>16</xdr:row>
      <xdr:rowOff>3073</xdr:rowOff>
    </xdr:from>
    <xdr:to>
      <xdr:col>14</xdr:col>
      <xdr:colOff>1948452</xdr:colOff>
      <xdr:row>18</xdr:row>
      <xdr:rowOff>253149</xdr:rowOff>
    </xdr:to>
    <xdr:sp macro="[0]!Financials_Reset_Con" textlink="">
      <xdr:nvSpPr>
        <xdr:cNvPr id="15" name="Rectangle 14">
          <a:extLst>
            <a:ext uri="{FF2B5EF4-FFF2-40B4-BE49-F238E27FC236}">
              <a16:creationId xmlns:a16="http://schemas.microsoft.com/office/drawing/2014/main" id="{CB22BA80-E76E-4217-9BAD-B50D8D807227}"/>
            </a:ext>
          </a:extLst>
        </xdr:cNvPr>
        <xdr:cNvSpPr/>
      </xdr:nvSpPr>
      <xdr:spPr>
        <a:xfrm>
          <a:off x="24959773" y="4887493"/>
          <a:ext cx="3132899" cy="874916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kern="1200">
              <a:solidFill>
                <a:sysClr val="windowText" lastClr="000000"/>
              </a:solidFill>
            </a:rPr>
            <a:t>Financials</a:t>
          </a:r>
          <a:r>
            <a:rPr lang="en-IN" sz="2400" b="1" kern="1200" baseline="0">
              <a:solidFill>
                <a:sysClr val="windowText" lastClr="000000"/>
              </a:solidFill>
            </a:rPr>
            <a:t> Reset Button</a:t>
          </a:r>
          <a:endParaRPr lang="en-IN" sz="24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FCD4A-814E-4BA7-9734-FE417110CDC8}">
  <sheetPr codeName="Sheet1"/>
  <dimension ref="B1:Z200"/>
  <sheetViews>
    <sheetView workbookViewId="0">
      <selection activeCell="A3" sqref="A3"/>
    </sheetView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4.21875" bestFit="1" customWidth="1"/>
    <col min="6" max="6" width="15.88671875" bestFit="1" customWidth="1"/>
    <col min="7" max="9" width="14.33203125" bestFit="1" customWidth="1"/>
    <col min="10" max="10" width="16.88671875" bestFit="1" customWidth="1"/>
    <col min="11" max="11" width="15.88671875" bestFit="1" customWidth="1"/>
    <col min="16" max="16" width="8" bestFit="1" customWidth="1"/>
    <col min="17" max="17" width="19.33203125" bestFit="1" customWidth="1"/>
    <col min="18" max="18" width="15.88671875" bestFit="1" customWidth="1"/>
    <col min="19" max="21" width="14.33203125" bestFit="1" customWidth="1"/>
    <col min="22" max="22" width="16.88671875" bestFit="1" customWidth="1"/>
    <col min="23" max="23" width="15.88671875" bestFit="1" customWidth="1"/>
    <col min="25" max="25" width="21.6640625" bestFit="1" customWidth="1"/>
    <col min="26" max="26" width="15.44140625" bestFit="1" customWidth="1"/>
  </cols>
  <sheetData>
    <row r="1" spans="2:26" ht="18" x14ac:dyDescent="0.35">
      <c r="B1" s="112" t="s">
        <v>84</v>
      </c>
      <c r="O1" s="112" t="s">
        <v>85</v>
      </c>
    </row>
    <row r="2" spans="2:26" x14ac:dyDescent="0.3">
      <c r="B2" t="s">
        <v>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1"/>
      <c r="M2" t="s">
        <v>33</v>
      </c>
      <c r="O2" t="s">
        <v>9</v>
      </c>
      <c r="P2" s="1" t="s">
        <v>0</v>
      </c>
      <c r="Q2" s="1" t="s">
        <v>1</v>
      </c>
      <c r="R2" s="1" t="s">
        <v>3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Y2" t="s">
        <v>81</v>
      </c>
      <c r="Z2" t="s">
        <v>82</v>
      </c>
    </row>
    <row r="3" spans="2:26" x14ac:dyDescent="0.3">
      <c r="B3" s="2" t="str">
        <f>C3&amp;D3&amp;E3</f>
        <v>SupermarketDADDIESmedium</v>
      </c>
      <c r="C3" s="1" t="s">
        <v>105</v>
      </c>
      <c r="D3" s="1" t="s">
        <v>106</v>
      </c>
      <c r="E3" s="1" t="s">
        <v>119</v>
      </c>
      <c r="F3" s="110">
        <v>3927345.46</v>
      </c>
      <c r="G3" s="110">
        <v>926174.4</v>
      </c>
      <c r="H3" s="111">
        <v>2.1161777971043398</v>
      </c>
      <c r="I3" s="111">
        <v>8.9734301272098804</v>
      </c>
      <c r="J3" s="110">
        <v>9307987.2300000004</v>
      </c>
      <c r="K3" s="110">
        <v>2305904.7999999998</v>
      </c>
      <c r="M3" s="28">
        <v>11.16717485</v>
      </c>
      <c r="O3" s="2" t="str">
        <f>P3&amp;Q3</f>
        <v>SupermarketDADDIES</v>
      </c>
      <c r="P3" s="1" t="s">
        <v>105</v>
      </c>
      <c r="Q3" s="1" t="s">
        <v>106</v>
      </c>
      <c r="R3" s="110">
        <v>3988962.95</v>
      </c>
      <c r="S3" s="110">
        <v>943062.96499999997</v>
      </c>
      <c r="T3" s="111">
        <v>2.1158858934758502</v>
      </c>
      <c r="U3" s="111">
        <v>8.9497634291076196</v>
      </c>
      <c r="V3" s="110">
        <v>11661168.24</v>
      </c>
      <c r="W3" s="110">
        <v>3126997.59</v>
      </c>
      <c r="Y3" t="str" cm="1">
        <f t="array" ref="Y3:Y8">_xlfn.UNIQUE($Q$3:$Q$200)</f>
        <v>DADDIES</v>
      </c>
      <c r="Z3" s="103">
        <v>2</v>
      </c>
    </row>
    <row r="4" spans="2:26" x14ac:dyDescent="0.3">
      <c r="B4" s="2" t="str">
        <f t="shared" ref="B4:B67" si="0">C4&amp;D4&amp;E4</f>
        <v>SupermarketDADDIESlarge</v>
      </c>
      <c r="C4" s="1" t="s">
        <v>105</v>
      </c>
      <c r="D4" s="1" t="s">
        <v>106</v>
      </c>
      <c r="E4" s="1" t="s">
        <v>120</v>
      </c>
      <c r="F4" s="110">
        <v>61617.49</v>
      </c>
      <c r="G4" s="110">
        <v>16888.564999999999</v>
      </c>
      <c r="H4" s="111">
        <v>2.0972806826805499</v>
      </c>
      <c r="I4" s="111">
        <v>7.6518740042307796</v>
      </c>
      <c r="J4" s="110">
        <v>2353181.0099999998</v>
      </c>
      <c r="K4" s="110">
        <v>821092.79</v>
      </c>
      <c r="O4" s="2" t="str">
        <f t="shared" ref="O4:O67" si="1">P4&amp;Q4</f>
        <v>SupermarketPRIVATE LABEL</v>
      </c>
      <c r="P4" s="1" t="s">
        <v>105</v>
      </c>
      <c r="Q4" s="1" t="s">
        <v>108</v>
      </c>
      <c r="R4" s="110">
        <v>3671351.47</v>
      </c>
      <c r="S4" s="110">
        <v>1616354.925</v>
      </c>
      <c r="T4" s="111">
        <v>2.3001533249041102</v>
      </c>
      <c r="U4" s="111">
        <v>5.2245154575886801</v>
      </c>
      <c r="V4" s="110">
        <v>9951986.6300000008</v>
      </c>
      <c r="W4" s="110">
        <v>4829466.46</v>
      </c>
      <c r="Y4" t="str">
        <v>PRIVATE LABEL</v>
      </c>
      <c r="Z4" s="103">
        <v>3</v>
      </c>
    </row>
    <row r="5" spans="2:26" x14ac:dyDescent="0.3">
      <c r="B5" s="2" t="str">
        <f t="shared" si="0"/>
        <v>SupermarketPRIVATE LABELmedium</v>
      </c>
      <c r="C5" s="1" t="s">
        <v>105</v>
      </c>
      <c r="D5" s="1" t="s">
        <v>108</v>
      </c>
      <c r="E5" s="1" t="s">
        <v>119</v>
      </c>
      <c r="F5" s="110">
        <v>3671303.34</v>
      </c>
      <c r="G5" s="110">
        <v>1616331.7949999999</v>
      </c>
      <c r="H5" s="111">
        <v>2.3001554114112999</v>
      </c>
      <c r="I5" s="111">
        <v>5.2245264682387704</v>
      </c>
      <c r="J5" s="110">
        <v>9417271.6300000008</v>
      </c>
      <c r="K5" s="110">
        <v>4507004.78</v>
      </c>
      <c r="O5" s="2" t="str">
        <f t="shared" si="1"/>
        <v>SupermarketRESTOFCATEGORY</v>
      </c>
      <c r="P5" s="1" t="s">
        <v>105</v>
      </c>
      <c r="Q5" s="1" t="s">
        <v>109</v>
      </c>
      <c r="R5" s="110">
        <v>694668.05</v>
      </c>
      <c r="S5" s="110">
        <v>264991.76699999999</v>
      </c>
      <c r="T5" s="111">
        <v>2.1247371826768</v>
      </c>
      <c r="U5" s="111">
        <v>5.5699354442682898</v>
      </c>
      <c r="V5" s="110">
        <v>1949659.42</v>
      </c>
      <c r="W5" s="110">
        <v>763953.005</v>
      </c>
      <c r="Y5" t="str">
        <v>RESTOFCATEGORY</v>
      </c>
      <c r="Z5" s="103">
        <v>5</v>
      </c>
    </row>
    <row r="6" spans="2:26" x14ac:dyDescent="0.3">
      <c r="B6" s="2" t="str">
        <f t="shared" si="0"/>
        <v>SupermarketPRIVATE LABELlarge</v>
      </c>
      <c r="C6" s="1" t="s">
        <v>105</v>
      </c>
      <c r="D6" s="1" t="s">
        <v>108</v>
      </c>
      <c r="E6" s="1" t="s">
        <v>120</v>
      </c>
      <c r="F6" s="110">
        <v>48.13</v>
      </c>
      <c r="G6" s="110">
        <v>23.13</v>
      </c>
      <c r="H6" s="111">
        <v>2.1409968565904398</v>
      </c>
      <c r="I6" s="111">
        <v>4.4550877089363503</v>
      </c>
      <c r="J6" s="110">
        <v>534715</v>
      </c>
      <c r="K6" s="110">
        <v>322461.68</v>
      </c>
      <c r="O6" s="2" t="str">
        <f t="shared" si="1"/>
        <v>SupermarketBRANSTON</v>
      </c>
      <c r="P6" s="1" t="s">
        <v>105</v>
      </c>
      <c r="Q6" s="1" t="s">
        <v>110</v>
      </c>
      <c r="R6" s="110">
        <v>552606.5</v>
      </c>
      <c r="S6" s="110">
        <v>123171.325</v>
      </c>
      <c r="T6" s="111">
        <v>2.1556060500852601</v>
      </c>
      <c r="U6" s="111">
        <v>9.6710976740441907</v>
      </c>
      <c r="V6" s="110">
        <v>1658346.19</v>
      </c>
      <c r="W6" s="110">
        <v>409523.85</v>
      </c>
      <c r="Y6" t="str">
        <v>BRANSTON</v>
      </c>
      <c r="Z6" s="103">
        <v>4</v>
      </c>
    </row>
    <row r="7" spans="2:26" x14ac:dyDescent="0.3">
      <c r="B7" s="2" t="str">
        <f t="shared" si="0"/>
        <v>SupermarketRESTOFCATEGORYmedium</v>
      </c>
      <c r="C7" s="1" t="s">
        <v>105</v>
      </c>
      <c r="D7" s="1" t="s">
        <v>109</v>
      </c>
      <c r="E7" s="1" t="s">
        <v>119</v>
      </c>
      <c r="F7" s="110">
        <v>1243.83</v>
      </c>
      <c r="G7" s="110">
        <v>699</v>
      </c>
      <c r="H7" s="111">
        <v>3.5589451944830799</v>
      </c>
      <c r="I7" s="111">
        <v>6.3329367686035596</v>
      </c>
      <c r="J7" s="110">
        <v>6379.57</v>
      </c>
      <c r="K7" s="110">
        <v>3737.45</v>
      </c>
      <c r="O7" s="2" t="str">
        <f t="shared" si="1"/>
        <v>SupermarketHP</v>
      </c>
      <c r="P7" s="1" t="s">
        <v>105</v>
      </c>
      <c r="Q7" s="1" t="s">
        <v>107</v>
      </c>
      <c r="R7" s="110">
        <v>29793333.190000001</v>
      </c>
      <c r="S7" s="110">
        <v>4952521.0539999995</v>
      </c>
      <c r="T7" s="111">
        <v>2.2500845892990098</v>
      </c>
      <c r="U7" s="111">
        <v>13.536039351216001</v>
      </c>
      <c r="V7" s="110">
        <v>89684376.459999993</v>
      </c>
      <c r="W7" s="110">
        <v>15463553.361</v>
      </c>
      <c r="Y7" t="str">
        <v>HP</v>
      </c>
      <c r="Z7" s="103">
        <v>1</v>
      </c>
    </row>
    <row r="8" spans="2:26" x14ac:dyDescent="0.3">
      <c r="B8" s="2" t="str">
        <f t="shared" si="0"/>
        <v>SupermarketRESTOFCATEGORYlarge</v>
      </c>
      <c r="C8" s="1" t="s">
        <v>105</v>
      </c>
      <c r="D8" s="1" t="s">
        <v>109</v>
      </c>
      <c r="E8" s="1" t="s">
        <v>120</v>
      </c>
      <c r="F8" s="110">
        <v>483356.04</v>
      </c>
      <c r="G8" s="110">
        <v>235288.61199999999</v>
      </c>
      <c r="H8" s="111">
        <v>2.62874363754886</v>
      </c>
      <c r="I8" s="111">
        <v>5.4002575986160002</v>
      </c>
      <c r="J8" s="110">
        <v>1396069.98</v>
      </c>
      <c r="K8" s="110">
        <v>680792.24</v>
      </c>
      <c r="O8" s="2" t="str">
        <f t="shared" si="1"/>
        <v>Supermarket</v>
      </c>
      <c r="P8" s="1" t="s">
        <v>105</v>
      </c>
      <c r="Q8" s="1"/>
      <c r="R8" s="110"/>
      <c r="S8" s="110"/>
      <c r="T8" s="111"/>
      <c r="U8" s="111"/>
      <c r="V8" s="110"/>
      <c r="W8" s="110"/>
      <c r="Y8">
        <v>0</v>
      </c>
    </row>
    <row r="9" spans="2:26" x14ac:dyDescent="0.3">
      <c r="B9" s="2" t="str">
        <f t="shared" si="0"/>
        <v>SupermarketRESTOFCATEGORYsmall</v>
      </c>
      <c r="C9" s="1" t="s">
        <v>105</v>
      </c>
      <c r="D9" s="1" t="s">
        <v>109</v>
      </c>
      <c r="E9" s="1" t="s">
        <v>121</v>
      </c>
      <c r="F9" s="110">
        <v>210068.18</v>
      </c>
      <c r="G9" s="110">
        <v>29004.154999999999</v>
      </c>
      <c r="H9" s="111">
        <v>1.05</v>
      </c>
      <c r="I9" s="111">
        <v>7.6048272738854097</v>
      </c>
      <c r="J9" s="110">
        <v>547209.87</v>
      </c>
      <c r="K9" s="110">
        <v>79423.315000000002</v>
      </c>
      <c r="O9" s="2" t="str">
        <f t="shared" si="1"/>
        <v>Supermarket</v>
      </c>
      <c r="P9" s="1" t="s">
        <v>105</v>
      </c>
      <c r="Q9" s="1"/>
      <c r="R9" s="110"/>
      <c r="S9" s="110"/>
      <c r="T9" s="111"/>
      <c r="U9" s="111"/>
      <c r="V9" s="110"/>
      <c r="W9" s="110"/>
    </row>
    <row r="10" spans="2:26" x14ac:dyDescent="0.3">
      <c r="B10" s="2" t="str">
        <f t="shared" si="0"/>
        <v>SupermarketBRANSTONsmall</v>
      </c>
      <c r="C10" s="1" t="s">
        <v>105</v>
      </c>
      <c r="D10" s="1" t="s">
        <v>110</v>
      </c>
      <c r="E10" s="1" t="s">
        <v>121</v>
      </c>
      <c r="F10" s="110">
        <v>552606.5</v>
      </c>
      <c r="G10" s="110">
        <v>123171.325</v>
      </c>
      <c r="H10" s="111">
        <v>2.1556060500852601</v>
      </c>
      <c r="I10" s="111">
        <v>9.6710976740441907</v>
      </c>
      <c r="J10" s="110">
        <v>1658346.19</v>
      </c>
      <c r="K10" s="110">
        <v>409523.85</v>
      </c>
      <c r="O10" s="2" t="str">
        <f t="shared" si="1"/>
        <v>Supermarket</v>
      </c>
      <c r="P10" s="1" t="s">
        <v>105</v>
      </c>
      <c r="Q10" s="1"/>
      <c r="R10" s="110"/>
      <c r="S10" s="110"/>
      <c r="T10" s="111"/>
      <c r="U10" s="111"/>
      <c r="V10" s="110"/>
      <c r="W10" s="110"/>
    </row>
    <row r="11" spans="2:26" x14ac:dyDescent="0.3">
      <c r="B11" s="2" t="str">
        <f t="shared" si="0"/>
        <v>SupermarketHPmedium</v>
      </c>
      <c r="C11" s="1" t="s">
        <v>105</v>
      </c>
      <c r="D11" s="1" t="s">
        <v>107</v>
      </c>
      <c r="E11" s="1" t="s">
        <v>119</v>
      </c>
      <c r="F11" s="110">
        <v>17511425.59</v>
      </c>
      <c r="G11" s="110">
        <v>2931790.1850000001</v>
      </c>
      <c r="H11" s="111">
        <v>2.3451475410617699</v>
      </c>
      <c r="I11" s="111">
        <v>14.0074405300169</v>
      </c>
      <c r="J11" s="110">
        <v>50565722.43</v>
      </c>
      <c r="K11" s="110">
        <v>8683786.5250000004</v>
      </c>
      <c r="O11" s="2" t="str">
        <f t="shared" si="1"/>
        <v>Supermarket</v>
      </c>
      <c r="P11" s="1" t="s">
        <v>105</v>
      </c>
      <c r="Q11" s="1"/>
      <c r="R11" s="110"/>
      <c r="S11" s="110"/>
      <c r="T11" s="111"/>
      <c r="U11" s="111"/>
      <c r="V11" s="110"/>
      <c r="W11" s="110"/>
    </row>
    <row r="12" spans="2:26" x14ac:dyDescent="0.3">
      <c r="B12" s="2" t="str">
        <f t="shared" si="0"/>
        <v>SupermarketHPlarge</v>
      </c>
      <c r="C12" s="1" t="s">
        <v>105</v>
      </c>
      <c r="D12" s="1" t="s">
        <v>107</v>
      </c>
      <c r="E12" s="1" t="s">
        <v>120</v>
      </c>
      <c r="F12" s="110">
        <v>8472637.5299999993</v>
      </c>
      <c r="G12" s="110">
        <v>1477986.6</v>
      </c>
      <c r="H12" s="111">
        <v>2.0836270246720399</v>
      </c>
      <c r="I12" s="111">
        <v>11.9445037781524</v>
      </c>
      <c r="J12" s="110">
        <v>27568738.859999999</v>
      </c>
      <c r="K12" s="110">
        <v>5085019.8</v>
      </c>
      <c r="O12" s="2" t="str">
        <f t="shared" si="1"/>
        <v>Supermarket</v>
      </c>
      <c r="P12" s="1" t="s">
        <v>105</v>
      </c>
      <c r="Q12" s="1"/>
      <c r="R12" s="110"/>
      <c r="S12" s="110"/>
      <c r="T12" s="111"/>
      <c r="U12" s="111"/>
      <c r="V12" s="110"/>
      <c r="W12" s="110"/>
    </row>
    <row r="13" spans="2:26" x14ac:dyDescent="0.3">
      <c r="B13" s="2" t="str">
        <f t="shared" si="0"/>
        <v>SupermarketHPsmall</v>
      </c>
      <c r="C13" s="1" t="s">
        <v>105</v>
      </c>
      <c r="D13" s="1" t="s">
        <v>107</v>
      </c>
      <c r="E13" s="1" t="s">
        <v>121</v>
      </c>
      <c r="F13" s="110">
        <v>3809270.07</v>
      </c>
      <c r="G13" s="110">
        <v>542744.26899999997</v>
      </c>
      <c r="H13" s="111">
        <v>2.1833124276317299</v>
      </c>
      <c r="I13" s="111">
        <v>15.323656386755101</v>
      </c>
      <c r="J13" s="110">
        <v>11549915.17</v>
      </c>
      <c r="K13" s="110">
        <v>1694747.0360000001</v>
      </c>
      <c r="O13" s="2" t="str">
        <f t="shared" si="1"/>
        <v>Supermarket</v>
      </c>
      <c r="P13" s="1" t="s">
        <v>105</v>
      </c>
      <c r="Q13" s="1"/>
      <c r="R13" s="110"/>
      <c r="S13" s="110"/>
      <c r="T13" s="111"/>
      <c r="U13" s="111"/>
      <c r="V13" s="110"/>
      <c r="W13" s="110"/>
    </row>
    <row r="14" spans="2:26" x14ac:dyDescent="0.3">
      <c r="B14" s="2" t="str">
        <f t="shared" si="0"/>
        <v/>
      </c>
      <c r="C14" s="1"/>
      <c r="D14" s="1"/>
      <c r="E14" s="1"/>
      <c r="F14" s="110"/>
      <c r="G14" s="110"/>
      <c r="H14" s="111"/>
      <c r="I14" s="111"/>
      <c r="J14" s="110"/>
      <c r="K14" s="110"/>
      <c r="O14" s="2" t="str">
        <f t="shared" si="1"/>
        <v>Supermarket</v>
      </c>
      <c r="P14" s="1" t="s">
        <v>105</v>
      </c>
      <c r="Q14" s="1"/>
      <c r="R14" s="110"/>
      <c r="S14" s="110"/>
      <c r="T14" s="111"/>
      <c r="U14" s="111"/>
      <c r="V14" s="110"/>
      <c r="W14" s="110"/>
    </row>
    <row r="15" spans="2:26" x14ac:dyDescent="0.3">
      <c r="B15" s="2" t="str">
        <f t="shared" si="0"/>
        <v/>
      </c>
      <c r="C15" s="1"/>
      <c r="D15" s="1"/>
      <c r="E15" s="1"/>
      <c r="F15" s="110"/>
      <c r="G15" s="110"/>
      <c r="H15" s="111"/>
      <c r="I15" s="111"/>
      <c r="J15" s="110"/>
      <c r="K15" s="110"/>
      <c r="O15" s="2" t="str">
        <f t="shared" si="1"/>
        <v>Supermarket</v>
      </c>
      <c r="P15" s="1" t="s">
        <v>105</v>
      </c>
      <c r="Q15" s="1"/>
      <c r="R15" s="110"/>
      <c r="S15" s="110"/>
      <c r="T15" s="111"/>
      <c r="U15" s="111"/>
      <c r="V15" s="110"/>
      <c r="W15" s="110"/>
    </row>
    <row r="16" spans="2:26" x14ac:dyDescent="0.3">
      <c r="B16" s="2" t="str">
        <f t="shared" si="0"/>
        <v/>
      </c>
      <c r="C16" s="1"/>
      <c r="D16" s="1"/>
      <c r="E16" s="1"/>
      <c r="F16" s="110"/>
      <c r="G16" s="110"/>
      <c r="H16" s="111"/>
      <c r="I16" s="111"/>
      <c r="J16" s="110"/>
      <c r="K16" s="110"/>
      <c r="O16" s="2" t="str">
        <f t="shared" si="1"/>
        <v>Supermarket</v>
      </c>
      <c r="P16" s="1" t="s">
        <v>105</v>
      </c>
      <c r="Q16" s="1"/>
      <c r="R16" s="110"/>
      <c r="S16" s="110"/>
      <c r="T16" s="111"/>
      <c r="U16" s="111"/>
      <c r="V16" s="110"/>
      <c r="W16" s="110"/>
    </row>
    <row r="17" spans="2:23" x14ac:dyDescent="0.3">
      <c r="B17" s="2" t="str">
        <f t="shared" si="0"/>
        <v/>
      </c>
      <c r="C17" s="1"/>
      <c r="D17" s="1"/>
      <c r="E17" s="1"/>
      <c r="F17" s="110"/>
      <c r="G17" s="110"/>
      <c r="H17" s="111"/>
      <c r="I17" s="111"/>
      <c r="J17" s="110"/>
      <c r="K17" s="110"/>
      <c r="O17" s="2" t="str">
        <f t="shared" si="1"/>
        <v>Supermarket</v>
      </c>
      <c r="P17" s="1" t="s">
        <v>105</v>
      </c>
      <c r="Q17" s="1"/>
      <c r="R17" s="110"/>
      <c r="S17" s="110"/>
      <c r="T17" s="111"/>
      <c r="U17" s="111"/>
      <c r="V17" s="110"/>
      <c r="W17" s="110"/>
    </row>
    <row r="18" spans="2:23" x14ac:dyDescent="0.3">
      <c r="B18" s="2" t="str">
        <f t="shared" si="0"/>
        <v/>
      </c>
      <c r="C18" s="1"/>
      <c r="D18" s="1"/>
      <c r="E18" s="1"/>
      <c r="F18" s="110"/>
      <c r="G18" s="110"/>
      <c r="H18" s="111"/>
      <c r="I18" s="111"/>
      <c r="J18" s="110"/>
      <c r="K18" s="110"/>
      <c r="O18" s="2" t="str">
        <f t="shared" si="1"/>
        <v>Supermarket</v>
      </c>
      <c r="P18" s="1" t="s">
        <v>105</v>
      </c>
      <c r="Q18" s="1"/>
      <c r="R18" s="110"/>
      <c r="S18" s="110"/>
      <c r="T18" s="111"/>
      <c r="U18" s="111"/>
      <c r="V18" s="110"/>
      <c r="W18" s="110"/>
    </row>
    <row r="19" spans="2:23" x14ac:dyDescent="0.3">
      <c r="B19" s="2" t="str">
        <f t="shared" si="0"/>
        <v/>
      </c>
      <c r="C19" s="1"/>
      <c r="D19" s="1"/>
      <c r="E19" s="1"/>
      <c r="F19" s="110"/>
      <c r="G19" s="110"/>
      <c r="H19" s="111"/>
      <c r="I19" s="111"/>
      <c r="J19" s="110"/>
      <c r="K19" s="110"/>
      <c r="O19" s="2" t="str">
        <f t="shared" si="1"/>
        <v>Supermarket</v>
      </c>
      <c r="P19" s="1" t="s">
        <v>105</v>
      </c>
      <c r="Q19" s="1"/>
      <c r="R19" s="110"/>
      <c r="S19" s="110"/>
      <c r="T19" s="111"/>
      <c r="U19" s="111"/>
      <c r="V19" s="110"/>
      <c r="W19" s="110"/>
    </row>
    <row r="20" spans="2:23" x14ac:dyDescent="0.3">
      <c r="B20" s="2" t="str">
        <f t="shared" si="0"/>
        <v/>
      </c>
      <c r="C20" s="1"/>
      <c r="D20" s="1"/>
      <c r="E20" s="1"/>
      <c r="F20" s="110"/>
      <c r="G20" s="110"/>
      <c r="H20" s="111"/>
      <c r="I20" s="111"/>
      <c r="J20" s="110"/>
      <c r="K20" s="110"/>
      <c r="O20" s="2" t="str">
        <f t="shared" si="1"/>
        <v>Supermarket</v>
      </c>
      <c r="P20" s="1" t="s">
        <v>105</v>
      </c>
      <c r="Q20" s="1"/>
      <c r="R20" s="110"/>
      <c r="S20" s="110"/>
      <c r="T20" s="111"/>
      <c r="U20" s="111"/>
      <c r="V20" s="110"/>
      <c r="W20" s="110"/>
    </row>
    <row r="21" spans="2:23" x14ac:dyDescent="0.3">
      <c r="B21" s="2" t="str">
        <f t="shared" si="0"/>
        <v/>
      </c>
      <c r="C21" s="1"/>
      <c r="D21" s="1"/>
      <c r="E21" s="1"/>
      <c r="F21" s="110"/>
      <c r="G21" s="110"/>
      <c r="H21" s="111"/>
      <c r="I21" s="111"/>
      <c r="J21" s="110"/>
      <c r="K21" s="110"/>
      <c r="O21" s="2" t="str">
        <f t="shared" si="1"/>
        <v>Supermarket</v>
      </c>
      <c r="P21" s="1" t="s">
        <v>105</v>
      </c>
      <c r="Q21" s="1"/>
      <c r="R21" s="110"/>
      <c r="S21" s="110"/>
      <c r="T21" s="111"/>
      <c r="U21" s="111"/>
      <c r="V21" s="110"/>
      <c r="W21" s="110"/>
    </row>
    <row r="22" spans="2:23" x14ac:dyDescent="0.3">
      <c r="B22" s="2" t="str">
        <f t="shared" si="0"/>
        <v/>
      </c>
      <c r="C22" s="1"/>
      <c r="D22" s="1"/>
      <c r="E22" s="1"/>
      <c r="F22" s="110"/>
      <c r="G22" s="110"/>
      <c r="H22" s="111"/>
      <c r="I22" s="111"/>
      <c r="J22" s="110"/>
      <c r="K22" s="110"/>
      <c r="O22" s="2" t="str">
        <f t="shared" si="1"/>
        <v>Supermarket</v>
      </c>
      <c r="P22" s="1" t="s">
        <v>105</v>
      </c>
      <c r="Q22" s="1"/>
      <c r="R22" s="110"/>
      <c r="S22" s="110"/>
      <c r="T22" s="111"/>
      <c r="U22" s="111"/>
      <c r="V22" s="110"/>
      <c r="W22" s="110"/>
    </row>
    <row r="23" spans="2:23" x14ac:dyDescent="0.3">
      <c r="B23" s="2" t="str">
        <f t="shared" si="0"/>
        <v/>
      </c>
      <c r="C23" s="1"/>
      <c r="D23" s="1"/>
      <c r="E23" s="1"/>
      <c r="F23" s="110"/>
      <c r="G23" s="110"/>
      <c r="H23" s="111"/>
      <c r="I23" s="111"/>
      <c r="J23" s="110"/>
      <c r="K23" s="110"/>
      <c r="O23" s="2" t="str">
        <f t="shared" si="1"/>
        <v>Supermarket</v>
      </c>
      <c r="P23" s="1" t="s">
        <v>105</v>
      </c>
      <c r="Q23" s="1"/>
      <c r="R23" s="110"/>
      <c r="S23" s="110"/>
      <c r="T23" s="111"/>
      <c r="U23" s="111"/>
      <c r="V23" s="110"/>
      <c r="W23" s="110"/>
    </row>
    <row r="24" spans="2:23" x14ac:dyDescent="0.3">
      <c r="B24" s="2" t="str">
        <f t="shared" si="0"/>
        <v/>
      </c>
      <c r="C24" s="1"/>
      <c r="D24" s="1"/>
      <c r="E24" s="1"/>
      <c r="F24" s="110"/>
      <c r="G24" s="110"/>
      <c r="H24" s="111"/>
      <c r="I24" s="111"/>
      <c r="J24" s="110"/>
      <c r="K24" s="110"/>
      <c r="O24" s="2" t="str">
        <f t="shared" si="1"/>
        <v>Supermarket</v>
      </c>
      <c r="P24" s="1" t="s">
        <v>105</v>
      </c>
      <c r="Q24" s="1"/>
      <c r="R24" s="110"/>
      <c r="S24" s="110"/>
      <c r="T24" s="111"/>
      <c r="U24" s="111"/>
      <c r="V24" s="110"/>
      <c r="W24" s="110"/>
    </row>
    <row r="25" spans="2:23" x14ac:dyDescent="0.3">
      <c r="B25" s="2" t="str">
        <f t="shared" si="0"/>
        <v/>
      </c>
      <c r="C25" s="1"/>
      <c r="D25" s="1"/>
      <c r="E25" s="1"/>
      <c r="F25" s="110"/>
      <c r="G25" s="110"/>
      <c r="H25" s="111"/>
      <c r="I25" s="111"/>
      <c r="J25" s="110"/>
      <c r="K25" s="110"/>
      <c r="O25" s="2" t="str">
        <f t="shared" si="1"/>
        <v>Supermarket</v>
      </c>
      <c r="P25" s="1" t="s">
        <v>105</v>
      </c>
      <c r="Q25" s="1"/>
      <c r="R25" s="110"/>
      <c r="S25" s="110"/>
      <c r="T25" s="111"/>
      <c r="U25" s="111"/>
      <c r="V25" s="110"/>
      <c r="W25" s="110"/>
    </row>
    <row r="26" spans="2:23" x14ac:dyDescent="0.3">
      <c r="B26" s="2" t="str">
        <f t="shared" si="0"/>
        <v/>
      </c>
      <c r="C26" s="1"/>
      <c r="D26" s="1"/>
      <c r="E26" s="1"/>
      <c r="F26" s="110"/>
      <c r="G26" s="110"/>
      <c r="H26" s="111"/>
      <c r="I26" s="111"/>
      <c r="J26" s="110"/>
      <c r="K26" s="110"/>
      <c r="O26" s="2" t="str">
        <f t="shared" si="1"/>
        <v>Supermarket</v>
      </c>
      <c r="P26" s="1" t="s">
        <v>105</v>
      </c>
      <c r="Q26" s="1"/>
      <c r="R26" s="110"/>
      <c r="S26" s="110"/>
      <c r="T26" s="111"/>
      <c r="U26" s="111"/>
      <c r="V26" s="110"/>
      <c r="W26" s="110"/>
    </row>
    <row r="27" spans="2:23" x14ac:dyDescent="0.3">
      <c r="B27" s="2" t="str">
        <f t="shared" si="0"/>
        <v/>
      </c>
      <c r="C27" s="1"/>
      <c r="D27" s="1"/>
      <c r="E27" s="1"/>
      <c r="F27" s="110"/>
      <c r="G27" s="110"/>
      <c r="H27" s="111"/>
      <c r="I27" s="111"/>
      <c r="J27" s="110"/>
      <c r="K27" s="110"/>
      <c r="O27" s="2" t="str">
        <f t="shared" si="1"/>
        <v>Supermarket</v>
      </c>
      <c r="P27" s="1" t="s">
        <v>105</v>
      </c>
      <c r="Q27" s="1"/>
      <c r="R27" s="110"/>
      <c r="S27" s="110"/>
      <c r="T27" s="111"/>
      <c r="U27" s="111"/>
      <c r="V27" s="110"/>
      <c r="W27" s="110"/>
    </row>
    <row r="28" spans="2:23" x14ac:dyDescent="0.3">
      <c r="B28" s="2" t="str">
        <f t="shared" si="0"/>
        <v/>
      </c>
      <c r="C28" s="1"/>
      <c r="D28" s="1"/>
      <c r="E28" s="1"/>
      <c r="F28" s="110"/>
      <c r="G28" s="110"/>
      <c r="H28" s="111"/>
      <c r="I28" s="111"/>
      <c r="J28" s="110"/>
      <c r="K28" s="110"/>
      <c r="O28" s="2" t="str">
        <f t="shared" si="1"/>
        <v>Supermarket</v>
      </c>
      <c r="P28" s="1" t="s">
        <v>105</v>
      </c>
      <c r="Q28" s="1"/>
      <c r="R28" s="110"/>
      <c r="S28" s="110"/>
      <c r="T28" s="111"/>
      <c r="U28" s="111"/>
      <c r="V28" s="110"/>
      <c r="W28" s="110"/>
    </row>
    <row r="29" spans="2:23" x14ac:dyDescent="0.3">
      <c r="B29" s="2" t="str">
        <f t="shared" si="0"/>
        <v/>
      </c>
      <c r="C29" s="1"/>
      <c r="D29" s="1"/>
      <c r="E29" s="1"/>
      <c r="F29" s="110"/>
      <c r="G29" s="110"/>
      <c r="H29" s="111"/>
      <c r="I29" s="111"/>
      <c r="J29" s="110"/>
      <c r="K29" s="110"/>
      <c r="O29" s="2" t="str">
        <f t="shared" si="1"/>
        <v>Supermarket</v>
      </c>
      <c r="P29" s="1" t="s">
        <v>105</v>
      </c>
      <c r="Q29" s="1"/>
      <c r="R29" s="110"/>
      <c r="S29" s="110"/>
      <c r="T29" s="111"/>
      <c r="U29" s="111"/>
      <c r="V29" s="110"/>
      <c r="W29" s="110"/>
    </row>
    <row r="30" spans="2:23" x14ac:dyDescent="0.3">
      <c r="B30" s="2" t="str">
        <f t="shared" si="0"/>
        <v/>
      </c>
      <c r="C30" s="1"/>
      <c r="D30" s="1"/>
      <c r="E30" s="1"/>
      <c r="F30" s="110"/>
      <c r="G30" s="110"/>
      <c r="H30" s="111"/>
      <c r="I30" s="111"/>
      <c r="J30" s="110"/>
      <c r="K30" s="110"/>
      <c r="O30" s="2" t="str">
        <f t="shared" si="1"/>
        <v>Supermarket</v>
      </c>
      <c r="P30" s="1" t="s">
        <v>105</v>
      </c>
      <c r="Q30" s="1"/>
      <c r="R30" s="110"/>
      <c r="S30" s="110"/>
      <c r="T30" s="111"/>
      <c r="U30" s="111"/>
      <c r="V30" s="110"/>
      <c r="W30" s="110"/>
    </row>
    <row r="31" spans="2:23" x14ac:dyDescent="0.3">
      <c r="B31" s="2" t="str">
        <f t="shared" si="0"/>
        <v/>
      </c>
      <c r="C31" s="1"/>
      <c r="D31" s="1"/>
      <c r="E31" s="1"/>
      <c r="F31" s="110"/>
      <c r="G31" s="110"/>
      <c r="H31" s="111"/>
      <c r="I31" s="111"/>
      <c r="J31" s="110"/>
      <c r="K31" s="110"/>
      <c r="O31" s="2" t="str">
        <f t="shared" si="1"/>
        <v>Supermarket</v>
      </c>
      <c r="P31" s="1" t="s">
        <v>105</v>
      </c>
      <c r="Q31" s="1"/>
      <c r="R31" s="110"/>
      <c r="S31" s="110"/>
      <c r="T31" s="111"/>
      <c r="U31" s="111"/>
      <c r="V31" s="110"/>
      <c r="W31" s="110"/>
    </row>
    <row r="32" spans="2:23" x14ac:dyDescent="0.3">
      <c r="B32" s="2" t="str">
        <f t="shared" si="0"/>
        <v/>
      </c>
      <c r="C32" s="1"/>
      <c r="D32" s="1"/>
      <c r="E32" s="1"/>
      <c r="F32" s="110"/>
      <c r="G32" s="110"/>
      <c r="H32" s="111"/>
      <c r="I32" s="111"/>
      <c r="J32" s="110"/>
      <c r="K32" s="110"/>
      <c r="O32" s="2" t="str">
        <f t="shared" si="1"/>
        <v>Supermarket</v>
      </c>
      <c r="P32" s="1" t="s">
        <v>105</v>
      </c>
      <c r="Q32" s="1"/>
      <c r="R32" s="110"/>
      <c r="S32" s="110"/>
      <c r="T32" s="111"/>
      <c r="U32" s="111"/>
      <c r="V32" s="110"/>
      <c r="W32" s="110"/>
    </row>
    <row r="33" spans="2:23" x14ac:dyDescent="0.3">
      <c r="B33" s="2" t="str">
        <f t="shared" si="0"/>
        <v/>
      </c>
      <c r="C33" s="1"/>
      <c r="D33" s="1"/>
      <c r="E33" s="1"/>
      <c r="F33" s="110"/>
      <c r="G33" s="110"/>
      <c r="H33" s="111"/>
      <c r="I33" s="111"/>
      <c r="J33" s="110"/>
      <c r="K33" s="110"/>
      <c r="O33" s="2" t="str">
        <f t="shared" si="1"/>
        <v>Supermarket</v>
      </c>
      <c r="P33" s="1" t="s">
        <v>105</v>
      </c>
      <c r="Q33" s="1"/>
      <c r="R33" s="110"/>
      <c r="S33" s="110"/>
      <c r="T33" s="111"/>
      <c r="U33" s="111"/>
      <c r="V33" s="110"/>
      <c r="W33" s="110"/>
    </row>
    <row r="34" spans="2:23" x14ac:dyDescent="0.3">
      <c r="B34" s="2" t="str">
        <f t="shared" si="0"/>
        <v/>
      </c>
      <c r="C34" s="1"/>
      <c r="D34" s="1"/>
      <c r="E34" s="1"/>
      <c r="F34" s="110"/>
      <c r="G34" s="110"/>
      <c r="H34" s="111"/>
      <c r="I34" s="111"/>
      <c r="J34" s="110"/>
      <c r="K34" s="110"/>
      <c r="O34" s="2" t="str">
        <f t="shared" si="1"/>
        <v>Supermarket</v>
      </c>
      <c r="P34" s="1" t="s">
        <v>105</v>
      </c>
      <c r="Q34" s="1"/>
      <c r="R34" s="110"/>
      <c r="S34" s="110"/>
      <c r="T34" s="111"/>
      <c r="U34" s="111"/>
      <c r="V34" s="110"/>
      <c r="W34" s="110"/>
    </row>
    <row r="35" spans="2:23" x14ac:dyDescent="0.3">
      <c r="B35" s="2" t="str">
        <f t="shared" si="0"/>
        <v/>
      </c>
      <c r="C35" s="1"/>
      <c r="D35" s="1"/>
      <c r="E35" s="1"/>
      <c r="F35" s="110"/>
      <c r="G35" s="110"/>
      <c r="H35" s="111"/>
      <c r="I35" s="111"/>
      <c r="J35" s="110"/>
      <c r="K35" s="110"/>
      <c r="O35" s="2" t="str">
        <f t="shared" si="1"/>
        <v>Supermarket</v>
      </c>
      <c r="P35" s="1" t="s">
        <v>105</v>
      </c>
      <c r="Q35" s="1"/>
      <c r="R35" s="110"/>
      <c r="S35" s="110"/>
      <c r="T35" s="111"/>
      <c r="U35" s="111"/>
      <c r="V35" s="110"/>
      <c r="W35" s="110"/>
    </row>
    <row r="36" spans="2:23" x14ac:dyDescent="0.3">
      <c r="B36" s="2" t="str">
        <f t="shared" si="0"/>
        <v/>
      </c>
      <c r="C36" s="1"/>
      <c r="D36" s="1"/>
      <c r="E36" s="1"/>
      <c r="F36" s="110"/>
      <c r="G36" s="110"/>
      <c r="H36" s="111"/>
      <c r="I36" s="111"/>
      <c r="J36" s="110"/>
      <c r="K36" s="110"/>
      <c r="O36" s="2" t="str">
        <f t="shared" si="1"/>
        <v>Supermarket</v>
      </c>
      <c r="P36" s="1" t="s">
        <v>105</v>
      </c>
      <c r="Q36" s="1"/>
      <c r="R36" s="110"/>
      <c r="S36" s="110"/>
      <c r="T36" s="111"/>
      <c r="U36" s="111"/>
      <c r="V36" s="110"/>
      <c r="W36" s="110"/>
    </row>
    <row r="37" spans="2:23" x14ac:dyDescent="0.3">
      <c r="B37" s="2" t="str">
        <f t="shared" si="0"/>
        <v/>
      </c>
      <c r="C37" s="1"/>
      <c r="D37" s="1"/>
      <c r="E37" s="1"/>
      <c r="F37" s="110"/>
      <c r="G37" s="110"/>
      <c r="H37" s="111"/>
      <c r="I37" s="111"/>
      <c r="J37" s="110"/>
      <c r="K37" s="110"/>
      <c r="O37" s="2" t="str">
        <f t="shared" si="1"/>
        <v>Supermarket</v>
      </c>
      <c r="P37" s="1" t="s">
        <v>105</v>
      </c>
      <c r="Q37" s="1"/>
      <c r="R37" s="110"/>
      <c r="S37" s="110"/>
      <c r="T37" s="111"/>
      <c r="U37" s="111"/>
      <c r="V37" s="110"/>
      <c r="W37" s="110"/>
    </row>
    <row r="38" spans="2:23" x14ac:dyDescent="0.3">
      <c r="B38" s="2" t="str">
        <f t="shared" si="0"/>
        <v/>
      </c>
      <c r="C38" s="1"/>
      <c r="D38" s="1"/>
      <c r="E38" s="1"/>
      <c r="F38" s="110"/>
      <c r="G38" s="110"/>
      <c r="H38" s="111"/>
      <c r="I38" s="111"/>
      <c r="J38" s="110"/>
      <c r="K38" s="110"/>
      <c r="O38" s="2" t="str">
        <f t="shared" si="1"/>
        <v>Supermarket</v>
      </c>
      <c r="P38" s="1" t="s">
        <v>105</v>
      </c>
      <c r="Q38" s="1"/>
      <c r="R38" s="110"/>
      <c r="S38" s="110"/>
      <c r="T38" s="111"/>
      <c r="U38" s="111"/>
      <c r="V38" s="110"/>
      <c r="W38" s="110"/>
    </row>
    <row r="39" spans="2:23" x14ac:dyDescent="0.3">
      <c r="B39" s="2" t="str">
        <f t="shared" si="0"/>
        <v/>
      </c>
      <c r="C39" s="1"/>
      <c r="D39" s="1"/>
      <c r="E39" s="1"/>
      <c r="F39" s="110"/>
      <c r="G39" s="110"/>
      <c r="H39" s="111"/>
      <c r="I39" s="111"/>
      <c r="J39" s="110"/>
      <c r="K39" s="110"/>
      <c r="O39" s="2" t="str">
        <f t="shared" si="1"/>
        <v>Supermarket</v>
      </c>
      <c r="P39" s="1" t="s">
        <v>105</v>
      </c>
      <c r="Q39" s="1"/>
      <c r="R39" s="110"/>
      <c r="S39" s="110"/>
      <c r="T39" s="111"/>
      <c r="U39" s="111"/>
      <c r="V39" s="110"/>
      <c r="W39" s="110"/>
    </row>
    <row r="40" spans="2:23" x14ac:dyDescent="0.3">
      <c r="B40" s="2" t="str">
        <f t="shared" si="0"/>
        <v/>
      </c>
      <c r="C40" s="1"/>
      <c r="D40" s="1"/>
      <c r="E40" s="1"/>
      <c r="F40" s="110"/>
      <c r="G40" s="110"/>
      <c r="H40" s="111"/>
      <c r="I40" s="111"/>
      <c r="J40" s="110"/>
      <c r="K40" s="110"/>
      <c r="O40" s="2" t="str">
        <f t="shared" si="1"/>
        <v>Supermarket</v>
      </c>
      <c r="P40" s="1" t="s">
        <v>105</v>
      </c>
      <c r="Q40" s="1"/>
      <c r="R40" s="110"/>
      <c r="S40" s="110"/>
      <c r="T40" s="111"/>
      <c r="U40" s="111"/>
      <c r="V40" s="110"/>
      <c r="W40" s="110"/>
    </row>
    <row r="41" spans="2:23" x14ac:dyDescent="0.3">
      <c r="B41" s="2" t="str">
        <f t="shared" si="0"/>
        <v/>
      </c>
      <c r="C41" s="1"/>
      <c r="D41" s="1"/>
      <c r="E41" s="1"/>
      <c r="F41" s="110"/>
      <c r="G41" s="110"/>
      <c r="H41" s="111"/>
      <c r="I41" s="111"/>
      <c r="J41" s="110"/>
      <c r="K41" s="110"/>
      <c r="O41" s="2" t="str">
        <f t="shared" si="1"/>
        <v>Supermarket</v>
      </c>
      <c r="P41" s="1" t="s">
        <v>105</v>
      </c>
      <c r="Q41" s="1"/>
      <c r="R41" s="110"/>
      <c r="S41" s="110"/>
      <c r="T41" s="111"/>
      <c r="U41" s="111"/>
      <c r="V41" s="110"/>
      <c r="W41" s="110"/>
    </row>
    <row r="42" spans="2:23" x14ac:dyDescent="0.3">
      <c r="B42" s="2" t="str">
        <f t="shared" si="0"/>
        <v/>
      </c>
      <c r="C42" s="1"/>
      <c r="D42" s="1"/>
      <c r="E42" s="1"/>
      <c r="F42" s="110"/>
      <c r="G42" s="110"/>
      <c r="H42" s="111"/>
      <c r="I42" s="111"/>
      <c r="J42" s="110"/>
      <c r="K42" s="110"/>
      <c r="O42" s="2" t="str">
        <f t="shared" si="1"/>
        <v>Supermarket</v>
      </c>
      <c r="P42" s="1" t="s">
        <v>105</v>
      </c>
      <c r="Q42" s="1"/>
      <c r="R42" s="110"/>
      <c r="S42" s="110"/>
      <c r="T42" s="111"/>
      <c r="U42" s="111"/>
      <c r="V42" s="110"/>
      <c r="W42" s="110"/>
    </row>
    <row r="43" spans="2:23" x14ac:dyDescent="0.3">
      <c r="B43" s="2" t="str">
        <f t="shared" si="0"/>
        <v/>
      </c>
      <c r="C43" s="1"/>
      <c r="D43" s="1"/>
      <c r="E43" s="1"/>
      <c r="F43" s="110"/>
      <c r="G43" s="110"/>
      <c r="H43" s="111"/>
      <c r="I43" s="111"/>
      <c r="J43" s="110"/>
      <c r="K43" s="110"/>
      <c r="O43" s="2" t="str">
        <f t="shared" si="1"/>
        <v>Supermarket</v>
      </c>
      <c r="P43" s="1" t="s">
        <v>105</v>
      </c>
      <c r="Q43" s="1"/>
      <c r="R43" s="110"/>
      <c r="S43" s="110"/>
      <c r="T43" s="111"/>
      <c r="U43" s="111"/>
      <c r="V43" s="110"/>
      <c r="W43" s="110"/>
    </row>
    <row r="44" spans="2:23" x14ac:dyDescent="0.3">
      <c r="B44" s="2" t="str">
        <f t="shared" si="0"/>
        <v/>
      </c>
      <c r="C44" s="1"/>
      <c r="D44" s="1"/>
      <c r="E44" s="1"/>
      <c r="F44" s="110"/>
      <c r="G44" s="110"/>
      <c r="H44" s="111"/>
      <c r="I44" s="111"/>
      <c r="J44" s="110"/>
      <c r="K44" s="110"/>
      <c r="O44" s="2" t="str">
        <f t="shared" si="1"/>
        <v>Supermarket</v>
      </c>
      <c r="P44" s="1" t="s">
        <v>105</v>
      </c>
      <c r="Q44" s="1"/>
      <c r="R44" s="110"/>
      <c r="S44" s="110"/>
      <c r="T44" s="111"/>
      <c r="U44" s="111"/>
      <c r="V44" s="110"/>
      <c r="W44" s="110"/>
    </row>
    <row r="45" spans="2:23" x14ac:dyDescent="0.3">
      <c r="B45" s="2" t="str">
        <f t="shared" si="0"/>
        <v/>
      </c>
      <c r="C45" s="1"/>
      <c r="D45" s="1"/>
      <c r="E45" s="1"/>
      <c r="F45" s="110"/>
      <c r="G45" s="110"/>
      <c r="H45" s="111"/>
      <c r="I45" s="111"/>
      <c r="J45" s="110"/>
      <c r="K45" s="110"/>
      <c r="O45" s="2" t="str">
        <f t="shared" si="1"/>
        <v>Supermarket</v>
      </c>
      <c r="P45" s="1" t="s">
        <v>105</v>
      </c>
      <c r="Q45" s="1"/>
      <c r="R45" s="110"/>
      <c r="S45" s="110"/>
      <c r="T45" s="111"/>
      <c r="U45" s="111"/>
      <c r="V45" s="110"/>
      <c r="W45" s="110"/>
    </row>
    <row r="46" spans="2:23" x14ac:dyDescent="0.3">
      <c r="B46" s="2" t="str">
        <f t="shared" si="0"/>
        <v/>
      </c>
      <c r="C46" s="1"/>
      <c r="D46" s="1"/>
      <c r="E46" s="1"/>
      <c r="F46" s="110"/>
      <c r="G46" s="110"/>
      <c r="H46" s="111"/>
      <c r="I46" s="111"/>
      <c r="J46" s="110"/>
      <c r="K46" s="110"/>
      <c r="O46" s="2" t="str">
        <f t="shared" si="1"/>
        <v>Supermarket</v>
      </c>
      <c r="P46" s="1" t="s">
        <v>105</v>
      </c>
      <c r="Q46" s="1"/>
      <c r="R46" s="110"/>
      <c r="S46" s="110"/>
      <c r="T46" s="111"/>
      <c r="U46" s="111"/>
      <c r="V46" s="110"/>
      <c r="W46" s="110"/>
    </row>
    <row r="47" spans="2:23" x14ac:dyDescent="0.3">
      <c r="B47" s="2" t="str">
        <f t="shared" si="0"/>
        <v/>
      </c>
      <c r="C47" s="1"/>
      <c r="D47" s="1"/>
      <c r="E47" s="1"/>
      <c r="F47" s="110"/>
      <c r="G47" s="110"/>
      <c r="H47" s="111"/>
      <c r="I47" s="111"/>
      <c r="J47" s="110"/>
      <c r="K47" s="110"/>
      <c r="O47" s="2" t="str">
        <f t="shared" si="1"/>
        <v>Supermarket</v>
      </c>
      <c r="P47" s="1" t="s">
        <v>105</v>
      </c>
      <c r="Q47" s="1"/>
      <c r="R47" s="110"/>
      <c r="S47" s="110"/>
      <c r="T47" s="111"/>
      <c r="U47" s="111"/>
      <c r="V47" s="110"/>
      <c r="W47" s="110"/>
    </row>
    <row r="48" spans="2:23" x14ac:dyDescent="0.3">
      <c r="B48" s="2" t="str">
        <f t="shared" si="0"/>
        <v/>
      </c>
      <c r="C48" s="1"/>
      <c r="D48" s="1"/>
      <c r="E48" s="1"/>
      <c r="F48" s="110"/>
      <c r="G48" s="110"/>
      <c r="H48" s="111"/>
      <c r="I48" s="111"/>
      <c r="J48" s="110"/>
      <c r="K48" s="110"/>
      <c r="O48" s="2" t="str">
        <f t="shared" si="1"/>
        <v>Supermarket</v>
      </c>
      <c r="P48" s="1" t="s">
        <v>105</v>
      </c>
      <c r="Q48" s="1"/>
      <c r="R48" s="110"/>
      <c r="S48" s="110"/>
      <c r="T48" s="111"/>
      <c r="U48" s="111"/>
      <c r="V48" s="110"/>
      <c r="W48" s="110"/>
    </row>
    <row r="49" spans="2:23" x14ac:dyDescent="0.3">
      <c r="B49" s="2" t="str">
        <f t="shared" si="0"/>
        <v/>
      </c>
      <c r="C49" s="1"/>
      <c r="D49" s="1"/>
      <c r="E49" s="1"/>
      <c r="F49" s="110"/>
      <c r="G49" s="110"/>
      <c r="H49" s="111"/>
      <c r="I49" s="111"/>
      <c r="J49" s="110"/>
      <c r="K49" s="110"/>
      <c r="O49" s="2" t="str">
        <f t="shared" si="1"/>
        <v>Supermarket</v>
      </c>
      <c r="P49" s="1" t="s">
        <v>105</v>
      </c>
      <c r="Q49" s="1"/>
      <c r="R49" s="110"/>
      <c r="S49" s="110"/>
      <c r="T49" s="111"/>
      <c r="U49" s="111"/>
      <c r="V49" s="110"/>
      <c r="W49" s="110"/>
    </row>
    <row r="50" spans="2:23" x14ac:dyDescent="0.3">
      <c r="B50" s="2" t="str">
        <f t="shared" si="0"/>
        <v/>
      </c>
      <c r="C50" s="1"/>
      <c r="D50" s="1"/>
      <c r="E50" s="1"/>
      <c r="F50" s="110"/>
      <c r="G50" s="110"/>
      <c r="H50" s="111"/>
      <c r="I50" s="111"/>
      <c r="J50" s="110"/>
      <c r="K50" s="110"/>
      <c r="O50" s="2" t="str">
        <f t="shared" si="1"/>
        <v>Supermarket</v>
      </c>
      <c r="P50" s="1" t="s">
        <v>105</v>
      </c>
      <c r="Q50" s="1"/>
      <c r="R50" s="110"/>
      <c r="S50" s="110"/>
      <c r="T50" s="111"/>
      <c r="U50" s="111"/>
      <c r="V50" s="110"/>
      <c r="W50" s="110"/>
    </row>
    <row r="51" spans="2:23" x14ac:dyDescent="0.3">
      <c r="B51" s="2" t="str">
        <f t="shared" si="0"/>
        <v/>
      </c>
      <c r="C51" s="1"/>
      <c r="D51" s="1"/>
      <c r="E51" s="1"/>
      <c r="F51" s="110"/>
      <c r="G51" s="110"/>
      <c r="H51" s="111"/>
      <c r="I51" s="111"/>
      <c r="J51" s="110"/>
      <c r="K51" s="110"/>
      <c r="O51" s="2" t="str">
        <f t="shared" si="1"/>
        <v>Supermarket</v>
      </c>
      <c r="P51" s="1" t="s">
        <v>105</v>
      </c>
      <c r="Q51" s="1"/>
      <c r="R51" s="110"/>
      <c r="S51" s="110"/>
      <c r="T51" s="111"/>
      <c r="U51" s="111"/>
      <c r="V51" s="110"/>
      <c r="W51" s="110"/>
    </row>
    <row r="52" spans="2:23" x14ac:dyDescent="0.3">
      <c r="B52" s="2" t="str">
        <f t="shared" si="0"/>
        <v/>
      </c>
      <c r="C52" s="1"/>
      <c r="D52" s="1"/>
      <c r="E52" s="1"/>
      <c r="F52" s="110"/>
      <c r="G52" s="110"/>
      <c r="H52" s="111"/>
      <c r="I52" s="111"/>
      <c r="J52" s="110"/>
      <c r="K52" s="110"/>
      <c r="O52" s="2" t="str">
        <f t="shared" si="1"/>
        <v>Supermarket</v>
      </c>
      <c r="P52" s="1" t="s">
        <v>105</v>
      </c>
      <c r="Q52" s="1"/>
      <c r="R52" s="110"/>
      <c r="S52" s="110"/>
      <c r="T52" s="111"/>
      <c r="U52" s="111"/>
      <c r="V52" s="110"/>
      <c r="W52" s="110"/>
    </row>
    <row r="53" spans="2:23" x14ac:dyDescent="0.3">
      <c r="B53" s="2" t="str">
        <f t="shared" si="0"/>
        <v/>
      </c>
      <c r="C53" s="1"/>
      <c r="D53" s="1"/>
      <c r="E53" s="1"/>
      <c r="F53" s="110"/>
      <c r="G53" s="110"/>
      <c r="H53" s="111"/>
      <c r="I53" s="111"/>
      <c r="J53" s="110"/>
      <c r="K53" s="110"/>
      <c r="O53" s="2" t="str">
        <f t="shared" si="1"/>
        <v>Supermarket</v>
      </c>
      <c r="P53" s="1" t="s">
        <v>105</v>
      </c>
      <c r="Q53" s="1"/>
      <c r="R53" s="110"/>
      <c r="S53" s="110"/>
      <c r="T53" s="111"/>
      <c r="U53" s="111"/>
      <c r="V53" s="110"/>
      <c r="W53" s="110"/>
    </row>
    <row r="54" spans="2:23" x14ac:dyDescent="0.3">
      <c r="B54" s="2" t="str">
        <f t="shared" si="0"/>
        <v/>
      </c>
      <c r="C54" s="1"/>
      <c r="D54" s="1"/>
      <c r="E54" s="1"/>
      <c r="F54" s="110"/>
      <c r="G54" s="110"/>
      <c r="H54" s="111"/>
      <c r="I54" s="111"/>
      <c r="J54" s="110"/>
      <c r="K54" s="110"/>
      <c r="O54" s="2" t="str">
        <f t="shared" si="1"/>
        <v>Supermarket</v>
      </c>
      <c r="P54" s="1" t="s">
        <v>105</v>
      </c>
      <c r="Q54" s="1"/>
      <c r="R54" s="110"/>
      <c r="S54" s="110"/>
      <c r="T54" s="111"/>
      <c r="U54" s="111"/>
      <c r="V54" s="110"/>
      <c r="W54" s="110"/>
    </row>
    <row r="55" spans="2:23" x14ac:dyDescent="0.3">
      <c r="B55" s="2" t="str">
        <f t="shared" si="0"/>
        <v/>
      </c>
      <c r="C55" s="1"/>
      <c r="D55" s="1"/>
      <c r="E55" s="1"/>
      <c r="F55" s="110"/>
      <c r="G55" s="110"/>
      <c r="H55" s="111"/>
      <c r="I55" s="111"/>
      <c r="J55" s="110"/>
      <c r="K55" s="110"/>
      <c r="O55" s="2" t="str">
        <f t="shared" si="1"/>
        <v>Supermarket</v>
      </c>
      <c r="P55" s="1" t="s">
        <v>105</v>
      </c>
      <c r="Q55" s="1"/>
      <c r="R55" s="110"/>
      <c r="S55" s="110"/>
      <c r="T55" s="111"/>
      <c r="U55" s="111"/>
      <c r="V55" s="110"/>
      <c r="W55" s="110"/>
    </row>
    <row r="56" spans="2:23" x14ac:dyDescent="0.3">
      <c r="B56" s="2" t="str">
        <f t="shared" si="0"/>
        <v/>
      </c>
      <c r="C56" s="1"/>
      <c r="D56" s="1"/>
      <c r="E56" s="1"/>
      <c r="F56" s="110"/>
      <c r="G56" s="110"/>
      <c r="H56" s="111"/>
      <c r="I56" s="111"/>
      <c r="J56" s="110"/>
      <c r="K56" s="110"/>
      <c r="O56" s="2" t="str">
        <f t="shared" si="1"/>
        <v>Supermarket</v>
      </c>
      <c r="P56" s="1" t="s">
        <v>105</v>
      </c>
      <c r="Q56" s="1"/>
      <c r="R56" s="110"/>
      <c r="S56" s="110"/>
      <c r="T56" s="111"/>
      <c r="U56" s="111"/>
      <c r="V56" s="110"/>
      <c r="W56" s="110"/>
    </row>
    <row r="57" spans="2:23" x14ac:dyDescent="0.3">
      <c r="B57" s="2" t="str">
        <f t="shared" si="0"/>
        <v/>
      </c>
      <c r="C57" s="1"/>
      <c r="D57" s="1"/>
      <c r="E57" s="1"/>
      <c r="F57" s="110"/>
      <c r="G57" s="110"/>
      <c r="H57" s="111"/>
      <c r="I57" s="111"/>
      <c r="J57" s="110"/>
      <c r="K57" s="110"/>
      <c r="O57" s="2" t="str">
        <f t="shared" si="1"/>
        <v>Supermarket</v>
      </c>
      <c r="P57" s="1" t="s">
        <v>105</v>
      </c>
      <c r="Q57" s="1"/>
      <c r="R57" s="110"/>
      <c r="S57" s="110"/>
      <c r="T57" s="111"/>
      <c r="U57" s="111"/>
      <c r="V57" s="110"/>
      <c r="W57" s="110"/>
    </row>
    <row r="58" spans="2:23" x14ac:dyDescent="0.3">
      <c r="B58" s="2" t="str">
        <f t="shared" si="0"/>
        <v/>
      </c>
      <c r="C58" s="1"/>
      <c r="D58" s="1"/>
      <c r="E58" s="1"/>
      <c r="F58" s="110"/>
      <c r="G58" s="110"/>
      <c r="H58" s="111"/>
      <c r="I58" s="111"/>
      <c r="J58" s="110"/>
      <c r="K58" s="110"/>
      <c r="O58" s="2" t="str">
        <f t="shared" si="1"/>
        <v>Supermarket</v>
      </c>
      <c r="P58" s="1" t="s">
        <v>105</v>
      </c>
      <c r="Q58" s="1"/>
      <c r="R58" s="110"/>
      <c r="S58" s="110"/>
      <c r="T58" s="111"/>
      <c r="U58" s="111"/>
      <c r="V58" s="110"/>
      <c r="W58" s="110"/>
    </row>
    <row r="59" spans="2:23" x14ac:dyDescent="0.3">
      <c r="B59" s="2" t="str">
        <f t="shared" si="0"/>
        <v/>
      </c>
      <c r="C59" s="1"/>
      <c r="D59" s="1"/>
      <c r="E59" s="1"/>
      <c r="F59" s="110"/>
      <c r="G59" s="110"/>
      <c r="H59" s="111"/>
      <c r="I59" s="111"/>
      <c r="J59" s="110"/>
      <c r="K59" s="110"/>
      <c r="O59" s="2" t="str">
        <f t="shared" si="1"/>
        <v>Supermarket</v>
      </c>
      <c r="P59" s="1" t="s">
        <v>105</v>
      </c>
      <c r="Q59" s="1"/>
      <c r="R59" s="110"/>
      <c r="S59" s="110"/>
      <c r="T59" s="111"/>
      <c r="U59" s="111"/>
      <c r="V59" s="110"/>
      <c r="W59" s="110"/>
    </row>
    <row r="60" spans="2:23" x14ac:dyDescent="0.3">
      <c r="B60" s="2" t="str">
        <f t="shared" si="0"/>
        <v/>
      </c>
      <c r="C60" s="1"/>
      <c r="D60" s="1"/>
      <c r="E60" s="1"/>
      <c r="F60" s="110"/>
      <c r="G60" s="110"/>
      <c r="H60" s="111"/>
      <c r="I60" s="111"/>
      <c r="J60" s="110"/>
      <c r="K60" s="110"/>
      <c r="O60" s="2" t="str">
        <f t="shared" si="1"/>
        <v>Supermarket</v>
      </c>
      <c r="P60" s="1" t="s">
        <v>105</v>
      </c>
      <c r="Q60" s="1"/>
      <c r="R60" s="110"/>
      <c r="S60" s="110"/>
      <c r="T60" s="111"/>
      <c r="U60" s="111"/>
      <c r="V60" s="110"/>
      <c r="W60" s="110"/>
    </row>
    <row r="61" spans="2:23" x14ac:dyDescent="0.3">
      <c r="B61" s="2" t="str">
        <f t="shared" si="0"/>
        <v/>
      </c>
      <c r="C61" s="1"/>
      <c r="D61" s="1"/>
      <c r="E61" s="1"/>
      <c r="F61" s="110"/>
      <c r="G61" s="110"/>
      <c r="H61" s="111"/>
      <c r="I61" s="111"/>
      <c r="J61" s="110"/>
      <c r="K61" s="110"/>
      <c r="O61" s="2" t="str">
        <f t="shared" si="1"/>
        <v>Supermarket</v>
      </c>
      <c r="P61" s="1" t="s">
        <v>105</v>
      </c>
      <c r="Q61" s="1"/>
      <c r="R61" s="110"/>
      <c r="S61" s="110"/>
      <c r="T61" s="111"/>
      <c r="U61" s="111"/>
      <c r="V61" s="110"/>
      <c r="W61" s="110"/>
    </row>
    <row r="62" spans="2:23" x14ac:dyDescent="0.3">
      <c r="B62" s="2" t="str">
        <f t="shared" si="0"/>
        <v/>
      </c>
      <c r="C62" s="1"/>
      <c r="D62" s="1"/>
      <c r="E62" s="1"/>
      <c r="F62" s="110"/>
      <c r="G62" s="110"/>
      <c r="H62" s="111"/>
      <c r="I62" s="111"/>
      <c r="J62" s="110"/>
      <c r="K62" s="110"/>
      <c r="O62" s="2" t="str">
        <f t="shared" si="1"/>
        <v>Supermarket</v>
      </c>
      <c r="P62" s="1" t="s">
        <v>105</v>
      </c>
      <c r="Q62" s="1"/>
      <c r="R62" s="110"/>
      <c r="S62" s="110"/>
      <c r="T62" s="111"/>
      <c r="U62" s="111"/>
      <c r="V62" s="110"/>
      <c r="W62" s="110"/>
    </row>
    <row r="63" spans="2:23" x14ac:dyDescent="0.3">
      <c r="B63" s="2" t="str">
        <f t="shared" si="0"/>
        <v/>
      </c>
      <c r="C63" s="1"/>
      <c r="D63" s="1"/>
      <c r="E63" s="1"/>
      <c r="F63" s="110"/>
      <c r="G63" s="110"/>
      <c r="H63" s="111"/>
      <c r="I63" s="111"/>
      <c r="J63" s="110"/>
      <c r="K63" s="110"/>
      <c r="O63" s="2" t="str">
        <f t="shared" si="1"/>
        <v>Supermarket</v>
      </c>
      <c r="P63" s="1" t="s">
        <v>105</v>
      </c>
      <c r="Q63" s="1"/>
      <c r="R63" s="110"/>
      <c r="S63" s="110"/>
      <c r="T63" s="111"/>
      <c r="U63" s="111"/>
      <c r="V63" s="110"/>
      <c r="W63" s="110"/>
    </row>
    <row r="64" spans="2:23" x14ac:dyDescent="0.3">
      <c r="B64" s="2" t="str">
        <f t="shared" si="0"/>
        <v/>
      </c>
      <c r="C64" s="1"/>
      <c r="D64" s="1"/>
      <c r="E64" s="1"/>
      <c r="F64" s="110"/>
      <c r="G64" s="110"/>
      <c r="H64" s="111"/>
      <c r="I64" s="111"/>
      <c r="J64" s="110"/>
      <c r="K64" s="110"/>
      <c r="O64" s="2" t="str">
        <f t="shared" si="1"/>
        <v>Supermarket</v>
      </c>
      <c r="P64" s="1" t="s">
        <v>105</v>
      </c>
      <c r="Q64" s="1"/>
      <c r="R64" s="110"/>
      <c r="S64" s="110"/>
      <c r="T64" s="111"/>
      <c r="U64" s="111"/>
      <c r="V64" s="110"/>
      <c r="W64" s="110"/>
    </row>
    <row r="65" spans="2:23" x14ac:dyDescent="0.3">
      <c r="B65" s="2" t="str">
        <f t="shared" si="0"/>
        <v/>
      </c>
      <c r="C65" s="1"/>
      <c r="D65" s="1"/>
      <c r="E65" s="1"/>
      <c r="F65" s="110"/>
      <c r="G65" s="110"/>
      <c r="H65" s="111"/>
      <c r="I65" s="111"/>
      <c r="J65" s="110"/>
      <c r="K65" s="110"/>
      <c r="O65" s="2" t="str">
        <f t="shared" si="1"/>
        <v>Supermarket</v>
      </c>
      <c r="P65" s="1" t="s">
        <v>105</v>
      </c>
      <c r="Q65" s="1"/>
      <c r="R65" s="110"/>
      <c r="S65" s="110"/>
      <c r="T65" s="111"/>
      <c r="U65" s="111"/>
      <c r="V65" s="110"/>
      <c r="W65" s="110"/>
    </row>
    <row r="66" spans="2:23" x14ac:dyDescent="0.3">
      <c r="B66" s="2" t="str">
        <f t="shared" si="0"/>
        <v/>
      </c>
      <c r="C66" s="1"/>
      <c r="D66" s="1"/>
      <c r="E66" s="1"/>
      <c r="F66" s="110"/>
      <c r="G66" s="110"/>
      <c r="H66" s="111"/>
      <c r="I66" s="111"/>
      <c r="J66" s="110"/>
      <c r="K66" s="110"/>
      <c r="O66" s="2" t="str">
        <f t="shared" si="1"/>
        <v>Supermarket</v>
      </c>
      <c r="P66" s="1" t="s">
        <v>105</v>
      </c>
      <c r="Q66" s="1"/>
      <c r="R66" s="110"/>
      <c r="S66" s="110"/>
      <c r="T66" s="111"/>
      <c r="U66" s="111"/>
      <c r="V66" s="110"/>
      <c r="W66" s="110"/>
    </row>
    <row r="67" spans="2:23" x14ac:dyDescent="0.3">
      <c r="B67" s="2" t="str">
        <f t="shared" si="0"/>
        <v/>
      </c>
      <c r="C67" s="1"/>
      <c r="D67" s="1"/>
      <c r="E67" s="1"/>
      <c r="F67" s="110"/>
      <c r="G67" s="110"/>
      <c r="H67" s="111"/>
      <c r="I67" s="111"/>
      <c r="J67" s="110"/>
      <c r="K67" s="110"/>
      <c r="O67" s="2" t="str">
        <f t="shared" si="1"/>
        <v>Supermarket</v>
      </c>
      <c r="P67" s="1" t="s">
        <v>105</v>
      </c>
      <c r="Q67" s="1"/>
      <c r="R67" s="110"/>
      <c r="S67" s="110"/>
      <c r="T67" s="111"/>
      <c r="U67" s="111"/>
      <c r="V67" s="110"/>
      <c r="W67" s="110"/>
    </row>
    <row r="68" spans="2:23" x14ac:dyDescent="0.3">
      <c r="B68" s="2" t="str">
        <f t="shared" ref="B68:B131" si="2">C68&amp;D68&amp;E68</f>
        <v/>
      </c>
      <c r="C68" s="1"/>
      <c r="D68" s="1"/>
      <c r="E68" s="1"/>
      <c r="F68" s="110"/>
      <c r="G68" s="110"/>
      <c r="H68" s="111"/>
      <c r="I68" s="111"/>
      <c r="J68" s="110"/>
      <c r="K68" s="110"/>
      <c r="O68" s="2" t="str">
        <f t="shared" ref="O68:O131" si="3">P68&amp;Q68</f>
        <v>Supermarket</v>
      </c>
      <c r="P68" s="1" t="s">
        <v>105</v>
      </c>
      <c r="Q68" s="1"/>
      <c r="R68" s="110"/>
      <c r="S68" s="110"/>
      <c r="T68" s="111"/>
      <c r="U68" s="111"/>
      <c r="V68" s="110"/>
      <c r="W68" s="110"/>
    </row>
    <row r="69" spans="2:23" x14ac:dyDescent="0.3">
      <c r="B69" s="2" t="str">
        <f t="shared" si="2"/>
        <v/>
      </c>
      <c r="C69" s="1"/>
      <c r="D69" s="1"/>
      <c r="E69" s="1"/>
      <c r="F69" s="110"/>
      <c r="G69" s="110"/>
      <c r="H69" s="111"/>
      <c r="I69" s="111"/>
      <c r="J69" s="110"/>
      <c r="K69" s="110"/>
      <c r="O69" s="2" t="str">
        <f t="shared" si="3"/>
        <v>Supermarket</v>
      </c>
      <c r="P69" s="1" t="s">
        <v>105</v>
      </c>
      <c r="Q69" s="1"/>
      <c r="R69" s="110"/>
      <c r="S69" s="110"/>
      <c r="T69" s="111"/>
      <c r="U69" s="111"/>
      <c r="V69" s="110"/>
      <c r="W69" s="110"/>
    </row>
    <row r="70" spans="2:23" x14ac:dyDescent="0.3">
      <c r="B70" s="2" t="str">
        <f t="shared" si="2"/>
        <v/>
      </c>
      <c r="C70" s="1"/>
      <c r="D70" s="1"/>
      <c r="E70" s="1"/>
      <c r="F70" s="110"/>
      <c r="G70" s="110"/>
      <c r="H70" s="111"/>
      <c r="I70" s="111"/>
      <c r="J70" s="110"/>
      <c r="K70" s="110"/>
      <c r="O70" s="2" t="str">
        <f t="shared" si="3"/>
        <v>Supermarket</v>
      </c>
      <c r="P70" s="1" t="s">
        <v>105</v>
      </c>
      <c r="Q70" s="1"/>
      <c r="R70" s="110"/>
      <c r="S70" s="110"/>
      <c r="T70" s="111"/>
      <c r="U70" s="111"/>
      <c r="V70" s="110"/>
      <c r="W70" s="110"/>
    </row>
    <row r="71" spans="2:23" x14ac:dyDescent="0.3">
      <c r="B71" s="2" t="str">
        <f t="shared" si="2"/>
        <v/>
      </c>
      <c r="C71" s="1"/>
      <c r="D71" s="1"/>
      <c r="E71" s="1"/>
      <c r="F71" s="110"/>
      <c r="G71" s="110"/>
      <c r="H71" s="111"/>
      <c r="I71" s="111"/>
      <c r="J71" s="110"/>
      <c r="K71" s="110"/>
      <c r="O71" s="2" t="str">
        <f t="shared" si="3"/>
        <v>Supermarket</v>
      </c>
      <c r="P71" s="1" t="s">
        <v>105</v>
      </c>
      <c r="Q71" s="1"/>
      <c r="R71" s="110"/>
      <c r="S71" s="110"/>
      <c r="T71" s="111"/>
      <c r="U71" s="111"/>
      <c r="V71" s="110"/>
      <c r="W71" s="110"/>
    </row>
    <row r="72" spans="2:23" x14ac:dyDescent="0.3">
      <c r="B72" s="2" t="str">
        <f t="shared" si="2"/>
        <v/>
      </c>
      <c r="C72" s="1"/>
      <c r="D72" s="1"/>
      <c r="E72" s="1"/>
      <c r="F72" s="110"/>
      <c r="G72" s="110"/>
      <c r="H72" s="111"/>
      <c r="I72" s="111"/>
      <c r="J72" s="110"/>
      <c r="K72" s="110"/>
      <c r="O72" s="2" t="str">
        <f t="shared" si="3"/>
        <v>Supermarket</v>
      </c>
      <c r="P72" s="1" t="s">
        <v>105</v>
      </c>
      <c r="Q72" s="1"/>
      <c r="R72" s="110"/>
      <c r="S72" s="110"/>
      <c r="T72" s="111"/>
      <c r="U72" s="111"/>
      <c r="V72" s="110"/>
      <c r="W72" s="110"/>
    </row>
    <row r="73" spans="2:23" x14ac:dyDescent="0.3">
      <c r="B73" s="2" t="str">
        <f t="shared" si="2"/>
        <v/>
      </c>
      <c r="C73" s="1"/>
      <c r="D73" s="1"/>
      <c r="E73" s="1"/>
      <c r="F73" s="110"/>
      <c r="G73" s="110"/>
      <c r="H73" s="111"/>
      <c r="I73" s="111"/>
      <c r="J73" s="110"/>
      <c r="K73" s="110"/>
      <c r="O73" s="2" t="str">
        <f t="shared" si="3"/>
        <v>Supermarket</v>
      </c>
      <c r="P73" s="1" t="s">
        <v>105</v>
      </c>
      <c r="Q73" s="1"/>
      <c r="R73" s="110"/>
      <c r="S73" s="110"/>
      <c r="T73" s="111"/>
      <c r="U73" s="111"/>
      <c r="V73" s="110"/>
      <c r="W73" s="110"/>
    </row>
    <row r="74" spans="2:23" x14ac:dyDescent="0.3">
      <c r="B74" s="2" t="str">
        <f t="shared" si="2"/>
        <v/>
      </c>
      <c r="C74" s="1"/>
      <c r="D74" s="1"/>
      <c r="E74" s="1"/>
      <c r="F74" s="110"/>
      <c r="G74" s="110"/>
      <c r="H74" s="111"/>
      <c r="I74" s="111"/>
      <c r="J74" s="110"/>
      <c r="K74" s="110"/>
      <c r="O74" s="2" t="str">
        <f t="shared" si="3"/>
        <v>Supermarket</v>
      </c>
      <c r="P74" s="1" t="s">
        <v>105</v>
      </c>
      <c r="Q74" s="1"/>
      <c r="R74" s="110"/>
      <c r="S74" s="110"/>
      <c r="T74" s="111"/>
      <c r="U74" s="111"/>
      <c r="V74" s="110"/>
      <c r="W74" s="110"/>
    </row>
    <row r="75" spans="2:23" x14ac:dyDescent="0.3">
      <c r="B75" s="2" t="str">
        <f t="shared" si="2"/>
        <v/>
      </c>
      <c r="C75" s="1"/>
      <c r="D75" s="1"/>
      <c r="E75" s="1"/>
      <c r="F75" s="110"/>
      <c r="G75" s="110"/>
      <c r="H75" s="111"/>
      <c r="I75" s="111"/>
      <c r="J75" s="110"/>
      <c r="K75" s="110"/>
      <c r="O75" s="2" t="str">
        <f t="shared" si="3"/>
        <v>Supermarket</v>
      </c>
      <c r="P75" s="1" t="s">
        <v>105</v>
      </c>
      <c r="Q75" s="1"/>
      <c r="R75" s="110"/>
      <c r="S75" s="110"/>
      <c r="T75" s="111"/>
      <c r="U75" s="111"/>
      <c r="V75" s="110"/>
      <c r="W75" s="110"/>
    </row>
    <row r="76" spans="2:23" x14ac:dyDescent="0.3">
      <c r="B76" s="2" t="str">
        <f t="shared" si="2"/>
        <v/>
      </c>
      <c r="C76" s="1"/>
      <c r="D76" s="1"/>
      <c r="E76" s="1"/>
      <c r="F76" s="110"/>
      <c r="G76" s="110"/>
      <c r="H76" s="111"/>
      <c r="I76" s="111"/>
      <c r="J76" s="110"/>
      <c r="K76" s="110"/>
      <c r="O76" s="2" t="str">
        <f t="shared" si="3"/>
        <v>Supermarket</v>
      </c>
      <c r="P76" s="1" t="s">
        <v>105</v>
      </c>
      <c r="Q76" s="1"/>
      <c r="R76" s="110"/>
      <c r="S76" s="110"/>
      <c r="T76" s="111"/>
      <c r="U76" s="111"/>
      <c r="V76" s="110"/>
      <c r="W76" s="110"/>
    </row>
    <row r="77" spans="2:23" x14ac:dyDescent="0.3">
      <c r="B77" s="2" t="str">
        <f t="shared" si="2"/>
        <v/>
      </c>
      <c r="C77" s="1"/>
      <c r="D77" s="1"/>
      <c r="E77" s="1"/>
      <c r="F77" s="110"/>
      <c r="G77" s="110"/>
      <c r="H77" s="111"/>
      <c r="I77" s="111"/>
      <c r="J77" s="110"/>
      <c r="K77" s="110"/>
      <c r="O77" s="2" t="str">
        <f t="shared" si="3"/>
        <v>Supermarket</v>
      </c>
      <c r="P77" s="1" t="s">
        <v>105</v>
      </c>
      <c r="Q77" s="1"/>
      <c r="R77" s="110"/>
      <c r="S77" s="110"/>
      <c r="T77" s="111"/>
      <c r="U77" s="111"/>
      <c r="V77" s="110"/>
      <c r="W77" s="110"/>
    </row>
    <row r="78" spans="2:23" x14ac:dyDescent="0.3">
      <c r="B78" s="2" t="str">
        <f t="shared" si="2"/>
        <v/>
      </c>
      <c r="C78" s="1"/>
      <c r="D78" s="1"/>
      <c r="E78" s="1"/>
      <c r="F78" s="110"/>
      <c r="G78" s="110"/>
      <c r="H78" s="111"/>
      <c r="I78" s="111"/>
      <c r="J78" s="110"/>
      <c r="K78" s="110"/>
      <c r="O78" s="2" t="str">
        <f t="shared" si="3"/>
        <v>Supermarket</v>
      </c>
      <c r="P78" s="1" t="s">
        <v>105</v>
      </c>
      <c r="Q78" s="1"/>
      <c r="R78" s="110"/>
      <c r="S78" s="110"/>
      <c r="T78" s="111"/>
      <c r="U78" s="111"/>
      <c r="V78" s="110"/>
      <c r="W78" s="110"/>
    </row>
    <row r="79" spans="2:23" x14ac:dyDescent="0.3">
      <c r="B79" s="2" t="str">
        <f t="shared" si="2"/>
        <v/>
      </c>
      <c r="C79" s="1"/>
      <c r="D79" s="1"/>
      <c r="E79" s="1"/>
      <c r="F79" s="110"/>
      <c r="G79" s="110"/>
      <c r="H79" s="111"/>
      <c r="I79" s="111"/>
      <c r="J79" s="110"/>
      <c r="K79" s="110"/>
      <c r="O79" s="2" t="str">
        <f t="shared" si="3"/>
        <v>Supermarket</v>
      </c>
      <c r="P79" s="1" t="s">
        <v>105</v>
      </c>
      <c r="Q79" s="1"/>
      <c r="R79" s="110"/>
      <c r="S79" s="110"/>
      <c r="T79" s="111"/>
      <c r="U79" s="111"/>
      <c r="V79" s="110"/>
      <c r="W79" s="110"/>
    </row>
    <row r="80" spans="2:23" x14ac:dyDescent="0.3">
      <c r="B80" s="2" t="str">
        <f t="shared" si="2"/>
        <v/>
      </c>
      <c r="C80" s="1"/>
      <c r="D80" s="1"/>
      <c r="E80" s="1"/>
      <c r="F80" s="110"/>
      <c r="G80" s="110"/>
      <c r="H80" s="111"/>
      <c r="I80" s="111"/>
      <c r="J80" s="110"/>
      <c r="K80" s="110"/>
      <c r="O80" s="2" t="str">
        <f t="shared" si="3"/>
        <v>Supermarket</v>
      </c>
      <c r="P80" s="1" t="s">
        <v>105</v>
      </c>
      <c r="Q80" s="1"/>
      <c r="R80" s="110"/>
      <c r="S80" s="110"/>
      <c r="T80" s="111"/>
      <c r="U80" s="111"/>
      <c r="V80" s="110"/>
      <c r="W80" s="110"/>
    </row>
    <row r="81" spans="2:23" x14ac:dyDescent="0.3">
      <c r="B81" s="2" t="str">
        <f t="shared" si="2"/>
        <v/>
      </c>
      <c r="C81" s="1"/>
      <c r="D81" s="1"/>
      <c r="E81" s="1"/>
      <c r="F81" s="110"/>
      <c r="G81" s="110"/>
      <c r="H81" s="111"/>
      <c r="I81" s="111"/>
      <c r="J81" s="110"/>
      <c r="K81" s="110"/>
      <c r="O81" s="2" t="str">
        <f t="shared" si="3"/>
        <v>Supermarket</v>
      </c>
      <c r="P81" s="1" t="s">
        <v>105</v>
      </c>
      <c r="Q81" s="1"/>
      <c r="R81" s="110"/>
      <c r="S81" s="110"/>
      <c r="T81" s="111"/>
      <c r="U81" s="111"/>
      <c r="V81" s="110"/>
      <c r="W81" s="110"/>
    </row>
    <row r="82" spans="2:23" x14ac:dyDescent="0.3">
      <c r="B82" s="2" t="str">
        <f t="shared" si="2"/>
        <v/>
      </c>
      <c r="C82" s="1"/>
      <c r="D82" s="1"/>
      <c r="E82" s="1"/>
      <c r="F82" s="110"/>
      <c r="G82" s="110"/>
      <c r="H82" s="111"/>
      <c r="I82" s="111"/>
      <c r="J82" s="110"/>
      <c r="K82" s="110"/>
      <c r="O82" s="2" t="str">
        <f t="shared" si="3"/>
        <v>Supermarket</v>
      </c>
      <c r="P82" s="1" t="s">
        <v>105</v>
      </c>
      <c r="Q82" s="1"/>
      <c r="R82" s="110"/>
      <c r="S82" s="110"/>
      <c r="T82" s="111"/>
      <c r="U82" s="111"/>
      <c r="V82" s="110"/>
      <c r="W82" s="110"/>
    </row>
    <row r="83" spans="2:23" x14ac:dyDescent="0.3">
      <c r="B83" s="2" t="str">
        <f t="shared" si="2"/>
        <v/>
      </c>
      <c r="C83" s="1"/>
      <c r="D83" s="1"/>
      <c r="E83" s="1"/>
      <c r="F83" s="110"/>
      <c r="G83" s="110"/>
      <c r="H83" s="111"/>
      <c r="I83" s="111"/>
      <c r="J83" s="110"/>
      <c r="K83" s="110"/>
      <c r="O83" s="2" t="str">
        <f t="shared" si="3"/>
        <v>Supermarket</v>
      </c>
      <c r="P83" s="1" t="s">
        <v>105</v>
      </c>
      <c r="Q83" s="1"/>
      <c r="R83" s="110"/>
      <c r="S83" s="110"/>
      <c r="T83" s="111"/>
      <c r="U83" s="111"/>
      <c r="V83" s="110"/>
      <c r="W83" s="110"/>
    </row>
    <row r="84" spans="2:23" x14ac:dyDescent="0.3">
      <c r="B84" s="2" t="str">
        <f t="shared" si="2"/>
        <v/>
      </c>
      <c r="C84" s="1"/>
      <c r="D84" s="1"/>
      <c r="E84" s="1"/>
      <c r="F84" s="110"/>
      <c r="G84" s="110"/>
      <c r="H84" s="111"/>
      <c r="I84" s="111"/>
      <c r="J84" s="110"/>
      <c r="K84" s="110"/>
      <c r="O84" s="2" t="str">
        <f t="shared" si="3"/>
        <v>Supermarket</v>
      </c>
      <c r="P84" s="1" t="s">
        <v>105</v>
      </c>
      <c r="Q84" s="1"/>
      <c r="R84" s="110"/>
      <c r="S84" s="110"/>
      <c r="T84" s="111"/>
      <c r="U84" s="111"/>
      <c r="V84" s="110"/>
      <c r="W84" s="110"/>
    </row>
    <row r="85" spans="2:23" x14ac:dyDescent="0.3">
      <c r="B85" s="2" t="str">
        <f t="shared" si="2"/>
        <v/>
      </c>
      <c r="C85" s="1"/>
      <c r="D85" s="1"/>
      <c r="E85" s="1"/>
      <c r="F85" s="110"/>
      <c r="G85" s="110"/>
      <c r="H85" s="111"/>
      <c r="I85" s="111"/>
      <c r="J85" s="110"/>
      <c r="K85" s="110"/>
      <c r="O85" s="2" t="str">
        <f t="shared" si="3"/>
        <v>Supermarket</v>
      </c>
      <c r="P85" s="1" t="s">
        <v>105</v>
      </c>
      <c r="Q85" s="1"/>
      <c r="R85" s="110"/>
      <c r="S85" s="110"/>
      <c r="T85" s="111"/>
      <c r="U85" s="111"/>
      <c r="V85" s="110"/>
      <c r="W85" s="110"/>
    </row>
    <row r="86" spans="2:23" x14ac:dyDescent="0.3">
      <c r="B86" s="2" t="str">
        <f t="shared" si="2"/>
        <v/>
      </c>
      <c r="C86" s="1"/>
      <c r="D86" s="1"/>
      <c r="E86" s="1"/>
      <c r="F86" s="110"/>
      <c r="G86" s="110"/>
      <c r="H86" s="111"/>
      <c r="I86" s="111"/>
      <c r="J86" s="110"/>
      <c r="K86" s="110"/>
      <c r="O86" s="2" t="str">
        <f t="shared" si="3"/>
        <v>Supermarket</v>
      </c>
      <c r="P86" s="1" t="s">
        <v>105</v>
      </c>
      <c r="Q86" s="1"/>
      <c r="R86" s="110"/>
      <c r="S86" s="110"/>
      <c r="T86" s="111"/>
      <c r="U86" s="111"/>
      <c r="V86" s="110"/>
      <c r="W86" s="110"/>
    </row>
    <row r="87" spans="2:23" x14ac:dyDescent="0.3">
      <c r="B87" s="2" t="str">
        <f t="shared" si="2"/>
        <v/>
      </c>
      <c r="C87" s="1"/>
      <c r="D87" s="1"/>
      <c r="E87" s="1"/>
      <c r="F87" s="110"/>
      <c r="G87" s="110"/>
      <c r="H87" s="111"/>
      <c r="I87" s="111"/>
      <c r="J87" s="110"/>
      <c r="K87" s="110"/>
      <c r="O87" s="2" t="str">
        <f t="shared" si="3"/>
        <v>Supermarket</v>
      </c>
      <c r="P87" s="1" t="s">
        <v>105</v>
      </c>
      <c r="Q87" s="1"/>
      <c r="R87" s="110"/>
      <c r="S87" s="110"/>
      <c r="T87" s="111"/>
      <c r="U87" s="111"/>
      <c r="V87" s="110"/>
      <c r="W87" s="110"/>
    </row>
    <row r="88" spans="2:23" x14ac:dyDescent="0.3">
      <c r="B88" s="2" t="str">
        <f t="shared" si="2"/>
        <v/>
      </c>
      <c r="C88" s="1"/>
      <c r="D88" s="1"/>
      <c r="E88" s="1"/>
      <c r="F88" s="110"/>
      <c r="G88" s="110"/>
      <c r="H88" s="111"/>
      <c r="I88" s="111"/>
      <c r="J88" s="110"/>
      <c r="K88" s="110"/>
      <c r="O88" s="2" t="str">
        <f t="shared" si="3"/>
        <v>Supermarket</v>
      </c>
      <c r="P88" s="1" t="s">
        <v>105</v>
      </c>
      <c r="Q88" s="1"/>
      <c r="R88" s="110"/>
      <c r="S88" s="110"/>
      <c r="T88" s="111"/>
      <c r="U88" s="111"/>
      <c r="V88" s="110"/>
      <c r="W88" s="110"/>
    </row>
    <row r="89" spans="2:23" x14ac:dyDescent="0.3">
      <c r="B89" s="2" t="str">
        <f t="shared" si="2"/>
        <v/>
      </c>
      <c r="C89" s="1"/>
      <c r="D89" s="1"/>
      <c r="E89" s="1"/>
      <c r="F89" s="110"/>
      <c r="G89" s="110"/>
      <c r="H89" s="111"/>
      <c r="I89" s="111"/>
      <c r="J89" s="110"/>
      <c r="K89" s="110"/>
      <c r="O89" s="2" t="str">
        <f t="shared" si="3"/>
        <v>Supermarket</v>
      </c>
      <c r="P89" s="1" t="s">
        <v>105</v>
      </c>
      <c r="Q89" s="1"/>
      <c r="R89" s="110"/>
      <c r="S89" s="110"/>
      <c r="T89" s="111"/>
      <c r="U89" s="111"/>
      <c r="V89" s="110"/>
      <c r="W89" s="110"/>
    </row>
    <row r="90" spans="2:23" x14ac:dyDescent="0.3">
      <c r="B90" s="2" t="str">
        <f t="shared" si="2"/>
        <v/>
      </c>
      <c r="C90" s="1"/>
      <c r="D90" s="1"/>
      <c r="E90" s="1"/>
      <c r="F90" s="110"/>
      <c r="G90" s="110"/>
      <c r="H90" s="111"/>
      <c r="I90" s="111"/>
      <c r="J90" s="110"/>
      <c r="K90" s="110"/>
      <c r="O90" s="2" t="str">
        <f t="shared" si="3"/>
        <v>Supermarket</v>
      </c>
      <c r="P90" s="1" t="s">
        <v>105</v>
      </c>
      <c r="Q90" s="1"/>
      <c r="R90" s="110"/>
      <c r="S90" s="110"/>
      <c r="T90" s="111"/>
      <c r="U90" s="111"/>
      <c r="V90" s="110"/>
      <c r="W90" s="110"/>
    </row>
    <row r="91" spans="2:23" x14ac:dyDescent="0.3">
      <c r="B91" s="2" t="str">
        <f t="shared" si="2"/>
        <v/>
      </c>
      <c r="C91" s="1"/>
      <c r="D91" s="1"/>
      <c r="E91" s="1"/>
      <c r="F91" s="110"/>
      <c r="G91" s="110"/>
      <c r="H91" s="111"/>
      <c r="I91" s="111"/>
      <c r="J91" s="110"/>
      <c r="K91" s="110"/>
      <c r="O91" s="2" t="str">
        <f t="shared" si="3"/>
        <v>Supermarket</v>
      </c>
      <c r="P91" s="1" t="s">
        <v>105</v>
      </c>
      <c r="Q91" s="1"/>
      <c r="R91" s="110"/>
      <c r="S91" s="110"/>
      <c r="T91" s="111"/>
      <c r="U91" s="111"/>
      <c r="V91" s="110"/>
      <c r="W91" s="110"/>
    </row>
    <row r="92" spans="2:23" x14ac:dyDescent="0.3">
      <c r="B92" s="2" t="str">
        <f t="shared" si="2"/>
        <v/>
      </c>
      <c r="C92" s="1"/>
      <c r="D92" s="1"/>
      <c r="E92" s="1"/>
      <c r="F92" s="110"/>
      <c r="G92" s="110"/>
      <c r="H92" s="111"/>
      <c r="I92" s="111"/>
      <c r="J92" s="110"/>
      <c r="K92" s="110"/>
      <c r="O92" s="2" t="str">
        <f t="shared" si="3"/>
        <v>Supermarket</v>
      </c>
      <c r="P92" s="1" t="s">
        <v>105</v>
      </c>
      <c r="Q92" s="1"/>
      <c r="R92" s="110"/>
      <c r="S92" s="110"/>
      <c r="T92" s="111"/>
      <c r="U92" s="111"/>
      <c r="V92" s="110"/>
      <c r="W92" s="110"/>
    </row>
    <row r="93" spans="2:23" x14ac:dyDescent="0.3">
      <c r="B93" s="2" t="str">
        <f t="shared" si="2"/>
        <v/>
      </c>
      <c r="C93" s="1"/>
      <c r="D93" s="1"/>
      <c r="E93" s="1"/>
      <c r="F93" s="110"/>
      <c r="G93" s="110"/>
      <c r="H93" s="111"/>
      <c r="I93" s="111"/>
      <c r="J93" s="110"/>
      <c r="K93" s="110"/>
      <c r="O93" s="2" t="str">
        <f t="shared" si="3"/>
        <v>Supermarket</v>
      </c>
      <c r="P93" s="1" t="s">
        <v>105</v>
      </c>
      <c r="Q93" s="1"/>
      <c r="R93" s="110"/>
      <c r="S93" s="110"/>
      <c r="T93" s="111"/>
      <c r="U93" s="111"/>
      <c r="V93" s="110"/>
      <c r="W93" s="110"/>
    </row>
    <row r="94" spans="2:23" x14ac:dyDescent="0.3">
      <c r="B94" s="2" t="str">
        <f t="shared" si="2"/>
        <v/>
      </c>
      <c r="C94" s="1"/>
      <c r="D94" s="1"/>
      <c r="E94" s="1"/>
      <c r="F94" s="110"/>
      <c r="G94" s="110"/>
      <c r="H94" s="111"/>
      <c r="I94" s="111"/>
      <c r="J94" s="110"/>
      <c r="K94" s="110"/>
      <c r="O94" s="2" t="str">
        <f t="shared" si="3"/>
        <v>Supermarket</v>
      </c>
      <c r="P94" s="1" t="s">
        <v>105</v>
      </c>
      <c r="Q94" s="1"/>
      <c r="R94" s="110"/>
      <c r="S94" s="110"/>
      <c r="T94" s="111"/>
      <c r="U94" s="111"/>
      <c r="V94" s="110"/>
      <c r="W94" s="110"/>
    </row>
    <row r="95" spans="2:23" x14ac:dyDescent="0.3">
      <c r="B95" s="2" t="str">
        <f t="shared" si="2"/>
        <v/>
      </c>
      <c r="C95" s="1"/>
      <c r="D95" s="1"/>
      <c r="E95" s="1"/>
      <c r="F95" s="110"/>
      <c r="G95" s="110"/>
      <c r="H95" s="111"/>
      <c r="I95" s="111"/>
      <c r="J95" s="110"/>
      <c r="K95" s="110"/>
      <c r="O95" s="2" t="str">
        <f t="shared" si="3"/>
        <v>Supermarket</v>
      </c>
      <c r="P95" s="1" t="s">
        <v>105</v>
      </c>
      <c r="Q95" s="1"/>
      <c r="R95" s="110"/>
      <c r="S95" s="110"/>
      <c r="T95" s="111"/>
      <c r="U95" s="111"/>
      <c r="V95" s="110"/>
      <c r="W95" s="110"/>
    </row>
    <row r="96" spans="2:23" x14ac:dyDescent="0.3">
      <c r="B96" s="2" t="str">
        <f t="shared" si="2"/>
        <v/>
      </c>
      <c r="C96" s="1"/>
      <c r="D96" s="1"/>
      <c r="E96" s="1"/>
      <c r="F96" s="110"/>
      <c r="G96" s="110"/>
      <c r="H96" s="111"/>
      <c r="I96" s="111"/>
      <c r="J96" s="110"/>
      <c r="K96" s="110"/>
      <c r="O96" s="2" t="str">
        <f t="shared" si="3"/>
        <v>Supermarket</v>
      </c>
      <c r="P96" s="1" t="s">
        <v>105</v>
      </c>
      <c r="Q96" s="1"/>
      <c r="R96" s="110"/>
      <c r="S96" s="110"/>
      <c r="T96" s="111"/>
      <c r="U96" s="111"/>
      <c r="V96" s="110"/>
      <c r="W96" s="110"/>
    </row>
    <row r="97" spans="2:23" x14ac:dyDescent="0.3">
      <c r="B97" s="2" t="str">
        <f t="shared" si="2"/>
        <v/>
      </c>
      <c r="C97" s="1"/>
      <c r="D97" s="1"/>
      <c r="E97" s="1"/>
      <c r="F97" s="110"/>
      <c r="G97" s="110"/>
      <c r="H97" s="111"/>
      <c r="I97" s="111"/>
      <c r="J97" s="110"/>
      <c r="K97" s="110"/>
      <c r="O97" s="2" t="str">
        <f t="shared" si="3"/>
        <v>Supermarket</v>
      </c>
      <c r="P97" s="1" t="s">
        <v>105</v>
      </c>
      <c r="Q97" s="1"/>
      <c r="R97" s="110"/>
      <c r="S97" s="110"/>
      <c r="T97" s="111"/>
      <c r="U97" s="111"/>
      <c r="V97" s="110"/>
      <c r="W97" s="110"/>
    </row>
    <row r="98" spans="2:23" x14ac:dyDescent="0.3">
      <c r="B98" s="2" t="str">
        <f t="shared" si="2"/>
        <v/>
      </c>
      <c r="C98" s="1"/>
      <c r="D98" s="1"/>
      <c r="E98" s="1"/>
      <c r="F98" s="110"/>
      <c r="G98" s="110"/>
      <c r="H98" s="111"/>
      <c r="I98" s="111"/>
      <c r="J98" s="110"/>
      <c r="K98" s="110"/>
      <c r="O98" s="2" t="str">
        <f t="shared" si="3"/>
        <v>Supermarket</v>
      </c>
      <c r="P98" s="1" t="s">
        <v>105</v>
      </c>
      <c r="Q98" s="1"/>
      <c r="R98" s="110"/>
      <c r="S98" s="110"/>
      <c r="T98" s="111"/>
      <c r="U98" s="111"/>
      <c r="V98" s="110"/>
      <c r="W98" s="110"/>
    </row>
    <row r="99" spans="2:23" x14ac:dyDescent="0.3">
      <c r="B99" s="2" t="str">
        <f t="shared" si="2"/>
        <v/>
      </c>
      <c r="C99" s="1"/>
      <c r="D99" s="1"/>
      <c r="E99" s="1"/>
      <c r="F99" s="110"/>
      <c r="G99" s="110"/>
      <c r="H99" s="111"/>
      <c r="I99" s="111"/>
      <c r="J99" s="110"/>
      <c r="K99" s="110"/>
      <c r="O99" s="2" t="str">
        <f t="shared" si="3"/>
        <v>Supermarket</v>
      </c>
      <c r="P99" s="1" t="s">
        <v>105</v>
      </c>
      <c r="Q99" s="1"/>
      <c r="R99" s="110"/>
      <c r="S99" s="110"/>
      <c r="T99" s="111"/>
      <c r="U99" s="111"/>
      <c r="V99" s="110"/>
      <c r="W99" s="110"/>
    </row>
    <row r="100" spans="2:23" x14ac:dyDescent="0.3">
      <c r="B100" s="2" t="str">
        <f t="shared" si="2"/>
        <v/>
      </c>
      <c r="C100" s="1"/>
      <c r="D100" s="1"/>
      <c r="E100" s="1"/>
      <c r="F100" s="110"/>
      <c r="G100" s="110"/>
      <c r="H100" s="111"/>
      <c r="I100" s="111"/>
      <c r="J100" s="110"/>
      <c r="K100" s="110"/>
      <c r="O100" s="2" t="str">
        <f t="shared" si="3"/>
        <v>Supermarket</v>
      </c>
      <c r="P100" s="1" t="s">
        <v>105</v>
      </c>
      <c r="Q100" s="1"/>
      <c r="R100" s="110"/>
      <c r="S100" s="110"/>
      <c r="T100" s="111"/>
      <c r="U100" s="111"/>
      <c r="V100" s="110"/>
      <c r="W100" s="110"/>
    </row>
    <row r="101" spans="2:23" x14ac:dyDescent="0.3">
      <c r="B101" s="2" t="str">
        <f t="shared" si="2"/>
        <v/>
      </c>
      <c r="C101" s="1"/>
      <c r="D101" s="1"/>
      <c r="E101" s="1"/>
      <c r="F101" s="110"/>
      <c r="G101" s="110"/>
      <c r="H101" s="111"/>
      <c r="I101" s="111"/>
      <c r="J101" s="110"/>
      <c r="K101" s="110"/>
      <c r="O101" s="2" t="str">
        <f t="shared" si="3"/>
        <v>Supermarket</v>
      </c>
      <c r="P101" s="1" t="s">
        <v>105</v>
      </c>
      <c r="Q101" s="1"/>
      <c r="R101" s="110"/>
      <c r="S101" s="110"/>
      <c r="T101" s="111"/>
      <c r="U101" s="111"/>
      <c r="V101" s="110"/>
      <c r="W101" s="110"/>
    </row>
    <row r="102" spans="2:23" x14ac:dyDescent="0.3">
      <c r="B102" s="2" t="str">
        <f t="shared" si="2"/>
        <v/>
      </c>
      <c r="C102" s="1"/>
      <c r="D102" s="1"/>
      <c r="E102" s="1"/>
      <c r="F102" s="110"/>
      <c r="G102" s="110"/>
      <c r="H102" s="111"/>
      <c r="I102" s="111"/>
      <c r="J102" s="110"/>
      <c r="K102" s="110"/>
      <c r="O102" s="2" t="str">
        <f t="shared" si="3"/>
        <v>Supermarket</v>
      </c>
      <c r="P102" s="1" t="s">
        <v>105</v>
      </c>
      <c r="Q102" s="1"/>
      <c r="R102" s="110"/>
      <c r="S102" s="110"/>
      <c r="T102" s="111"/>
      <c r="U102" s="111"/>
      <c r="V102" s="110"/>
      <c r="W102" s="110"/>
    </row>
    <row r="103" spans="2:23" x14ac:dyDescent="0.3">
      <c r="B103" s="2" t="str">
        <f t="shared" si="2"/>
        <v/>
      </c>
      <c r="C103" s="1"/>
      <c r="D103" s="1"/>
      <c r="E103" s="1"/>
      <c r="F103" s="110"/>
      <c r="G103" s="110"/>
      <c r="H103" s="111"/>
      <c r="I103" s="111"/>
      <c r="J103" s="110"/>
      <c r="K103" s="110"/>
      <c r="O103" s="2" t="str">
        <f t="shared" si="3"/>
        <v>Supermarket</v>
      </c>
      <c r="P103" s="1" t="s">
        <v>105</v>
      </c>
      <c r="Q103" s="1"/>
      <c r="R103" s="110"/>
      <c r="S103" s="110"/>
      <c r="T103" s="111"/>
      <c r="U103" s="111"/>
      <c r="V103" s="110"/>
      <c r="W103" s="110"/>
    </row>
    <row r="104" spans="2:23" x14ac:dyDescent="0.3">
      <c r="B104" s="2" t="str">
        <f t="shared" si="2"/>
        <v/>
      </c>
      <c r="C104" s="1"/>
      <c r="D104" s="1"/>
      <c r="E104" s="1"/>
      <c r="F104" s="110"/>
      <c r="G104" s="110"/>
      <c r="H104" s="111"/>
      <c r="I104" s="111"/>
      <c r="J104" s="110"/>
      <c r="K104" s="110"/>
      <c r="O104" s="2" t="str">
        <f t="shared" si="3"/>
        <v>Supermarket</v>
      </c>
      <c r="P104" s="1" t="s">
        <v>105</v>
      </c>
      <c r="Q104" s="1"/>
      <c r="R104" s="110"/>
      <c r="S104" s="110"/>
      <c r="T104" s="111"/>
      <c r="U104" s="111"/>
      <c r="V104" s="110"/>
      <c r="W104" s="110"/>
    </row>
    <row r="105" spans="2:23" x14ac:dyDescent="0.3">
      <c r="B105" s="2" t="str">
        <f t="shared" si="2"/>
        <v/>
      </c>
      <c r="C105" s="1"/>
      <c r="D105" s="1"/>
      <c r="E105" s="1"/>
      <c r="F105" s="110"/>
      <c r="G105" s="110"/>
      <c r="H105" s="111"/>
      <c r="I105" s="111"/>
      <c r="J105" s="110"/>
      <c r="K105" s="110"/>
      <c r="O105" s="2" t="str">
        <f t="shared" si="3"/>
        <v>Supermarket</v>
      </c>
      <c r="P105" s="1" t="s">
        <v>105</v>
      </c>
      <c r="Q105" s="1"/>
      <c r="R105" s="110"/>
      <c r="S105" s="110"/>
      <c r="T105" s="111"/>
      <c r="U105" s="111"/>
      <c r="V105" s="110"/>
      <c r="W105" s="110"/>
    </row>
    <row r="106" spans="2:23" x14ac:dyDescent="0.3">
      <c r="B106" s="2" t="str">
        <f t="shared" si="2"/>
        <v/>
      </c>
      <c r="C106" s="1"/>
      <c r="D106" s="1"/>
      <c r="E106" s="1"/>
      <c r="F106" s="110"/>
      <c r="G106" s="110"/>
      <c r="H106" s="111"/>
      <c r="I106" s="111"/>
      <c r="J106" s="110"/>
      <c r="K106" s="110"/>
      <c r="O106" s="2" t="str">
        <f t="shared" si="3"/>
        <v>Supermarket</v>
      </c>
      <c r="P106" s="1" t="s">
        <v>105</v>
      </c>
      <c r="Q106" s="1"/>
      <c r="R106" s="110"/>
      <c r="S106" s="110"/>
      <c r="T106" s="111"/>
      <c r="U106" s="111"/>
      <c r="V106" s="110"/>
      <c r="W106" s="110"/>
    </row>
    <row r="107" spans="2:23" x14ac:dyDescent="0.3">
      <c r="B107" s="2" t="str">
        <f t="shared" si="2"/>
        <v/>
      </c>
      <c r="C107" s="1"/>
      <c r="D107" s="1"/>
      <c r="E107" s="1"/>
      <c r="F107" s="110"/>
      <c r="G107" s="110"/>
      <c r="H107" s="111"/>
      <c r="I107" s="111"/>
      <c r="J107" s="110"/>
      <c r="K107" s="110"/>
      <c r="O107" s="2" t="str">
        <f t="shared" si="3"/>
        <v>Supermarket</v>
      </c>
      <c r="P107" s="1" t="s">
        <v>105</v>
      </c>
      <c r="Q107" s="1"/>
      <c r="R107" s="110"/>
      <c r="S107" s="110"/>
      <c r="T107" s="111"/>
      <c r="U107" s="111"/>
      <c r="V107" s="110"/>
      <c r="W107" s="110"/>
    </row>
    <row r="108" spans="2:23" x14ac:dyDescent="0.3">
      <c r="B108" s="2" t="str">
        <f t="shared" si="2"/>
        <v/>
      </c>
      <c r="C108" s="1"/>
      <c r="D108" s="1"/>
      <c r="E108" s="1"/>
      <c r="F108" s="110"/>
      <c r="G108" s="110"/>
      <c r="H108" s="111"/>
      <c r="I108" s="111"/>
      <c r="J108" s="110"/>
      <c r="K108" s="110"/>
      <c r="O108" s="2" t="str">
        <f t="shared" si="3"/>
        <v>Supermarket</v>
      </c>
      <c r="P108" s="1" t="s">
        <v>105</v>
      </c>
      <c r="Q108" s="1"/>
      <c r="R108" s="110"/>
      <c r="S108" s="110"/>
      <c r="T108" s="111"/>
      <c r="U108" s="111"/>
      <c r="V108" s="110"/>
      <c r="W108" s="110"/>
    </row>
    <row r="109" spans="2:23" x14ac:dyDescent="0.3">
      <c r="B109" s="2" t="str">
        <f t="shared" si="2"/>
        <v/>
      </c>
      <c r="C109" s="1"/>
      <c r="D109" s="1"/>
      <c r="E109" s="1"/>
      <c r="F109" s="110"/>
      <c r="G109" s="110"/>
      <c r="H109" s="111"/>
      <c r="I109" s="111"/>
      <c r="J109" s="110"/>
      <c r="K109" s="110"/>
      <c r="O109" s="2" t="str">
        <f t="shared" si="3"/>
        <v>Supermarket</v>
      </c>
      <c r="P109" s="1" t="s">
        <v>105</v>
      </c>
      <c r="Q109" s="1"/>
      <c r="R109" s="110"/>
      <c r="S109" s="110"/>
      <c r="T109" s="111"/>
      <c r="U109" s="111"/>
      <c r="V109" s="110"/>
      <c r="W109" s="110"/>
    </row>
    <row r="110" spans="2:23" x14ac:dyDescent="0.3">
      <c r="B110" s="2" t="str">
        <f t="shared" si="2"/>
        <v/>
      </c>
      <c r="C110" s="1"/>
      <c r="D110" s="1"/>
      <c r="E110" s="1"/>
      <c r="F110" s="110"/>
      <c r="G110" s="110"/>
      <c r="H110" s="111"/>
      <c r="I110" s="111"/>
      <c r="J110" s="110"/>
      <c r="K110" s="110"/>
      <c r="O110" s="2" t="str">
        <f t="shared" si="3"/>
        <v>Supermarket</v>
      </c>
      <c r="P110" s="1" t="s">
        <v>105</v>
      </c>
      <c r="Q110" s="1"/>
      <c r="R110" s="110"/>
      <c r="S110" s="110"/>
      <c r="T110" s="111"/>
      <c r="U110" s="111"/>
      <c r="V110" s="110"/>
      <c r="W110" s="110"/>
    </row>
    <row r="111" spans="2:23" x14ac:dyDescent="0.3">
      <c r="B111" s="2" t="str">
        <f t="shared" si="2"/>
        <v/>
      </c>
      <c r="C111" s="1"/>
      <c r="D111" s="1"/>
      <c r="E111" s="1"/>
      <c r="F111" s="110"/>
      <c r="G111" s="110"/>
      <c r="H111" s="111"/>
      <c r="I111" s="111"/>
      <c r="J111" s="110"/>
      <c r="K111" s="110"/>
      <c r="O111" s="2" t="str">
        <f t="shared" si="3"/>
        <v>Supermarket</v>
      </c>
      <c r="P111" s="1" t="s">
        <v>105</v>
      </c>
      <c r="Q111" s="1"/>
      <c r="R111" s="110"/>
      <c r="S111" s="110"/>
      <c r="T111" s="111"/>
      <c r="U111" s="111"/>
      <c r="V111" s="110"/>
      <c r="W111" s="110"/>
    </row>
    <row r="112" spans="2:23" x14ac:dyDescent="0.3">
      <c r="B112" s="2" t="str">
        <f t="shared" si="2"/>
        <v/>
      </c>
      <c r="C112" s="1"/>
      <c r="D112" s="1"/>
      <c r="E112" s="1"/>
      <c r="F112" s="110"/>
      <c r="G112" s="110"/>
      <c r="H112" s="111"/>
      <c r="I112" s="111"/>
      <c r="J112" s="110"/>
      <c r="K112" s="110"/>
      <c r="O112" s="2" t="str">
        <f t="shared" si="3"/>
        <v>Supermarket</v>
      </c>
      <c r="P112" s="1" t="s">
        <v>105</v>
      </c>
      <c r="Q112" s="1"/>
      <c r="R112" s="110"/>
      <c r="S112" s="110"/>
      <c r="T112" s="111"/>
      <c r="U112" s="111"/>
      <c r="V112" s="110"/>
      <c r="W112" s="110"/>
    </row>
    <row r="113" spans="2:23" x14ac:dyDescent="0.3">
      <c r="B113" s="2" t="str">
        <f t="shared" si="2"/>
        <v/>
      </c>
      <c r="C113" s="1"/>
      <c r="D113" s="1"/>
      <c r="E113" s="1"/>
      <c r="F113" s="110"/>
      <c r="G113" s="110"/>
      <c r="H113" s="111"/>
      <c r="I113" s="111"/>
      <c r="J113" s="110"/>
      <c r="K113" s="110"/>
      <c r="O113" s="2" t="str">
        <f t="shared" si="3"/>
        <v>Supermarket</v>
      </c>
      <c r="P113" s="1" t="s">
        <v>105</v>
      </c>
      <c r="Q113" s="1"/>
      <c r="R113" s="110"/>
      <c r="S113" s="110"/>
      <c r="T113" s="111"/>
      <c r="U113" s="111"/>
      <c r="V113" s="110"/>
      <c r="W113" s="110"/>
    </row>
    <row r="114" spans="2:23" x14ac:dyDescent="0.3">
      <c r="B114" s="2" t="str">
        <f t="shared" si="2"/>
        <v/>
      </c>
      <c r="C114" s="1"/>
      <c r="D114" s="1"/>
      <c r="E114" s="1"/>
      <c r="F114" s="110"/>
      <c r="G114" s="110"/>
      <c r="H114" s="111"/>
      <c r="I114" s="111"/>
      <c r="J114" s="110"/>
      <c r="K114" s="110"/>
      <c r="O114" s="2" t="str">
        <f t="shared" si="3"/>
        <v>Supermarket</v>
      </c>
      <c r="P114" s="1" t="s">
        <v>105</v>
      </c>
      <c r="Q114" s="1"/>
      <c r="R114" s="110"/>
      <c r="S114" s="110"/>
      <c r="T114" s="111"/>
      <c r="U114" s="111"/>
      <c r="V114" s="110"/>
      <c r="W114" s="110"/>
    </row>
    <row r="115" spans="2:23" x14ac:dyDescent="0.3">
      <c r="B115" s="2" t="str">
        <f t="shared" si="2"/>
        <v/>
      </c>
      <c r="C115" s="1"/>
      <c r="D115" s="1"/>
      <c r="E115" s="1"/>
      <c r="F115" s="110"/>
      <c r="G115" s="110"/>
      <c r="H115" s="111"/>
      <c r="I115" s="111"/>
      <c r="J115" s="110"/>
      <c r="K115" s="110"/>
      <c r="O115" s="2" t="str">
        <f t="shared" si="3"/>
        <v>Supermarket</v>
      </c>
      <c r="P115" s="1" t="s">
        <v>105</v>
      </c>
      <c r="Q115" s="1"/>
      <c r="R115" s="110"/>
      <c r="S115" s="110"/>
      <c r="T115" s="111"/>
      <c r="U115" s="111"/>
      <c r="V115" s="110"/>
      <c r="W115" s="110"/>
    </row>
    <row r="116" spans="2:23" x14ac:dyDescent="0.3">
      <c r="B116" s="2" t="str">
        <f t="shared" si="2"/>
        <v/>
      </c>
      <c r="C116" s="1"/>
      <c r="D116" s="1"/>
      <c r="E116" s="1"/>
      <c r="F116" s="110"/>
      <c r="G116" s="110"/>
      <c r="H116" s="111"/>
      <c r="I116" s="111"/>
      <c r="J116" s="110"/>
      <c r="K116" s="110"/>
      <c r="O116" s="2" t="str">
        <f t="shared" si="3"/>
        <v>Supermarket</v>
      </c>
      <c r="P116" s="1" t="s">
        <v>105</v>
      </c>
      <c r="Q116" s="1"/>
      <c r="R116" s="110"/>
      <c r="S116" s="110"/>
      <c r="T116" s="111"/>
      <c r="U116" s="111"/>
      <c r="V116" s="110"/>
      <c r="W116" s="110"/>
    </row>
    <row r="117" spans="2:23" x14ac:dyDescent="0.3">
      <c r="B117" s="2" t="str">
        <f t="shared" si="2"/>
        <v/>
      </c>
      <c r="C117" s="1"/>
      <c r="D117" s="1"/>
      <c r="E117" s="1"/>
      <c r="F117" s="110"/>
      <c r="G117" s="110"/>
      <c r="H117" s="111"/>
      <c r="I117" s="111"/>
      <c r="J117" s="110"/>
      <c r="K117" s="110"/>
      <c r="O117" s="2" t="str">
        <f t="shared" si="3"/>
        <v>Supermarket</v>
      </c>
      <c r="P117" s="1" t="s">
        <v>105</v>
      </c>
      <c r="Q117" s="1"/>
      <c r="R117" s="110"/>
      <c r="S117" s="110"/>
      <c r="T117" s="111"/>
      <c r="U117" s="111"/>
      <c r="V117" s="110"/>
      <c r="W117" s="110"/>
    </row>
    <row r="118" spans="2:23" x14ac:dyDescent="0.3">
      <c r="B118" s="2" t="str">
        <f t="shared" si="2"/>
        <v/>
      </c>
      <c r="C118" s="1"/>
      <c r="D118" s="1"/>
      <c r="E118" s="1"/>
      <c r="F118" s="110"/>
      <c r="G118" s="110"/>
      <c r="H118" s="111"/>
      <c r="I118" s="111"/>
      <c r="J118" s="110"/>
      <c r="K118" s="110"/>
      <c r="O118" s="2" t="str">
        <f t="shared" si="3"/>
        <v>Supermarket</v>
      </c>
      <c r="P118" s="1" t="s">
        <v>105</v>
      </c>
      <c r="Q118" s="1"/>
      <c r="R118" s="110"/>
      <c r="S118" s="110"/>
      <c r="T118" s="111"/>
      <c r="U118" s="111"/>
      <c r="V118" s="110"/>
      <c r="W118" s="110"/>
    </row>
    <row r="119" spans="2:23" x14ac:dyDescent="0.3">
      <c r="B119" s="2" t="str">
        <f t="shared" si="2"/>
        <v/>
      </c>
      <c r="C119" s="1"/>
      <c r="D119" s="1"/>
      <c r="E119" s="1"/>
      <c r="F119" s="110"/>
      <c r="G119" s="110"/>
      <c r="H119" s="111"/>
      <c r="I119" s="111"/>
      <c r="J119" s="110"/>
      <c r="K119" s="110"/>
      <c r="O119" s="2" t="str">
        <f t="shared" si="3"/>
        <v>Supermarket</v>
      </c>
      <c r="P119" s="1" t="s">
        <v>105</v>
      </c>
      <c r="Q119" s="1"/>
      <c r="R119" s="110"/>
      <c r="S119" s="110"/>
      <c r="T119" s="111"/>
      <c r="U119" s="111"/>
      <c r="V119" s="110"/>
      <c r="W119" s="110"/>
    </row>
    <row r="120" spans="2:23" x14ac:dyDescent="0.3">
      <c r="B120" s="2" t="str">
        <f t="shared" si="2"/>
        <v/>
      </c>
      <c r="C120" s="1"/>
      <c r="D120" s="1"/>
      <c r="E120" s="1"/>
      <c r="F120" s="110"/>
      <c r="G120" s="110"/>
      <c r="H120" s="111"/>
      <c r="I120" s="111"/>
      <c r="J120" s="110"/>
      <c r="K120" s="110"/>
      <c r="O120" s="2" t="str">
        <f t="shared" si="3"/>
        <v>Supermarket</v>
      </c>
      <c r="P120" s="1" t="s">
        <v>105</v>
      </c>
      <c r="Q120" s="1"/>
      <c r="R120" s="110"/>
      <c r="S120" s="110"/>
      <c r="T120" s="111"/>
      <c r="U120" s="111"/>
      <c r="V120" s="110"/>
      <c r="W120" s="110"/>
    </row>
    <row r="121" spans="2:23" x14ac:dyDescent="0.3">
      <c r="B121" s="2" t="str">
        <f t="shared" si="2"/>
        <v/>
      </c>
      <c r="C121" s="1"/>
      <c r="D121" s="1"/>
      <c r="E121" s="1"/>
      <c r="F121" s="110"/>
      <c r="G121" s="110"/>
      <c r="H121" s="111"/>
      <c r="I121" s="111"/>
      <c r="J121" s="110"/>
      <c r="K121" s="110"/>
      <c r="O121" s="2" t="str">
        <f t="shared" si="3"/>
        <v>Supermarket</v>
      </c>
      <c r="P121" s="1" t="s">
        <v>105</v>
      </c>
      <c r="Q121" s="1"/>
      <c r="R121" s="110"/>
      <c r="S121" s="110"/>
      <c r="T121" s="111"/>
      <c r="U121" s="111"/>
      <c r="V121" s="110"/>
      <c r="W121" s="110"/>
    </row>
    <row r="122" spans="2:23" x14ac:dyDescent="0.3">
      <c r="B122" s="2" t="str">
        <f t="shared" si="2"/>
        <v/>
      </c>
      <c r="C122" s="1"/>
      <c r="D122" s="1"/>
      <c r="E122" s="1"/>
      <c r="F122" s="110"/>
      <c r="G122" s="110"/>
      <c r="H122" s="111"/>
      <c r="I122" s="111"/>
      <c r="J122" s="110"/>
      <c r="K122" s="110"/>
      <c r="O122" s="2" t="str">
        <f t="shared" si="3"/>
        <v>Supermarket</v>
      </c>
      <c r="P122" s="1" t="s">
        <v>105</v>
      </c>
      <c r="Q122" s="1"/>
      <c r="R122" s="110"/>
      <c r="S122" s="110"/>
      <c r="T122" s="111"/>
      <c r="U122" s="111"/>
      <c r="V122" s="110"/>
      <c r="W122" s="110"/>
    </row>
    <row r="123" spans="2:23" x14ac:dyDescent="0.3">
      <c r="B123" s="2" t="str">
        <f t="shared" si="2"/>
        <v/>
      </c>
      <c r="C123" s="1"/>
      <c r="D123" s="1"/>
      <c r="E123" s="1"/>
      <c r="F123" s="110"/>
      <c r="G123" s="110"/>
      <c r="H123" s="111"/>
      <c r="I123" s="111"/>
      <c r="J123" s="110"/>
      <c r="K123" s="110"/>
      <c r="O123" s="2" t="str">
        <f t="shared" si="3"/>
        <v>Supermarket</v>
      </c>
      <c r="P123" s="1" t="s">
        <v>105</v>
      </c>
      <c r="Q123" s="1"/>
      <c r="R123" s="110"/>
      <c r="S123" s="110"/>
      <c r="T123" s="111"/>
      <c r="U123" s="111"/>
      <c r="V123" s="110"/>
      <c r="W123" s="110"/>
    </row>
    <row r="124" spans="2:23" x14ac:dyDescent="0.3">
      <c r="B124" s="2" t="str">
        <f t="shared" si="2"/>
        <v/>
      </c>
      <c r="C124" s="1"/>
      <c r="D124" s="1"/>
      <c r="E124" s="1"/>
      <c r="F124" s="110"/>
      <c r="G124" s="110"/>
      <c r="H124" s="111"/>
      <c r="I124" s="111"/>
      <c r="J124" s="110"/>
      <c r="K124" s="110"/>
      <c r="O124" s="2" t="str">
        <f t="shared" si="3"/>
        <v>Supermarket</v>
      </c>
      <c r="P124" s="1" t="s">
        <v>105</v>
      </c>
      <c r="Q124" s="1"/>
      <c r="R124" s="110"/>
      <c r="S124" s="110"/>
      <c r="T124" s="111"/>
      <c r="U124" s="111"/>
      <c r="V124" s="110"/>
      <c r="W124" s="110"/>
    </row>
    <row r="125" spans="2:23" x14ac:dyDescent="0.3">
      <c r="B125" s="2" t="str">
        <f t="shared" si="2"/>
        <v/>
      </c>
      <c r="C125" s="1"/>
      <c r="D125" s="1"/>
      <c r="E125" s="1"/>
      <c r="F125" s="110"/>
      <c r="G125" s="110"/>
      <c r="H125" s="111"/>
      <c r="I125" s="111"/>
      <c r="J125" s="110"/>
      <c r="K125" s="110"/>
      <c r="O125" s="2" t="str">
        <f t="shared" si="3"/>
        <v>Supermarket</v>
      </c>
      <c r="P125" s="1" t="s">
        <v>105</v>
      </c>
      <c r="Q125" s="1"/>
      <c r="R125" s="110"/>
      <c r="S125" s="110"/>
      <c r="T125" s="111"/>
      <c r="U125" s="111"/>
      <c r="V125" s="110"/>
      <c r="W125" s="110"/>
    </row>
    <row r="126" spans="2:23" x14ac:dyDescent="0.3">
      <c r="B126" s="2" t="str">
        <f t="shared" si="2"/>
        <v/>
      </c>
      <c r="C126" s="1"/>
      <c r="D126" s="1"/>
      <c r="E126" s="1"/>
      <c r="F126" s="110"/>
      <c r="G126" s="110"/>
      <c r="H126" s="111"/>
      <c r="I126" s="111"/>
      <c r="J126" s="110"/>
      <c r="K126" s="110"/>
      <c r="O126" s="2" t="str">
        <f t="shared" si="3"/>
        <v>Supermarket</v>
      </c>
      <c r="P126" s="1" t="s">
        <v>105</v>
      </c>
      <c r="Q126" s="1"/>
      <c r="R126" s="110"/>
      <c r="S126" s="110"/>
      <c r="T126" s="111"/>
      <c r="U126" s="111"/>
      <c r="V126" s="110"/>
      <c r="W126" s="110"/>
    </row>
    <row r="127" spans="2:23" x14ac:dyDescent="0.3">
      <c r="B127" s="2" t="str">
        <f t="shared" si="2"/>
        <v/>
      </c>
      <c r="C127" s="1"/>
      <c r="D127" s="1"/>
      <c r="E127" s="1"/>
      <c r="F127" s="110"/>
      <c r="G127" s="110"/>
      <c r="H127" s="111"/>
      <c r="I127" s="111"/>
      <c r="J127" s="110"/>
      <c r="K127" s="110"/>
      <c r="O127" s="2" t="str">
        <f t="shared" si="3"/>
        <v>Supermarket</v>
      </c>
      <c r="P127" s="1" t="s">
        <v>105</v>
      </c>
      <c r="Q127" s="1"/>
      <c r="R127" s="110"/>
      <c r="S127" s="110"/>
      <c r="T127" s="111"/>
      <c r="U127" s="111"/>
      <c r="V127" s="110"/>
      <c r="W127" s="110"/>
    </row>
    <row r="128" spans="2:23" x14ac:dyDescent="0.3">
      <c r="B128" s="2" t="str">
        <f t="shared" si="2"/>
        <v/>
      </c>
      <c r="C128" s="1"/>
      <c r="D128" s="1"/>
      <c r="E128" s="1"/>
      <c r="F128" s="110"/>
      <c r="G128" s="110"/>
      <c r="H128" s="111"/>
      <c r="I128" s="111"/>
      <c r="J128" s="110"/>
      <c r="K128" s="110"/>
      <c r="O128" s="2" t="str">
        <f t="shared" si="3"/>
        <v>Supermarket</v>
      </c>
      <c r="P128" s="1" t="s">
        <v>105</v>
      </c>
      <c r="Q128" s="1"/>
      <c r="R128" s="110"/>
      <c r="S128" s="110"/>
      <c r="T128" s="111"/>
      <c r="U128" s="111"/>
      <c r="V128" s="110"/>
      <c r="W128" s="110"/>
    </row>
    <row r="129" spans="2:23" x14ac:dyDescent="0.3">
      <c r="B129" s="2" t="str">
        <f t="shared" si="2"/>
        <v/>
      </c>
      <c r="C129" s="1"/>
      <c r="D129" s="1"/>
      <c r="E129" s="1"/>
      <c r="F129" s="110"/>
      <c r="G129" s="110"/>
      <c r="H129" s="111"/>
      <c r="I129" s="111"/>
      <c r="J129" s="110"/>
      <c r="K129" s="110"/>
      <c r="O129" s="2" t="str">
        <f t="shared" si="3"/>
        <v>Supermarket</v>
      </c>
      <c r="P129" s="1" t="s">
        <v>105</v>
      </c>
      <c r="Q129" s="1"/>
      <c r="R129" s="110"/>
      <c r="S129" s="110"/>
      <c r="T129" s="111"/>
      <c r="U129" s="111"/>
      <c r="V129" s="110"/>
      <c r="W129" s="110"/>
    </row>
    <row r="130" spans="2:23" x14ac:dyDescent="0.3">
      <c r="B130" s="2" t="str">
        <f t="shared" si="2"/>
        <v/>
      </c>
      <c r="C130" s="1"/>
      <c r="D130" s="1"/>
      <c r="E130" s="1"/>
      <c r="F130" s="110"/>
      <c r="G130" s="110"/>
      <c r="H130" s="111"/>
      <c r="I130" s="111"/>
      <c r="J130" s="110"/>
      <c r="K130" s="110"/>
      <c r="O130" s="2" t="str">
        <f t="shared" si="3"/>
        <v>Supermarket</v>
      </c>
      <c r="P130" s="1" t="s">
        <v>105</v>
      </c>
      <c r="Q130" s="1"/>
      <c r="R130" s="110"/>
      <c r="S130" s="110"/>
      <c r="T130" s="111"/>
      <c r="U130" s="111"/>
      <c r="V130" s="110"/>
      <c r="W130" s="110"/>
    </row>
    <row r="131" spans="2:23" x14ac:dyDescent="0.3">
      <c r="B131" s="2" t="str">
        <f t="shared" si="2"/>
        <v/>
      </c>
      <c r="C131" s="1"/>
      <c r="D131" s="1"/>
      <c r="E131" s="1"/>
      <c r="F131" s="110"/>
      <c r="G131" s="110"/>
      <c r="H131" s="111"/>
      <c r="I131" s="111"/>
      <c r="J131" s="110"/>
      <c r="K131" s="110"/>
      <c r="O131" s="2" t="str">
        <f t="shared" si="3"/>
        <v>Supermarket</v>
      </c>
      <c r="P131" s="1" t="s">
        <v>105</v>
      </c>
      <c r="Q131" s="1"/>
      <c r="R131" s="110"/>
      <c r="S131" s="110"/>
      <c r="T131" s="111"/>
      <c r="U131" s="111"/>
      <c r="V131" s="110"/>
      <c r="W131" s="110"/>
    </row>
    <row r="132" spans="2:23" x14ac:dyDescent="0.3">
      <c r="B132" s="2" t="str">
        <f t="shared" ref="B132:B195" si="4">C132&amp;D132&amp;E132</f>
        <v/>
      </c>
      <c r="C132" s="1"/>
      <c r="D132" s="1"/>
      <c r="E132" s="1"/>
      <c r="F132" s="110"/>
      <c r="G132" s="110"/>
      <c r="H132" s="111"/>
      <c r="I132" s="111"/>
      <c r="J132" s="110"/>
      <c r="K132" s="110"/>
      <c r="O132" s="2" t="str">
        <f t="shared" ref="O132:O195" si="5">P132&amp;Q132</f>
        <v>Supermarket</v>
      </c>
      <c r="P132" s="1" t="s">
        <v>105</v>
      </c>
      <c r="Q132" s="1"/>
      <c r="R132" s="110"/>
      <c r="S132" s="110"/>
      <c r="T132" s="111"/>
      <c r="U132" s="111"/>
      <c r="V132" s="110"/>
      <c r="W132" s="110"/>
    </row>
    <row r="133" spans="2:23" x14ac:dyDescent="0.3">
      <c r="B133" s="2" t="str">
        <f t="shared" si="4"/>
        <v/>
      </c>
      <c r="C133" s="1"/>
      <c r="D133" s="1"/>
      <c r="E133" s="1"/>
      <c r="F133" s="110"/>
      <c r="G133" s="110"/>
      <c r="H133" s="111"/>
      <c r="I133" s="111"/>
      <c r="J133" s="110"/>
      <c r="K133" s="110"/>
      <c r="O133" s="2" t="str">
        <f t="shared" si="5"/>
        <v>Supermarket</v>
      </c>
      <c r="P133" s="1" t="s">
        <v>105</v>
      </c>
      <c r="Q133" s="1"/>
      <c r="R133" s="110"/>
      <c r="S133" s="110"/>
      <c r="T133" s="111"/>
      <c r="U133" s="111"/>
      <c r="V133" s="110"/>
      <c r="W133" s="110"/>
    </row>
    <row r="134" spans="2:23" x14ac:dyDescent="0.3">
      <c r="B134" s="2" t="str">
        <f t="shared" si="4"/>
        <v/>
      </c>
      <c r="C134" s="1"/>
      <c r="D134" s="1"/>
      <c r="E134" s="1"/>
      <c r="F134" s="110"/>
      <c r="G134" s="110"/>
      <c r="H134" s="111"/>
      <c r="I134" s="111"/>
      <c r="J134" s="110"/>
      <c r="K134" s="110"/>
      <c r="O134" s="2" t="str">
        <f t="shared" si="5"/>
        <v>Supermarket</v>
      </c>
      <c r="P134" s="1" t="s">
        <v>105</v>
      </c>
      <c r="Q134" s="1"/>
      <c r="R134" s="110"/>
      <c r="S134" s="110"/>
      <c r="T134" s="111"/>
      <c r="U134" s="111"/>
      <c r="V134" s="110"/>
      <c r="W134" s="110"/>
    </row>
    <row r="135" spans="2:23" x14ac:dyDescent="0.3">
      <c r="B135" s="2" t="str">
        <f t="shared" si="4"/>
        <v/>
      </c>
      <c r="C135" s="1"/>
      <c r="D135" s="1"/>
      <c r="E135" s="1"/>
      <c r="F135" s="110"/>
      <c r="G135" s="110"/>
      <c r="H135" s="111"/>
      <c r="I135" s="111"/>
      <c r="J135" s="110"/>
      <c r="K135" s="110"/>
      <c r="O135" s="2" t="str">
        <f t="shared" si="5"/>
        <v>Supermarket</v>
      </c>
      <c r="P135" s="1" t="s">
        <v>105</v>
      </c>
      <c r="Q135" s="1"/>
      <c r="R135" s="110"/>
      <c r="S135" s="110"/>
      <c r="T135" s="111"/>
      <c r="U135" s="111"/>
      <c r="V135" s="110"/>
      <c r="W135" s="110"/>
    </row>
    <row r="136" spans="2:23" x14ac:dyDescent="0.3">
      <c r="B136" s="2" t="str">
        <f t="shared" si="4"/>
        <v/>
      </c>
      <c r="C136" s="1"/>
      <c r="D136" s="1"/>
      <c r="E136" s="1"/>
      <c r="F136" s="110"/>
      <c r="G136" s="110"/>
      <c r="H136" s="111"/>
      <c r="I136" s="111"/>
      <c r="J136" s="110"/>
      <c r="K136" s="110"/>
      <c r="O136" s="2" t="str">
        <f t="shared" si="5"/>
        <v>Supermarket</v>
      </c>
      <c r="P136" s="1" t="s">
        <v>105</v>
      </c>
      <c r="Q136" s="1"/>
      <c r="R136" s="110"/>
      <c r="S136" s="110"/>
      <c r="T136" s="111"/>
      <c r="U136" s="111"/>
      <c r="V136" s="110"/>
      <c r="W136" s="110"/>
    </row>
    <row r="137" spans="2:23" x14ac:dyDescent="0.3">
      <c r="B137" s="2" t="str">
        <f t="shared" si="4"/>
        <v/>
      </c>
      <c r="C137" s="1"/>
      <c r="D137" s="1"/>
      <c r="E137" s="1"/>
      <c r="F137" s="110"/>
      <c r="G137" s="110"/>
      <c r="H137" s="111"/>
      <c r="I137" s="111"/>
      <c r="J137" s="110"/>
      <c r="K137" s="110"/>
      <c r="O137" s="2" t="str">
        <f t="shared" si="5"/>
        <v>Supermarket</v>
      </c>
      <c r="P137" s="1" t="s">
        <v>105</v>
      </c>
      <c r="Q137" s="1"/>
      <c r="R137" s="110"/>
      <c r="S137" s="110"/>
      <c r="T137" s="111"/>
      <c r="U137" s="111"/>
      <c r="V137" s="110"/>
      <c r="W137" s="110"/>
    </row>
    <row r="138" spans="2:23" x14ac:dyDescent="0.3">
      <c r="B138" s="2" t="str">
        <f t="shared" si="4"/>
        <v/>
      </c>
      <c r="C138" s="1"/>
      <c r="D138" s="1"/>
      <c r="E138" s="1"/>
      <c r="F138" s="110"/>
      <c r="G138" s="110"/>
      <c r="H138" s="111"/>
      <c r="I138" s="111"/>
      <c r="J138" s="110"/>
      <c r="K138" s="110"/>
      <c r="O138" s="2" t="str">
        <f t="shared" si="5"/>
        <v>Supermarket</v>
      </c>
      <c r="P138" s="1" t="s">
        <v>105</v>
      </c>
      <c r="Q138" s="1"/>
      <c r="R138" s="110"/>
      <c r="S138" s="110"/>
      <c r="T138" s="111"/>
      <c r="U138" s="111"/>
      <c r="V138" s="110"/>
      <c r="W138" s="110"/>
    </row>
    <row r="139" spans="2:23" x14ac:dyDescent="0.3">
      <c r="B139" s="2" t="str">
        <f t="shared" si="4"/>
        <v/>
      </c>
      <c r="C139" s="1"/>
      <c r="D139" s="1"/>
      <c r="E139" s="1"/>
      <c r="F139" s="110"/>
      <c r="G139" s="110"/>
      <c r="H139" s="111"/>
      <c r="I139" s="111"/>
      <c r="J139" s="110"/>
      <c r="K139" s="110"/>
      <c r="O139" s="2" t="str">
        <f t="shared" si="5"/>
        <v>Supermarket</v>
      </c>
      <c r="P139" s="1" t="s">
        <v>105</v>
      </c>
      <c r="Q139" s="1"/>
      <c r="R139" s="110"/>
      <c r="S139" s="110"/>
      <c r="T139" s="111"/>
      <c r="U139" s="111"/>
      <c r="V139" s="110"/>
      <c r="W139" s="110"/>
    </row>
    <row r="140" spans="2:23" x14ac:dyDescent="0.3">
      <c r="B140" s="2" t="str">
        <f t="shared" si="4"/>
        <v/>
      </c>
      <c r="C140" s="1"/>
      <c r="D140" s="1"/>
      <c r="E140" s="1"/>
      <c r="F140" s="110"/>
      <c r="G140" s="110"/>
      <c r="H140" s="111"/>
      <c r="I140" s="111"/>
      <c r="J140" s="110"/>
      <c r="K140" s="110"/>
      <c r="O140" s="2" t="str">
        <f t="shared" si="5"/>
        <v>Supermarket</v>
      </c>
      <c r="P140" s="1" t="s">
        <v>105</v>
      </c>
      <c r="Q140" s="1"/>
      <c r="R140" s="110"/>
      <c r="S140" s="110"/>
      <c r="T140" s="111"/>
      <c r="U140" s="111"/>
      <c r="V140" s="110"/>
      <c r="W140" s="110"/>
    </row>
    <row r="141" spans="2:23" x14ac:dyDescent="0.3">
      <c r="B141" s="2" t="str">
        <f t="shared" si="4"/>
        <v/>
      </c>
      <c r="C141" s="1"/>
      <c r="D141" s="1"/>
      <c r="E141" s="1"/>
      <c r="F141" s="110"/>
      <c r="G141" s="110"/>
      <c r="H141" s="111"/>
      <c r="I141" s="111"/>
      <c r="J141" s="110"/>
      <c r="K141" s="110"/>
      <c r="O141" s="2" t="str">
        <f t="shared" si="5"/>
        <v>Supermarket</v>
      </c>
      <c r="P141" s="1" t="s">
        <v>105</v>
      </c>
      <c r="Q141" s="1"/>
      <c r="R141" s="110"/>
      <c r="S141" s="110"/>
      <c r="T141" s="111"/>
      <c r="U141" s="111"/>
      <c r="V141" s="110"/>
      <c r="W141" s="110"/>
    </row>
    <row r="142" spans="2:23" x14ac:dyDescent="0.3">
      <c r="B142" s="2" t="str">
        <f t="shared" si="4"/>
        <v/>
      </c>
      <c r="C142" s="1"/>
      <c r="D142" s="1"/>
      <c r="E142" s="1"/>
      <c r="F142" s="110"/>
      <c r="G142" s="110"/>
      <c r="H142" s="111"/>
      <c r="I142" s="111"/>
      <c r="J142" s="110"/>
      <c r="K142" s="110"/>
      <c r="O142" s="2" t="str">
        <f t="shared" si="5"/>
        <v>Supermarket</v>
      </c>
      <c r="P142" s="1" t="s">
        <v>105</v>
      </c>
      <c r="Q142" s="1"/>
      <c r="R142" s="110"/>
      <c r="S142" s="110"/>
      <c r="T142" s="111"/>
      <c r="U142" s="111"/>
      <c r="V142" s="110"/>
      <c r="W142" s="110"/>
    </row>
    <row r="143" spans="2:23" x14ac:dyDescent="0.3">
      <c r="B143" s="2" t="str">
        <f t="shared" si="4"/>
        <v/>
      </c>
      <c r="C143" s="1"/>
      <c r="D143" s="1"/>
      <c r="E143" s="1"/>
      <c r="F143" s="110"/>
      <c r="G143" s="110"/>
      <c r="H143" s="111"/>
      <c r="I143" s="111"/>
      <c r="J143" s="110"/>
      <c r="K143" s="110"/>
      <c r="O143" s="2" t="str">
        <f t="shared" si="5"/>
        <v>Supermarket</v>
      </c>
      <c r="P143" s="1" t="s">
        <v>105</v>
      </c>
      <c r="Q143" s="1"/>
      <c r="R143" s="110"/>
      <c r="S143" s="110"/>
      <c r="T143" s="111"/>
      <c r="U143" s="111"/>
      <c r="V143" s="110"/>
      <c r="W143" s="110"/>
    </row>
    <row r="144" spans="2:23" x14ac:dyDescent="0.3">
      <c r="B144" s="2" t="str">
        <f t="shared" si="4"/>
        <v/>
      </c>
      <c r="C144" s="1"/>
      <c r="D144" s="1"/>
      <c r="E144" s="1"/>
      <c r="F144" s="110"/>
      <c r="G144" s="110"/>
      <c r="H144" s="111"/>
      <c r="I144" s="111"/>
      <c r="J144" s="110"/>
      <c r="K144" s="110"/>
      <c r="O144" s="2" t="str">
        <f t="shared" si="5"/>
        <v>Supermarket</v>
      </c>
      <c r="P144" s="1" t="s">
        <v>105</v>
      </c>
      <c r="Q144" s="1"/>
      <c r="R144" s="110"/>
      <c r="S144" s="110"/>
      <c r="T144" s="111"/>
      <c r="U144" s="111"/>
      <c r="V144" s="110"/>
      <c r="W144" s="110"/>
    </row>
    <row r="145" spans="2:23" x14ac:dyDescent="0.3">
      <c r="B145" s="2" t="str">
        <f t="shared" si="4"/>
        <v/>
      </c>
      <c r="C145" s="1"/>
      <c r="D145" s="1"/>
      <c r="E145" s="1"/>
      <c r="F145" s="110"/>
      <c r="G145" s="110"/>
      <c r="H145" s="111"/>
      <c r="I145" s="111"/>
      <c r="J145" s="110"/>
      <c r="K145" s="110"/>
      <c r="O145" s="2" t="str">
        <f t="shared" si="5"/>
        <v>Supermarket</v>
      </c>
      <c r="P145" s="1" t="s">
        <v>105</v>
      </c>
      <c r="Q145" s="1"/>
      <c r="R145" s="110"/>
      <c r="S145" s="110"/>
      <c r="T145" s="111"/>
      <c r="U145" s="111"/>
      <c r="V145" s="110"/>
      <c r="W145" s="110"/>
    </row>
    <row r="146" spans="2:23" x14ac:dyDescent="0.3">
      <c r="B146" s="2" t="str">
        <f t="shared" si="4"/>
        <v/>
      </c>
      <c r="C146" s="1"/>
      <c r="D146" s="1"/>
      <c r="E146" s="1"/>
      <c r="F146" s="110"/>
      <c r="G146" s="110"/>
      <c r="H146" s="111"/>
      <c r="I146" s="111"/>
      <c r="J146" s="110"/>
      <c r="K146" s="110"/>
      <c r="O146" s="2" t="str">
        <f t="shared" si="5"/>
        <v>Supermarket</v>
      </c>
      <c r="P146" s="1" t="s">
        <v>105</v>
      </c>
      <c r="Q146" s="1"/>
      <c r="R146" s="110"/>
      <c r="S146" s="110"/>
      <c r="T146" s="111"/>
      <c r="U146" s="111"/>
      <c r="V146" s="110"/>
      <c r="W146" s="110"/>
    </row>
    <row r="147" spans="2:23" x14ac:dyDescent="0.3">
      <c r="B147" s="2" t="str">
        <f t="shared" si="4"/>
        <v/>
      </c>
      <c r="C147" s="1"/>
      <c r="D147" s="1"/>
      <c r="E147" s="1"/>
      <c r="F147" s="110"/>
      <c r="G147" s="110"/>
      <c r="H147" s="111"/>
      <c r="I147" s="111"/>
      <c r="J147" s="110"/>
      <c r="K147" s="110"/>
      <c r="O147" s="2" t="str">
        <f t="shared" si="5"/>
        <v>Supermarket</v>
      </c>
      <c r="P147" s="1" t="s">
        <v>105</v>
      </c>
      <c r="Q147" s="1"/>
      <c r="R147" s="110"/>
      <c r="S147" s="110"/>
      <c r="T147" s="111"/>
      <c r="U147" s="111"/>
      <c r="V147" s="110"/>
      <c r="W147" s="110"/>
    </row>
    <row r="148" spans="2:23" x14ac:dyDescent="0.3">
      <c r="B148" s="2" t="str">
        <f t="shared" si="4"/>
        <v/>
      </c>
      <c r="C148" s="1"/>
      <c r="D148" s="1"/>
      <c r="E148" s="1"/>
      <c r="F148" s="110"/>
      <c r="G148" s="110"/>
      <c r="H148" s="111"/>
      <c r="I148" s="111"/>
      <c r="J148" s="110"/>
      <c r="K148" s="110"/>
      <c r="O148" s="2" t="str">
        <f t="shared" si="5"/>
        <v>Supermarket</v>
      </c>
      <c r="P148" s="1" t="s">
        <v>105</v>
      </c>
      <c r="Q148" s="1"/>
      <c r="R148" s="110"/>
      <c r="S148" s="110"/>
      <c r="T148" s="111"/>
      <c r="U148" s="111"/>
      <c r="V148" s="110"/>
      <c r="W148" s="110"/>
    </row>
    <row r="149" spans="2:23" x14ac:dyDescent="0.3">
      <c r="B149" s="2" t="str">
        <f t="shared" si="4"/>
        <v/>
      </c>
      <c r="C149" s="1"/>
      <c r="D149" s="1"/>
      <c r="E149" s="1"/>
      <c r="F149" s="110"/>
      <c r="G149" s="110"/>
      <c r="H149" s="111"/>
      <c r="I149" s="111"/>
      <c r="J149" s="110"/>
      <c r="K149" s="110"/>
      <c r="O149" s="2" t="str">
        <f t="shared" si="5"/>
        <v>Supermarket</v>
      </c>
      <c r="P149" s="1" t="s">
        <v>105</v>
      </c>
      <c r="Q149" s="1"/>
      <c r="R149" s="110"/>
      <c r="S149" s="110"/>
      <c r="T149" s="111"/>
      <c r="U149" s="111"/>
      <c r="V149" s="110"/>
      <c r="W149" s="110"/>
    </row>
    <row r="150" spans="2:23" x14ac:dyDescent="0.3">
      <c r="B150" s="2" t="str">
        <f t="shared" si="4"/>
        <v/>
      </c>
      <c r="C150" s="1"/>
      <c r="D150" s="1"/>
      <c r="E150" s="1"/>
      <c r="F150" s="110"/>
      <c r="G150" s="110"/>
      <c r="H150" s="111"/>
      <c r="I150" s="111"/>
      <c r="J150" s="110"/>
      <c r="K150" s="110"/>
      <c r="O150" s="2" t="str">
        <f t="shared" si="5"/>
        <v>Supermarket</v>
      </c>
      <c r="P150" s="1" t="s">
        <v>105</v>
      </c>
      <c r="Q150" s="1"/>
      <c r="R150" s="110"/>
      <c r="S150" s="110"/>
      <c r="T150" s="111"/>
      <c r="U150" s="111"/>
      <c r="V150" s="110"/>
      <c r="W150" s="110"/>
    </row>
    <row r="151" spans="2:23" x14ac:dyDescent="0.3">
      <c r="B151" s="2" t="str">
        <f t="shared" si="4"/>
        <v/>
      </c>
      <c r="C151" s="1"/>
      <c r="D151" s="1"/>
      <c r="E151" s="1"/>
      <c r="F151" s="110"/>
      <c r="G151" s="110"/>
      <c r="H151" s="111"/>
      <c r="I151" s="111"/>
      <c r="J151" s="110"/>
      <c r="K151" s="110"/>
      <c r="O151" s="2" t="str">
        <f t="shared" si="5"/>
        <v>Supermarket</v>
      </c>
      <c r="P151" s="1" t="s">
        <v>105</v>
      </c>
      <c r="Q151" s="1"/>
      <c r="R151" s="110"/>
      <c r="S151" s="110"/>
      <c r="T151" s="111"/>
      <c r="U151" s="111"/>
      <c r="V151" s="110"/>
      <c r="W151" s="110"/>
    </row>
    <row r="152" spans="2:23" x14ac:dyDescent="0.3">
      <c r="B152" s="2" t="str">
        <f t="shared" si="4"/>
        <v/>
      </c>
      <c r="C152" s="1"/>
      <c r="D152" s="1"/>
      <c r="E152" s="1"/>
      <c r="F152" s="110"/>
      <c r="G152" s="110"/>
      <c r="H152" s="111"/>
      <c r="I152" s="111"/>
      <c r="J152" s="110"/>
      <c r="K152" s="110"/>
      <c r="O152" s="2" t="str">
        <f t="shared" si="5"/>
        <v>Supermarket</v>
      </c>
      <c r="P152" s="1" t="s">
        <v>105</v>
      </c>
      <c r="Q152" s="1"/>
      <c r="R152" s="110"/>
      <c r="S152" s="110"/>
      <c r="T152" s="111"/>
      <c r="U152" s="111"/>
      <c r="V152" s="110"/>
      <c r="W152" s="110"/>
    </row>
    <row r="153" spans="2:23" x14ac:dyDescent="0.3">
      <c r="B153" s="2" t="str">
        <f t="shared" si="4"/>
        <v/>
      </c>
      <c r="C153" s="1"/>
      <c r="D153" s="1"/>
      <c r="E153" s="1"/>
      <c r="F153" s="110"/>
      <c r="G153" s="110"/>
      <c r="H153" s="111"/>
      <c r="I153" s="111"/>
      <c r="J153" s="110"/>
      <c r="K153" s="110"/>
      <c r="O153" s="2" t="str">
        <f t="shared" si="5"/>
        <v>Supermarket</v>
      </c>
      <c r="P153" s="1" t="s">
        <v>105</v>
      </c>
      <c r="Q153" s="1"/>
      <c r="R153" s="110"/>
      <c r="S153" s="110"/>
      <c r="T153" s="111"/>
      <c r="U153" s="111"/>
      <c r="V153" s="110"/>
      <c r="W153" s="110"/>
    </row>
    <row r="154" spans="2:23" x14ac:dyDescent="0.3">
      <c r="B154" s="2" t="str">
        <f t="shared" si="4"/>
        <v/>
      </c>
      <c r="C154" s="1"/>
      <c r="D154" s="1"/>
      <c r="E154" s="1"/>
      <c r="F154" s="110"/>
      <c r="G154" s="110"/>
      <c r="H154" s="111"/>
      <c r="I154" s="111"/>
      <c r="J154" s="110"/>
      <c r="K154" s="110"/>
      <c r="O154" s="2" t="str">
        <f t="shared" si="5"/>
        <v>Supermarket</v>
      </c>
      <c r="P154" s="1" t="s">
        <v>105</v>
      </c>
      <c r="Q154" s="1"/>
      <c r="R154" s="110"/>
      <c r="S154" s="110"/>
      <c r="T154" s="111"/>
      <c r="U154" s="111"/>
      <c r="V154" s="110"/>
      <c r="W154" s="110"/>
    </row>
    <row r="155" spans="2:23" x14ac:dyDescent="0.3">
      <c r="B155" s="2" t="str">
        <f t="shared" si="4"/>
        <v/>
      </c>
      <c r="C155" s="1"/>
      <c r="D155" s="1"/>
      <c r="E155" s="1"/>
      <c r="F155" s="110"/>
      <c r="G155" s="110"/>
      <c r="H155" s="111"/>
      <c r="I155" s="111"/>
      <c r="J155" s="110"/>
      <c r="K155" s="110"/>
      <c r="O155" s="2" t="str">
        <f t="shared" si="5"/>
        <v>Supermarket</v>
      </c>
      <c r="P155" s="1" t="s">
        <v>105</v>
      </c>
      <c r="Q155" s="1"/>
      <c r="R155" s="110"/>
      <c r="S155" s="110"/>
      <c r="T155" s="111"/>
      <c r="U155" s="111"/>
      <c r="V155" s="110"/>
      <c r="W155" s="110"/>
    </row>
    <row r="156" spans="2:23" x14ac:dyDescent="0.3">
      <c r="B156" s="2" t="str">
        <f t="shared" si="4"/>
        <v/>
      </c>
      <c r="C156" s="1"/>
      <c r="D156" s="1"/>
      <c r="E156" s="1"/>
      <c r="F156" s="110"/>
      <c r="G156" s="110"/>
      <c r="H156" s="111"/>
      <c r="I156" s="111"/>
      <c r="J156" s="110"/>
      <c r="K156" s="110"/>
      <c r="O156" s="2" t="str">
        <f t="shared" si="5"/>
        <v>Supermarket</v>
      </c>
      <c r="P156" s="1" t="s">
        <v>105</v>
      </c>
      <c r="Q156" s="1"/>
      <c r="R156" s="110"/>
      <c r="S156" s="110"/>
      <c r="T156" s="111"/>
      <c r="U156" s="111"/>
      <c r="V156" s="110"/>
      <c r="W156" s="110"/>
    </row>
    <row r="157" spans="2:23" x14ac:dyDescent="0.3">
      <c r="B157" s="2" t="str">
        <f t="shared" si="4"/>
        <v/>
      </c>
      <c r="C157" s="1"/>
      <c r="D157" s="1"/>
      <c r="E157" s="1"/>
      <c r="F157" s="110"/>
      <c r="G157" s="110"/>
      <c r="H157" s="111"/>
      <c r="I157" s="111"/>
      <c r="J157" s="110"/>
      <c r="K157" s="110"/>
      <c r="O157" s="2" t="str">
        <f t="shared" si="5"/>
        <v>Supermarket</v>
      </c>
      <c r="P157" s="1" t="s">
        <v>105</v>
      </c>
      <c r="Q157" s="1"/>
      <c r="R157" s="110"/>
      <c r="S157" s="110"/>
      <c r="T157" s="111"/>
      <c r="U157" s="111"/>
      <c r="V157" s="110"/>
      <c r="W157" s="110"/>
    </row>
    <row r="158" spans="2:23" x14ac:dyDescent="0.3">
      <c r="B158" s="2" t="str">
        <f t="shared" si="4"/>
        <v/>
      </c>
      <c r="C158" s="1"/>
      <c r="D158" s="1"/>
      <c r="E158" s="1"/>
      <c r="F158" s="110"/>
      <c r="G158" s="110"/>
      <c r="H158" s="111"/>
      <c r="I158" s="111"/>
      <c r="J158" s="110"/>
      <c r="K158" s="110"/>
      <c r="O158" s="2" t="str">
        <f t="shared" si="5"/>
        <v>Supermarket</v>
      </c>
      <c r="P158" s="1" t="s">
        <v>105</v>
      </c>
      <c r="Q158" s="1"/>
      <c r="R158" s="110"/>
      <c r="S158" s="110"/>
      <c r="T158" s="111"/>
      <c r="U158" s="111"/>
      <c r="V158" s="110"/>
      <c r="W158" s="110"/>
    </row>
    <row r="159" spans="2:23" x14ac:dyDescent="0.3">
      <c r="B159" s="2" t="str">
        <f t="shared" si="4"/>
        <v/>
      </c>
      <c r="C159" s="1"/>
      <c r="D159" s="1"/>
      <c r="E159" s="1"/>
      <c r="F159" s="110"/>
      <c r="G159" s="110"/>
      <c r="H159" s="111"/>
      <c r="I159" s="111"/>
      <c r="J159" s="110"/>
      <c r="K159" s="110"/>
      <c r="O159" s="2" t="str">
        <f t="shared" si="5"/>
        <v>Supermarket</v>
      </c>
      <c r="P159" s="1" t="s">
        <v>105</v>
      </c>
      <c r="Q159" s="1"/>
      <c r="R159" s="110"/>
      <c r="S159" s="110"/>
      <c r="T159" s="111"/>
      <c r="U159" s="111"/>
      <c r="V159" s="110"/>
      <c r="W159" s="110"/>
    </row>
    <row r="160" spans="2:23" x14ac:dyDescent="0.3">
      <c r="B160" s="2" t="str">
        <f t="shared" si="4"/>
        <v/>
      </c>
      <c r="C160" s="1"/>
      <c r="D160" s="1"/>
      <c r="E160" s="1"/>
      <c r="F160" s="110"/>
      <c r="G160" s="110"/>
      <c r="H160" s="111"/>
      <c r="I160" s="111"/>
      <c r="J160" s="110"/>
      <c r="K160" s="110"/>
      <c r="O160" s="2" t="str">
        <f t="shared" si="5"/>
        <v>Supermarket</v>
      </c>
      <c r="P160" s="1" t="s">
        <v>105</v>
      </c>
      <c r="Q160" s="1"/>
      <c r="R160" s="110"/>
      <c r="S160" s="110"/>
      <c r="T160" s="111"/>
      <c r="U160" s="111"/>
      <c r="V160" s="110"/>
      <c r="W160" s="110"/>
    </row>
    <row r="161" spans="2:23" x14ac:dyDescent="0.3">
      <c r="B161" s="2" t="str">
        <f t="shared" si="4"/>
        <v/>
      </c>
      <c r="C161" s="1"/>
      <c r="D161" s="1"/>
      <c r="E161" s="1"/>
      <c r="F161" s="110"/>
      <c r="G161" s="110"/>
      <c r="H161" s="111"/>
      <c r="I161" s="111"/>
      <c r="J161" s="110"/>
      <c r="K161" s="110"/>
      <c r="O161" s="2" t="str">
        <f t="shared" si="5"/>
        <v>Supermarket</v>
      </c>
      <c r="P161" s="1" t="s">
        <v>105</v>
      </c>
      <c r="Q161" s="1"/>
      <c r="R161" s="110"/>
      <c r="S161" s="110"/>
      <c r="T161" s="111"/>
      <c r="U161" s="111"/>
      <c r="V161" s="110"/>
      <c r="W161" s="110"/>
    </row>
    <row r="162" spans="2:23" x14ac:dyDescent="0.3">
      <c r="B162" s="2" t="str">
        <f t="shared" si="4"/>
        <v/>
      </c>
      <c r="C162" s="1"/>
      <c r="D162" s="1"/>
      <c r="E162" s="1"/>
      <c r="F162" s="110"/>
      <c r="G162" s="110"/>
      <c r="H162" s="111"/>
      <c r="I162" s="111"/>
      <c r="J162" s="110"/>
      <c r="K162" s="110"/>
      <c r="O162" s="2" t="str">
        <f t="shared" si="5"/>
        <v>Supermarket</v>
      </c>
      <c r="P162" s="1" t="s">
        <v>105</v>
      </c>
      <c r="Q162" s="1"/>
      <c r="R162" s="110"/>
      <c r="S162" s="110"/>
      <c r="T162" s="111"/>
      <c r="U162" s="111"/>
      <c r="V162" s="110"/>
      <c r="W162" s="110"/>
    </row>
    <row r="163" spans="2:23" x14ac:dyDescent="0.3">
      <c r="B163" s="2" t="str">
        <f t="shared" si="4"/>
        <v/>
      </c>
      <c r="C163" s="1"/>
      <c r="D163" s="1"/>
      <c r="E163" s="1"/>
      <c r="F163" s="110"/>
      <c r="G163" s="110"/>
      <c r="H163" s="111"/>
      <c r="I163" s="111"/>
      <c r="J163" s="110"/>
      <c r="K163" s="110"/>
      <c r="O163" s="2" t="str">
        <f t="shared" si="5"/>
        <v>Supermarket</v>
      </c>
      <c r="P163" s="1" t="s">
        <v>105</v>
      </c>
      <c r="Q163" s="1"/>
      <c r="R163" s="110"/>
      <c r="S163" s="110"/>
      <c r="T163" s="111"/>
      <c r="U163" s="111"/>
      <c r="V163" s="110"/>
      <c r="W163" s="110"/>
    </row>
    <row r="164" spans="2:23" x14ac:dyDescent="0.3">
      <c r="B164" s="2" t="str">
        <f t="shared" si="4"/>
        <v/>
      </c>
      <c r="C164" s="1"/>
      <c r="D164" s="1"/>
      <c r="E164" s="1"/>
      <c r="F164" s="110"/>
      <c r="G164" s="110"/>
      <c r="H164" s="111"/>
      <c r="I164" s="111"/>
      <c r="J164" s="110"/>
      <c r="K164" s="110"/>
      <c r="O164" s="2" t="str">
        <f t="shared" si="5"/>
        <v>Supermarket</v>
      </c>
      <c r="P164" s="1" t="s">
        <v>105</v>
      </c>
      <c r="Q164" s="1"/>
      <c r="R164" s="110"/>
      <c r="S164" s="110"/>
      <c r="T164" s="111"/>
      <c r="U164" s="111"/>
      <c r="V164" s="110"/>
      <c r="W164" s="110"/>
    </row>
    <row r="165" spans="2:23" x14ac:dyDescent="0.3">
      <c r="B165" s="2" t="str">
        <f t="shared" si="4"/>
        <v/>
      </c>
      <c r="C165" s="1"/>
      <c r="D165" s="1"/>
      <c r="E165" s="1"/>
      <c r="F165" s="110"/>
      <c r="G165" s="110"/>
      <c r="H165" s="111"/>
      <c r="I165" s="111"/>
      <c r="J165" s="110"/>
      <c r="K165" s="110"/>
      <c r="O165" s="2" t="str">
        <f t="shared" si="5"/>
        <v>Supermarket</v>
      </c>
      <c r="P165" s="1" t="s">
        <v>105</v>
      </c>
      <c r="Q165" s="1"/>
      <c r="R165" s="110"/>
      <c r="S165" s="110"/>
      <c r="T165" s="111"/>
      <c r="U165" s="111"/>
      <c r="V165" s="110"/>
      <c r="W165" s="110"/>
    </row>
    <row r="166" spans="2:23" x14ac:dyDescent="0.3">
      <c r="B166" s="2" t="str">
        <f t="shared" si="4"/>
        <v/>
      </c>
      <c r="C166" s="1"/>
      <c r="D166" s="1"/>
      <c r="E166" s="1"/>
      <c r="F166" s="110"/>
      <c r="G166" s="110"/>
      <c r="H166" s="111"/>
      <c r="I166" s="111"/>
      <c r="J166" s="110"/>
      <c r="K166" s="110"/>
      <c r="O166" s="2" t="str">
        <f t="shared" si="5"/>
        <v>Supermarket</v>
      </c>
      <c r="P166" s="1" t="s">
        <v>105</v>
      </c>
      <c r="Q166" s="1"/>
      <c r="R166" s="110"/>
      <c r="S166" s="110"/>
      <c r="T166" s="111"/>
      <c r="U166" s="111"/>
      <c r="V166" s="110"/>
      <c r="W166" s="110"/>
    </row>
    <row r="167" spans="2:23" x14ac:dyDescent="0.3">
      <c r="B167" s="2" t="str">
        <f t="shared" si="4"/>
        <v/>
      </c>
      <c r="C167" s="1"/>
      <c r="D167" s="1"/>
      <c r="E167" s="1"/>
      <c r="F167" s="110"/>
      <c r="G167" s="110"/>
      <c r="H167" s="111"/>
      <c r="I167" s="111"/>
      <c r="J167" s="110"/>
      <c r="K167" s="110"/>
      <c r="O167" s="2" t="str">
        <f t="shared" si="5"/>
        <v>Supermarket</v>
      </c>
      <c r="P167" s="1" t="s">
        <v>105</v>
      </c>
      <c r="Q167" s="1"/>
      <c r="R167" s="110"/>
      <c r="S167" s="110"/>
      <c r="T167" s="111"/>
      <c r="U167" s="111"/>
      <c r="V167" s="110"/>
      <c r="W167" s="110"/>
    </row>
    <row r="168" spans="2:23" x14ac:dyDescent="0.3">
      <c r="B168" s="2" t="str">
        <f t="shared" si="4"/>
        <v/>
      </c>
      <c r="C168" s="1"/>
      <c r="D168" s="1"/>
      <c r="E168" s="1"/>
      <c r="F168" s="110"/>
      <c r="G168" s="110"/>
      <c r="H168" s="111"/>
      <c r="I168" s="111"/>
      <c r="J168" s="110"/>
      <c r="K168" s="110"/>
      <c r="O168" s="2" t="str">
        <f t="shared" si="5"/>
        <v>Supermarket</v>
      </c>
      <c r="P168" s="1" t="s">
        <v>105</v>
      </c>
      <c r="Q168" s="1"/>
      <c r="R168" s="110"/>
      <c r="S168" s="110"/>
      <c r="T168" s="111"/>
      <c r="U168" s="111"/>
      <c r="V168" s="110"/>
      <c r="W168" s="110"/>
    </row>
    <row r="169" spans="2:23" x14ac:dyDescent="0.3">
      <c r="B169" s="2" t="str">
        <f t="shared" si="4"/>
        <v/>
      </c>
      <c r="C169" s="1"/>
      <c r="D169" s="1"/>
      <c r="E169" s="1"/>
      <c r="F169" s="110"/>
      <c r="G169" s="110"/>
      <c r="H169" s="111"/>
      <c r="I169" s="111"/>
      <c r="J169" s="110"/>
      <c r="K169" s="110"/>
      <c r="O169" s="2" t="str">
        <f t="shared" si="5"/>
        <v>Supermarket</v>
      </c>
      <c r="P169" s="1" t="s">
        <v>105</v>
      </c>
      <c r="Q169" s="1"/>
      <c r="R169" s="110"/>
      <c r="S169" s="110"/>
      <c r="T169" s="111"/>
      <c r="U169" s="111"/>
      <c r="V169" s="110"/>
      <c r="W169" s="110"/>
    </row>
    <row r="170" spans="2:23" x14ac:dyDescent="0.3">
      <c r="B170" s="2" t="str">
        <f t="shared" si="4"/>
        <v/>
      </c>
      <c r="C170" s="1"/>
      <c r="D170" s="1"/>
      <c r="E170" s="1"/>
      <c r="F170" s="110"/>
      <c r="G170" s="110"/>
      <c r="H170" s="111"/>
      <c r="I170" s="111"/>
      <c r="J170" s="110"/>
      <c r="K170" s="110"/>
      <c r="O170" s="2" t="str">
        <f t="shared" si="5"/>
        <v>Supermarket</v>
      </c>
      <c r="P170" s="1" t="s">
        <v>105</v>
      </c>
      <c r="Q170" s="1"/>
      <c r="R170" s="110"/>
      <c r="S170" s="110"/>
      <c r="T170" s="111"/>
      <c r="U170" s="111"/>
      <c r="V170" s="110"/>
      <c r="W170" s="110"/>
    </row>
    <row r="171" spans="2:23" x14ac:dyDescent="0.3">
      <c r="B171" s="2" t="str">
        <f t="shared" si="4"/>
        <v/>
      </c>
      <c r="C171" s="1"/>
      <c r="D171" s="1"/>
      <c r="E171" s="1"/>
      <c r="F171" s="110"/>
      <c r="G171" s="110"/>
      <c r="H171" s="111"/>
      <c r="I171" s="111"/>
      <c r="J171" s="110"/>
      <c r="K171" s="110"/>
      <c r="O171" s="2" t="str">
        <f t="shared" si="5"/>
        <v>Supermarket</v>
      </c>
      <c r="P171" s="1" t="s">
        <v>105</v>
      </c>
      <c r="Q171" s="1"/>
      <c r="R171" s="110"/>
      <c r="S171" s="110"/>
      <c r="T171" s="111"/>
      <c r="U171" s="111"/>
      <c r="V171" s="110"/>
      <c r="W171" s="110"/>
    </row>
    <row r="172" spans="2:23" x14ac:dyDescent="0.3">
      <c r="B172" s="2" t="str">
        <f t="shared" si="4"/>
        <v/>
      </c>
      <c r="C172" s="1"/>
      <c r="D172" s="1"/>
      <c r="E172" s="1"/>
      <c r="F172" s="110"/>
      <c r="G172" s="110"/>
      <c r="H172" s="111"/>
      <c r="I172" s="111"/>
      <c r="J172" s="110"/>
      <c r="K172" s="110"/>
      <c r="O172" s="2" t="str">
        <f t="shared" si="5"/>
        <v>Supermarket</v>
      </c>
      <c r="P172" s="1" t="s">
        <v>105</v>
      </c>
      <c r="Q172" s="1"/>
      <c r="R172" s="110"/>
      <c r="S172" s="110"/>
      <c r="T172" s="111"/>
      <c r="U172" s="111"/>
      <c r="V172" s="110"/>
      <c r="W172" s="110"/>
    </row>
    <row r="173" spans="2:23" x14ac:dyDescent="0.3">
      <c r="B173" s="2" t="str">
        <f t="shared" si="4"/>
        <v/>
      </c>
      <c r="C173" s="1"/>
      <c r="D173" s="1"/>
      <c r="E173" s="1"/>
      <c r="F173" s="110"/>
      <c r="G173" s="110"/>
      <c r="H173" s="111"/>
      <c r="I173" s="111"/>
      <c r="J173" s="110"/>
      <c r="K173" s="110"/>
      <c r="O173" s="2" t="str">
        <f t="shared" si="5"/>
        <v>Supermarket</v>
      </c>
      <c r="P173" s="1" t="s">
        <v>105</v>
      </c>
      <c r="Q173" s="1"/>
      <c r="R173" s="110"/>
      <c r="S173" s="110"/>
      <c r="T173" s="111"/>
      <c r="U173" s="111"/>
      <c r="V173" s="110"/>
      <c r="W173" s="110"/>
    </row>
    <row r="174" spans="2:23" x14ac:dyDescent="0.3">
      <c r="B174" s="2" t="str">
        <f t="shared" si="4"/>
        <v/>
      </c>
      <c r="C174" s="1"/>
      <c r="D174" s="1"/>
      <c r="E174" s="1"/>
      <c r="F174" s="110"/>
      <c r="G174" s="110"/>
      <c r="H174" s="111"/>
      <c r="I174" s="111"/>
      <c r="J174" s="110"/>
      <c r="K174" s="110"/>
      <c r="O174" s="2" t="str">
        <f t="shared" si="5"/>
        <v>Supermarket</v>
      </c>
      <c r="P174" s="1" t="s">
        <v>105</v>
      </c>
      <c r="Q174" s="1"/>
      <c r="R174" s="110"/>
      <c r="S174" s="110"/>
      <c r="T174" s="111"/>
      <c r="U174" s="111"/>
      <c r="V174" s="110"/>
      <c r="W174" s="110"/>
    </row>
    <row r="175" spans="2:23" x14ac:dyDescent="0.3">
      <c r="B175" s="2" t="str">
        <f t="shared" si="4"/>
        <v/>
      </c>
      <c r="C175" s="1"/>
      <c r="D175" s="1"/>
      <c r="E175" s="1"/>
      <c r="F175" s="110"/>
      <c r="G175" s="110"/>
      <c r="H175" s="111"/>
      <c r="I175" s="111"/>
      <c r="J175" s="110"/>
      <c r="K175" s="110"/>
      <c r="O175" s="2" t="str">
        <f t="shared" si="5"/>
        <v>Supermarket</v>
      </c>
      <c r="P175" s="1" t="s">
        <v>105</v>
      </c>
      <c r="Q175" s="1"/>
      <c r="R175" s="110"/>
      <c r="S175" s="110"/>
      <c r="T175" s="111"/>
      <c r="U175" s="111"/>
      <c r="V175" s="110"/>
      <c r="W175" s="110"/>
    </row>
    <row r="176" spans="2:23" x14ac:dyDescent="0.3">
      <c r="B176" s="2" t="str">
        <f t="shared" si="4"/>
        <v/>
      </c>
      <c r="C176" s="1"/>
      <c r="D176" s="1"/>
      <c r="E176" s="1"/>
      <c r="F176" s="110"/>
      <c r="G176" s="110"/>
      <c r="H176" s="111"/>
      <c r="I176" s="111"/>
      <c r="J176" s="110"/>
      <c r="K176" s="110"/>
      <c r="O176" s="2" t="str">
        <f t="shared" si="5"/>
        <v>Supermarket</v>
      </c>
      <c r="P176" s="1" t="s">
        <v>105</v>
      </c>
      <c r="Q176" s="1"/>
      <c r="R176" s="110"/>
      <c r="S176" s="110"/>
      <c r="T176" s="111"/>
      <c r="U176" s="111"/>
      <c r="V176" s="110"/>
      <c r="W176" s="110"/>
    </row>
    <row r="177" spans="2:23" x14ac:dyDescent="0.3">
      <c r="B177" s="2" t="str">
        <f t="shared" si="4"/>
        <v/>
      </c>
      <c r="C177" s="1"/>
      <c r="D177" s="1"/>
      <c r="E177" s="1"/>
      <c r="F177" s="110"/>
      <c r="G177" s="110"/>
      <c r="H177" s="111"/>
      <c r="I177" s="111"/>
      <c r="J177" s="110"/>
      <c r="K177" s="110"/>
      <c r="O177" s="2" t="str">
        <f t="shared" si="5"/>
        <v>Supermarket</v>
      </c>
      <c r="P177" s="1" t="s">
        <v>105</v>
      </c>
      <c r="Q177" s="1"/>
      <c r="R177" s="110"/>
      <c r="S177" s="110"/>
      <c r="T177" s="111"/>
      <c r="U177" s="111"/>
      <c r="V177" s="110"/>
      <c r="W177" s="110"/>
    </row>
    <row r="178" spans="2:23" x14ac:dyDescent="0.3">
      <c r="B178" s="2" t="str">
        <f t="shared" si="4"/>
        <v/>
      </c>
      <c r="C178" s="1"/>
      <c r="D178" s="1"/>
      <c r="E178" s="1"/>
      <c r="F178" s="110"/>
      <c r="G178" s="110"/>
      <c r="H178" s="111"/>
      <c r="I178" s="111"/>
      <c r="J178" s="110"/>
      <c r="K178" s="110"/>
      <c r="O178" s="2" t="str">
        <f t="shared" si="5"/>
        <v>Supermarket</v>
      </c>
      <c r="P178" s="1" t="s">
        <v>105</v>
      </c>
      <c r="Q178" s="1"/>
      <c r="R178" s="110"/>
      <c r="S178" s="110"/>
      <c r="T178" s="111"/>
      <c r="U178" s="111"/>
      <c r="V178" s="110"/>
      <c r="W178" s="110"/>
    </row>
    <row r="179" spans="2:23" x14ac:dyDescent="0.3">
      <c r="B179" s="2" t="str">
        <f t="shared" si="4"/>
        <v/>
      </c>
      <c r="C179" s="1"/>
      <c r="D179" s="1"/>
      <c r="E179" s="1"/>
      <c r="F179" s="110"/>
      <c r="G179" s="110"/>
      <c r="H179" s="111"/>
      <c r="I179" s="111"/>
      <c r="J179" s="110"/>
      <c r="K179" s="110"/>
      <c r="O179" s="2" t="str">
        <f t="shared" si="5"/>
        <v>Supermarket</v>
      </c>
      <c r="P179" s="1" t="s">
        <v>105</v>
      </c>
      <c r="Q179" s="1"/>
      <c r="R179" s="110"/>
      <c r="S179" s="110"/>
      <c r="T179" s="111"/>
      <c r="U179" s="111"/>
      <c r="V179" s="110"/>
      <c r="W179" s="110"/>
    </row>
    <row r="180" spans="2:23" x14ac:dyDescent="0.3">
      <c r="B180" s="2" t="str">
        <f t="shared" si="4"/>
        <v/>
      </c>
      <c r="C180" s="1"/>
      <c r="D180" s="1"/>
      <c r="E180" s="1"/>
      <c r="F180" s="110"/>
      <c r="G180" s="110"/>
      <c r="H180" s="111"/>
      <c r="I180" s="111"/>
      <c r="J180" s="110"/>
      <c r="K180" s="110"/>
      <c r="O180" s="2" t="str">
        <f t="shared" si="5"/>
        <v>Supermarket</v>
      </c>
      <c r="P180" s="1" t="s">
        <v>105</v>
      </c>
      <c r="Q180" s="1"/>
      <c r="R180" s="110"/>
      <c r="S180" s="110"/>
      <c r="T180" s="111"/>
      <c r="U180" s="111"/>
      <c r="V180" s="110"/>
      <c r="W180" s="110"/>
    </row>
    <row r="181" spans="2:23" x14ac:dyDescent="0.3">
      <c r="B181" s="2" t="str">
        <f t="shared" si="4"/>
        <v/>
      </c>
      <c r="C181" s="1"/>
      <c r="D181" s="1"/>
      <c r="E181" s="1"/>
      <c r="F181" s="110"/>
      <c r="G181" s="110"/>
      <c r="H181" s="111"/>
      <c r="I181" s="111"/>
      <c r="J181" s="110"/>
      <c r="K181" s="110"/>
      <c r="O181" s="2" t="str">
        <f t="shared" si="5"/>
        <v>Supermarket</v>
      </c>
      <c r="P181" s="1" t="s">
        <v>105</v>
      </c>
      <c r="Q181" s="1"/>
      <c r="R181" s="110"/>
      <c r="S181" s="110"/>
      <c r="T181" s="111"/>
      <c r="U181" s="111"/>
      <c r="V181" s="110"/>
      <c r="W181" s="110"/>
    </row>
    <row r="182" spans="2:23" x14ac:dyDescent="0.3">
      <c r="B182" s="2" t="str">
        <f t="shared" si="4"/>
        <v/>
      </c>
      <c r="C182" s="1"/>
      <c r="D182" s="1"/>
      <c r="E182" s="1"/>
      <c r="F182" s="110"/>
      <c r="G182" s="110"/>
      <c r="H182" s="111"/>
      <c r="I182" s="111"/>
      <c r="J182" s="110"/>
      <c r="K182" s="110"/>
      <c r="O182" s="2" t="str">
        <f t="shared" si="5"/>
        <v>Supermarket</v>
      </c>
      <c r="P182" s="1" t="s">
        <v>105</v>
      </c>
      <c r="Q182" s="1"/>
      <c r="R182" s="110"/>
      <c r="S182" s="110"/>
      <c r="T182" s="111"/>
      <c r="U182" s="111"/>
      <c r="V182" s="110"/>
      <c r="W182" s="110"/>
    </row>
    <row r="183" spans="2:23" x14ac:dyDescent="0.3">
      <c r="B183" s="2" t="str">
        <f t="shared" si="4"/>
        <v/>
      </c>
      <c r="C183" s="1"/>
      <c r="D183" s="1"/>
      <c r="E183" s="1"/>
      <c r="F183" s="110"/>
      <c r="G183" s="110"/>
      <c r="H183" s="111"/>
      <c r="I183" s="111"/>
      <c r="J183" s="110"/>
      <c r="K183" s="110"/>
      <c r="O183" s="2" t="str">
        <f t="shared" si="5"/>
        <v>Supermarket</v>
      </c>
      <c r="P183" s="1" t="s">
        <v>105</v>
      </c>
      <c r="Q183" s="1"/>
      <c r="R183" s="110"/>
      <c r="S183" s="110"/>
      <c r="T183" s="111"/>
      <c r="U183" s="111"/>
      <c r="V183" s="110"/>
      <c r="W183" s="110"/>
    </row>
    <row r="184" spans="2:23" x14ac:dyDescent="0.3">
      <c r="B184" s="2" t="str">
        <f t="shared" si="4"/>
        <v/>
      </c>
      <c r="C184" s="1"/>
      <c r="D184" s="1"/>
      <c r="E184" s="1"/>
      <c r="F184" s="110"/>
      <c r="G184" s="110"/>
      <c r="H184" s="111"/>
      <c r="I184" s="111"/>
      <c r="J184" s="110"/>
      <c r="K184" s="110"/>
      <c r="O184" s="2" t="str">
        <f t="shared" si="5"/>
        <v>Supermarket</v>
      </c>
      <c r="P184" s="1" t="s">
        <v>105</v>
      </c>
      <c r="Q184" s="1"/>
      <c r="R184" s="110"/>
      <c r="S184" s="110"/>
      <c r="T184" s="111"/>
      <c r="U184" s="111"/>
      <c r="V184" s="110"/>
      <c r="W184" s="110"/>
    </row>
    <row r="185" spans="2:23" x14ac:dyDescent="0.3">
      <c r="B185" s="2" t="str">
        <f t="shared" si="4"/>
        <v/>
      </c>
      <c r="C185" s="1"/>
      <c r="D185" s="1"/>
      <c r="E185" s="1"/>
      <c r="F185" s="110"/>
      <c r="G185" s="110"/>
      <c r="H185" s="111"/>
      <c r="I185" s="111"/>
      <c r="J185" s="110"/>
      <c r="K185" s="110"/>
      <c r="O185" s="2" t="str">
        <f t="shared" si="5"/>
        <v>Supermarket</v>
      </c>
      <c r="P185" s="1" t="s">
        <v>105</v>
      </c>
      <c r="Q185" s="1"/>
      <c r="R185" s="110"/>
      <c r="S185" s="110"/>
      <c r="T185" s="111"/>
      <c r="U185" s="111"/>
      <c r="V185" s="110"/>
      <c r="W185" s="110"/>
    </row>
    <row r="186" spans="2:23" x14ac:dyDescent="0.3">
      <c r="B186" s="2" t="str">
        <f t="shared" si="4"/>
        <v/>
      </c>
      <c r="C186" s="1"/>
      <c r="D186" s="1"/>
      <c r="E186" s="1"/>
      <c r="F186" s="110"/>
      <c r="G186" s="110"/>
      <c r="H186" s="111"/>
      <c r="I186" s="111"/>
      <c r="J186" s="110"/>
      <c r="K186" s="110"/>
      <c r="O186" s="2" t="str">
        <f t="shared" si="5"/>
        <v>Supermarket</v>
      </c>
      <c r="P186" s="1" t="s">
        <v>105</v>
      </c>
      <c r="Q186" s="1"/>
      <c r="R186" s="110"/>
      <c r="S186" s="110"/>
      <c r="T186" s="111"/>
      <c r="U186" s="111"/>
      <c r="V186" s="110"/>
      <c r="W186" s="110"/>
    </row>
    <row r="187" spans="2:23" x14ac:dyDescent="0.3">
      <c r="B187" s="2" t="str">
        <f t="shared" si="4"/>
        <v/>
      </c>
      <c r="C187" s="1"/>
      <c r="D187" s="1"/>
      <c r="E187" s="1"/>
      <c r="F187" s="110"/>
      <c r="G187" s="110"/>
      <c r="H187" s="111"/>
      <c r="I187" s="111"/>
      <c r="J187" s="110"/>
      <c r="K187" s="110"/>
      <c r="O187" s="2" t="str">
        <f t="shared" si="5"/>
        <v>Supermarket</v>
      </c>
      <c r="P187" s="1" t="s">
        <v>105</v>
      </c>
      <c r="Q187" s="1"/>
      <c r="R187" s="110"/>
      <c r="S187" s="110"/>
      <c r="T187" s="111"/>
      <c r="U187" s="111"/>
      <c r="V187" s="110"/>
      <c r="W187" s="110"/>
    </row>
    <row r="188" spans="2:23" x14ac:dyDescent="0.3">
      <c r="B188" s="2" t="str">
        <f t="shared" si="4"/>
        <v/>
      </c>
      <c r="C188" s="1"/>
      <c r="D188" s="1"/>
      <c r="E188" s="1"/>
      <c r="F188" s="110"/>
      <c r="G188" s="110"/>
      <c r="H188" s="111"/>
      <c r="I188" s="111"/>
      <c r="J188" s="110"/>
      <c r="K188" s="110"/>
      <c r="O188" s="2" t="str">
        <f t="shared" si="5"/>
        <v>Supermarket</v>
      </c>
      <c r="P188" s="1" t="s">
        <v>105</v>
      </c>
      <c r="Q188" s="1"/>
      <c r="R188" s="110"/>
      <c r="S188" s="110"/>
      <c r="T188" s="111"/>
      <c r="U188" s="111"/>
      <c r="V188" s="110"/>
      <c r="W188" s="110"/>
    </row>
    <row r="189" spans="2:23" x14ac:dyDescent="0.3">
      <c r="B189" s="2" t="str">
        <f t="shared" si="4"/>
        <v/>
      </c>
      <c r="C189" s="1"/>
      <c r="D189" s="1"/>
      <c r="E189" s="1"/>
      <c r="F189" s="110"/>
      <c r="G189" s="110"/>
      <c r="H189" s="111"/>
      <c r="I189" s="111"/>
      <c r="J189" s="110"/>
      <c r="K189" s="110"/>
      <c r="O189" s="2" t="str">
        <f t="shared" si="5"/>
        <v>Supermarket</v>
      </c>
      <c r="P189" s="1" t="s">
        <v>105</v>
      </c>
      <c r="Q189" s="1"/>
      <c r="R189" s="110"/>
      <c r="S189" s="110"/>
      <c r="T189" s="111"/>
      <c r="U189" s="111"/>
      <c r="V189" s="110"/>
      <c r="W189" s="110"/>
    </row>
    <row r="190" spans="2:23" x14ac:dyDescent="0.3">
      <c r="B190" s="2" t="str">
        <f t="shared" si="4"/>
        <v/>
      </c>
      <c r="C190" s="1"/>
      <c r="D190" s="1"/>
      <c r="E190" s="1"/>
      <c r="F190" s="110"/>
      <c r="G190" s="110"/>
      <c r="H190" s="111"/>
      <c r="I190" s="111"/>
      <c r="J190" s="110"/>
      <c r="K190" s="110"/>
      <c r="O190" s="2" t="str">
        <f t="shared" si="5"/>
        <v>Supermarket</v>
      </c>
      <c r="P190" s="1" t="s">
        <v>105</v>
      </c>
      <c r="Q190" s="1"/>
      <c r="R190" s="110"/>
      <c r="S190" s="110"/>
      <c r="T190" s="111"/>
      <c r="U190" s="111"/>
      <c r="V190" s="110"/>
      <c r="W190" s="110"/>
    </row>
    <row r="191" spans="2:23" x14ac:dyDescent="0.3">
      <c r="B191" s="2" t="str">
        <f t="shared" si="4"/>
        <v/>
      </c>
      <c r="C191" s="1"/>
      <c r="D191" s="1"/>
      <c r="E191" s="1"/>
      <c r="F191" s="110"/>
      <c r="G191" s="110"/>
      <c r="H191" s="111"/>
      <c r="I191" s="111"/>
      <c r="J191" s="110"/>
      <c r="K191" s="110"/>
      <c r="O191" s="2" t="str">
        <f t="shared" si="5"/>
        <v>Supermarket</v>
      </c>
      <c r="P191" s="1" t="s">
        <v>105</v>
      </c>
      <c r="Q191" s="1"/>
      <c r="R191" s="110"/>
      <c r="S191" s="110"/>
      <c r="T191" s="111"/>
      <c r="U191" s="111"/>
      <c r="V191" s="110"/>
      <c r="W191" s="110"/>
    </row>
    <row r="192" spans="2:23" x14ac:dyDescent="0.3">
      <c r="B192" s="2" t="str">
        <f t="shared" si="4"/>
        <v/>
      </c>
      <c r="C192" s="1"/>
      <c r="D192" s="1"/>
      <c r="E192" s="1"/>
      <c r="F192" s="110"/>
      <c r="G192" s="110"/>
      <c r="H192" s="111"/>
      <c r="I192" s="111"/>
      <c r="J192" s="110"/>
      <c r="K192" s="110"/>
      <c r="O192" s="2" t="str">
        <f t="shared" si="5"/>
        <v>Supermarket</v>
      </c>
      <c r="P192" s="1" t="s">
        <v>105</v>
      </c>
      <c r="Q192" s="1"/>
      <c r="R192" s="110"/>
      <c r="S192" s="110"/>
      <c r="T192" s="111"/>
      <c r="U192" s="111"/>
      <c r="V192" s="110"/>
      <c r="W192" s="110"/>
    </row>
    <row r="193" spans="2:23" x14ac:dyDescent="0.3">
      <c r="B193" s="2" t="str">
        <f t="shared" si="4"/>
        <v/>
      </c>
      <c r="C193" s="1"/>
      <c r="D193" s="1"/>
      <c r="E193" s="1"/>
      <c r="F193" s="110"/>
      <c r="G193" s="110"/>
      <c r="H193" s="111"/>
      <c r="I193" s="111"/>
      <c r="J193" s="110"/>
      <c r="K193" s="110"/>
      <c r="O193" s="2" t="str">
        <f t="shared" si="5"/>
        <v>Supermarket</v>
      </c>
      <c r="P193" s="1" t="s">
        <v>105</v>
      </c>
      <c r="Q193" s="1"/>
      <c r="R193" s="110"/>
      <c r="S193" s="110"/>
      <c r="T193" s="111"/>
      <c r="U193" s="111"/>
      <c r="V193" s="110"/>
      <c r="W193" s="110"/>
    </row>
    <row r="194" spans="2:23" x14ac:dyDescent="0.3">
      <c r="B194" s="2" t="str">
        <f t="shared" si="4"/>
        <v/>
      </c>
      <c r="C194" s="1"/>
      <c r="D194" s="1"/>
      <c r="E194" s="1"/>
      <c r="F194" s="110"/>
      <c r="G194" s="110"/>
      <c r="H194" s="111"/>
      <c r="I194" s="111"/>
      <c r="J194" s="110"/>
      <c r="K194" s="110"/>
      <c r="O194" s="2" t="str">
        <f t="shared" si="5"/>
        <v>Supermarket</v>
      </c>
      <c r="P194" s="1" t="s">
        <v>105</v>
      </c>
      <c r="Q194" s="1"/>
      <c r="R194" s="110"/>
      <c r="S194" s="110"/>
      <c r="T194" s="111"/>
      <c r="U194" s="111"/>
      <c r="V194" s="110"/>
      <c r="W194" s="110"/>
    </row>
    <row r="195" spans="2:23" x14ac:dyDescent="0.3">
      <c r="B195" s="2" t="str">
        <f t="shared" si="4"/>
        <v/>
      </c>
      <c r="C195" s="1"/>
      <c r="D195" s="1"/>
      <c r="E195" s="1"/>
      <c r="F195" s="110"/>
      <c r="G195" s="110"/>
      <c r="H195" s="111"/>
      <c r="I195" s="111"/>
      <c r="J195" s="110"/>
      <c r="K195" s="110"/>
      <c r="O195" s="2" t="str">
        <f t="shared" si="5"/>
        <v>Supermarket</v>
      </c>
      <c r="P195" s="1" t="s">
        <v>105</v>
      </c>
      <c r="Q195" s="1"/>
      <c r="R195" s="110"/>
      <c r="S195" s="110"/>
      <c r="T195" s="111"/>
      <c r="U195" s="111"/>
      <c r="V195" s="110"/>
      <c r="W195" s="110"/>
    </row>
    <row r="196" spans="2:23" x14ac:dyDescent="0.3">
      <c r="B196" s="2" t="str">
        <f t="shared" ref="B196:B200" si="6">C196&amp;D196&amp;E196</f>
        <v/>
      </c>
      <c r="C196" s="1"/>
      <c r="D196" s="1"/>
      <c r="E196" s="1"/>
      <c r="F196" s="110"/>
      <c r="G196" s="110"/>
      <c r="H196" s="111"/>
      <c r="I196" s="111"/>
      <c r="J196" s="110"/>
      <c r="K196" s="110"/>
      <c r="O196" s="2" t="str">
        <f t="shared" ref="O196:O200" si="7">P196&amp;Q196</f>
        <v>Supermarket</v>
      </c>
      <c r="P196" s="1" t="s">
        <v>105</v>
      </c>
      <c r="Q196" s="1"/>
      <c r="R196" s="110"/>
      <c r="S196" s="110"/>
      <c r="T196" s="111"/>
      <c r="U196" s="111"/>
      <c r="V196" s="110"/>
      <c r="W196" s="110"/>
    </row>
    <row r="197" spans="2:23" x14ac:dyDescent="0.3">
      <c r="B197" s="2" t="str">
        <f t="shared" si="6"/>
        <v/>
      </c>
      <c r="C197" s="1"/>
      <c r="D197" s="1"/>
      <c r="E197" s="1"/>
      <c r="F197" s="110"/>
      <c r="G197" s="110"/>
      <c r="H197" s="111"/>
      <c r="I197" s="111"/>
      <c r="J197" s="110"/>
      <c r="K197" s="110"/>
      <c r="O197" s="2" t="str">
        <f t="shared" si="7"/>
        <v>Supermarket</v>
      </c>
      <c r="P197" s="1" t="s">
        <v>105</v>
      </c>
      <c r="Q197" s="1"/>
      <c r="R197" s="110"/>
      <c r="S197" s="110"/>
      <c r="T197" s="111"/>
      <c r="U197" s="111"/>
      <c r="V197" s="110"/>
      <c r="W197" s="110"/>
    </row>
    <row r="198" spans="2:23" x14ac:dyDescent="0.3">
      <c r="B198" s="2" t="str">
        <f t="shared" si="6"/>
        <v/>
      </c>
      <c r="C198" s="1"/>
      <c r="D198" s="1"/>
      <c r="E198" s="1"/>
      <c r="F198" s="110"/>
      <c r="G198" s="110"/>
      <c r="H198" s="111"/>
      <c r="I198" s="111"/>
      <c r="J198" s="110"/>
      <c r="K198" s="110"/>
      <c r="O198" s="2" t="str">
        <f t="shared" si="7"/>
        <v>Supermarket</v>
      </c>
      <c r="P198" s="1" t="s">
        <v>105</v>
      </c>
      <c r="Q198" s="1"/>
      <c r="R198" s="110"/>
      <c r="S198" s="110"/>
      <c r="T198" s="111"/>
      <c r="U198" s="111"/>
      <c r="V198" s="110"/>
      <c r="W198" s="110"/>
    </row>
    <row r="199" spans="2:23" x14ac:dyDescent="0.3">
      <c r="B199" s="2" t="str">
        <f t="shared" si="6"/>
        <v/>
      </c>
      <c r="C199" s="1"/>
      <c r="D199" s="1"/>
      <c r="E199" s="1"/>
      <c r="F199" s="110"/>
      <c r="G199" s="110"/>
      <c r="H199" s="111"/>
      <c r="I199" s="111"/>
      <c r="J199" s="110"/>
      <c r="K199" s="110"/>
      <c r="O199" s="2" t="str">
        <f t="shared" si="7"/>
        <v>Supermarket</v>
      </c>
      <c r="P199" s="1" t="s">
        <v>105</v>
      </c>
      <c r="Q199" s="1"/>
      <c r="R199" s="110"/>
      <c r="S199" s="110"/>
      <c r="T199" s="111"/>
      <c r="U199" s="111"/>
      <c r="V199" s="110"/>
      <c r="W199" s="110"/>
    </row>
    <row r="200" spans="2:23" x14ac:dyDescent="0.3">
      <c r="B200" s="2" t="str">
        <f t="shared" si="6"/>
        <v/>
      </c>
      <c r="C200" s="1"/>
      <c r="D200" s="1"/>
      <c r="E200" s="1"/>
      <c r="F200" s="110"/>
      <c r="G200" s="110"/>
      <c r="H200" s="111"/>
      <c r="I200" s="111"/>
      <c r="J200" s="110"/>
      <c r="K200" s="110"/>
      <c r="O200" s="2" t="str">
        <f t="shared" si="7"/>
        <v>Supermarket</v>
      </c>
      <c r="P200" s="1" t="s">
        <v>105</v>
      </c>
      <c r="Q200" s="1"/>
      <c r="R200" s="110"/>
      <c r="S200" s="110"/>
      <c r="T200" s="111"/>
      <c r="U200" s="111"/>
      <c r="V200" s="110"/>
      <c r="W200" s="110"/>
    </row>
  </sheetData>
  <autoFilter ref="C2:I200" xr:uid="{129FCD4A-814E-4BA7-9734-FE417110CDC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369C-27F8-43F4-AB6A-BF232DBC070F}">
  <sheetPr codeName="Sheet2"/>
  <dimension ref="B1:BP229"/>
  <sheetViews>
    <sheetView tabSelected="1" topLeftCell="B1" workbookViewId="0">
      <selection activeCell="O27" sqref="O27"/>
    </sheetView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3.664062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4" width="15.21875" customWidth="1"/>
    <col min="55" max="72" width="12" bestFit="1" customWidth="1"/>
  </cols>
  <sheetData>
    <row r="1" spans="2:55" x14ac:dyDescent="0.3">
      <c r="B1" s="115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1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AY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94" t="str">
        <f t="shared" ref="AZ2" si="2">"L0_"&amp;AZ3</f>
        <v>L0_Current RPI_1</v>
      </c>
      <c r="BA2" s="94" t="str">
        <f t="shared" ref="BA2" si="3">"L0_"&amp;BA3</f>
        <v>L0_Current RPI_2</v>
      </c>
      <c r="BB2" s="94" t="str">
        <f t="shared" ref="BB2" si="4">"L0_"&amp;BB3</f>
        <v>L0_Proposed RPI_1</v>
      </c>
      <c r="BC2" s="94" t="str">
        <f t="shared" ref="BC2" si="5">"L0_"&amp;BC3</f>
        <v>L0_Proposed RPI_2</v>
      </c>
    </row>
    <row r="3" spans="2:55" x14ac:dyDescent="0.3">
      <c r="B3" s="113" t="s">
        <v>87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5"/>
      <c r="AF3" s="5" t="s">
        <v>13</v>
      </c>
      <c r="AG3" s="30" t="s">
        <v>16</v>
      </c>
      <c r="AH3" s="30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101</v>
      </c>
      <c r="AZ3" s="94" t="s">
        <v>72</v>
      </c>
      <c r="BA3" s="94" t="s">
        <v>73</v>
      </c>
      <c r="BB3" s="94" t="s">
        <v>74</v>
      </c>
      <c r="BC3" s="94" t="s">
        <v>75</v>
      </c>
    </row>
    <row r="4" spans="2:55" ht="14.4" customHeight="1" x14ac:dyDescent="0.3">
      <c r="B4" s="114" t="s">
        <v>88</v>
      </c>
      <c r="C4" s="4">
        <v>1</v>
      </c>
      <c r="D4" s="108" t="str">
        <f>IFERROR(E4&amp;F4,"")</f>
        <v>SupermarketHP</v>
      </c>
      <c r="E4" s="3" t="s">
        <v>105</v>
      </c>
      <c r="F4" s="109" t="str">
        <f>IFERROR(INDEX('Input - Supermarket'!$Y$3:$Y$200,MATCH('Calculations - Supermarket'!$C4,'Input - Supermarket'!$Z$3:$Z$200,0)),"")</f>
        <v>HP</v>
      </c>
      <c r="G4" s="20">
        <f>IFERROR(INDEX('Input - Supermarket'!R$2:R$200,MATCH('Calculations - Supermarket'!$D4,'Input - Supermarket'!$O$2:$O$200,0)),"")</f>
        <v>29793333.190000001</v>
      </c>
      <c r="H4" s="20">
        <f>IFERROR(INDEX('Input - Supermarket'!S$2:S$200,MATCH('Calculations - Supermarket'!$D4,'Input - Supermarket'!$O$2:$O$200,0)),"")</f>
        <v>4952521.0539999995</v>
      </c>
      <c r="I4" s="27">
        <f>IFERROR(INDEX('Input - Supermarket'!T$2:T$200,MATCH('Calculations - Supermarket'!$D4,'Input - Supermarket'!$O$2:$O$200,0)),"")</f>
        <v>2.2500845892990098</v>
      </c>
      <c r="J4" s="27">
        <f>IFERROR(INDEX('Input - Supermarket'!U$2:U$200,MATCH('Calculations - Supermarket'!$D4,'Input - Supermarket'!$O$2:$O$200,0)),"")</f>
        <v>13.536039351216001</v>
      </c>
      <c r="K4" s="20">
        <f>IFERROR(INDEX('Input - Supermarket'!V$2:V$200,MATCH('Calculations - Supermarket'!$D4,'Input - Supermarket'!$O$2:$O$200,0)),"")</f>
        <v>89684376.459999993</v>
      </c>
      <c r="L4" s="20">
        <f>IFERROR(INDEX('Input - Supermarket'!W$2:W$200,MATCH('Calculations - Supermarket'!$D4,'Input - Supermarket'!$O$2:$O$200,0)),"")</f>
        <v>15463553.361</v>
      </c>
      <c r="M4" s="21">
        <f>IFERROR(G4/H4,"")</f>
        <v>6.0157913242866154</v>
      </c>
      <c r="N4" s="21">
        <f t="shared" ref="N4:N24" si="6">IFERROR(K4/L4,"")</f>
        <v>5.799726257367813</v>
      </c>
      <c r="O4" s="21">
        <f>IFERROR((M4/(M4-J4)*5),"")</f>
        <v>-3.999729332559621</v>
      </c>
      <c r="P4" s="9">
        <f t="shared" ref="P4:P23" si="7">IFERROR(G4/SUM(G$4:G$23),"")</f>
        <v>0.76983522684101346</v>
      </c>
      <c r="Q4" s="9">
        <f t="shared" ref="Q4:Q23" si="8">IFERROR(H4/SUM(H$4:H$23),"")</f>
        <v>0.62689330231835505</v>
      </c>
      <c r="R4" s="8">
        <f t="shared" ref="R4:R23" si="9">IFERROR(T4/G4,"-")</f>
        <v>0.8</v>
      </c>
      <c r="S4" s="8">
        <f>IFERROR(U4/T4,"-")</f>
        <v>0.3</v>
      </c>
      <c r="T4">
        <f>IFERROR(SUMIFS(T$32:T$229,$B$32:$B$229,$D4),"-")</f>
        <v>23834666.552000001</v>
      </c>
      <c r="U4">
        <f>IFERROR(SUMIFS(U$32:U$229,$B$32:$B$229,$D4),"-")</f>
        <v>7150399.9655999998</v>
      </c>
      <c r="V4">
        <f>IFERROR(T4-U4,"-")</f>
        <v>16684266.586400002</v>
      </c>
      <c r="W4">
        <f t="shared" ref="W4:W23" si="10">IFERROR(V4/H4,"-")</f>
        <v>3.3688431416005047</v>
      </c>
      <c r="X4" s="10">
        <f t="shared" ref="X4:X23" si="11">IFERROR((J4+M4)*H4*0.5,"-")</f>
        <v>48415426.532334864</v>
      </c>
      <c r="Y4" s="7">
        <f>IFERROR(X4/$X$24,"")</f>
        <v>0.77285076440763489</v>
      </c>
      <c r="Z4" s="13">
        <f>IFERROR(Y4-P4,"-")</f>
        <v>3.015537566621429E-3</v>
      </c>
      <c r="AA4">
        <f>IFERROR(Y4*$G$24,"-")</f>
        <v>29910037.274636373</v>
      </c>
      <c r="AB4" s="16">
        <f t="shared" ref="AB4:AB23" si="12">IFERROR(AA4/M4,"-")</f>
        <v>4971920.6771493629</v>
      </c>
      <c r="AC4" s="16">
        <f>IFERROR(R4*AA4,"-")</f>
        <v>23928029.8197091</v>
      </c>
      <c r="AD4" s="16">
        <f>IFERROR(AC4-(W4)*AB4,"-")</f>
        <v>7178408.9459127318</v>
      </c>
      <c r="AF4" s="27" cm="1">
        <f t="array" ref="AF4">IFERROR(SUM(_xlfn._xlws.FILTER($AF$32:$AF$229*$AJ$32:$AJ$229,$B$32:$B$229=D4))/SUM(_xlfn._xlws.FILTER($AJ$32:$AJ$229,$B$32:$B$229=D4)),"-")</f>
        <v>6.0157913242866137</v>
      </c>
      <c r="AG4" s="123">
        <f>IFERROR(SUMIFS(AV$32:AV$229,$E$32:$E$229,$F4)/SUMIFS(AT$32:AT$229,$E$32:$E$229,$F4),"-")</f>
        <v>0.79999999999999993</v>
      </c>
      <c r="AH4" s="124">
        <f>IFERROR(SUMIFS(AW$32:AW$229,$E$32:$E$229,$F4)/SUMIFS(AV$32:AV$229,$E$32:$E$229,$F4),"-")</f>
        <v>0.29999999999999993</v>
      </c>
      <c r="AI4" s="9">
        <f t="shared" ref="AI4:AI23" si="13">IFERROR((AF4-M4)/M4,"")</f>
        <v>-2.95282323412523E-16</v>
      </c>
      <c r="AJ4" s="4">
        <f t="shared" ref="AJ4:AJ23" si="14">IFERROR(MAX((1+AI4*O4/5)*H4,0),"")</f>
        <v>4952521.0540000005</v>
      </c>
      <c r="AK4" s="18">
        <f>SUMPRODUCT(AF$4:AF$23,AJ$4:AJ$23)/SUM(AJ$4:AJ$23)</f>
        <v>4.8987876338360747</v>
      </c>
      <c r="AL4" s="24">
        <f>$AK4/$M$24-1</f>
        <v>0</v>
      </c>
      <c r="AM4" s="24">
        <f>$AL4*$O$24/5</f>
        <v>0</v>
      </c>
      <c r="AN4" s="25">
        <f>(1+$AM4)*$H$24</f>
        <v>7900102.0359999994</v>
      </c>
      <c r="AO4" s="25">
        <f>AN4*AK4</f>
        <v>38700922.159999996</v>
      </c>
      <c r="AP4" s="20">
        <f t="shared" ref="AP4:AP23" si="15">IFERROR(0.5*(J4+AF4)*AJ4,"-")</f>
        <v>48415426.532334872</v>
      </c>
      <c r="AQ4" s="13">
        <f>IFERROR(AP4/AP$24,"")</f>
        <v>0.77285076440763489</v>
      </c>
      <c r="AR4" s="9">
        <f>IFERROR(AQ4*$P$24,"")</f>
        <v>0.77285076440763489</v>
      </c>
      <c r="AS4" s="13">
        <f>IFERROR(AR4-P4,"")</f>
        <v>3.015537566621429E-3</v>
      </c>
      <c r="AT4" s="16">
        <f>IFERROR(AR4*AO$4,"-")</f>
        <v>29910037.274636373</v>
      </c>
      <c r="AU4" s="16">
        <f t="shared" ref="AU4:AU23" si="16">IFERROR(AT4/AF4,"-")</f>
        <v>4971920.6771493647</v>
      </c>
      <c r="AV4" s="4">
        <f>IFERROR(AT4*AG4,"-")</f>
        <v>23928029.819709096</v>
      </c>
      <c r="AW4" s="16">
        <f t="shared" ref="AW4:AW23" si="17">IFERROR(AV4-(W4*AU4),"-")</f>
        <v>7178408.9459127225</v>
      </c>
      <c r="AX4">
        <f t="shared" ref="AX4:AX23" si="18">IFERROR(J4/AF4,"")</f>
        <v>2.2500845892990116</v>
      </c>
      <c r="AY4" s="9">
        <f t="shared" ref="AY4:AY23" si="19">IFERROR(AU4/$AU$24,"-")</f>
        <v>0.62911028270711689</v>
      </c>
      <c r="AZ4" s="20">
        <f>IFERROR(100*$M$4/$M4,"")</f>
        <v>100</v>
      </c>
      <c r="BA4" s="20">
        <f>IFERROR(100*$M$5/$M4,"")</f>
        <v>70.311530172514708</v>
      </c>
      <c r="BB4" s="20">
        <f>IFERROR(100*$AF$4/$AF4,"")</f>
        <v>100</v>
      </c>
      <c r="BC4" s="20">
        <f>IFERROR(100*$AF$5/$AF4,"")</f>
        <v>70.311530172514736</v>
      </c>
    </row>
    <row r="5" spans="2:55" ht="14.4" customHeight="1" x14ac:dyDescent="0.3">
      <c r="B5" s="114" t="s">
        <v>89</v>
      </c>
      <c r="C5" s="4">
        <v>2</v>
      </c>
      <c r="D5" s="108" t="str">
        <f t="shared" ref="D5:D24" si="20">IFERROR(E5&amp;F5,"")</f>
        <v>SupermarketDADDIES</v>
      </c>
      <c r="E5" s="3" t="s">
        <v>105</v>
      </c>
      <c r="F5" s="109" t="str">
        <f>IFERROR(INDEX('Input - Supermarket'!$Y$3:$Y$200,MATCH('Calculations - Supermarket'!$C5,'Input - Supermarket'!$Z$3:$Z$200,0)),"")</f>
        <v>DADDIES</v>
      </c>
      <c r="G5" s="20">
        <f>IFERROR(INDEX('Input - Supermarket'!R$2:R$200,MATCH('Calculations - Supermarket'!$D5,'Input - Supermarket'!$O$2:$O$200,0)),"")</f>
        <v>3988962.95</v>
      </c>
      <c r="H5" s="20">
        <f>IFERROR(INDEX('Input - Supermarket'!S$2:S$200,MATCH('Calculations - Supermarket'!$D5,'Input - Supermarket'!$O$2:$O$200,0)),"")</f>
        <v>943062.96499999997</v>
      </c>
      <c r="I5" s="27">
        <f>IFERROR(INDEX('Input - Supermarket'!T$2:T$200,MATCH('Calculations - Supermarket'!$D5,'Input - Supermarket'!$O$2:$O$200,0)),"")</f>
        <v>2.1158858934758502</v>
      </c>
      <c r="J5" s="27">
        <f>IFERROR(INDEX('Input - Supermarket'!U$2:U$200,MATCH('Calculations - Supermarket'!$D5,'Input - Supermarket'!$O$2:$O$200,0)),"")</f>
        <v>8.9497634291076196</v>
      </c>
      <c r="K5" s="20">
        <f>IFERROR(INDEX('Input - Supermarket'!V$2:V$200,MATCH('Calculations - Supermarket'!$D5,'Input - Supermarket'!$O$2:$O$200,0)),"")</f>
        <v>11661168.24</v>
      </c>
      <c r="L5" s="20">
        <f>IFERROR(INDEX('Input - Supermarket'!W$2:W$200,MATCH('Calculations - Supermarket'!$D5,'Input - Supermarket'!$O$2:$O$200,0)),"")</f>
        <v>3126997.59</v>
      </c>
      <c r="M5" s="21">
        <f t="shared" ref="M5:M24" si="21">IFERROR(G5/H5,"")</f>
        <v>4.2297949320913055</v>
      </c>
      <c r="N5" s="21">
        <f t="shared" si="6"/>
        <v>3.7291900311314281</v>
      </c>
      <c r="O5" s="21">
        <f t="shared" ref="O5:O23" si="22">IFERROR((M5/(M5-J5)*5),"")</f>
        <v>-4.4807448765443372</v>
      </c>
      <c r="P5" s="9">
        <f t="shared" si="7"/>
        <v>0.10307152200427051</v>
      </c>
      <c r="Q5" s="9">
        <f t="shared" si="8"/>
        <v>0.11937351703845765</v>
      </c>
      <c r="R5" s="8">
        <f t="shared" si="9"/>
        <v>0.8</v>
      </c>
      <c r="S5" s="8">
        <f t="shared" ref="S5:S23" si="23">IFERROR(U5/T5,"-")</f>
        <v>0.3</v>
      </c>
      <c r="T5">
        <f t="shared" ref="T5:U23" si="24">IFERROR(SUMIFS(T$32:T$229,$B$32:$B$229,$D5),"-")</f>
        <v>3191170.3600000003</v>
      </c>
      <c r="U5">
        <f t="shared" si="24"/>
        <v>957351.10800000001</v>
      </c>
      <c r="V5">
        <f t="shared" ref="V5:V23" si="25">IFERROR(T5-U5,"-")</f>
        <v>2233819.2520000003</v>
      </c>
      <c r="W5">
        <f t="shared" si="10"/>
        <v>2.3686851619711313</v>
      </c>
      <c r="X5" s="10">
        <f t="shared" si="11"/>
        <v>6214576.6927513992</v>
      </c>
      <c r="Y5" s="7">
        <f t="shared" ref="Y5:Y23" si="26">IFERROR(X5/$X$24,"")</f>
        <v>9.9202685826904474E-2</v>
      </c>
      <c r="Z5" s="13">
        <f t="shared" ref="Z5:Z23" si="27">IFERROR(Y5-P5,"-")</f>
        <v>-3.868836177366039E-3</v>
      </c>
      <c r="AA5">
        <f t="shared" ref="AA5:AA23" si="28">IFERROR(Y5*$G$24,"-")</f>
        <v>3839235.4222499649</v>
      </c>
      <c r="AB5" s="16">
        <f t="shared" si="12"/>
        <v>907664.67024720763</v>
      </c>
      <c r="AC5" s="16">
        <f t="shared" ref="AC5:AC23" si="29">IFERROR(R5*AA5,"-")</f>
        <v>3071388.3377999719</v>
      </c>
      <c r="AD5" s="16">
        <f t="shared" ref="AD5:AD23" si="30">IFERROR(AC5-(W5)*AB5,"-")</f>
        <v>921416.50133999158</v>
      </c>
      <c r="AF5" s="27" cm="1">
        <f t="array" ref="AF5">IFERROR(SUM(_xlfn._xlws.FILTER($AF$32:$AF$229*$AJ$32:$AJ$229,$B$32:$B$229=D5))/SUM(_xlfn._xlws.FILTER($AJ$32:$AJ$229,$B$32:$B$229=D5)),"-")</f>
        <v>4.2297949320913064</v>
      </c>
      <c r="AG5" s="123">
        <f t="shared" ref="AG5:AG23" si="31">IFERROR(SUMIFS(AV$32:AV$229,$E$32:$E$229,$F5)/SUMIFS(AT$32:AT$229,$E$32:$E$229,$F5),"-")</f>
        <v>0.80000000000000016</v>
      </c>
      <c r="AH5" s="124">
        <f t="shared" ref="AH5:AH23" si="32">IFERROR(SUMIFS(AW$32:AW$229,$E$32:$E$229,$F5)/SUMIFS(AV$32:AV$229,$E$32:$E$229,$F5),"-")</f>
        <v>0.29999999999999993</v>
      </c>
      <c r="AI5" s="9">
        <f t="shared" si="13"/>
        <v>2.0998143738873644E-16</v>
      </c>
      <c r="AJ5" s="4">
        <f t="shared" si="14"/>
        <v>943062.96499999973</v>
      </c>
      <c r="AP5" s="20">
        <f t="shared" si="15"/>
        <v>6214576.6927513983</v>
      </c>
      <c r="AQ5" s="13">
        <f t="shared" ref="AQ5:AQ24" si="33">IFERROR(AP5/AP$24,"")</f>
        <v>9.9202685826904446E-2</v>
      </c>
      <c r="AR5" s="9">
        <f t="shared" ref="AR5:AR24" si="34">IFERROR(AQ5*$P$24,"")</f>
        <v>9.9202685826904446E-2</v>
      </c>
      <c r="AS5" s="13">
        <f t="shared" ref="AS5:AS24" si="35">IFERROR(AR5-P5,"")</f>
        <v>-3.8688361773660668E-3</v>
      </c>
      <c r="AT5" s="16">
        <f t="shared" ref="AT5:AT23" si="36">IFERROR(AR5*AO$4,"-")</f>
        <v>3839235.422249964</v>
      </c>
      <c r="AU5" s="16">
        <f t="shared" si="16"/>
        <v>907664.67024720728</v>
      </c>
      <c r="AV5" s="4">
        <f t="shared" ref="AV5:AV23" si="37">IFERROR(AT5*AG5,"-")</f>
        <v>3071388.3377999719</v>
      </c>
      <c r="AW5" s="16">
        <f t="shared" si="17"/>
        <v>921416.50133999204</v>
      </c>
      <c r="AX5">
        <f t="shared" si="18"/>
        <v>2.1158858934758462</v>
      </c>
      <c r="AY5" s="9">
        <f t="shared" si="19"/>
        <v>0.11484921308717978</v>
      </c>
      <c r="AZ5" s="20">
        <f t="shared" ref="AZ5:AZ24" si="38">IFERROR(100*$M$4/$M5,"")</f>
        <v>142.22418393489997</v>
      </c>
      <c r="BA5" s="20">
        <f t="shared" ref="BA5:BA24" si="39">IFERROR(100*$M$5/$M5,"")</f>
        <v>100</v>
      </c>
      <c r="BB5" s="20">
        <f t="shared" ref="BB5:BB24" si="40">IFERROR(100*$AF$4/$AF5,"")</f>
        <v>142.22418393489991</v>
      </c>
      <c r="BC5" s="20">
        <f t="shared" ref="BC5:BC24" si="41">IFERROR(100*$AF$5/$AF5,"")</f>
        <v>100</v>
      </c>
    </row>
    <row r="6" spans="2:55" ht="14.4" customHeight="1" x14ac:dyDescent="0.3">
      <c r="B6" s="114" t="s">
        <v>90</v>
      </c>
      <c r="C6" s="4">
        <v>3</v>
      </c>
      <c r="D6" s="108" t="str">
        <f t="shared" si="20"/>
        <v>SupermarketPRIVATE LABEL</v>
      </c>
      <c r="E6" s="3" t="s">
        <v>105</v>
      </c>
      <c r="F6" s="109" t="str">
        <f>IFERROR(INDEX('Input - Supermarket'!$Y$3:$Y$200,MATCH('Calculations - Supermarket'!$C6,'Input - Supermarket'!$Z$3:$Z$200,0)),"")</f>
        <v>PRIVATE LABEL</v>
      </c>
      <c r="G6" s="20">
        <f>IFERROR(INDEX('Input - Supermarket'!R$2:R$200,MATCH('Calculations - Supermarket'!$D6,'Input - Supermarket'!$O$2:$O$200,0)),"")</f>
        <v>3671351.47</v>
      </c>
      <c r="H6" s="20">
        <f>IFERROR(INDEX('Input - Supermarket'!S$2:S$200,MATCH('Calculations - Supermarket'!$D6,'Input - Supermarket'!$O$2:$O$200,0)),"")</f>
        <v>1616354.925</v>
      </c>
      <c r="I6" s="27">
        <f>IFERROR(INDEX('Input - Supermarket'!T$2:T$200,MATCH('Calculations - Supermarket'!$D6,'Input - Supermarket'!$O$2:$O$200,0)),"")</f>
        <v>2.3001533249041102</v>
      </c>
      <c r="J6" s="27">
        <f>IFERROR(INDEX('Input - Supermarket'!U$2:U$200,MATCH('Calculations - Supermarket'!$D6,'Input - Supermarket'!$O$2:$O$200,0)),"")</f>
        <v>5.2245154575886801</v>
      </c>
      <c r="K6" s="20">
        <f>IFERROR(INDEX('Input - Supermarket'!V$2:V$200,MATCH('Calculations - Supermarket'!$D6,'Input - Supermarket'!$O$2:$O$200,0)),"")</f>
        <v>9951986.6300000008</v>
      </c>
      <c r="L6" s="20">
        <f>IFERROR(INDEX('Input - Supermarket'!W$2:W$200,MATCH('Calculations - Supermarket'!$D6,'Input - Supermarket'!$O$2:$O$200,0)),"")</f>
        <v>4829466.46</v>
      </c>
      <c r="M6" s="21">
        <f t="shared" si="21"/>
        <v>2.2713770430092883</v>
      </c>
      <c r="N6" s="21">
        <f t="shared" si="6"/>
        <v>2.0606803489427281</v>
      </c>
      <c r="O6" s="21">
        <f t="shared" si="22"/>
        <v>-3.8457002756723053</v>
      </c>
      <c r="P6" s="9">
        <f t="shared" si="7"/>
        <v>9.4864702572761653E-2</v>
      </c>
      <c r="Q6" s="9">
        <f t="shared" si="8"/>
        <v>0.20459924664699611</v>
      </c>
      <c r="R6" s="8">
        <f t="shared" si="9"/>
        <v>0</v>
      </c>
      <c r="S6" s="8" t="str">
        <f t="shared" si="23"/>
        <v>-</v>
      </c>
      <c r="T6">
        <f t="shared" si="24"/>
        <v>0</v>
      </c>
      <c r="U6">
        <f t="shared" si="24"/>
        <v>0</v>
      </c>
      <c r="V6">
        <f t="shared" si="25"/>
        <v>0</v>
      </c>
      <c r="W6">
        <f t="shared" si="10"/>
        <v>0</v>
      </c>
      <c r="X6" s="10">
        <f t="shared" si="11"/>
        <v>6058011.3803060455</v>
      </c>
      <c r="Y6" s="7">
        <f t="shared" si="26"/>
        <v>9.6703448908640424E-2</v>
      </c>
      <c r="Z6" s="13">
        <f t="shared" si="27"/>
        <v>1.8387463358787715E-3</v>
      </c>
      <c r="AA6">
        <f t="shared" si="28"/>
        <v>3742512.6488168295</v>
      </c>
      <c r="AB6" s="16">
        <f t="shared" si="12"/>
        <v>1647684.4565878292</v>
      </c>
      <c r="AC6" s="16">
        <f t="shared" si="29"/>
        <v>0</v>
      </c>
      <c r="AD6" s="16">
        <f t="shared" si="30"/>
        <v>0</v>
      </c>
      <c r="AF6" s="27" cm="1">
        <f t="array" ref="AF6">IFERROR(SUM(_xlfn._xlws.FILTER($AF$32:$AF$229*$AJ$32:$AJ$229,$B$32:$B$229=D6))/SUM(_xlfn._xlws.FILTER($AJ$32:$AJ$229,$B$32:$B$229=D6)),"-")</f>
        <v>2.2713770430092883</v>
      </c>
      <c r="AG6" s="123">
        <f t="shared" si="31"/>
        <v>0</v>
      </c>
      <c r="AH6" s="124" t="str">
        <f t="shared" si="32"/>
        <v>-</v>
      </c>
      <c r="AI6" s="9">
        <f t="shared" si="13"/>
        <v>0</v>
      </c>
      <c r="AJ6" s="4">
        <f t="shared" si="14"/>
        <v>1616354.925</v>
      </c>
      <c r="AP6" s="20">
        <f t="shared" si="15"/>
        <v>6058011.3803060455</v>
      </c>
      <c r="AQ6" s="13">
        <f t="shared" si="33"/>
        <v>9.670344890864041E-2</v>
      </c>
      <c r="AR6" s="9">
        <f t="shared" si="34"/>
        <v>9.670344890864041E-2</v>
      </c>
      <c r="AS6" s="13">
        <f t="shared" si="35"/>
        <v>1.8387463358787576E-3</v>
      </c>
      <c r="AT6" s="16">
        <f t="shared" si="36"/>
        <v>3742512.6488168291</v>
      </c>
      <c r="AU6" s="16">
        <f t="shared" si="16"/>
        <v>1647684.4565878289</v>
      </c>
      <c r="AV6" s="4">
        <f t="shared" si="37"/>
        <v>0</v>
      </c>
      <c r="AW6" s="16">
        <f t="shared" si="17"/>
        <v>0</v>
      </c>
      <c r="AX6">
        <f t="shared" si="18"/>
        <v>2.3001533249041097</v>
      </c>
      <c r="AY6" s="9">
        <f t="shared" si="19"/>
        <v>0.20848587529968568</v>
      </c>
      <c r="AZ6" s="20">
        <f t="shared" si="38"/>
        <v>264.85216722611801</v>
      </c>
      <c r="BA6" s="20">
        <f t="shared" si="39"/>
        <v>186.22161147175109</v>
      </c>
      <c r="BB6" s="20">
        <f t="shared" si="40"/>
        <v>264.85216722611796</v>
      </c>
      <c r="BC6" s="20">
        <f t="shared" si="41"/>
        <v>186.22161147175112</v>
      </c>
    </row>
    <row r="7" spans="2:55" ht="14.4" customHeight="1" x14ac:dyDescent="0.3">
      <c r="B7" s="114" t="s">
        <v>91</v>
      </c>
      <c r="C7" s="4">
        <v>4</v>
      </c>
      <c r="D7" s="108" t="str">
        <f t="shared" si="20"/>
        <v>SupermarketBRANSTON</v>
      </c>
      <c r="E7" s="3" t="s">
        <v>105</v>
      </c>
      <c r="F7" s="109" t="str">
        <f>IFERROR(INDEX('Input - Supermarket'!$Y$3:$Y$200,MATCH('Calculations - Supermarket'!$C7,'Input - Supermarket'!$Z$3:$Z$200,0)),"")</f>
        <v>BRANSTON</v>
      </c>
      <c r="G7" s="20">
        <f>IFERROR(INDEX('Input - Supermarket'!R$2:R$200,MATCH('Calculations - Supermarket'!$D7,'Input - Supermarket'!$O$2:$O$200,0)),"")</f>
        <v>552606.5</v>
      </c>
      <c r="H7" s="20">
        <f>IFERROR(INDEX('Input - Supermarket'!S$2:S$200,MATCH('Calculations - Supermarket'!$D7,'Input - Supermarket'!$O$2:$O$200,0)),"")</f>
        <v>123171.325</v>
      </c>
      <c r="I7" s="27">
        <f>IFERROR(INDEX('Input - Supermarket'!T$2:T$200,MATCH('Calculations - Supermarket'!$D7,'Input - Supermarket'!$O$2:$O$200,0)),"")</f>
        <v>2.1556060500852601</v>
      </c>
      <c r="J7" s="27">
        <f>IFERROR(INDEX('Input - Supermarket'!U$2:U$200,MATCH('Calculations - Supermarket'!$D7,'Input - Supermarket'!$O$2:$O$200,0)),"")</f>
        <v>9.6710976740441907</v>
      </c>
      <c r="K7" s="20">
        <f>IFERROR(INDEX('Input - Supermarket'!V$2:V$200,MATCH('Calculations - Supermarket'!$D7,'Input - Supermarket'!$O$2:$O$200,0)),"")</f>
        <v>1658346.19</v>
      </c>
      <c r="L7" s="20">
        <f>IFERROR(INDEX('Input - Supermarket'!W$2:W$200,MATCH('Calculations - Supermarket'!$D7,'Input - Supermarket'!$O$2:$O$200,0)),"")</f>
        <v>409523.85</v>
      </c>
      <c r="M7" s="21">
        <f t="shared" si="21"/>
        <v>4.4864866071709466</v>
      </c>
      <c r="N7" s="21">
        <f t="shared" si="6"/>
        <v>4.049449598600912</v>
      </c>
      <c r="O7" s="21">
        <f t="shared" si="22"/>
        <v>-4.3267340108085239</v>
      </c>
      <c r="P7" s="9">
        <f t="shared" si="7"/>
        <v>1.4278897482477975E-2</v>
      </c>
      <c r="Q7" s="9">
        <f t="shared" si="8"/>
        <v>1.5591105588094964E-2</v>
      </c>
      <c r="R7" s="8">
        <f t="shared" si="9"/>
        <v>0</v>
      </c>
      <c r="S7" s="8" t="str">
        <f t="shared" si="23"/>
        <v>-</v>
      </c>
      <c r="T7">
        <f t="shared" si="24"/>
        <v>0</v>
      </c>
      <c r="U7">
        <f t="shared" si="24"/>
        <v>0</v>
      </c>
      <c r="V7">
        <f t="shared" si="25"/>
        <v>0</v>
      </c>
      <c r="W7">
        <f t="shared" si="10"/>
        <v>0</v>
      </c>
      <c r="X7" s="10">
        <f t="shared" si="11"/>
        <v>871904.20735822048</v>
      </c>
      <c r="Y7" s="7">
        <f t="shared" si="26"/>
        <v>1.3918122412842798E-2</v>
      </c>
      <c r="Z7" s="13">
        <f t="shared" si="27"/>
        <v>-3.6077506963517678E-4</v>
      </c>
      <c r="AA7">
        <f t="shared" si="28"/>
        <v>538644.17211278051</v>
      </c>
      <c r="AB7" s="16">
        <f t="shared" si="12"/>
        <v>120059.23995222501</v>
      </c>
      <c r="AC7" s="16">
        <f t="shared" si="29"/>
        <v>0</v>
      </c>
      <c r="AD7" s="16">
        <f t="shared" si="30"/>
        <v>0</v>
      </c>
      <c r="AF7" s="27" cm="1">
        <f t="array" ref="AF7">IFERROR(SUM(_xlfn._xlws.FILTER($AF$32:$AF$229*$AJ$32:$AJ$229,$B$32:$B$229=D7))/SUM(_xlfn._xlws.FILTER($AJ$32:$AJ$229,$B$32:$B$229=D7)),"-")</f>
        <v>4.4864866071709466</v>
      </c>
      <c r="AG7" s="123">
        <f t="shared" si="31"/>
        <v>0</v>
      </c>
      <c r="AH7" s="124" t="str">
        <f t="shared" si="32"/>
        <v>-</v>
      </c>
      <c r="AI7" s="9">
        <f t="shared" si="13"/>
        <v>0</v>
      </c>
      <c r="AJ7" s="4">
        <f t="shared" si="14"/>
        <v>123171.325</v>
      </c>
      <c r="AP7" s="20">
        <f t="shared" si="15"/>
        <v>871904.20735822048</v>
      </c>
      <c r="AQ7" s="13">
        <f t="shared" si="33"/>
        <v>1.3918122412842796E-2</v>
      </c>
      <c r="AR7" s="9">
        <f t="shared" si="34"/>
        <v>1.3918122412842796E-2</v>
      </c>
      <c r="AS7" s="13">
        <f t="shared" si="35"/>
        <v>-3.6077506963517851E-4</v>
      </c>
      <c r="AT7" s="16">
        <f t="shared" si="36"/>
        <v>538644.17211278039</v>
      </c>
      <c r="AU7" s="16">
        <f t="shared" si="16"/>
        <v>120059.23995222498</v>
      </c>
      <c r="AV7" s="4">
        <f t="shared" si="37"/>
        <v>0</v>
      </c>
      <c r="AW7" s="16">
        <f t="shared" si="17"/>
        <v>0</v>
      </c>
      <c r="AX7">
        <f t="shared" si="18"/>
        <v>2.1556060500852614</v>
      </c>
      <c r="AY7" s="9">
        <f t="shared" si="19"/>
        <v>1.5191413397860365E-2</v>
      </c>
      <c r="AZ7" s="20">
        <f t="shared" si="38"/>
        <v>134.08691145252311</v>
      </c>
      <c r="BA7" s="20">
        <f t="shared" si="39"/>
        <v>94.27855920333387</v>
      </c>
      <c r="BB7" s="20">
        <f t="shared" si="40"/>
        <v>134.08691145252308</v>
      </c>
      <c r="BC7" s="20">
        <f t="shared" si="41"/>
        <v>94.27855920333387</v>
      </c>
    </row>
    <row r="8" spans="2:55" ht="14.4" customHeight="1" x14ac:dyDescent="0.3">
      <c r="B8" s="114" t="s">
        <v>92</v>
      </c>
      <c r="C8" s="4">
        <v>5</v>
      </c>
      <c r="D8" s="108" t="str">
        <f t="shared" si="20"/>
        <v>SupermarketRESTOFCATEGORY</v>
      </c>
      <c r="E8" s="3" t="s">
        <v>105</v>
      </c>
      <c r="F8" s="109" t="str">
        <f>IFERROR(INDEX('Input - Supermarket'!$Y$3:$Y$200,MATCH('Calculations - Supermarket'!$C8,'Input - Supermarket'!$Z$3:$Z$200,0)),"")</f>
        <v>RESTOFCATEGORY</v>
      </c>
      <c r="G8" s="20">
        <f>IFERROR(INDEX('Input - Supermarket'!R$2:R$200,MATCH('Calculations - Supermarket'!$D8,'Input - Supermarket'!$O$2:$O$200,0)),"")</f>
        <v>694668.05</v>
      </c>
      <c r="H8" s="20">
        <f>IFERROR(INDEX('Input - Supermarket'!S$2:S$200,MATCH('Calculations - Supermarket'!$D8,'Input - Supermarket'!$O$2:$O$200,0)),"")</f>
        <v>264991.76699999999</v>
      </c>
      <c r="I8" s="27">
        <f>IFERROR(INDEX('Input - Supermarket'!T$2:T$200,MATCH('Calculations - Supermarket'!$D8,'Input - Supermarket'!$O$2:$O$200,0)),"")</f>
        <v>2.1247371826768</v>
      </c>
      <c r="J8" s="27">
        <f>IFERROR(INDEX('Input - Supermarket'!U$2:U$200,MATCH('Calculations - Supermarket'!$D8,'Input - Supermarket'!$O$2:$O$200,0)),"")</f>
        <v>5.5699354442682898</v>
      </c>
      <c r="K8" s="20">
        <f>IFERROR(INDEX('Input - Supermarket'!V$2:V$200,MATCH('Calculations - Supermarket'!$D8,'Input - Supermarket'!$O$2:$O$200,0)),"")</f>
        <v>1949659.42</v>
      </c>
      <c r="L8" s="20">
        <f>IFERROR(INDEX('Input - Supermarket'!W$2:W$200,MATCH('Calculations - Supermarket'!$D8,'Input - Supermarket'!$O$2:$O$200,0)),"")</f>
        <v>763953.005</v>
      </c>
      <c r="M8" s="21">
        <f t="shared" si="21"/>
        <v>2.6214703115663216</v>
      </c>
      <c r="N8" s="21">
        <f t="shared" si="6"/>
        <v>2.5520672177996078</v>
      </c>
      <c r="O8" s="21">
        <f t="shared" si="22"/>
        <v>-4.4454829777213796</v>
      </c>
      <c r="P8" s="9">
        <f t="shared" si="7"/>
        <v>1.7949651099476542E-2</v>
      </c>
      <c r="Q8" s="9">
        <f t="shared" si="8"/>
        <v>3.3542828408096276E-2</v>
      </c>
      <c r="R8" s="8">
        <f t="shared" si="9"/>
        <v>0</v>
      </c>
      <c r="S8" s="8" t="str">
        <f t="shared" si="23"/>
        <v>-</v>
      </c>
      <c r="T8">
        <f t="shared" si="24"/>
        <v>0</v>
      </c>
      <c r="U8">
        <f t="shared" si="24"/>
        <v>0</v>
      </c>
      <c r="V8">
        <f t="shared" si="25"/>
        <v>0</v>
      </c>
      <c r="W8">
        <f t="shared" si="10"/>
        <v>0</v>
      </c>
      <c r="X8" s="10">
        <f t="shared" si="11"/>
        <v>1085327.5427262923</v>
      </c>
      <c r="Y8" s="7">
        <f t="shared" si="26"/>
        <v>1.7324978443977443E-2</v>
      </c>
      <c r="Z8" s="13">
        <f t="shared" si="27"/>
        <v>-6.2467265549909917E-4</v>
      </c>
      <c r="AA8">
        <f t="shared" si="28"/>
        <v>670492.64218404889</v>
      </c>
      <c r="AB8" s="16">
        <f t="shared" si="12"/>
        <v>255769.68742531032</v>
      </c>
      <c r="AC8" s="16">
        <f t="shared" si="29"/>
        <v>0</v>
      </c>
      <c r="AD8" s="16">
        <f t="shared" si="30"/>
        <v>0</v>
      </c>
      <c r="AF8" s="27" cm="1">
        <f t="array" ref="AF8">IFERROR(SUM(_xlfn._xlws.FILTER($AF$32:$AF$229*$AJ$32:$AJ$229,$B$32:$B$229=D8))/SUM(_xlfn._xlws.FILTER($AJ$32:$AJ$229,$B$32:$B$229=D8)),"-")</f>
        <v>2.6214703115663216</v>
      </c>
      <c r="AG8" s="123">
        <f t="shared" si="31"/>
        <v>0</v>
      </c>
      <c r="AH8" s="124" t="str">
        <f t="shared" si="32"/>
        <v>-</v>
      </c>
      <c r="AI8" s="9">
        <f t="shared" si="13"/>
        <v>0</v>
      </c>
      <c r="AJ8" s="4">
        <f t="shared" si="14"/>
        <v>264991.76699999999</v>
      </c>
      <c r="AP8" s="20">
        <f t="shared" si="15"/>
        <v>1085327.5427262923</v>
      </c>
      <c r="AQ8" s="13">
        <f t="shared" si="33"/>
        <v>1.7324978443977439E-2</v>
      </c>
      <c r="AR8" s="9">
        <f t="shared" si="34"/>
        <v>1.7324978443977439E-2</v>
      </c>
      <c r="AS8" s="13">
        <f t="shared" si="35"/>
        <v>-6.2467265549910264E-4</v>
      </c>
      <c r="AT8" s="16">
        <f t="shared" si="36"/>
        <v>670492.64218404877</v>
      </c>
      <c r="AU8" s="16">
        <f t="shared" si="16"/>
        <v>255769.68742531026</v>
      </c>
      <c r="AV8" s="4">
        <f t="shared" si="37"/>
        <v>0</v>
      </c>
      <c r="AW8" s="16">
        <f t="shared" si="17"/>
        <v>0</v>
      </c>
      <c r="AX8">
        <f t="shared" si="18"/>
        <v>2.1247371826767965</v>
      </c>
      <c r="AY8" s="9">
        <f t="shared" si="19"/>
        <v>3.2363215508157218E-2</v>
      </c>
      <c r="AZ8" s="20">
        <f t="shared" si="38"/>
        <v>229.48157367047182</v>
      </c>
      <c r="BA8" s="20">
        <f t="shared" si="39"/>
        <v>161.35200591167535</v>
      </c>
      <c r="BB8" s="20">
        <f t="shared" si="40"/>
        <v>229.48157367047176</v>
      </c>
      <c r="BC8" s="20">
        <f t="shared" si="41"/>
        <v>161.35200591167538</v>
      </c>
    </row>
    <row r="9" spans="2:55" ht="14.4" customHeight="1" x14ac:dyDescent="0.3">
      <c r="B9" s="114" t="str">
        <f>""</f>
        <v/>
      </c>
      <c r="C9" s="4">
        <v>6</v>
      </c>
      <c r="D9" s="108" t="str">
        <f t="shared" si="20"/>
        <v/>
      </c>
      <c r="E9" s="3"/>
      <c r="F9" s="109" t="str">
        <f>IFERROR(INDEX('Input - Supermarket'!$Y$3:$Y$200,MATCH('Calculations - Supermarket'!$C9,'Input - Supermarket'!$Z$3:$Z$200,0)),"")</f>
        <v/>
      </c>
      <c r="G9" s="20" t="str">
        <f>IFERROR(INDEX('Input - Supermarket'!R$2:R$200,MATCH('Calculations - Supermarket'!$D9,'Input - Supermarket'!$O$2:$O$200,0)),"")</f>
        <v/>
      </c>
      <c r="H9" s="20" t="str">
        <f>IFERROR(INDEX('Input - Supermarket'!S$2:S$200,MATCH('Calculations - Supermarket'!$D9,'Input - Supermarket'!$O$2:$O$200,0)),"")</f>
        <v/>
      </c>
      <c r="I9" s="27" t="str">
        <f>IFERROR(INDEX('Input - Supermarket'!T$2:T$200,MATCH('Calculations - Supermarket'!$D9,'Input - Supermarket'!$O$2:$O$200,0)),"")</f>
        <v/>
      </c>
      <c r="J9" s="27" t="str">
        <f>IFERROR(INDEX('Input - Supermarket'!U$2:U$200,MATCH('Calculations - Supermarket'!$D9,'Input - Supermarket'!$O$2:$O$200,0)),"")</f>
        <v/>
      </c>
      <c r="K9" s="20" t="str">
        <f>IFERROR(INDEX('Input - Supermarket'!V$2:V$200,MATCH('Calculations - Supermarket'!$D9,'Input - Supermarket'!$O$2:$O$200,0)),"")</f>
        <v/>
      </c>
      <c r="L9" s="20" t="str">
        <f>IFERROR(INDEX('Input - Supermarket'!W$2:W$200,MATCH('Calculations - Supermarket'!$D9,'Input - Supermarket'!$O$2:$O$200,0)),"")</f>
        <v/>
      </c>
      <c r="M9" s="21" t="str">
        <f t="shared" si="21"/>
        <v/>
      </c>
      <c r="N9" s="21" t="str">
        <f t="shared" si="6"/>
        <v/>
      </c>
      <c r="O9" s="21" t="str">
        <f t="shared" si="22"/>
        <v/>
      </c>
      <c r="P9" s="9" t="str">
        <f t="shared" si="7"/>
        <v/>
      </c>
      <c r="Q9" s="9" t="str">
        <f t="shared" si="8"/>
        <v/>
      </c>
      <c r="R9" s="8" t="str">
        <f t="shared" si="9"/>
        <v>-</v>
      </c>
      <c r="S9" s="8" t="str">
        <f t="shared" si="23"/>
        <v>-</v>
      </c>
      <c r="T9" t="str">
        <f t="shared" si="24"/>
        <v>-</v>
      </c>
      <c r="U9" t="str">
        <f t="shared" si="24"/>
        <v>-</v>
      </c>
      <c r="V9" t="str">
        <f t="shared" si="25"/>
        <v>-</v>
      </c>
      <c r="W9" t="str">
        <f t="shared" si="10"/>
        <v>-</v>
      </c>
      <c r="X9" s="10" t="str">
        <f t="shared" si="11"/>
        <v>-</v>
      </c>
      <c r="Y9" s="7" t="str">
        <f t="shared" si="26"/>
        <v/>
      </c>
      <c r="Z9" s="13" t="str">
        <f t="shared" si="27"/>
        <v>-</v>
      </c>
      <c r="AA9" t="str">
        <f t="shared" si="28"/>
        <v>-</v>
      </c>
      <c r="AB9" s="16" t="str">
        <f t="shared" si="12"/>
        <v>-</v>
      </c>
      <c r="AC9" s="16" t="str">
        <f t="shared" si="29"/>
        <v>-</v>
      </c>
      <c r="AD9" s="16" t="str">
        <f t="shared" si="30"/>
        <v>-</v>
      </c>
      <c r="AF9" s="27" t="str" cm="1">
        <f t="array" ref="AF9">IFERROR(SUM(_xlfn._xlws.FILTER($AF$32:$AF$229*$AJ$32:$AJ$229,$B$32:$B$229=D9))/SUM(_xlfn._xlws.FILTER($AJ$32:$AJ$229,$B$32:$B$229=D9)),"-")</f>
        <v>-</v>
      </c>
      <c r="AG9" s="123" t="str">
        <f t="shared" si="31"/>
        <v>-</v>
      </c>
      <c r="AH9" s="124" t="str">
        <f t="shared" si="32"/>
        <v>-</v>
      </c>
      <c r="AI9" s="9" t="str">
        <f t="shared" si="13"/>
        <v/>
      </c>
      <c r="AJ9" s="4" t="str">
        <f t="shared" si="14"/>
        <v/>
      </c>
      <c r="AP9" s="20" t="str">
        <f t="shared" si="15"/>
        <v>-</v>
      </c>
      <c r="AQ9" s="13" t="str">
        <f t="shared" si="33"/>
        <v/>
      </c>
      <c r="AR9" s="9" t="str">
        <f t="shared" si="34"/>
        <v/>
      </c>
      <c r="AS9" s="13" t="str">
        <f t="shared" si="35"/>
        <v/>
      </c>
      <c r="AT9" s="16" t="str">
        <f t="shared" si="36"/>
        <v>-</v>
      </c>
      <c r="AU9" s="16" t="str">
        <f t="shared" si="16"/>
        <v>-</v>
      </c>
      <c r="AV9" s="4" t="str">
        <f t="shared" si="37"/>
        <v>-</v>
      </c>
      <c r="AW9" s="16" t="str">
        <f t="shared" si="17"/>
        <v>-</v>
      </c>
      <c r="AX9" t="str">
        <f t="shared" si="18"/>
        <v/>
      </c>
      <c r="AY9" s="9" t="str">
        <f t="shared" si="19"/>
        <v>-</v>
      </c>
      <c r="AZ9" s="20" t="str">
        <f t="shared" si="38"/>
        <v/>
      </c>
      <c r="BA9" s="20" t="str">
        <f t="shared" si="39"/>
        <v/>
      </c>
      <c r="BB9" s="20" t="str">
        <f t="shared" si="40"/>
        <v/>
      </c>
      <c r="BC9" s="20" t="str">
        <f t="shared" si="41"/>
        <v/>
      </c>
    </row>
    <row r="10" spans="2:55" x14ac:dyDescent="0.3">
      <c r="B10" s="114" t="str">
        <f>""</f>
        <v/>
      </c>
      <c r="C10" s="4">
        <v>7</v>
      </c>
      <c r="D10" s="108" t="str">
        <f t="shared" si="20"/>
        <v/>
      </c>
      <c r="E10" s="3"/>
      <c r="F10" s="109" t="str">
        <f>IFERROR(INDEX('Input - Supermarket'!$Y$3:$Y$200,MATCH('Calculations - Supermarket'!$C10,'Input - Supermarket'!$Z$3:$Z$200,0)),"")</f>
        <v/>
      </c>
      <c r="G10" s="20" t="str">
        <f>IFERROR(INDEX('Input - Supermarket'!R$2:R$200,MATCH('Calculations - Supermarket'!$D10,'Input - Supermarket'!$O$2:$O$200,0)),"")</f>
        <v/>
      </c>
      <c r="H10" s="20" t="str">
        <f>IFERROR(INDEX('Input - Supermarket'!S$2:S$200,MATCH('Calculations - Supermarket'!$D10,'Input - Supermarket'!$O$2:$O$200,0)),"")</f>
        <v/>
      </c>
      <c r="I10" s="27" t="str">
        <f>IFERROR(INDEX('Input - Supermarket'!T$2:T$200,MATCH('Calculations - Supermarket'!$D10,'Input - Supermarket'!$O$2:$O$200,0)),"")</f>
        <v/>
      </c>
      <c r="J10" s="27" t="str">
        <f>IFERROR(INDEX('Input - Supermarket'!U$2:U$200,MATCH('Calculations - Supermarket'!$D10,'Input - Supermarket'!$O$2:$O$200,0)),"")</f>
        <v/>
      </c>
      <c r="K10" s="20" t="str">
        <f>IFERROR(INDEX('Input - Supermarket'!V$2:V$200,MATCH('Calculations - Supermarket'!$D10,'Input - Supermarket'!$O$2:$O$200,0)),"")</f>
        <v/>
      </c>
      <c r="L10" s="20" t="str">
        <f>IFERROR(INDEX('Input - Supermarket'!W$2:W$200,MATCH('Calculations - Supermarket'!$D10,'Input - Supermarket'!$O$2:$O$200,0)),"")</f>
        <v/>
      </c>
      <c r="M10" s="21" t="str">
        <f t="shared" si="21"/>
        <v/>
      </c>
      <c r="N10" s="21" t="str">
        <f t="shared" si="6"/>
        <v/>
      </c>
      <c r="O10" s="21" t="str">
        <f t="shared" si="22"/>
        <v/>
      </c>
      <c r="P10" s="9" t="str">
        <f t="shared" si="7"/>
        <v/>
      </c>
      <c r="Q10" s="9" t="str">
        <f t="shared" si="8"/>
        <v/>
      </c>
      <c r="R10" s="8" t="str">
        <f t="shared" si="9"/>
        <v>-</v>
      </c>
      <c r="S10" s="8" t="str">
        <f t="shared" si="23"/>
        <v>-</v>
      </c>
      <c r="T10" t="str">
        <f t="shared" si="24"/>
        <v>-</v>
      </c>
      <c r="U10" t="str">
        <f t="shared" si="24"/>
        <v>-</v>
      </c>
      <c r="V10" t="str">
        <f t="shared" si="25"/>
        <v>-</v>
      </c>
      <c r="W10" t="str">
        <f t="shared" si="10"/>
        <v>-</v>
      </c>
      <c r="X10" s="10" t="str">
        <f t="shared" si="11"/>
        <v>-</v>
      </c>
      <c r="Y10" s="7" t="str">
        <f t="shared" si="26"/>
        <v/>
      </c>
      <c r="Z10" s="13" t="str">
        <f t="shared" si="27"/>
        <v>-</v>
      </c>
      <c r="AA10" t="str">
        <f t="shared" si="28"/>
        <v>-</v>
      </c>
      <c r="AB10" s="16" t="str">
        <f t="shared" si="12"/>
        <v>-</v>
      </c>
      <c r="AC10" s="16" t="str">
        <f t="shared" si="29"/>
        <v>-</v>
      </c>
      <c r="AD10" s="16" t="str">
        <f t="shared" si="30"/>
        <v>-</v>
      </c>
      <c r="AF10" s="27" t="str" cm="1">
        <f t="array" ref="AF10">IFERROR(SUM(_xlfn._xlws.FILTER($AF$32:$AF$229*$AJ$32:$AJ$229,$B$32:$B$229=D10))/SUM(_xlfn._xlws.FILTER($AJ$32:$AJ$229,$B$32:$B$229=D10)),"-")</f>
        <v>-</v>
      </c>
      <c r="AG10" s="123" t="str">
        <f t="shared" si="31"/>
        <v>-</v>
      </c>
      <c r="AH10" s="124" t="str">
        <f t="shared" si="32"/>
        <v>-</v>
      </c>
      <c r="AI10" s="9" t="str">
        <f t="shared" si="13"/>
        <v/>
      </c>
      <c r="AJ10" s="4" t="str">
        <f t="shared" si="14"/>
        <v/>
      </c>
      <c r="AP10" s="20" t="str">
        <f t="shared" si="15"/>
        <v>-</v>
      </c>
      <c r="AQ10" s="13" t="str">
        <f t="shared" si="33"/>
        <v/>
      </c>
      <c r="AR10" s="9" t="str">
        <f t="shared" si="34"/>
        <v/>
      </c>
      <c r="AS10" s="13" t="str">
        <f t="shared" si="35"/>
        <v/>
      </c>
      <c r="AT10" s="16" t="str">
        <f t="shared" si="36"/>
        <v>-</v>
      </c>
      <c r="AU10" s="16" t="str">
        <f t="shared" si="16"/>
        <v>-</v>
      </c>
      <c r="AV10" s="4" t="str">
        <f t="shared" si="37"/>
        <v>-</v>
      </c>
      <c r="AW10" s="16" t="str">
        <f t="shared" si="17"/>
        <v>-</v>
      </c>
      <c r="AX10" t="str">
        <f t="shared" si="18"/>
        <v/>
      </c>
      <c r="AY10" s="9" t="str">
        <f t="shared" si="19"/>
        <v>-</v>
      </c>
      <c r="AZ10" s="20" t="str">
        <f t="shared" si="38"/>
        <v/>
      </c>
      <c r="BA10" s="20" t="str">
        <f t="shared" si="39"/>
        <v/>
      </c>
      <c r="BB10" s="20" t="str">
        <f t="shared" si="40"/>
        <v/>
      </c>
      <c r="BC10" s="20" t="str">
        <f t="shared" si="41"/>
        <v/>
      </c>
    </row>
    <row r="11" spans="2:55" x14ac:dyDescent="0.3">
      <c r="B11" s="114" t="str">
        <f>""</f>
        <v/>
      </c>
      <c r="C11" s="4">
        <v>8</v>
      </c>
      <c r="D11" s="108" t="str">
        <f t="shared" si="20"/>
        <v/>
      </c>
      <c r="E11" s="3"/>
      <c r="F11" s="109" t="str">
        <f>IFERROR(INDEX('Input - Supermarket'!$Y$3:$Y$200,MATCH('Calculations - Supermarket'!$C11,'Input - Supermarket'!$Z$3:$Z$200,0)),"")</f>
        <v/>
      </c>
      <c r="G11" s="20" t="str">
        <f>IFERROR(INDEX('Input - Supermarket'!R$2:R$200,MATCH('Calculations - Supermarket'!$D11,'Input - Supermarket'!$O$2:$O$200,0)),"")</f>
        <v/>
      </c>
      <c r="H11" s="20" t="str">
        <f>IFERROR(INDEX('Input - Supermarket'!S$2:S$200,MATCH('Calculations - Supermarket'!$D11,'Input - Supermarket'!$O$2:$O$200,0)),"")</f>
        <v/>
      </c>
      <c r="I11" s="27" t="str">
        <f>IFERROR(INDEX('Input - Supermarket'!T$2:T$200,MATCH('Calculations - Supermarket'!$D11,'Input - Supermarket'!$O$2:$O$200,0)),"")</f>
        <v/>
      </c>
      <c r="J11" s="27" t="str">
        <f>IFERROR(INDEX('Input - Supermarket'!U$2:U$200,MATCH('Calculations - Supermarket'!$D11,'Input - Supermarket'!$O$2:$O$200,0)),"")</f>
        <v/>
      </c>
      <c r="K11" s="20" t="str">
        <f>IFERROR(INDEX('Input - Supermarket'!V$2:V$200,MATCH('Calculations - Supermarket'!$D11,'Input - Supermarket'!$O$2:$O$200,0)),"")</f>
        <v/>
      </c>
      <c r="L11" s="20" t="str">
        <f>IFERROR(INDEX('Input - Supermarket'!W$2:W$200,MATCH('Calculations - Supermarket'!$D11,'Input - Supermarket'!$O$2:$O$200,0)),"")</f>
        <v/>
      </c>
      <c r="M11" s="21" t="str">
        <f t="shared" si="21"/>
        <v/>
      </c>
      <c r="N11" s="21" t="str">
        <f t="shared" si="6"/>
        <v/>
      </c>
      <c r="O11" s="21" t="str">
        <f t="shared" si="22"/>
        <v/>
      </c>
      <c r="P11" s="9" t="str">
        <f t="shared" si="7"/>
        <v/>
      </c>
      <c r="Q11" s="9" t="str">
        <f t="shared" si="8"/>
        <v/>
      </c>
      <c r="R11" s="8" t="str">
        <f t="shared" si="9"/>
        <v>-</v>
      </c>
      <c r="S11" s="8" t="str">
        <f t="shared" si="23"/>
        <v>-</v>
      </c>
      <c r="T11" t="str">
        <f t="shared" si="24"/>
        <v>-</v>
      </c>
      <c r="U11" t="str">
        <f t="shared" si="24"/>
        <v>-</v>
      </c>
      <c r="V11" t="str">
        <f t="shared" si="25"/>
        <v>-</v>
      </c>
      <c r="W11" t="str">
        <f t="shared" si="10"/>
        <v>-</v>
      </c>
      <c r="X11" s="10" t="str">
        <f t="shared" si="11"/>
        <v>-</v>
      </c>
      <c r="Y11" s="7" t="str">
        <f t="shared" si="26"/>
        <v/>
      </c>
      <c r="Z11" s="13" t="str">
        <f t="shared" si="27"/>
        <v>-</v>
      </c>
      <c r="AA11" t="str">
        <f t="shared" si="28"/>
        <v>-</v>
      </c>
      <c r="AB11" s="16" t="str">
        <f t="shared" si="12"/>
        <v>-</v>
      </c>
      <c r="AC11" s="16" t="str">
        <f t="shared" si="29"/>
        <v>-</v>
      </c>
      <c r="AD11" s="16" t="str">
        <f t="shared" si="30"/>
        <v>-</v>
      </c>
      <c r="AF11" s="27" t="str" cm="1">
        <f t="array" ref="AF11">IFERROR(SUM(_xlfn._xlws.FILTER($AF$32:$AF$229*$AJ$32:$AJ$229,$B$32:$B$229=D11))/SUM(_xlfn._xlws.FILTER($AJ$32:$AJ$229,$B$32:$B$229=D11)),"-")</f>
        <v>-</v>
      </c>
      <c r="AG11" s="123" t="str">
        <f t="shared" si="31"/>
        <v>-</v>
      </c>
      <c r="AH11" s="124" t="str">
        <f t="shared" si="32"/>
        <v>-</v>
      </c>
      <c r="AI11" s="9" t="str">
        <f t="shared" si="13"/>
        <v/>
      </c>
      <c r="AJ11" s="4" t="str">
        <f t="shared" si="14"/>
        <v/>
      </c>
      <c r="AP11" s="20" t="str">
        <f t="shared" si="15"/>
        <v>-</v>
      </c>
      <c r="AQ11" s="13" t="str">
        <f t="shared" si="33"/>
        <v/>
      </c>
      <c r="AR11" s="9" t="str">
        <f t="shared" si="34"/>
        <v/>
      </c>
      <c r="AS11" s="13" t="str">
        <f t="shared" si="35"/>
        <v/>
      </c>
      <c r="AT11" s="16" t="str">
        <f t="shared" si="36"/>
        <v>-</v>
      </c>
      <c r="AU11" s="16" t="str">
        <f t="shared" si="16"/>
        <v>-</v>
      </c>
      <c r="AV11" s="4" t="str">
        <f t="shared" si="37"/>
        <v>-</v>
      </c>
      <c r="AW11" s="16" t="str">
        <f t="shared" si="17"/>
        <v>-</v>
      </c>
      <c r="AX11" t="str">
        <f t="shared" si="18"/>
        <v/>
      </c>
      <c r="AY11" s="9" t="str">
        <f t="shared" si="19"/>
        <v>-</v>
      </c>
      <c r="AZ11" s="20" t="str">
        <f t="shared" si="38"/>
        <v/>
      </c>
      <c r="BA11" s="20" t="str">
        <f t="shared" si="39"/>
        <v/>
      </c>
      <c r="BB11" s="20" t="str">
        <f t="shared" si="40"/>
        <v/>
      </c>
      <c r="BC11" s="20" t="str">
        <f t="shared" si="41"/>
        <v/>
      </c>
    </row>
    <row r="12" spans="2:55" x14ac:dyDescent="0.3">
      <c r="B12" s="114" t="str">
        <f>""</f>
        <v/>
      </c>
      <c r="C12" s="4">
        <v>9</v>
      </c>
      <c r="D12" s="108" t="str">
        <f t="shared" si="20"/>
        <v/>
      </c>
      <c r="E12" s="3"/>
      <c r="F12" s="109" t="str">
        <f>IFERROR(INDEX('Input - Supermarket'!$Y$3:$Y$200,MATCH('Calculations - Supermarket'!$C12,'Input - Supermarket'!$Z$3:$Z$200,0)),"")</f>
        <v/>
      </c>
      <c r="G12" s="20" t="str">
        <f>IFERROR(INDEX('Input - Supermarket'!R$2:R$200,MATCH('Calculations - Supermarket'!$D12,'Input - Supermarket'!$O$2:$O$200,0)),"")</f>
        <v/>
      </c>
      <c r="H12" s="20" t="str">
        <f>IFERROR(INDEX('Input - Supermarket'!S$2:S$200,MATCH('Calculations - Supermarket'!$D12,'Input - Supermarket'!$O$2:$O$200,0)),"")</f>
        <v/>
      </c>
      <c r="I12" s="27" t="str">
        <f>IFERROR(INDEX('Input - Supermarket'!T$2:T$200,MATCH('Calculations - Supermarket'!$D12,'Input - Supermarket'!$O$2:$O$200,0)),"")</f>
        <v/>
      </c>
      <c r="J12" s="27" t="str">
        <f>IFERROR(INDEX('Input - Supermarket'!U$2:U$200,MATCH('Calculations - Supermarket'!$D12,'Input - Supermarket'!$O$2:$O$200,0)),"")</f>
        <v/>
      </c>
      <c r="K12" s="20" t="str">
        <f>IFERROR(INDEX('Input - Supermarket'!V$2:V$200,MATCH('Calculations - Supermarket'!$D12,'Input - Supermarket'!$O$2:$O$200,0)),"")</f>
        <v/>
      </c>
      <c r="L12" s="20" t="str">
        <f>IFERROR(INDEX('Input - Supermarket'!W$2:W$200,MATCH('Calculations - Supermarket'!$D12,'Input - Supermarket'!$O$2:$O$200,0)),"")</f>
        <v/>
      </c>
      <c r="M12" s="21" t="str">
        <f t="shared" si="21"/>
        <v/>
      </c>
      <c r="N12" s="21" t="str">
        <f t="shared" si="6"/>
        <v/>
      </c>
      <c r="O12" s="21" t="str">
        <f t="shared" si="22"/>
        <v/>
      </c>
      <c r="P12" s="9" t="str">
        <f t="shared" si="7"/>
        <v/>
      </c>
      <c r="Q12" s="9" t="str">
        <f t="shared" si="8"/>
        <v/>
      </c>
      <c r="R12" s="8" t="str">
        <f t="shared" si="9"/>
        <v>-</v>
      </c>
      <c r="S12" s="8" t="str">
        <f t="shared" si="23"/>
        <v>-</v>
      </c>
      <c r="T12" t="str">
        <f t="shared" si="24"/>
        <v>-</v>
      </c>
      <c r="U12" t="str">
        <f t="shared" si="24"/>
        <v>-</v>
      </c>
      <c r="V12" t="str">
        <f t="shared" si="25"/>
        <v>-</v>
      </c>
      <c r="W12" t="str">
        <f t="shared" si="10"/>
        <v>-</v>
      </c>
      <c r="X12" s="10" t="str">
        <f t="shared" si="11"/>
        <v>-</v>
      </c>
      <c r="Y12" s="7" t="str">
        <f t="shared" si="26"/>
        <v/>
      </c>
      <c r="Z12" s="13" t="str">
        <f t="shared" si="27"/>
        <v>-</v>
      </c>
      <c r="AA12" t="str">
        <f t="shared" si="28"/>
        <v>-</v>
      </c>
      <c r="AB12" s="16" t="str">
        <f t="shared" si="12"/>
        <v>-</v>
      </c>
      <c r="AC12" s="16" t="str">
        <f t="shared" si="29"/>
        <v>-</v>
      </c>
      <c r="AD12" s="16" t="str">
        <f t="shared" si="30"/>
        <v>-</v>
      </c>
      <c r="AF12" s="27" t="str" cm="1">
        <f t="array" ref="AF12">IFERROR(SUM(_xlfn._xlws.FILTER($AF$32:$AF$229*$AJ$32:$AJ$229,$B$32:$B$229=D12))/SUM(_xlfn._xlws.FILTER($AJ$32:$AJ$229,$B$32:$B$229=D12)),"-")</f>
        <v>-</v>
      </c>
      <c r="AG12" s="123" t="str">
        <f t="shared" si="31"/>
        <v>-</v>
      </c>
      <c r="AH12" s="124" t="str">
        <f t="shared" si="32"/>
        <v>-</v>
      </c>
      <c r="AI12" s="9" t="str">
        <f t="shared" si="13"/>
        <v/>
      </c>
      <c r="AJ12" s="4" t="str">
        <f t="shared" si="14"/>
        <v/>
      </c>
      <c r="AP12" s="20" t="str">
        <f t="shared" si="15"/>
        <v>-</v>
      </c>
      <c r="AQ12" s="13" t="str">
        <f t="shared" si="33"/>
        <v/>
      </c>
      <c r="AR12" s="9" t="str">
        <f t="shared" si="34"/>
        <v/>
      </c>
      <c r="AS12" s="13" t="str">
        <f t="shared" si="35"/>
        <v/>
      </c>
      <c r="AT12" s="16" t="str">
        <f t="shared" si="36"/>
        <v>-</v>
      </c>
      <c r="AU12" s="16" t="str">
        <f t="shared" si="16"/>
        <v>-</v>
      </c>
      <c r="AV12" s="4" t="str">
        <f t="shared" si="37"/>
        <v>-</v>
      </c>
      <c r="AW12" s="16" t="str">
        <f t="shared" si="17"/>
        <v>-</v>
      </c>
      <c r="AX12" t="str">
        <f t="shared" si="18"/>
        <v/>
      </c>
      <c r="AY12" s="9" t="str">
        <f t="shared" si="19"/>
        <v>-</v>
      </c>
      <c r="AZ12" s="20" t="str">
        <f t="shared" si="38"/>
        <v/>
      </c>
      <c r="BA12" s="20" t="str">
        <f t="shared" si="39"/>
        <v/>
      </c>
      <c r="BB12" s="20" t="str">
        <f t="shared" si="40"/>
        <v/>
      </c>
      <c r="BC12" s="20" t="str">
        <f t="shared" si="41"/>
        <v/>
      </c>
    </row>
    <row r="13" spans="2:55" x14ac:dyDescent="0.3">
      <c r="B13" s="114" t="str">
        <f>""</f>
        <v/>
      </c>
      <c r="C13" s="4">
        <v>10</v>
      </c>
      <c r="D13" s="108" t="str">
        <f t="shared" si="20"/>
        <v/>
      </c>
      <c r="E13" s="3"/>
      <c r="F13" s="109" t="str">
        <f>IFERROR(INDEX('Input - Supermarket'!$Y$3:$Y$200,MATCH('Calculations - Supermarket'!$C13,'Input - Supermarket'!$Z$3:$Z$200,0)),"")</f>
        <v/>
      </c>
      <c r="G13" s="20" t="str">
        <f>IFERROR(INDEX('Input - Supermarket'!R$2:R$200,MATCH('Calculations - Supermarket'!$D13,'Input - Supermarket'!$O$2:$O$200,0)),"")</f>
        <v/>
      </c>
      <c r="H13" s="20" t="str">
        <f>IFERROR(INDEX('Input - Supermarket'!S$2:S$200,MATCH('Calculations - Supermarket'!$D13,'Input - Supermarket'!$O$2:$O$200,0)),"")</f>
        <v/>
      </c>
      <c r="I13" s="27" t="str">
        <f>IFERROR(INDEX('Input - Supermarket'!T$2:T$200,MATCH('Calculations - Supermarket'!$D13,'Input - Supermarket'!$O$2:$O$200,0)),"")</f>
        <v/>
      </c>
      <c r="J13" s="27" t="str">
        <f>IFERROR(INDEX('Input - Supermarket'!U$2:U$200,MATCH('Calculations - Supermarket'!$D13,'Input - Supermarket'!$O$2:$O$200,0)),"")</f>
        <v/>
      </c>
      <c r="K13" s="20" t="str">
        <f>IFERROR(INDEX('Input - Supermarket'!V$2:V$200,MATCH('Calculations - Supermarket'!$D13,'Input - Supermarket'!$O$2:$O$200,0)),"")</f>
        <v/>
      </c>
      <c r="L13" s="20" t="str">
        <f>IFERROR(INDEX('Input - Supermarket'!W$2:W$200,MATCH('Calculations - Supermarket'!$D13,'Input - Supermarket'!$O$2:$O$200,0)),"")</f>
        <v/>
      </c>
      <c r="M13" s="21" t="str">
        <f t="shared" si="21"/>
        <v/>
      </c>
      <c r="N13" s="21" t="str">
        <f t="shared" si="6"/>
        <v/>
      </c>
      <c r="O13" s="21" t="str">
        <f t="shared" si="22"/>
        <v/>
      </c>
      <c r="P13" s="9" t="str">
        <f t="shared" si="7"/>
        <v/>
      </c>
      <c r="Q13" s="9" t="str">
        <f t="shared" si="8"/>
        <v/>
      </c>
      <c r="R13" s="8" t="str">
        <f t="shared" si="9"/>
        <v>-</v>
      </c>
      <c r="S13" s="8" t="str">
        <f t="shared" si="23"/>
        <v>-</v>
      </c>
      <c r="T13" t="str">
        <f t="shared" si="24"/>
        <v>-</v>
      </c>
      <c r="U13" t="str">
        <f t="shared" si="24"/>
        <v>-</v>
      </c>
      <c r="V13" t="str">
        <f t="shared" si="25"/>
        <v>-</v>
      </c>
      <c r="W13" t="str">
        <f t="shared" si="10"/>
        <v>-</v>
      </c>
      <c r="X13" s="10" t="str">
        <f t="shared" si="11"/>
        <v>-</v>
      </c>
      <c r="Y13" s="7" t="str">
        <f t="shared" si="26"/>
        <v/>
      </c>
      <c r="Z13" s="13" t="str">
        <f t="shared" si="27"/>
        <v>-</v>
      </c>
      <c r="AA13" t="str">
        <f t="shared" si="28"/>
        <v>-</v>
      </c>
      <c r="AB13" s="16" t="str">
        <f t="shared" si="12"/>
        <v>-</v>
      </c>
      <c r="AC13" s="16" t="str">
        <f t="shared" si="29"/>
        <v>-</v>
      </c>
      <c r="AD13" s="16" t="str">
        <f t="shared" si="30"/>
        <v>-</v>
      </c>
      <c r="AF13" s="27" t="str" cm="1">
        <f t="array" ref="AF13">IFERROR(SUM(_xlfn._xlws.FILTER($AF$32:$AF$229*$AJ$32:$AJ$229,$B$32:$B$229=D13))/SUM(_xlfn._xlws.FILTER($AJ$32:$AJ$229,$B$32:$B$229=D13)),"-")</f>
        <v>-</v>
      </c>
      <c r="AG13" s="123" t="str">
        <f t="shared" si="31"/>
        <v>-</v>
      </c>
      <c r="AH13" s="124" t="str">
        <f t="shared" si="32"/>
        <v>-</v>
      </c>
      <c r="AI13" s="9" t="str">
        <f t="shared" si="13"/>
        <v/>
      </c>
      <c r="AJ13" s="4" t="str">
        <f t="shared" si="14"/>
        <v/>
      </c>
      <c r="AP13" s="20" t="str">
        <f t="shared" si="15"/>
        <v>-</v>
      </c>
      <c r="AQ13" s="13" t="str">
        <f t="shared" si="33"/>
        <v/>
      </c>
      <c r="AR13" s="9" t="str">
        <f t="shared" si="34"/>
        <v/>
      </c>
      <c r="AS13" s="13" t="str">
        <f t="shared" si="35"/>
        <v/>
      </c>
      <c r="AT13" s="16" t="str">
        <f t="shared" si="36"/>
        <v>-</v>
      </c>
      <c r="AU13" s="16" t="str">
        <f t="shared" si="16"/>
        <v>-</v>
      </c>
      <c r="AV13" s="4" t="str">
        <f t="shared" si="37"/>
        <v>-</v>
      </c>
      <c r="AW13" s="16" t="str">
        <f t="shared" si="17"/>
        <v>-</v>
      </c>
      <c r="AX13" t="str">
        <f t="shared" si="18"/>
        <v/>
      </c>
      <c r="AY13" s="9" t="str">
        <f t="shared" si="19"/>
        <v>-</v>
      </c>
      <c r="AZ13" s="20" t="str">
        <f t="shared" si="38"/>
        <v/>
      </c>
      <c r="BA13" s="20" t="str">
        <f t="shared" si="39"/>
        <v/>
      </c>
      <c r="BB13" s="20" t="str">
        <f t="shared" si="40"/>
        <v/>
      </c>
      <c r="BC13" s="20" t="str">
        <f t="shared" si="41"/>
        <v/>
      </c>
    </row>
    <row r="14" spans="2:55" x14ac:dyDescent="0.3">
      <c r="B14" s="114" t="str">
        <f>""</f>
        <v/>
      </c>
      <c r="C14" s="4">
        <v>11</v>
      </c>
      <c r="D14" s="108" t="str">
        <f t="shared" si="20"/>
        <v/>
      </c>
      <c r="E14" s="3"/>
      <c r="F14" s="109" t="str">
        <f>IFERROR(INDEX('Input - Supermarket'!$Y$3:$Y$200,MATCH('Calculations - Supermarket'!$C14,'Input - Supermarket'!$Z$3:$Z$200,0)),"")</f>
        <v/>
      </c>
      <c r="G14" s="20" t="str">
        <f>IFERROR(INDEX('Input - Supermarket'!R$2:R$200,MATCH('Calculations - Supermarket'!$D14,'Input - Supermarket'!$O$2:$O$200,0)),"")</f>
        <v/>
      </c>
      <c r="H14" s="20" t="str">
        <f>IFERROR(INDEX('Input - Supermarket'!S$2:S$200,MATCH('Calculations - Supermarket'!$D14,'Input - Supermarket'!$O$2:$O$200,0)),"")</f>
        <v/>
      </c>
      <c r="I14" s="27" t="str">
        <f>IFERROR(INDEX('Input - Supermarket'!T$2:T$200,MATCH('Calculations - Supermarket'!$D14,'Input - Supermarket'!$O$2:$O$200,0)),"")</f>
        <v/>
      </c>
      <c r="J14" s="27" t="str">
        <f>IFERROR(INDEX('Input - Supermarket'!U$2:U$200,MATCH('Calculations - Supermarket'!$D14,'Input - Supermarket'!$O$2:$O$200,0)),"")</f>
        <v/>
      </c>
      <c r="K14" s="20" t="str">
        <f>IFERROR(INDEX('Input - Supermarket'!V$2:V$200,MATCH('Calculations - Supermarket'!$D14,'Input - Supermarket'!$O$2:$O$200,0)),"")</f>
        <v/>
      </c>
      <c r="L14" s="20" t="str">
        <f>IFERROR(INDEX('Input - Supermarket'!W$2:W$200,MATCH('Calculations - Supermarket'!$D14,'Input - Supermarket'!$O$2:$O$200,0)),"")</f>
        <v/>
      </c>
      <c r="M14" s="21" t="str">
        <f t="shared" si="21"/>
        <v/>
      </c>
      <c r="N14" s="21" t="str">
        <f t="shared" si="6"/>
        <v/>
      </c>
      <c r="O14" s="21" t="str">
        <f t="shared" si="22"/>
        <v/>
      </c>
      <c r="P14" s="9" t="str">
        <f t="shared" si="7"/>
        <v/>
      </c>
      <c r="Q14" s="9" t="str">
        <f t="shared" si="8"/>
        <v/>
      </c>
      <c r="R14" s="8" t="str">
        <f t="shared" si="9"/>
        <v>-</v>
      </c>
      <c r="S14" s="8" t="str">
        <f t="shared" si="23"/>
        <v>-</v>
      </c>
      <c r="T14" t="str">
        <f t="shared" si="24"/>
        <v>-</v>
      </c>
      <c r="U14" t="str">
        <f t="shared" si="24"/>
        <v>-</v>
      </c>
      <c r="V14" t="str">
        <f t="shared" si="25"/>
        <v>-</v>
      </c>
      <c r="W14" t="str">
        <f t="shared" si="10"/>
        <v>-</v>
      </c>
      <c r="X14" s="10" t="str">
        <f t="shared" si="11"/>
        <v>-</v>
      </c>
      <c r="Y14" s="7" t="str">
        <f t="shared" si="26"/>
        <v/>
      </c>
      <c r="Z14" s="13" t="str">
        <f t="shared" si="27"/>
        <v>-</v>
      </c>
      <c r="AA14" t="str">
        <f t="shared" si="28"/>
        <v>-</v>
      </c>
      <c r="AB14" s="16" t="str">
        <f t="shared" si="12"/>
        <v>-</v>
      </c>
      <c r="AC14" s="16" t="str">
        <f t="shared" si="29"/>
        <v>-</v>
      </c>
      <c r="AD14" s="16" t="str">
        <f t="shared" si="30"/>
        <v>-</v>
      </c>
      <c r="AF14" s="27" t="str" cm="1">
        <f t="array" ref="AF14">IFERROR(SUM(_xlfn._xlws.FILTER($AF$32:$AF$229*$AJ$32:$AJ$229,$B$32:$B$229=D14))/SUM(_xlfn._xlws.FILTER($AJ$32:$AJ$229,$B$32:$B$229=D14)),"-")</f>
        <v>-</v>
      </c>
      <c r="AG14" s="123" t="str">
        <f t="shared" si="31"/>
        <v>-</v>
      </c>
      <c r="AH14" s="124" t="str">
        <f t="shared" si="32"/>
        <v>-</v>
      </c>
      <c r="AI14" s="9" t="str">
        <f t="shared" si="13"/>
        <v/>
      </c>
      <c r="AJ14" s="4" t="str">
        <f t="shared" si="14"/>
        <v/>
      </c>
      <c r="AP14" s="20" t="str">
        <f t="shared" si="15"/>
        <v>-</v>
      </c>
      <c r="AQ14" s="13" t="str">
        <f t="shared" si="33"/>
        <v/>
      </c>
      <c r="AR14" s="9" t="str">
        <f t="shared" si="34"/>
        <v/>
      </c>
      <c r="AS14" s="13" t="str">
        <f t="shared" si="35"/>
        <v/>
      </c>
      <c r="AT14" s="16" t="str">
        <f t="shared" si="36"/>
        <v>-</v>
      </c>
      <c r="AU14" s="16" t="str">
        <f t="shared" si="16"/>
        <v>-</v>
      </c>
      <c r="AV14" s="4" t="str">
        <f t="shared" si="37"/>
        <v>-</v>
      </c>
      <c r="AW14" s="16" t="str">
        <f t="shared" si="17"/>
        <v>-</v>
      </c>
      <c r="AX14" t="str">
        <f t="shared" si="18"/>
        <v/>
      </c>
      <c r="AY14" s="9" t="str">
        <f t="shared" si="19"/>
        <v>-</v>
      </c>
      <c r="AZ14" s="20" t="str">
        <f t="shared" si="38"/>
        <v/>
      </c>
      <c r="BA14" s="20" t="str">
        <f t="shared" si="39"/>
        <v/>
      </c>
      <c r="BB14" s="20" t="str">
        <f t="shared" si="40"/>
        <v/>
      </c>
      <c r="BC14" s="20" t="str">
        <f t="shared" si="41"/>
        <v/>
      </c>
    </row>
    <row r="15" spans="2:55" x14ac:dyDescent="0.3">
      <c r="B15" s="114" t="str">
        <f>""</f>
        <v/>
      </c>
      <c r="C15" s="4">
        <v>12</v>
      </c>
      <c r="D15" s="108" t="str">
        <f t="shared" si="20"/>
        <v/>
      </c>
      <c r="E15" s="3"/>
      <c r="F15" s="109" t="str">
        <f>IFERROR(INDEX('Input - Supermarket'!$Y$3:$Y$200,MATCH('Calculations - Supermarket'!$C15,'Input - Supermarket'!$Z$3:$Z$200,0)),"")</f>
        <v/>
      </c>
      <c r="G15" s="20" t="str">
        <f>IFERROR(INDEX('Input - Supermarket'!R$2:R$200,MATCH('Calculations - Supermarket'!$D15,'Input - Supermarket'!$O$2:$O$200,0)),"")</f>
        <v/>
      </c>
      <c r="H15" s="20" t="str">
        <f>IFERROR(INDEX('Input - Supermarket'!S$2:S$200,MATCH('Calculations - Supermarket'!$D15,'Input - Supermarket'!$O$2:$O$200,0)),"")</f>
        <v/>
      </c>
      <c r="I15" s="27" t="str">
        <f>IFERROR(INDEX('Input - Supermarket'!T$2:T$200,MATCH('Calculations - Supermarket'!$D15,'Input - Supermarket'!$O$2:$O$200,0)),"")</f>
        <v/>
      </c>
      <c r="J15" s="27" t="str">
        <f>IFERROR(INDEX('Input - Supermarket'!U$2:U$200,MATCH('Calculations - Supermarket'!$D15,'Input - Supermarket'!$O$2:$O$200,0)),"")</f>
        <v/>
      </c>
      <c r="K15" s="20" t="str">
        <f>IFERROR(INDEX('Input - Supermarket'!V$2:V$200,MATCH('Calculations - Supermarket'!$D15,'Input - Supermarket'!$O$2:$O$200,0)),"")</f>
        <v/>
      </c>
      <c r="L15" s="20" t="str">
        <f>IFERROR(INDEX('Input - Supermarket'!W$2:W$200,MATCH('Calculations - Supermarket'!$D15,'Input - Supermarket'!$O$2:$O$200,0)),"")</f>
        <v/>
      </c>
      <c r="M15" s="21" t="str">
        <f t="shared" si="21"/>
        <v/>
      </c>
      <c r="N15" s="21" t="str">
        <f t="shared" si="6"/>
        <v/>
      </c>
      <c r="O15" s="21" t="str">
        <f t="shared" si="22"/>
        <v/>
      </c>
      <c r="P15" s="9" t="str">
        <f t="shared" si="7"/>
        <v/>
      </c>
      <c r="Q15" s="9" t="str">
        <f t="shared" si="8"/>
        <v/>
      </c>
      <c r="R15" s="8" t="str">
        <f t="shared" si="9"/>
        <v>-</v>
      </c>
      <c r="S15" s="8" t="str">
        <f t="shared" si="23"/>
        <v>-</v>
      </c>
      <c r="T15" t="str">
        <f t="shared" si="24"/>
        <v>-</v>
      </c>
      <c r="U15" t="str">
        <f t="shared" si="24"/>
        <v>-</v>
      </c>
      <c r="V15" t="str">
        <f t="shared" si="25"/>
        <v>-</v>
      </c>
      <c r="W15" t="str">
        <f t="shared" si="10"/>
        <v>-</v>
      </c>
      <c r="X15" s="10" t="str">
        <f t="shared" si="11"/>
        <v>-</v>
      </c>
      <c r="Y15" s="7" t="str">
        <f t="shared" si="26"/>
        <v/>
      </c>
      <c r="Z15" s="13" t="str">
        <f t="shared" si="27"/>
        <v>-</v>
      </c>
      <c r="AA15" t="str">
        <f t="shared" si="28"/>
        <v>-</v>
      </c>
      <c r="AB15" s="16" t="str">
        <f t="shared" si="12"/>
        <v>-</v>
      </c>
      <c r="AC15" s="16" t="str">
        <f t="shared" si="29"/>
        <v>-</v>
      </c>
      <c r="AD15" s="16" t="str">
        <f t="shared" si="30"/>
        <v>-</v>
      </c>
      <c r="AF15" s="27" t="str" cm="1">
        <f t="array" ref="AF15">IFERROR(SUM(_xlfn._xlws.FILTER($AF$32:$AF$229*$AJ$32:$AJ$229,$B$32:$B$229=D15))/SUM(_xlfn._xlws.FILTER($AJ$32:$AJ$229,$B$32:$B$229=D15)),"-")</f>
        <v>-</v>
      </c>
      <c r="AG15" s="123" t="str">
        <f t="shared" si="31"/>
        <v>-</v>
      </c>
      <c r="AH15" s="124" t="str">
        <f t="shared" si="32"/>
        <v>-</v>
      </c>
      <c r="AI15" s="9" t="str">
        <f t="shared" si="13"/>
        <v/>
      </c>
      <c r="AJ15" s="4" t="str">
        <f t="shared" si="14"/>
        <v/>
      </c>
      <c r="AP15" s="20" t="str">
        <f t="shared" si="15"/>
        <v>-</v>
      </c>
      <c r="AQ15" s="13" t="str">
        <f t="shared" si="33"/>
        <v/>
      </c>
      <c r="AR15" s="9" t="str">
        <f t="shared" si="34"/>
        <v/>
      </c>
      <c r="AS15" s="13" t="str">
        <f t="shared" si="35"/>
        <v/>
      </c>
      <c r="AT15" s="16" t="str">
        <f t="shared" si="36"/>
        <v>-</v>
      </c>
      <c r="AU15" s="16" t="str">
        <f t="shared" si="16"/>
        <v>-</v>
      </c>
      <c r="AV15" s="4" t="str">
        <f t="shared" si="37"/>
        <v>-</v>
      </c>
      <c r="AW15" s="16" t="str">
        <f t="shared" si="17"/>
        <v>-</v>
      </c>
      <c r="AX15" t="str">
        <f t="shared" si="18"/>
        <v/>
      </c>
      <c r="AY15" s="9" t="str">
        <f t="shared" si="19"/>
        <v>-</v>
      </c>
      <c r="AZ15" s="20" t="str">
        <f t="shared" si="38"/>
        <v/>
      </c>
      <c r="BA15" s="20" t="str">
        <f t="shared" si="39"/>
        <v/>
      </c>
      <c r="BB15" s="20" t="str">
        <f t="shared" si="40"/>
        <v/>
      </c>
      <c r="BC15" s="20" t="str">
        <f t="shared" si="41"/>
        <v/>
      </c>
    </row>
    <row r="16" spans="2:55" x14ac:dyDescent="0.3">
      <c r="B16" s="114" t="str">
        <f>""</f>
        <v/>
      </c>
      <c r="C16" s="4">
        <v>13</v>
      </c>
      <c r="D16" s="108" t="str">
        <f t="shared" si="20"/>
        <v/>
      </c>
      <c r="E16" s="3"/>
      <c r="F16" s="109" t="str">
        <f>IFERROR(INDEX('Input - Supermarket'!$Y$3:$Y$200,MATCH('Calculations - Supermarket'!$C16,'Input - Supermarket'!$Z$3:$Z$200,0)),"")</f>
        <v/>
      </c>
      <c r="G16" s="20" t="str">
        <f>IFERROR(INDEX('Input - Supermarket'!R$2:R$200,MATCH('Calculations - Supermarket'!$D16,'Input - Supermarket'!$O$2:$O$200,0)),"")</f>
        <v/>
      </c>
      <c r="H16" s="20" t="str">
        <f>IFERROR(INDEX('Input - Supermarket'!S$2:S$200,MATCH('Calculations - Supermarket'!$D16,'Input - Supermarket'!$O$2:$O$200,0)),"")</f>
        <v/>
      </c>
      <c r="I16" s="27" t="str">
        <f>IFERROR(INDEX('Input - Supermarket'!T$2:T$200,MATCH('Calculations - Supermarket'!$D16,'Input - Supermarket'!$O$2:$O$200,0)),"")</f>
        <v/>
      </c>
      <c r="J16" s="27" t="str">
        <f>IFERROR(INDEX('Input - Supermarket'!U$2:U$200,MATCH('Calculations - Supermarket'!$D16,'Input - Supermarket'!$O$2:$O$200,0)),"")</f>
        <v/>
      </c>
      <c r="K16" s="20" t="str">
        <f>IFERROR(INDEX('Input - Supermarket'!V$2:V$200,MATCH('Calculations - Supermarket'!$D16,'Input - Supermarket'!$O$2:$O$200,0)),"")</f>
        <v/>
      </c>
      <c r="L16" s="20" t="str">
        <f>IFERROR(INDEX('Input - Supermarket'!W$2:W$200,MATCH('Calculations - Supermarket'!$D16,'Input - Supermarket'!$O$2:$O$200,0)),"")</f>
        <v/>
      </c>
      <c r="M16" s="21" t="str">
        <f t="shared" si="21"/>
        <v/>
      </c>
      <c r="N16" s="21" t="str">
        <f t="shared" si="6"/>
        <v/>
      </c>
      <c r="O16" s="21" t="str">
        <f t="shared" si="22"/>
        <v/>
      </c>
      <c r="P16" s="9" t="str">
        <f t="shared" si="7"/>
        <v/>
      </c>
      <c r="Q16" s="9" t="str">
        <f t="shared" si="8"/>
        <v/>
      </c>
      <c r="R16" s="8" t="str">
        <f t="shared" si="9"/>
        <v>-</v>
      </c>
      <c r="S16" s="8" t="str">
        <f t="shared" si="23"/>
        <v>-</v>
      </c>
      <c r="T16" t="str">
        <f t="shared" si="24"/>
        <v>-</v>
      </c>
      <c r="U16" t="str">
        <f t="shared" si="24"/>
        <v>-</v>
      </c>
      <c r="V16" t="str">
        <f t="shared" si="25"/>
        <v>-</v>
      </c>
      <c r="W16" t="str">
        <f t="shared" si="10"/>
        <v>-</v>
      </c>
      <c r="X16" s="10" t="str">
        <f t="shared" si="11"/>
        <v>-</v>
      </c>
      <c r="Y16" s="7" t="str">
        <f t="shared" si="26"/>
        <v/>
      </c>
      <c r="Z16" s="13" t="str">
        <f t="shared" si="27"/>
        <v>-</v>
      </c>
      <c r="AA16" t="str">
        <f t="shared" si="28"/>
        <v>-</v>
      </c>
      <c r="AB16" s="16" t="str">
        <f t="shared" si="12"/>
        <v>-</v>
      </c>
      <c r="AC16" s="16" t="str">
        <f t="shared" si="29"/>
        <v>-</v>
      </c>
      <c r="AD16" s="16" t="str">
        <f t="shared" si="30"/>
        <v>-</v>
      </c>
      <c r="AF16" s="27" t="str" cm="1">
        <f t="array" ref="AF16">IFERROR(SUM(_xlfn._xlws.FILTER($AF$32:$AF$229*$AJ$32:$AJ$229,$B$32:$B$229=D16))/SUM(_xlfn._xlws.FILTER($AJ$32:$AJ$229,$B$32:$B$229=D16)),"-")</f>
        <v>-</v>
      </c>
      <c r="AG16" s="123" t="str">
        <f t="shared" si="31"/>
        <v>-</v>
      </c>
      <c r="AH16" s="124" t="str">
        <f t="shared" si="32"/>
        <v>-</v>
      </c>
      <c r="AI16" s="9" t="str">
        <f t="shared" si="13"/>
        <v/>
      </c>
      <c r="AJ16" s="4" t="str">
        <f t="shared" si="14"/>
        <v/>
      </c>
      <c r="AP16" s="20" t="str">
        <f t="shared" si="15"/>
        <v>-</v>
      </c>
      <c r="AQ16" s="13" t="str">
        <f t="shared" si="33"/>
        <v/>
      </c>
      <c r="AR16" s="9" t="str">
        <f t="shared" si="34"/>
        <v/>
      </c>
      <c r="AS16" s="13" t="str">
        <f t="shared" si="35"/>
        <v/>
      </c>
      <c r="AT16" s="16" t="str">
        <f t="shared" si="36"/>
        <v>-</v>
      </c>
      <c r="AU16" s="16" t="str">
        <f t="shared" si="16"/>
        <v>-</v>
      </c>
      <c r="AV16" s="4" t="str">
        <f t="shared" si="37"/>
        <v>-</v>
      </c>
      <c r="AW16" s="16" t="str">
        <f t="shared" si="17"/>
        <v>-</v>
      </c>
      <c r="AX16" t="str">
        <f t="shared" si="18"/>
        <v/>
      </c>
      <c r="AY16" s="9" t="str">
        <f t="shared" si="19"/>
        <v>-</v>
      </c>
      <c r="AZ16" s="20" t="str">
        <f t="shared" si="38"/>
        <v/>
      </c>
      <c r="BA16" s="20" t="str">
        <f t="shared" si="39"/>
        <v/>
      </c>
      <c r="BB16" s="20" t="str">
        <f t="shared" si="40"/>
        <v/>
      </c>
      <c r="BC16" s="20" t="str">
        <f t="shared" si="41"/>
        <v/>
      </c>
    </row>
    <row r="17" spans="2:68" x14ac:dyDescent="0.3">
      <c r="B17" s="114" t="str">
        <f>""</f>
        <v/>
      </c>
      <c r="C17" s="4">
        <v>14</v>
      </c>
      <c r="D17" s="108" t="str">
        <f t="shared" si="20"/>
        <v/>
      </c>
      <c r="E17" s="3"/>
      <c r="F17" s="109" t="str">
        <f>IFERROR(INDEX('Input - Supermarket'!$Y$3:$Y$200,MATCH('Calculations - Supermarket'!$C17,'Input - Supermarket'!$Z$3:$Z$200,0)),"")</f>
        <v/>
      </c>
      <c r="G17" s="20" t="str">
        <f>IFERROR(INDEX('Input - Supermarket'!R$2:R$200,MATCH('Calculations - Supermarket'!$D17,'Input - Supermarket'!$O$2:$O$200,0)),"")</f>
        <v/>
      </c>
      <c r="H17" s="20" t="str">
        <f>IFERROR(INDEX('Input - Supermarket'!S$2:S$200,MATCH('Calculations - Supermarket'!$D17,'Input - Supermarket'!$O$2:$O$200,0)),"")</f>
        <v/>
      </c>
      <c r="I17" s="27" t="str">
        <f>IFERROR(INDEX('Input - Supermarket'!T$2:T$200,MATCH('Calculations - Supermarket'!$D17,'Input - Supermarket'!$O$2:$O$200,0)),"")</f>
        <v/>
      </c>
      <c r="J17" s="27" t="str">
        <f>IFERROR(INDEX('Input - Supermarket'!U$2:U$200,MATCH('Calculations - Supermarket'!$D17,'Input - Supermarket'!$O$2:$O$200,0)),"")</f>
        <v/>
      </c>
      <c r="K17" s="20" t="str">
        <f>IFERROR(INDEX('Input - Supermarket'!V$2:V$200,MATCH('Calculations - Supermarket'!$D17,'Input - Supermarket'!$O$2:$O$200,0)),"")</f>
        <v/>
      </c>
      <c r="L17" s="20" t="str">
        <f>IFERROR(INDEX('Input - Supermarket'!W$2:W$200,MATCH('Calculations - Supermarket'!$D17,'Input - Supermarket'!$O$2:$O$200,0)),"")</f>
        <v/>
      </c>
      <c r="M17" s="21" t="str">
        <f t="shared" si="21"/>
        <v/>
      </c>
      <c r="N17" s="21" t="str">
        <f t="shared" si="6"/>
        <v/>
      </c>
      <c r="O17" s="21" t="str">
        <f t="shared" si="22"/>
        <v/>
      </c>
      <c r="P17" s="9" t="str">
        <f t="shared" si="7"/>
        <v/>
      </c>
      <c r="Q17" s="9" t="str">
        <f t="shared" si="8"/>
        <v/>
      </c>
      <c r="R17" s="8" t="str">
        <f t="shared" si="9"/>
        <v>-</v>
      </c>
      <c r="S17" s="8" t="str">
        <f t="shared" si="23"/>
        <v>-</v>
      </c>
      <c r="T17" t="str">
        <f t="shared" si="24"/>
        <v>-</v>
      </c>
      <c r="U17" t="str">
        <f t="shared" si="24"/>
        <v>-</v>
      </c>
      <c r="V17" t="str">
        <f t="shared" si="25"/>
        <v>-</v>
      </c>
      <c r="W17" t="str">
        <f t="shared" si="10"/>
        <v>-</v>
      </c>
      <c r="X17" s="10" t="str">
        <f t="shared" si="11"/>
        <v>-</v>
      </c>
      <c r="Y17" s="7" t="str">
        <f t="shared" si="26"/>
        <v/>
      </c>
      <c r="Z17" s="13" t="str">
        <f t="shared" si="27"/>
        <v>-</v>
      </c>
      <c r="AA17" t="str">
        <f t="shared" si="28"/>
        <v>-</v>
      </c>
      <c r="AB17" s="16" t="str">
        <f t="shared" si="12"/>
        <v>-</v>
      </c>
      <c r="AC17" s="16" t="str">
        <f t="shared" si="29"/>
        <v>-</v>
      </c>
      <c r="AD17" s="16" t="str">
        <f t="shared" si="30"/>
        <v>-</v>
      </c>
      <c r="AF17" s="27" t="str" cm="1">
        <f t="array" ref="AF17">IFERROR(SUM(_xlfn._xlws.FILTER($AF$32:$AF$229*$AJ$32:$AJ$229,$B$32:$B$229=D17))/SUM(_xlfn._xlws.FILTER($AJ$32:$AJ$229,$B$32:$B$229=D17)),"-")</f>
        <v>-</v>
      </c>
      <c r="AG17" s="123" t="str">
        <f t="shared" si="31"/>
        <v>-</v>
      </c>
      <c r="AH17" s="124" t="str">
        <f t="shared" si="32"/>
        <v>-</v>
      </c>
      <c r="AI17" s="9" t="str">
        <f t="shared" si="13"/>
        <v/>
      </c>
      <c r="AJ17" s="4" t="str">
        <f t="shared" si="14"/>
        <v/>
      </c>
      <c r="AP17" s="20" t="str">
        <f t="shared" si="15"/>
        <v>-</v>
      </c>
      <c r="AQ17" s="13" t="str">
        <f t="shared" si="33"/>
        <v/>
      </c>
      <c r="AR17" s="9" t="str">
        <f t="shared" si="34"/>
        <v/>
      </c>
      <c r="AS17" s="13" t="str">
        <f t="shared" si="35"/>
        <v/>
      </c>
      <c r="AT17" s="16" t="str">
        <f t="shared" si="36"/>
        <v>-</v>
      </c>
      <c r="AU17" s="16" t="str">
        <f t="shared" si="16"/>
        <v>-</v>
      </c>
      <c r="AV17" s="4" t="str">
        <f t="shared" si="37"/>
        <v>-</v>
      </c>
      <c r="AW17" s="16" t="str">
        <f t="shared" si="17"/>
        <v>-</v>
      </c>
      <c r="AX17" t="str">
        <f t="shared" si="18"/>
        <v/>
      </c>
      <c r="AY17" s="9" t="str">
        <f t="shared" si="19"/>
        <v>-</v>
      </c>
      <c r="AZ17" s="20" t="str">
        <f t="shared" si="38"/>
        <v/>
      </c>
      <c r="BA17" s="20" t="str">
        <f t="shared" si="39"/>
        <v/>
      </c>
      <c r="BB17" s="20" t="str">
        <f t="shared" si="40"/>
        <v/>
      </c>
      <c r="BC17" s="20" t="str">
        <f t="shared" si="41"/>
        <v/>
      </c>
    </row>
    <row r="18" spans="2:68" x14ac:dyDescent="0.3">
      <c r="B18" s="114" t="str">
        <f>""</f>
        <v/>
      </c>
      <c r="C18" s="4">
        <v>15</v>
      </c>
      <c r="D18" s="108" t="str">
        <f t="shared" si="20"/>
        <v/>
      </c>
      <c r="E18" s="3"/>
      <c r="F18" s="109" t="str">
        <f>IFERROR(INDEX('Input - Supermarket'!$Y$3:$Y$200,MATCH('Calculations - Supermarket'!$C18,'Input - Supermarket'!$Z$3:$Z$200,0)),"")</f>
        <v/>
      </c>
      <c r="G18" s="20" t="str">
        <f>IFERROR(INDEX('Input - Supermarket'!R$2:R$200,MATCH('Calculations - Supermarket'!$D18,'Input - Supermarket'!$O$2:$O$200,0)),"")</f>
        <v/>
      </c>
      <c r="H18" s="20" t="str">
        <f>IFERROR(INDEX('Input - Supermarket'!S$2:S$200,MATCH('Calculations - Supermarket'!$D18,'Input - Supermarket'!$O$2:$O$200,0)),"")</f>
        <v/>
      </c>
      <c r="I18" s="27" t="str">
        <f>IFERROR(INDEX('Input - Supermarket'!T$2:T$200,MATCH('Calculations - Supermarket'!$D18,'Input - Supermarket'!$O$2:$O$200,0)),"")</f>
        <v/>
      </c>
      <c r="J18" s="27" t="str">
        <f>IFERROR(INDEX('Input - Supermarket'!U$2:U$200,MATCH('Calculations - Supermarket'!$D18,'Input - Supermarket'!$O$2:$O$200,0)),"")</f>
        <v/>
      </c>
      <c r="K18" s="20" t="str">
        <f>IFERROR(INDEX('Input - Supermarket'!V$2:V$200,MATCH('Calculations - Supermarket'!$D18,'Input - Supermarket'!$O$2:$O$200,0)),"")</f>
        <v/>
      </c>
      <c r="L18" s="20" t="str">
        <f>IFERROR(INDEX('Input - Supermarket'!W$2:W$200,MATCH('Calculations - Supermarket'!$D18,'Input - Supermarket'!$O$2:$O$200,0)),"")</f>
        <v/>
      </c>
      <c r="M18" s="21" t="str">
        <f t="shared" si="21"/>
        <v/>
      </c>
      <c r="N18" s="21" t="str">
        <f t="shared" si="6"/>
        <v/>
      </c>
      <c r="O18" s="21" t="str">
        <f t="shared" si="22"/>
        <v/>
      </c>
      <c r="P18" s="9" t="str">
        <f t="shared" si="7"/>
        <v/>
      </c>
      <c r="Q18" s="9" t="str">
        <f t="shared" si="8"/>
        <v/>
      </c>
      <c r="R18" s="8" t="str">
        <f t="shared" si="9"/>
        <v>-</v>
      </c>
      <c r="S18" s="8" t="str">
        <f t="shared" si="23"/>
        <v>-</v>
      </c>
      <c r="T18" t="str">
        <f t="shared" si="24"/>
        <v>-</v>
      </c>
      <c r="U18" t="str">
        <f t="shared" si="24"/>
        <v>-</v>
      </c>
      <c r="V18" t="str">
        <f t="shared" si="25"/>
        <v>-</v>
      </c>
      <c r="W18" t="str">
        <f t="shared" si="10"/>
        <v>-</v>
      </c>
      <c r="X18" s="10" t="str">
        <f t="shared" si="11"/>
        <v>-</v>
      </c>
      <c r="Y18" s="7" t="str">
        <f t="shared" si="26"/>
        <v/>
      </c>
      <c r="Z18" s="13" t="str">
        <f t="shared" si="27"/>
        <v>-</v>
      </c>
      <c r="AA18" t="str">
        <f t="shared" si="28"/>
        <v>-</v>
      </c>
      <c r="AB18" s="16" t="str">
        <f t="shared" si="12"/>
        <v>-</v>
      </c>
      <c r="AC18" s="16" t="str">
        <f t="shared" si="29"/>
        <v>-</v>
      </c>
      <c r="AD18" s="16" t="str">
        <f t="shared" si="30"/>
        <v>-</v>
      </c>
      <c r="AF18" s="27" t="str" cm="1">
        <f t="array" ref="AF18">IFERROR(SUM(_xlfn._xlws.FILTER($AF$32:$AF$229*$AJ$32:$AJ$229,$B$32:$B$229=D18))/SUM(_xlfn._xlws.FILTER($AJ$32:$AJ$229,$B$32:$B$229=D18)),"-")</f>
        <v>-</v>
      </c>
      <c r="AG18" s="123" t="str">
        <f t="shared" si="31"/>
        <v>-</v>
      </c>
      <c r="AH18" s="124" t="str">
        <f t="shared" si="32"/>
        <v>-</v>
      </c>
      <c r="AI18" s="9" t="str">
        <f t="shared" si="13"/>
        <v/>
      </c>
      <c r="AJ18" s="4" t="str">
        <f t="shared" si="14"/>
        <v/>
      </c>
      <c r="AP18" s="20" t="str">
        <f t="shared" si="15"/>
        <v>-</v>
      </c>
      <c r="AQ18" s="13" t="str">
        <f t="shared" si="33"/>
        <v/>
      </c>
      <c r="AR18" s="9" t="str">
        <f t="shared" si="34"/>
        <v/>
      </c>
      <c r="AS18" s="13" t="str">
        <f t="shared" si="35"/>
        <v/>
      </c>
      <c r="AT18" s="16" t="str">
        <f t="shared" si="36"/>
        <v>-</v>
      </c>
      <c r="AU18" s="16" t="str">
        <f t="shared" si="16"/>
        <v>-</v>
      </c>
      <c r="AV18" s="4" t="str">
        <f t="shared" si="37"/>
        <v>-</v>
      </c>
      <c r="AW18" s="16" t="str">
        <f t="shared" si="17"/>
        <v>-</v>
      </c>
      <c r="AX18" t="str">
        <f t="shared" si="18"/>
        <v/>
      </c>
      <c r="AY18" s="9" t="str">
        <f t="shared" si="19"/>
        <v>-</v>
      </c>
      <c r="AZ18" s="20" t="str">
        <f t="shared" si="38"/>
        <v/>
      </c>
      <c r="BA18" s="20" t="str">
        <f t="shared" si="39"/>
        <v/>
      </c>
      <c r="BB18" s="20" t="str">
        <f t="shared" si="40"/>
        <v/>
      </c>
      <c r="BC18" s="20" t="str">
        <f t="shared" si="41"/>
        <v/>
      </c>
    </row>
    <row r="19" spans="2:68" x14ac:dyDescent="0.3">
      <c r="B19" s="114" t="str">
        <f>""</f>
        <v/>
      </c>
      <c r="C19" s="4">
        <v>16</v>
      </c>
      <c r="D19" s="108" t="str">
        <f t="shared" si="20"/>
        <v/>
      </c>
      <c r="E19" s="3"/>
      <c r="F19" s="109" t="str">
        <f>IFERROR(INDEX('Input - Supermarket'!$Y$3:$Y$200,MATCH('Calculations - Supermarket'!$C19,'Input - Supermarket'!$Z$3:$Z$200,0)),"")</f>
        <v/>
      </c>
      <c r="G19" s="20" t="str">
        <f>IFERROR(INDEX('Input - Supermarket'!R$2:R$200,MATCH('Calculations - Supermarket'!$D19,'Input - Supermarket'!$O$2:$O$200,0)),"")</f>
        <v/>
      </c>
      <c r="H19" s="20" t="str">
        <f>IFERROR(INDEX('Input - Supermarket'!S$2:S$200,MATCH('Calculations - Supermarket'!$D19,'Input - Supermarket'!$O$2:$O$200,0)),"")</f>
        <v/>
      </c>
      <c r="I19" s="27" t="str">
        <f>IFERROR(INDEX('Input - Supermarket'!T$2:T$200,MATCH('Calculations - Supermarket'!$D19,'Input - Supermarket'!$O$2:$O$200,0)),"")</f>
        <v/>
      </c>
      <c r="J19" s="27" t="str">
        <f>IFERROR(INDEX('Input - Supermarket'!U$2:U$200,MATCH('Calculations - Supermarket'!$D19,'Input - Supermarket'!$O$2:$O$200,0)),"")</f>
        <v/>
      </c>
      <c r="K19" s="20" t="str">
        <f>IFERROR(INDEX('Input - Supermarket'!V$2:V$200,MATCH('Calculations - Supermarket'!$D19,'Input - Supermarket'!$O$2:$O$200,0)),"")</f>
        <v/>
      </c>
      <c r="L19" s="20" t="str">
        <f>IFERROR(INDEX('Input - Supermarket'!W$2:W$200,MATCH('Calculations - Supermarket'!$D19,'Input - Supermarket'!$O$2:$O$200,0)),"")</f>
        <v/>
      </c>
      <c r="M19" s="21" t="str">
        <f t="shared" si="21"/>
        <v/>
      </c>
      <c r="N19" s="21" t="str">
        <f t="shared" si="6"/>
        <v/>
      </c>
      <c r="O19" s="21" t="str">
        <f t="shared" si="22"/>
        <v/>
      </c>
      <c r="P19" s="9" t="str">
        <f t="shared" si="7"/>
        <v/>
      </c>
      <c r="Q19" s="9" t="str">
        <f t="shared" si="8"/>
        <v/>
      </c>
      <c r="R19" s="8" t="str">
        <f t="shared" si="9"/>
        <v>-</v>
      </c>
      <c r="S19" s="8" t="str">
        <f t="shared" si="23"/>
        <v>-</v>
      </c>
      <c r="T19" t="str">
        <f t="shared" si="24"/>
        <v>-</v>
      </c>
      <c r="U19" t="str">
        <f t="shared" si="24"/>
        <v>-</v>
      </c>
      <c r="V19" t="str">
        <f t="shared" si="25"/>
        <v>-</v>
      </c>
      <c r="W19" t="str">
        <f t="shared" si="10"/>
        <v>-</v>
      </c>
      <c r="X19" s="10" t="str">
        <f t="shared" si="11"/>
        <v>-</v>
      </c>
      <c r="Y19" s="7" t="str">
        <f t="shared" si="26"/>
        <v/>
      </c>
      <c r="Z19" s="13" t="str">
        <f t="shared" si="27"/>
        <v>-</v>
      </c>
      <c r="AA19" t="str">
        <f t="shared" si="28"/>
        <v>-</v>
      </c>
      <c r="AB19" s="16" t="str">
        <f t="shared" si="12"/>
        <v>-</v>
      </c>
      <c r="AC19" s="16" t="str">
        <f t="shared" si="29"/>
        <v>-</v>
      </c>
      <c r="AD19" s="16" t="str">
        <f t="shared" si="30"/>
        <v>-</v>
      </c>
      <c r="AF19" s="27" t="str" cm="1">
        <f t="array" ref="AF19">IFERROR(SUM(_xlfn._xlws.FILTER($AF$32:$AF$229*$AJ$32:$AJ$229,$B$32:$B$229=D19))/SUM(_xlfn._xlws.FILTER($AJ$32:$AJ$229,$B$32:$B$229=D19)),"-")</f>
        <v>-</v>
      </c>
      <c r="AG19" s="123" t="str">
        <f t="shared" si="31"/>
        <v>-</v>
      </c>
      <c r="AH19" s="124" t="str">
        <f t="shared" si="32"/>
        <v>-</v>
      </c>
      <c r="AI19" s="9" t="str">
        <f t="shared" si="13"/>
        <v/>
      </c>
      <c r="AJ19" s="4" t="str">
        <f t="shared" si="14"/>
        <v/>
      </c>
      <c r="AP19" s="20" t="str">
        <f t="shared" si="15"/>
        <v>-</v>
      </c>
      <c r="AQ19" s="13" t="str">
        <f t="shared" si="33"/>
        <v/>
      </c>
      <c r="AR19" s="9" t="str">
        <f t="shared" si="34"/>
        <v/>
      </c>
      <c r="AS19" s="13" t="str">
        <f t="shared" si="35"/>
        <v/>
      </c>
      <c r="AT19" s="16" t="str">
        <f t="shared" si="36"/>
        <v>-</v>
      </c>
      <c r="AU19" s="16" t="str">
        <f t="shared" si="16"/>
        <v>-</v>
      </c>
      <c r="AV19" s="4" t="str">
        <f t="shared" si="37"/>
        <v>-</v>
      </c>
      <c r="AW19" s="16" t="str">
        <f t="shared" si="17"/>
        <v>-</v>
      </c>
      <c r="AX19" t="str">
        <f t="shared" si="18"/>
        <v/>
      </c>
      <c r="AY19" s="9" t="str">
        <f t="shared" si="19"/>
        <v>-</v>
      </c>
      <c r="AZ19" s="20" t="str">
        <f t="shared" si="38"/>
        <v/>
      </c>
      <c r="BA19" s="20" t="str">
        <f t="shared" si="39"/>
        <v/>
      </c>
      <c r="BB19" s="20" t="str">
        <f t="shared" si="40"/>
        <v/>
      </c>
      <c r="BC19" s="20" t="str">
        <f t="shared" si="41"/>
        <v/>
      </c>
    </row>
    <row r="20" spans="2:68" x14ac:dyDescent="0.3">
      <c r="B20" s="114" t="str">
        <f>""</f>
        <v/>
      </c>
      <c r="C20" s="4">
        <v>17</v>
      </c>
      <c r="D20" s="108" t="str">
        <f t="shared" si="20"/>
        <v/>
      </c>
      <c r="E20" s="3"/>
      <c r="F20" s="109" t="str">
        <f>IFERROR(INDEX('Input - Supermarket'!$Y$3:$Y$200,MATCH('Calculations - Supermarket'!$C20,'Input - Supermarket'!$Z$3:$Z$200,0)),"")</f>
        <v/>
      </c>
      <c r="G20" s="20" t="str">
        <f>IFERROR(INDEX('Input - Supermarket'!R$2:R$200,MATCH('Calculations - Supermarket'!$D20,'Input - Supermarket'!$O$2:$O$200,0)),"")</f>
        <v/>
      </c>
      <c r="H20" s="20" t="str">
        <f>IFERROR(INDEX('Input - Supermarket'!S$2:S$200,MATCH('Calculations - Supermarket'!$D20,'Input - Supermarket'!$O$2:$O$200,0)),"")</f>
        <v/>
      </c>
      <c r="I20" s="27" t="str">
        <f>IFERROR(INDEX('Input - Supermarket'!T$2:T$200,MATCH('Calculations - Supermarket'!$D20,'Input - Supermarket'!$O$2:$O$200,0)),"")</f>
        <v/>
      </c>
      <c r="J20" s="27" t="str">
        <f>IFERROR(INDEX('Input - Supermarket'!U$2:U$200,MATCH('Calculations - Supermarket'!$D20,'Input - Supermarket'!$O$2:$O$200,0)),"")</f>
        <v/>
      </c>
      <c r="K20" s="20" t="str">
        <f>IFERROR(INDEX('Input - Supermarket'!V$2:V$200,MATCH('Calculations - Supermarket'!$D20,'Input - Supermarket'!$O$2:$O$200,0)),"")</f>
        <v/>
      </c>
      <c r="L20" s="20" t="str">
        <f>IFERROR(INDEX('Input - Supermarket'!W$2:W$200,MATCH('Calculations - Supermarket'!$D20,'Input - Supermarket'!$O$2:$O$200,0)),"")</f>
        <v/>
      </c>
      <c r="M20" s="21" t="str">
        <f t="shared" si="21"/>
        <v/>
      </c>
      <c r="N20" s="21" t="str">
        <f t="shared" si="6"/>
        <v/>
      </c>
      <c r="O20" s="21" t="str">
        <f t="shared" si="22"/>
        <v/>
      </c>
      <c r="P20" s="9" t="str">
        <f t="shared" si="7"/>
        <v/>
      </c>
      <c r="Q20" s="9" t="str">
        <f t="shared" si="8"/>
        <v/>
      </c>
      <c r="R20" s="8" t="str">
        <f t="shared" si="9"/>
        <v>-</v>
      </c>
      <c r="S20" s="8" t="str">
        <f t="shared" si="23"/>
        <v>-</v>
      </c>
      <c r="T20" t="str">
        <f t="shared" si="24"/>
        <v>-</v>
      </c>
      <c r="U20" t="str">
        <f t="shared" si="24"/>
        <v>-</v>
      </c>
      <c r="V20" t="str">
        <f t="shared" si="25"/>
        <v>-</v>
      </c>
      <c r="W20" t="str">
        <f t="shared" si="10"/>
        <v>-</v>
      </c>
      <c r="X20" s="10" t="str">
        <f t="shared" si="11"/>
        <v>-</v>
      </c>
      <c r="Y20" s="7" t="str">
        <f t="shared" si="26"/>
        <v/>
      </c>
      <c r="Z20" s="13" t="str">
        <f t="shared" si="27"/>
        <v>-</v>
      </c>
      <c r="AA20" t="str">
        <f t="shared" si="28"/>
        <v>-</v>
      </c>
      <c r="AB20" s="16" t="str">
        <f t="shared" si="12"/>
        <v>-</v>
      </c>
      <c r="AC20" s="16" t="str">
        <f t="shared" si="29"/>
        <v>-</v>
      </c>
      <c r="AD20" s="16" t="str">
        <f t="shared" si="30"/>
        <v>-</v>
      </c>
      <c r="AF20" s="27" t="str" cm="1">
        <f t="array" ref="AF20">IFERROR(SUM(_xlfn._xlws.FILTER($AF$32:$AF$229*$AJ$32:$AJ$229,$B$32:$B$229=D20))/SUM(_xlfn._xlws.FILTER($AJ$32:$AJ$229,$B$32:$B$229=D20)),"-")</f>
        <v>-</v>
      </c>
      <c r="AG20" s="123" t="str">
        <f t="shared" si="31"/>
        <v>-</v>
      </c>
      <c r="AH20" s="124" t="str">
        <f t="shared" si="32"/>
        <v>-</v>
      </c>
      <c r="AI20" s="9" t="str">
        <f t="shared" si="13"/>
        <v/>
      </c>
      <c r="AJ20" s="4" t="str">
        <f t="shared" si="14"/>
        <v/>
      </c>
      <c r="AP20" s="20" t="str">
        <f t="shared" si="15"/>
        <v>-</v>
      </c>
      <c r="AQ20" s="13" t="str">
        <f t="shared" si="33"/>
        <v/>
      </c>
      <c r="AR20" s="9" t="str">
        <f t="shared" si="34"/>
        <v/>
      </c>
      <c r="AS20" s="13" t="str">
        <f t="shared" si="35"/>
        <v/>
      </c>
      <c r="AT20" s="16" t="str">
        <f t="shared" si="36"/>
        <v>-</v>
      </c>
      <c r="AU20" s="16" t="str">
        <f t="shared" si="16"/>
        <v>-</v>
      </c>
      <c r="AV20" s="4" t="str">
        <f t="shared" si="37"/>
        <v>-</v>
      </c>
      <c r="AW20" s="16" t="str">
        <f t="shared" si="17"/>
        <v>-</v>
      </c>
      <c r="AX20" t="str">
        <f t="shared" si="18"/>
        <v/>
      </c>
      <c r="AY20" s="9" t="str">
        <f t="shared" si="19"/>
        <v>-</v>
      </c>
      <c r="AZ20" s="20" t="str">
        <f t="shared" si="38"/>
        <v/>
      </c>
      <c r="BA20" s="20" t="str">
        <f t="shared" si="39"/>
        <v/>
      </c>
      <c r="BB20" s="20" t="str">
        <f t="shared" si="40"/>
        <v/>
      </c>
      <c r="BC20" s="20" t="str">
        <f t="shared" si="41"/>
        <v/>
      </c>
    </row>
    <row r="21" spans="2:68" x14ac:dyDescent="0.3">
      <c r="B21" s="114" t="str">
        <f>""</f>
        <v/>
      </c>
      <c r="C21" s="4">
        <v>18</v>
      </c>
      <c r="D21" s="108" t="str">
        <f t="shared" si="20"/>
        <v/>
      </c>
      <c r="E21" s="3"/>
      <c r="F21" s="109" t="str">
        <f>IFERROR(INDEX('Input - Supermarket'!$Y$3:$Y$200,MATCH('Calculations - Supermarket'!$C21,'Input - Supermarket'!$Z$3:$Z$200,0)),"")</f>
        <v/>
      </c>
      <c r="G21" s="20" t="str">
        <f>IFERROR(INDEX('Input - Supermarket'!R$2:R$200,MATCH('Calculations - Supermarket'!$D21,'Input - Supermarket'!$O$2:$O$200,0)),"")</f>
        <v/>
      </c>
      <c r="H21" s="20" t="str">
        <f>IFERROR(INDEX('Input - Supermarket'!S$2:S$200,MATCH('Calculations - Supermarket'!$D21,'Input - Supermarket'!$O$2:$O$200,0)),"")</f>
        <v/>
      </c>
      <c r="I21" s="27" t="str">
        <f>IFERROR(INDEX('Input - Supermarket'!T$2:T$200,MATCH('Calculations - Supermarket'!$D21,'Input - Supermarket'!$O$2:$O$200,0)),"")</f>
        <v/>
      </c>
      <c r="J21" s="27" t="str">
        <f>IFERROR(INDEX('Input - Supermarket'!U$2:U$200,MATCH('Calculations - Supermarket'!$D21,'Input - Supermarket'!$O$2:$O$200,0)),"")</f>
        <v/>
      </c>
      <c r="K21" s="20" t="str">
        <f>IFERROR(INDEX('Input - Supermarket'!V$2:V$200,MATCH('Calculations - Supermarket'!$D21,'Input - Supermarket'!$O$2:$O$200,0)),"")</f>
        <v/>
      </c>
      <c r="L21" s="20" t="str">
        <f>IFERROR(INDEX('Input - Supermarket'!W$2:W$200,MATCH('Calculations - Supermarket'!$D21,'Input - Supermarket'!$O$2:$O$200,0)),"")</f>
        <v/>
      </c>
      <c r="M21" s="21" t="str">
        <f t="shared" si="21"/>
        <v/>
      </c>
      <c r="N21" s="21" t="str">
        <f t="shared" si="6"/>
        <v/>
      </c>
      <c r="O21" s="21" t="str">
        <f t="shared" si="22"/>
        <v/>
      </c>
      <c r="P21" s="9" t="str">
        <f t="shared" si="7"/>
        <v/>
      </c>
      <c r="Q21" s="9" t="str">
        <f t="shared" si="8"/>
        <v/>
      </c>
      <c r="R21" s="8" t="str">
        <f t="shared" si="9"/>
        <v>-</v>
      </c>
      <c r="S21" s="8" t="str">
        <f t="shared" si="23"/>
        <v>-</v>
      </c>
      <c r="T21" t="str">
        <f t="shared" si="24"/>
        <v>-</v>
      </c>
      <c r="U21" t="str">
        <f t="shared" si="24"/>
        <v>-</v>
      </c>
      <c r="V21" t="str">
        <f t="shared" si="25"/>
        <v>-</v>
      </c>
      <c r="W21" t="str">
        <f t="shared" si="10"/>
        <v>-</v>
      </c>
      <c r="X21" s="10" t="str">
        <f t="shared" si="11"/>
        <v>-</v>
      </c>
      <c r="Y21" s="7" t="str">
        <f t="shared" si="26"/>
        <v/>
      </c>
      <c r="Z21" s="13" t="str">
        <f t="shared" si="27"/>
        <v>-</v>
      </c>
      <c r="AA21" t="str">
        <f t="shared" si="28"/>
        <v>-</v>
      </c>
      <c r="AB21" s="16" t="str">
        <f t="shared" si="12"/>
        <v>-</v>
      </c>
      <c r="AC21" s="16" t="str">
        <f t="shared" si="29"/>
        <v>-</v>
      </c>
      <c r="AD21" s="16" t="str">
        <f t="shared" si="30"/>
        <v>-</v>
      </c>
      <c r="AF21" s="27" t="str" cm="1">
        <f t="array" ref="AF21">IFERROR(SUM(_xlfn._xlws.FILTER($AF$32:$AF$229*$AJ$32:$AJ$229,$B$32:$B$229=D21))/SUM(_xlfn._xlws.FILTER($AJ$32:$AJ$229,$B$32:$B$229=D21)),"-")</f>
        <v>-</v>
      </c>
      <c r="AG21" s="123" t="str">
        <f t="shared" si="31"/>
        <v>-</v>
      </c>
      <c r="AH21" s="124" t="str">
        <f t="shared" si="32"/>
        <v>-</v>
      </c>
      <c r="AI21" s="9" t="str">
        <f t="shared" si="13"/>
        <v/>
      </c>
      <c r="AJ21" s="4" t="str">
        <f t="shared" si="14"/>
        <v/>
      </c>
      <c r="AP21" s="20" t="str">
        <f t="shared" si="15"/>
        <v>-</v>
      </c>
      <c r="AQ21" s="13" t="str">
        <f t="shared" si="33"/>
        <v/>
      </c>
      <c r="AR21" s="9" t="str">
        <f t="shared" si="34"/>
        <v/>
      </c>
      <c r="AS21" s="13" t="str">
        <f t="shared" si="35"/>
        <v/>
      </c>
      <c r="AT21" s="16" t="str">
        <f t="shared" si="36"/>
        <v>-</v>
      </c>
      <c r="AU21" s="16" t="str">
        <f t="shared" si="16"/>
        <v>-</v>
      </c>
      <c r="AV21" s="4" t="str">
        <f t="shared" si="37"/>
        <v>-</v>
      </c>
      <c r="AW21" s="16" t="str">
        <f t="shared" si="17"/>
        <v>-</v>
      </c>
      <c r="AX21" t="str">
        <f t="shared" si="18"/>
        <v/>
      </c>
      <c r="AY21" s="9" t="str">
        <f t="shared" si="19"/>
        <v>-</v>
      </c>
      <c r="AZ21" s="20" t="str">
        <f t="shared" si="38"/>
        <v/>
      </c>
      <c r="BA21" s="20" t="str">
        <f t="shared" si="39"/>
        <v/>
      </c>
      <c r="BB21" s="20" t="str">
        <f t="shared" si="40"/>
        <v/>
      </c>
      <c r="BC21" s="20" t="str">
        <f t="shared" si="41"/>
        <v/>
      </c>
    </row>
    <row r="22" spans="2:68" x14ac:dyDescent="0.3">
      <c r="B22" s="114" t="str">
        <f>""</f>
        <v/>
      </c>
      <c r="C22" s="4">
        <v>19</v>
      </c>
      <c r="D22" s="108" t="str">
        <f t="shared" si="20"/>
        <v/>
      </c>
      <c r="E22" s="3"/>
      <c r="F22" s="109" t="str">
        <f>IFERROR(INDEX('Input - Supermarket'!$Y$3:$Y$200,MATCH('Calculations - Supermarket'!$C22,'Input - Supermarket'!$Z$3:$Z$200,0)),"")</f>
        <v/>
      </c>
      <c r="G22" s="20" t="str">
        <f>IFERROR(INDEX('Input - Supermarket'!R$2:R$200,MATCH('Calculations - Supermarket'!$D22,'Input - Supermarket'!$O$2:$O$200,0)),"")</f>
        <v/>
      </c>
      <c r="H22" s="20" t="str">
        <f>IFERROR(INDEX('Input - Supermarket'!S$2:S$200,MATCH('Calculations - Supermarket'!$D22,'Input - Supermarket'!$O$2:$O$200,0)),"")</f>
        <v/>
      </c>
      <c r="I22" s="27" t="str">
        <f>IFERROR(INDEX('Input - Supermarket'!T$2:T$200,MATCH('Calculations - Supermarket'!$D22,'Input - Supermarket'!$O$2:$O$200,0)),"")</f>
        <v/>
      </c>
      <c r="J22" s="27" t="str">
        <f>IFERROR(INDEX('Input - Supermarket'!U$2:U$200,MATCH('Calculations - Supermarket'!$D22,'Input - Supermarket'!$O$2:$O$200,0)),"")</f>
        <v/>
      </c>
      <c r="K22" s="20" t="str">
        <f>IFERROR(INDEX('Input - Supermarket'!V$2:V$200,MATCH('Calculations - Supermarket'!$D22,'Input - Supermarket'!$O$2:$O$200,0)),"")</f>
        <v/>
      </c>
      <c r="L22" s="20" t="str">
        <f>IFERROR(INDEX('Input - Supermarket'!W$2:W$200,MATCH('Calculations - Supermarket'!$D22,'Input - Supermarket'!$O$2:$O$200,0)),"")</f>
        <v/>
      </c>
      <c r="M22" s="21" t="str">
        <f t="shared" si="21"/>
        <v/>
      </c>
      <c r="N22" s="21" t="str">
        <f t="shared" si="6"/>
        <v/>
      </c>
      <c r="O22" s="21" t="str">
        <f t="shared" si="22"/>
        <v/>
      </c>
      <c r="P22" s="9" t="str">
        <f t="shared" si="7"/>
        <v/>
      </c>
      <c r="Q22" s="9" t="str">
        <f t="shared" si="8"/>
        <v/>
      </c>
      <c r="R22" s="8" t="str">
        <f t="shared" si="9"/>
        <v>-</v>
      </c>
      <c r="S22" s="8" t="str">
        <f t="shared" si="23"/>
        <v>-</v>
      </c>
      <c r="T22" t="str">
        <f t="shared" si="24"/>
        <v>-</v>
      </c>
      <c r="U22" t="str">
        <f t="shared" si="24"/>
        <v>-</v>
      </c>
      <c r="V22" t="str">
        <f t="shared" si="25"/>
        <v>-</v>
      </c>
      <c r="W22" t="str">
        <f t="shared" si="10"/>
        <v>-</v>
      </c>
      <c r="X22" s="10" t="str">
        <f t="shared" si="11"/>
        <v>-</v>
      </c>
      <c r="Y22" s="7" t="str">
        <f t="shared" si="26"/>
        <v/>
      </c>
      <c r="Z22" s="13" t="str">
        <f t="shared" si="27"/>
        <v>-</v>
      </c>
      <c r="AA22" t="str">
        <f t="shared" si="28"/>
        <v>-</v>
      </c>
      <c r="AB22" s="16" t="str">
        <f t="shared" si="12"/>
        <v>-</v>
      </c>
      <c r="AC22" s="16" t="str">
        <f t="shared" si="29"/>
        <v>-</v>
      </c>
      <c r="AD22" s="16" t="str">
        <f t="shared" si="30"/>
        <v>-</v>
      </c>
      <c r="AF22" s="27" t="str" cm="1">
        <f t="array" ref="AF22">IFERROR(SUM(_xlfn._xlws.FILTER($AF$32:$AF$229*$AJ$32:$AJ$229,$B$32:$B$229=D22))/SUM(_xlfn._xlws.FILTER($AJ$32:$AJ$229,$B$32:$B$229=D22)),"-")</f>
        <v>-</v>
      </c>
      <c r="AG22" s="123" t="str">
        <f t="shared" si="31"/>
        <v>-</v>
      </c>
      <c r="AH22" s="124" t="str">
        <f t="shared" si="32"/>
        <v>-</v>
      </c>
      <c r="AI22" s="9" t="str">
        <f t="shared" si="13"/>
        <v/>
      </c>
      <c r="AJ22" s="4" t="str">
        <f t="shared" si="14"/>
        <v/>
      </c>
      <c r="AP22" s="20" t="str">
        <f t="shared" si="15"/>
        <v>-</v>
      </c>
      <c r="AQ22" s="13" t="str">
        <f t="shared" si="33"/>
        <v/>
      </c>
      <c r="AR22" s="9" t="str">
        <f t="shared" si="34"/>
        <v/>
      </c>
      <c r="AS22" s="13" t="str">
        <f t="shared" si="35"/>
        <v/>
      </c>
      <c r="AT22" s="16" t="str">
        <f t="shared" si="36"/>
        <v>-</v>
      </c>
      <c r="AU22" s="16" t="str">
        <f t="shared" si="16"/>
        <v>-</v>
      </c>
      <c r="AV22" s="4" t="str">
        <f t="shared" si="37"/>
        <v>-</v>
      </c>
      <c r="AW22" s="16" t="str">
        <f t="shared" si="17"/>
        <v>-</v>
      </c>
      <c r="AX22" t="str">
        <f t="shared" si="18"/>
        <v/>
      </c>
      <c r="AY22" s="9" t="str">
        <f t="shared" si="19"/>
        <v>-</v>
      </c>
      <c r="AZ22" s="20" t="str">
        <f t="shared" si="38"/>
        <v/>
      </c>
      <c r="BA22" s="20" t="str">
        <f t="shared" si="39"/>
        <v/>
      </c>
      <c r="BB22" s="20" t="str">
        <f t="shared" si="40"/>
        <v/>
      </c>
      <c r="BC22" s="20" t="str">
        <f t="shared" si="41"/>
        <v/>
      </c>
    </row>
    <row r="23" spans="2:68" x14ac:dyDescent="0.3">
      <c r="B23" s="114" t="str">
        <f>""</f>
        <v/>
      </c>
      <c r="C23" s="4">
        <v>20</v>
      </c>
      <c r="D23" s="108" t="str">
        <f t="shared" si="20"/>
        <v/>
      </c>
      <c r="E23" s="3"/>
      <c r="F23" s="109" t="str">
        <f>IFERROR(INDEX('Input - Supermarket'!$Y$3:$Y$200,MATCH('Calculations - Supermarket'!$C23,'Input - Supermarket'!$Z$3:$Z$200,0)),"")</f>
        <v/>
      </c>
      <c r="G23" s="20" t="str">
        <f>IFERROR(INDEX('Input - Supermarket'!R$2:R$200,MATCH('Calculations - Supermarket'!$D23,'Input - Supermarket'!$O$2:$O$200,0)),"")</f>
        <v/>
      </c>
      <c r="H23" s="20" t="str">
        <f>IFERROR(INDEX('Input - Supermarket'!S$2:S$200,MATCH('Calculations - Supermarket'!$D23,'Input - Supermarket'!$O$2:$O$200,0)),"")</f>
        <v/>
      </c>
      <c r="I23" s="27" t="str">
        <f>IFERROR(INDEX('Input - Supermarket'!T$2:T$200,MATCH('Calculations - Supermarket'!$D23,'Input - Supermarket'!$O$2:$O$200,0)),"")</f>
        <v/>
      </c>
      <c r="J23" s="27" t="str">
        <f>IFERROR(INDEX('Input - Supermarket'!U$2:U$200,MATCH('Calculations - Supermarket'!$D23,'Input - Supermarket'!$O$2:$O$200,0)),"")</f>
        <v/>
      </c>
      <c r="K23" s="20" t="str">
        <f>IFERROR(INDEX('Input - Supermarket'!V$2:V$200,MATCH('Calculations - Supermarket'!$D23,'Input - Supermarket'!$O$2:$O$200,0)),"")</f>
        <v/>
      </c>
      <c r="L23" s="20" t="str">
        <f>IFERROR(INDEX('Input - Supermarket'!W$2:W$200,MATCH('Calculations - Supermarket'!$D23,'Input - Supermarket'!$O$2:$O$200,0)),"")</f>
        <v/>
      </c>
      <c r="M23" s="21" t="str">
        <f t="shared" si="21"/>
        <v/>
      </c>
      <c r="N23" s="21" t="str">
        <f t="shared" si="6"/>
        <v/>
      </c>
      <c r="O23" s="21" t="str">
        <f t="shared" si="22"/>
        <v/>
      </c>
      <c r="P23" s="9" t="str">
        <f t="shared" si="7"/>
        <v/>
      </c>
      <c r="Q23" s="9" t="str">
        <f t="shared" si="8"/>
        <v/>
      </c>
      <c r="R23" s="8" t="str">
        <f t="shared" si="9"/>
        <v>-</v>
      </c>
      <c r="S23" s="8" t="str">
        <f t="shared" si="23"/>
        <v>-</v>
      </c>
      <c r="T23" t="str">
        <f t="shared" si="24"/>
        <v>-</v>
      </c>
      <c r="U23" t="str">
        <f t="shared" si="24"/>
        <v>-</v>
      </c>
      <c r="V23" t="str">
        <f t="shared" si="25"/>
        <v>-</v>
      </c>
      <c r="W23" t="str">
        <f t="shared" si="10"/>
        <v>-</v>
      </c>
      <c r="X23" s="10" t="str">
        <f t="shared" si="11"/>
        <v>-</v>
      </c>
      <c r="Y23" s="7" t="str">
        <f t="shared" si="26"/>
        <v/>
      </c>
      <c r="Z23" s="13" t="str">
        <f t="shared" si="27"/>
        <v>-</v>
      </c>
      <c r="AA23" t="str">
        <f t="shared" si="28"/>
        <v>-</v>
      </c>
      <c r="AB23" s="16" t="str">
        <f t="shared" si="12"/>
        <v>-</v>
      </c>
      <c r="AC23" s="16" t="str">
        <f t="shared" si="29"/>
        <v>-</v>
      </c>
      <c r="AD23" s="16" t="str">
        <f t="shared" si="30"/>
        <v>-</v>
      </c>
      <c r="AF23" s="27" t="str" cm="1">
        <f t="array" ref="AF23">IFERROR(SUM(_xlfn._xlws.FILTER($AF$32:$AF$229*$AJ$32:$AJ$229,$B$32:$B$229=D23))/SUM(_xlfn._xlws.FILTER($AJ$32:$AJ$229,$B$32:$B$229=D23)),"-")</f>
        <v>-</v>
      </c>
      <c r="AG23" s="123" t="str">
        <f t="shared" si="31"/>
        <v>-</v>
      </c>
      <c r="AH23" s="124" t="str">
        <f t="shared" si="32"/>
        <v>-</v>
      </c>
      <c r="AI23" s="9" t="str">
        <f t="shared" si="13"/>
        <v/>
      </c>
      <c r="AJ23" s="4" t="str">
        <f t="shared" si="14"/>
        <v/>
      </c>
      <c r="AP23" s="20" t="str">
        <f t="shared" si="15"/>
        <v>-</v>
      </c>
      <c r="AQ23" s="13" t="str">
        <f t="shared" si="33"/>
        <v/>
      </c>
      <c r="AR23" s="9" t="str">
        <f t="shared" si="34"/>
        <v/>
      </c>
      <c r="AS23" s="13" t="str">
        <f t="shared" si="35"/>
        <v/>
      </c>
      <c r="AT23" s="16" t="str">
        <f t="shared" si="36"/>
        <v>-</v>
      </c>
      <c r="AU23" s="16" t="str">
        <f t="shared" si="16"/>
        <v>-</v>
      </c>
      <c r="AV23" s="4" t="str">
        <f t="shared" si="37"/>
        <v>-</v>
      </c>
      <c r="AW23" s="16" t="str">
        <f t="shared" si="17"/>
        <v>-</v>
      </c>
      <c r="AX23" t="str">
        <f t="shared" si="18"/>
        <v/>
      </c>
      <c r="AY23" s="9" t="str">
        <f t="shared" si="19"/>
        <v>-</v>
      </c>
      <c r="AZ23" s="20" t="str">
        <f t="shared" si="38"/>
        <v/>
      </c>
      <c r="BA23" s="20" t="str">
        <f t="shared" si="39"/>
        <v/>
      </c>
      <c r="BB23" s="20" t="str">
        <f t="shared" si="40"/>
        <v/>
      </c>
      <c r="BC23" s="20" t="str">
        <f t="shared" si="41"/>
        <v/>
      </c>
    </row>
    <row r="24" spans="2:68" x14ac:dyDescent="0.3">
      <c r="D24" s="108" t="str">
        <f t="shared" si="20"/>
        <v>SupermarketTOTAL CATEGORY</v>
      </c>
      <c r="E24" s="109" t="str">
        <f>E4</f>
        <v>Supermarket</v>
      </c>
      <c r="F24" s="3" t="s">
        <v>43</v>
      </c>
      <c r="G24" s="20">
        <f>SUM(G4:G23)</f>
        <v>38700922.159999996</v>
      </c>
      <c r="H24" s="20">
        <f>SUM(H4:H23)</f>
        <v>7900102.0359999994</v>
      </c>
      <c r="I24" s="27" t="str">
        <f>IFERROR(INDEX('Input - Supermarket'!T$2:T$200,MATCH('Calculations - Supermarket'!$D24,'Input - Supermarket'!$O$2:$O$200,0)),"")</f>
        <v/>
      </c>
      <c r="J24" s="27">
        <f>'Input - Supermarket'!M3</f>
        <v>11.16717485</v>
      </c>
      <c r="K24" s="20">
        <f t="shared" ref="K24:L24" si="42">SUM(K4:K23)</f>
        <v>114905536.93999998</v>
      </c>
      <c r="L24" s="20">
        <f t="shared" si="42"/>
        <v>24593494.265999999</v>
      </c>
      <c r="M24" s="21">
        <f t="shared" si="21"/>
        <v>4.8987876338360747</v>
      </c>
      <c r="N24" s="21">
        <f t="shared" si="6"/>
        <v>4.6721923975990078</v>
      </c>
      <c r="O24" s="12">
        <f>IFERROR((M24/(M24-J24)*5),0)</f>
        <v>-3.9075343185595299</v>
      </c>
      <c r="P24" s="9">
        <f>IFERROR(G24/SUM(G$4:G$23),"")</f>
        <v>1</v>
      </c>
      <c r="Q24" s="8">
        <f t="shared" ref="Q24" si="43">SUM(Q4:Q23)</f>
        <v>1</v>
      </c>
      <c r="R24" s="20"/>
      <c r="S24" s="20"/>
      <c r="T24" s="20">
        <f t="shared" ref="T24:X24" si="44">SUM(T4:T23)</f>
        <v>27025836.912</v>
      </c>
      <c r="U24" s="20">
        <f t="shared" si="44"/>
        <v>8107751.0735999998</v>
      </c>
      <c r="V24" s="8"/>
      <c r="W24" s="20"/>
      <c r="X24" s="20">
        <f t="shared" si="44"/>
        <v>62645246.355476819</v>
      </c>
      <c r="Y24" s="20"/>
      <c r="AA24" s="20">
        <f t="shared" ref="AA24:AB24" si="45">SUM(AA4:AA23)</f>
        <v>38700922.159999996</v>
      </c>
      <c r="AB24" s="20">
        <f t="shared" si="45"/>
        <v>7903098.7313619358</v>
      </c>
      <c r="AC24" s="20"/>
      <c r="AD24" s="20"/>
      <c r="AF24" s="27">
        <f>AT24/AU24</f>
        <v>4.896930112542158</v>
      </c>
      <c r="AJ24" s="20">
        <f t="shared" ref="AJ24" si="46">SUM(AJ4:AJ23)</f>
        <v>7900102.0360000003</v>
      </c>
      <c r="AP24" s="15">
        <f>SUM(AP4:AP23)</f>
        <v>62645246.355476826</v>
      </c>
      <c r="AQ24" s="13">
        <f t="shared" si="33"/>
        <v>1</v>
      </c>
      <c r="AR24" s="9">
        <f t="shared" si="34"/>
        <v>1</v>
      </c>
      <c r="AS24" s="13">
        <f t="shared" si="35"/>
        <v>0</v>
      </c>
      <c r="AT24" s="15">
        <f t="shared" ref="AT24" si="47">SUM(AT4:AT23)</f>
        <v>38700922.159999996</v>
      </c>
      <c r="AU24" s="15">
        <f>SUM(AU4:AU23)</f>
        <v>7903098.7313619368</v>
      </c>
      <c r="AZ24" s="20">
        <f t="shared" si="38"/>
        <v>122.8016353012603</v>
      </c>
      <c r="BA24" s="20">
        <f t="shared" si="39"/>
        <v>86.34370885718711</v>
      </c>
      <c r="BB24" s="20">
        <f t="shared" si="40"/>
        <v>122.84821686302601</v>
      </c>
      <c r="BC24" s="20">
        <f t="shared" si="41"/>
        <v>86.376461066042864</v>
      </c>
    </row>
    <row r="27" spans="2:68" x14ac:dyDescent="0.3">
      <c r="O27">
        <v>-1.91</v>
      </c>
    </row>
    <row r="29" spans="2:68" x14ac:dyDescent="0.3">
      <c r="B29" t="str">
        <f>"L2_"&amp;B31</f>
        <v>L2_Key_Brand</v>
      </c>
      <c r="C29" t="str">
        <f t="shared" ref="C29:AW29" si="48">"L2_"&amp;C31</f>
        <v>L2_Key_Input</v>
      </c>
      <c r="D29" t="str">
        <f t="shared" si="48"/>
        <v>L2_Channel</v>
      </c>
      <c r="E29" t="str">
        <f t="shared" si="48"/>
        <v>L2_Brand</v>
      </c>
      <c r="F29" t="str">
        <f t="shared" si="48"/>
        <v>L2_PPG</v>
      </c>
      <c r="G29" t="str">
        <f t="shared" si="48"/>
        <v>L2_RSV</v>
      </c>
      <c r="H29" t="str">
        <f t="shared" si="48"/>
        <v>L2_Vol</v>
      </c>
      <c r="I29" t="str">
        <f t="shared" si="48"/>
        <v>L2_CSF</v>
      </c>
      <c r="J29" t="str">
        <f t="shared" si="48"/>
        <v>L2_MCV</v>
      </c>
      <c r="K29" t="str">
        <f t="shared" si="48"/>
        <v>L2_RSV_Total</v>
      </c>
      <c r="L29" t="str">
        <f t="shared" si="48"/>
        <v>L2_Volume_Total</v>
      </c>
      <c r="M29" t="str">
        <f t="shared" si="48"/>
        <v>L2_Current Price</v>
      </c>
      <c r="N29" t="str">
        <f t="shared" si="48"/>
        <v>L2_Price_FP</v>
      </c>
      <c r="O29" t="str">
        <f t="shared" si="48"/>
        <v>L2_Elasticity</v>
      </c>
      <c r="P29" t="str">
        <f t="shared" si="48"/>
        <v>L2_Val Share</v>
      </c>
      <c r="Q29" t="str">
        <f t="shared" si="48"/>
        <v>L2_Vol. Share</v>
      </c>
      <c r="R29" t="str">
        <f t="shared" si="48"/>
        <v>L2_NSV_to_RSV_o</v>
      </c>
      <c r="S29" t="str">
        <f t="shared" si="48"/>
        <v>L2_NSV_to_GM_o</v>
      </c>
      <c r="T29" t="str">
        <f t="shared" si="48"/>
        <v>L2_NSV_o</v>
      </c>
      <c r="U29" t="str">
        <f t="shared" si="48"/>
        <v>L2_GM_o</v>
      </c>
      <c r="V29" t="str">
        <f t="shared" si="48"/>
        <v>L2_Fixed Cost</v>
      </c>
      <c r="W29" t="str">
        <f t="shared" si="48"/>
        <v>L2_Fixed Cost per Unit</v>
      </c>
      <c r="X29" t="str">
        <f t="shared" si="48"/>
        <v>L2_TPV</v>
      </c>
      <c r="Y29" t="str">
        <f t="shared" si="48"/>
        <v>L2_PVS</v>
      </c>
      <c r="Z29" t="str">
        <f t="shared" si="48"/>
        <v>L2_MS Headroom</v>
      </c>
      <c r="AA29" t="str">
        <f t="shared" si="48"/>
        <v>L2_New RSV</v>
      </c>
      <c r="AB29" t="str">
        <f t="shared" si="48"/>
        <v>L2_Vol_i</v>
      </c>
      <c r="AC29" t="str">
        <f t="shared" si="48"/>
        <v>L2_NSV_i</v>
      </c>
      <c r="AD29" t="str">
        <f t="shared" si="48"/>
        <v>L2_GM</v>
      </c>
      <c r="AF29" t="str">
        <f t="shared" si="48"/>
        <v>L2_New Price</v>
      </c>
      <c r="AG29" t="str">
        <f t="shared" si="48"/>
        <v>L2_NSV_to_RSV</v>
      </c>
      <c r="AH29" t="str">
        <f t="shared" si="48"/>
        <v>L2_NSV_to_GM</v>
      </c>
      <c r="AI29" t="str">
        <f t="shared" si="48"/>
        <v>L2_Price_Chng</v>
      </c>
      <c r="AJ29" t="str">
        <f t="shared" si="48"/>
        <v>L2_Revised_New_Vol</v>
      </c>
      <c r="AK29" t="str">
        <f t="shared" si="48"/>
        <v>L2_New Category Price</v>
      </c>
      <c r="AL29" t="str">
        <f t="shared" si="48"/>
        <v>L2_Chg Category Price</v>
      </c>
      <c r="AM29" t="str">
        <f t="shared" si="48"/>
        <v>L2_Chng in Cat Vol.</v>
      </c>
      <c r="AN29" t="str">
        <f t="shared" si="48"/>
        <v>L2_New Cat Vol</v>
      </c>
      <c r="AO29" t="str">
        <f t="shared" si="48"/>
        <v>L2_New Cat Val</v>
      </c>
      <c r="AP29" t="str">
        <f t="shared" si="48"/>
        <v>L2_TPV_n</v>
      </c>
      <c r="AQ29" t="str">
        <f t="shared" si="48"/>
        <v>L2_TPV_Share</v>
      </c>
      <c r="AR29" t="str">
        <f t="shared" si="48"/>
        <v>L2_PVS_N</v>
      </c>
      <c r="AS29" t="str">
        <f t="shared" si="48"/>
        <v>L2_MSP_N</v>
      </c>
      <c r="AT29" t="str">
        <f t="shared" si="48"/>
        <v>L2_RSV_N</v>
      </c>
      <c r="AU29" t="str">
        <f t="shared" si="48"/>
        <v>L2_New Vol</v>
      </c>
      <c r="AV29" t="str">
        <f t="shared" si="48"/>
        <v>L2_New NSV</v>
      </c>
      <c r="AW29" t="str">
        <f t="shared" si="48"/>
        <v>L2_New GP</v>
      </c>
      <c r="AX29" s="108" t="str">
        <f t="shared" ref="AX29:AZ29" si="49">"L3_"&amp;AX31</f>
        <v>L3_Vol_Contri</v>
      </c>
      <c r="AY29" s="108" t="str">
        <f t="shared" si="49"/>
        <v>L3_Updated_Vol</v>
      </c>
      <c r="AZ29" s="108" t="str">
        <f t="shared" si="49"/>
        <v>L3_Sim. Vol Share</v>
      </c>
    </row>
    <row r="30" spans="2:68" x14ac:dyDescent="0.3">
      <c r="B30" s="26" t="str">
        <f>IFERROR(D30&amp;E30,"")</f>
        <v>SupermarketTOTAL CATEGORY</v>
      </c>
      <c r="D30" s="109" t="str">
        <f>D32</f>
        <v>Supermarket</v>
      </c>
      <c r="E30" s="3" t="s">
        <v>43</v>
      </c>
      <c r="G30" s="15">
        <f>SUM(G32:G229)</f>
        <v>38700922.160000004</v>
      </c>
      <c r="H30" s="15">
        <f>SUM(H32:H229)</f>
        <v>7900102.0360000003</v>
      </c>
      <c r="J30" s="29">
        <f>'Input - Supermarket'!M3</f>
        <v>11.16717485</v>
      </c>
      <c r="K30" s="15">
        <f t="shared" ref="K30:L30" si="50">SUM(K32:K229)</f>
        <v>114905536.94</v>
      </c>
      <c r="L30" s="15">
        <f t="shared" si="50"/>
        <v>24593494.265999999</v>
      </c>
      <c r="M30" s="14">
        <f>IFERROR(G30/H30,"")</f>
        <v>4.8987876338360756</v>
      </c>
      <c r="N30" s="14">
        <f>IFERROR(K30/L30,"")</f>
        <v>4.6721923975990087</v>
      </c>
      <c r="O30" s="12">
        <f>IFERROR((M30/(M30-J30)*5),0)</f>
        <v>-3.9075343185595313</v>
      </c>
      <c r="P30" s="19">
        <f>SUM(P32:P229)</f>
        <v>0.99999999999999989</v>
      </c>
      <c r="X30" s="12">
        <f>SUM(X32:X229)</f>
        <v>62655061.551061668</v>
      </c>
      <c r="AP30" s="15">
        <f>SUM(AP32:AP229)</f>
        <v>62655061.551061668</v>
      </c>
      <c r="AX30" s="108"/>
      <c r="AY30" s="108"/>
      <c r="AZ30" s="108"/>
      <c r="BE30" s="4"/>
    </row>
    <row r="31" spans="2:68" x14ac:dyDescent="0.3">
      <c r="B31" s="4" t="s">
        <v>42</v>
      </c>
      <c r="C31" s="4" t="s">
        <v>41</v>
      </c>
      <c r="D31" s="4" t="s">
        <v>0</v>
      </c>
      <c r="E31" s="4" t="s">
        <v>1</v>
      </c>
      <c r="F31" s="4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5" t="s">
        <v>10</v>
      </c>
      <c r="N31" s="5" t="s">
        <v>12</v>
      </c>
      <c r="O31" s="5" t="s">
        <v>11</v>
      </c>
      <c r="P31" s="5" t="s">
        <v>20</v>
      </c>
      <c r="Q31" s="5" t="s">
        <v>19</v>
      </c>
      <c r="R31" s="5" t="s">
        <v>27</v>
      </c>
      <c r="S31" s="5" t="s">
        <v>28</v>
      </c>
      <c r="T31" s="9" t="s">
        <v>29</v>
      </c>
      <c r="U31" s="9" t="s">
        <v>30</v>
      </c>
      <c r="V31" s="9" t="s">
        <v>47</v>
      </c>
      <c r="W31" s="9" t="s">
        <v>48</v>
      </c>
      <c r="X31" s="5" t="s">
        <v>22</v>
      </c>
      <c r="Y31" s="5" t="s">
        <v>23</v>
      </c>
      <c r="Z31" s="5" t="s">
        <v>24</v>
      </c>
      <c r="AA31" s="5" t="s">
        <v>25</v>
      </c>
      <c r="AB31" s="5" t="s">
        <v>26</v>
      </c>
      <c r="AC31" s="5" t="s">
        <v>21</v>
      </c>
      <c r="AD31" s="5" t="s">
        <v>18</v>
      </c>
      <c r="AE31" s="5"/>
      <c r="AF31" s="5" t="s">
        <v>13</v>
      </c>
      <c r="AG31" s="5" t="s">
        <v>16</v>
      </c>
      <c r="AH31" s="5" t="s">
        <v>17</v>
      </c>
      <c r="AI31" s="5" t="s">
        <v>14</v>
      </c>
      <c r="AJ31" s="5" t="s">
        <v>15</v>
      </c>
      <c r="AK31" s="17" t="s">
        <v>31</v>
      </c>
      <c r="AL31" s="17" t="s">
        <v>83</v>
      </c>
      <c r="AM31" s="18" t="s">
        <v>32</v>
      </c>
      <c r="AN31" s="18" t="s">
        <v>34</v>
      </c>
      <c r="AO31" s="18" t="s">
        <v>35</v>
      </c>
      <c r="AP31" s="4" t="s">
        <v>36</v>
      </c>
      <c r="AQ31" s="4" t="s">
        <v>37</v>
      </c>
      <c r="AR31" s="4" t="s">
        <v>44</v>
      </c>
      <c r="AS31" s="4" t="s">
        <v>45</v>
      </c>
      <c r="AT31" s="4" t="s">
        <v>46</v>
      </c>
      <c r="AU31" s="4" t="s">
        <v>38</v>
      </c>
      <c r="AV31" s="4" t="s">
        <v>39</v>
      </c>
      <c r="AW31" s="4" t="s">
        <v>40</v>
      </c>
      <c r="AX31" s="119" t="s">
        <v>102</v>
      </c>
      <c r="AY31" s="120" t="s">
        <v>103</v>
      </c>
      <c r="AZ31" s="120" t="s">
        <v>104</v>
      </c>
    </row>
    <row r="32" spans="2:68" x14ac:dyDescent="0.3">
      <c r="B32" s="108" t="str">
        <f>IFERROR(D32&amp;E32,"")</f>
        <v>SupermarketDADDIES</v>
      </c>
      <c r="C32" s="108" t="str">
        <f t="shared" ref="C32:C63" si="51">IFERROR(D32&amp;E32&amp;F32,"")</f>
        <v>SupermarketDADDIESMedium</v>
      </c>
      <c r="D32" s="3" t="s">
        <v>105</v>
      </c>
      <c r="E32" s="3" t="s">
        <v>106</v>
      </c>
      <c r="F32" s="3" t="s">
        <v>111</v>
      </c>
      <c r="G32" s="20">
        <f>IFERROR(INDEX('Input - Supermarket'!F$2:F$200,MATCH('Calculations - Supermarket'!$C32,'Input - Supermarket'!$B$2:$B$200,0)),"")</f>
        <v>3927345.46</v>
      </c>
      <c r="H32" s="20">
        <f>IFERROR(INDEX('Input - Supermarket'!G$2:G$200,MATCH('Calculations - Supermarket'!$C32,'Input - Supermarket'!$B$2:$B$200,0)),"")</f>
        <v>926174.4</v>
      </c>
      <c r="I32" s="21">
        <f>IFERROR(INDEX('Input - Supermarket'!H$2:H$200,MATCH('Calculations - Supermarket'!$C32,'Input - Supermarket'!$B$2:$B$200,0)),"")</f>
        <v>2.1161777971043398</v>
      </c>
      <c r="J32" s="21">
        <f>IFERROR(INDEX('Input - Supermarket'!I$2:I$200,MATCH('Calculations - Supermarket'!$C32,'Input - Supermarket'!$B$2:$B$200,0)),"")</f>
        <v>8.9734301272098804</v>
      </c>
      <c r="K32" s="20">
        <f>IFERROR(INDEX('Input - Supermarket'!J$2:J$200,MATCH('Calculations - Supermarket'!$C32,'Input - Supermarket'!$B$2:$B$200,0)),"")</f>
        <v>9307987.2300000004</v>
      </c>
      <c r="L32" s="20">
        <f>IFERROR(INDEX('Input - Supermarket'!K$2:K$200,MATCH('Calculations - Supermarket'!$C32,'Input - Supermarket'!$B$2:$B$200,0)),"")</f>
        <v>2305904.7999999998</v>
      </c>
      <c r="M32" s="21">
        <f>IFERROR(G32/H32,"")</f>
        <v>4.2403951782731202</v>
      </c>
      <c r="N32" s="21">
        <f t="shared" ref="N32:N63" si="52">IFERROR(K32/L32,"")</f>
        <v>4.0365878201042822</v>
      </c>
      <c r="O32" s="21">
        <f>IFERROR((M32/(M32-J32)*5),0)</f>
        <v>-4.4795730688885911</v>
      </c>
      <c r="P32" s="9">
        <f t="shared" ref="P32:P63" si="53">G32/SUM(G$32:G$229)</f>
        <v>0.10147937673844823</v>
      </c>
      <c r="Q32" s="9">
        <f t="shared" ref="Q32:Q63" si="54">H32/SUM(H$32:H$229)</f>
        <v>0.11723575161175298</v>
      </c>
      <c r="R32" s="22">
        <f>IFERROR(INDEX(Supermarket!$Q$11:$Q$170,MATCH('Calculations - Supermarket'!$C32,Supermarket!$M$11:$M$170,0)),"")</f>
        <v>0.8</v>
      </c>
      <c r="S32" s="22">
        <f>IFERROR(INDEX(Supermarket!$R$11:$R$170,MATCH('Calculations - Supermarket'!$C32,Supermarket!$M$11:$M$170,0)),"")</f>
        <v>0.3</v>
      </c>
      <c r="T32" s="16">
        <f t="shared" ref="T32:T63" si="55">R32*G32</f>
        <v>3141876.3680000002</v>
      </c>
      <c r="U32" s="16">
        <f>S32*T32</f>
        <v>942562.91040000005</v>
      </c>
      <c r="V32" s="16">
        <f>T32-U32</f>
        <v>2199313.4576000003</v>
      </c>
      <c r="W32" s="10">
        <f t="shared" ref="W32:W63" si="56">IFERROR(V32/H32,"-")</f>
        <v>2.3746212998329477</v>
      </c>
      <c r="X32" s="10">
        <f t="shared" ref="X32:X63" si="57">IFERROR((J32+M32)*H32*0.5,"-")</f>
        <v>6119153.3620052673</v>
      </c>
      <c r="Y32" s="13">
        <f>IFERROR(X32/$X$30,"-")</f>
        <v>9.7664150517486489E-2</v>
      </c>
      <c r="Z32" s="9">
        <f t="shared" ref="Z32:Z63" si="58">IFERROR(Y32-P32,"-")</f>
        <v>-3.8152262209617399E-3</v>
      </c>
      <c r="AA32" s="16">
        <f>IFERROR(Y32*$G$30,"-")</f>
        <v>3779692.686999769</v>
      </c>
      <c r="AB32" s="16">
        <f t="shared" ref="AB32:AB63" si="59">IFERROR(AA32/M32,"-")</f>
        <v>891353.8781399685</v>
      </c>
      <c r="AC32" s="16">
        <f t="shared" ref="AC32:AC63" si="60">IFERROR(R32*AA32,"-")</f>
        <v>3023754.1495998153</v>
      </c>
      <c r="AD32" s="16">
        <f>IFERROR(AC32-(W32)*AB32,"-")</f>
        <v>907126.24487994425</v>
      </c>
      <c r="AE32" s="16"/>
      <c r="AF32" s="31">
        <f>IFERROR(INDEX(Supermarket!$P$11:$P$170,MATCH('Calculations - Supermarket'!C32,Supermarket!$M$11:$M$170,0)),"")</f>
        <v>4.2403951782731202</v>
      </c>
      <c r="AG32" s="23">
        <f>R32</f>
        <v>0.8</v>
      </c>
      <c r="AH32" s="23">
        <f>S32</f>
        <v>0.3</v>
      </c>
      <c r="AI32" s="9">
        <f t="shared" ref="AI32:AI63" si="61">IFERROR((AF32-M32)/M32,"")</f>
        <v>0</v>
      </c>
      <c r="AJ32" s="4">
        <f t="shared" ref="AJ32:AJ63" si="62">IFERROR(MAX((1+AI32*O32/5)*H32,0),"")</f>
        <v>926174.4</v>
      </c>
      <c r="AK32" s="18">
        <f>SUMPRODUCT(AF$32:AF$229,AJ$32:AJ$229)/SUM(AJ$32:AJ$229)</f>
        <v>4.8987876338360756</v>
      </c>
      <c r="AL32" s="24">
        <f>$AK32/$M$30-1</f>
        <v>0</v>
      </c>
      <c r="AM32" s="24">
        <f>$AL32*$O$30/5</f>
        <v>0</v>
      </c>
      <c r="AN32" s="25">
        <f>(1+$AM32)*$H$30</f>
        <v>7900102.0360000003</v>
      </c>
      <c r="AO32" s="25">
        <f>AN32*AK32</f>
        <v>38700922.160000004</v>
      </c>
      <c r="AP32" s="20">
        <f t="shared" ref="AP32:AP63" si="63">IFERROR(0.5*(J32+AF32)*AJ32,"-")</f>
        <v>6119153.3620052673</v>
      </c>
      <c r="AQ32" s="13">
        <f>IFERROR(AP32/AP$30,"-")</f>
        <v>9.7664150517486489E-2</v>
      </c>
      <c r="AR32" s="13">
        <f>IFERROR(AQ32*$P$30,"-")</f>
        <v>9.7664150517486475E-2</v>
      </c>
      <c r="AS32" s="13">
        <f t="shared" ref="AS32:AS63" si="64">IFERROR(AR32-P32,"-")</f>
        <v>-3.8152262209617538E-3</v>
      </c>
      <c r="AT32" s="16">
        <f>IFERROR(AR32*AO$32,"-")</f>
        <v>3779692.686999768</v>
      </c>
      <c r="AU32" s="16">
        <f t="shared" ref="AU32:AU63" si="65">IFERROR(AT32/AF32,"-")</f>
        <v>891353.87813996838</v>
      </c>
      <c r="AV32" s="16">
        <f t="shared" ref="AV32:AV63" si="66">IFERROR(AG32*AT32,"-")</f>
        <v>3023754.1495998148</v>
      </c>
      <c r="AW32" s="16">
        <f>IFERROR(AV32-(W32*AU32),"-")</f>
        <v>907126.24487994425</v>
      </c>
      <c r="AX32" s="13">
        <f>IFERROR(AU32/SUMIFS($AU$32:$AU$229,$B$32:$B$229,$B32),"-")</f>
        <v>0.9821984605465629</v>
      </c>
      <c r="AY32" s="10">
        <f>IFERROR(AX32*INDEX($AU$4:$AU$24,MATCH($B32,$D$4:$D$24,0)),"-")</f>
        <v>891506.8418093106</v>
      </c>
      <c r="AZ32" s="9">
        <f>IFERROR(AY32/SUM($AY$32:$AY$229),"-")</f>
        <v>0.11280472028921215</v>
      </c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</row>
    <row r="33" spans="2:68" x14ac:dyDescent="0.3">
      <c r="B33" s="108" t="str">
        <f t="shared" ref="B33:B96" si="67">IFERROR(D33&amp;E33,"")</f>
        <v>SupermarketDADDIES</v>
      </c>
      <c r="C33" s="108" t="str">
        <f t="shared" si="51"/>
        <v>SupermarketDADDIESLarge</v>
      </c>
      <c r="D33" s="3" t="s">
        <v>105</v>
      </c>
      <c r="E33" s="3" t="s">
        <v>106</v>
      </c>
      <c r="F33" s="3" t="s">
        <v>112</v>
      </c>
      <c r="G33" s="20">
        <f>IFERROR(INDEX('Input - Supermarket'!F$2:F$200,MATCH('Calculations - Supermarket'!$C33,'Input - Supermarket'!$B$2:$B$200,0)),"")</f>
        <v>61617.49</v>
      </c>
      <c r="H33" s="20">
        <f>IFERROR(INDEX('Input - Supermarket'!G$2:G$200,MATCH('Calculations - Supermarket'!$C33,'Input - Supermarket'!$B$2:$B$200,0)),"")</f>
        <v>16888.564999999999</v>
      </c>
      <c r="I33" s="21">
        <f>IFERROR(INDEX('Input - Supermarket'!H$2:H$200,MATCH('Calculations - Supermarket'!$C33,'Input - Supermarket'!$B$2:$B$200,0)),"")</f>
        <v>2.0972806826805499</v>
      </c>
      <c r="J33" s="21">
        <f>IFERROR(INDEX('Input - Supermarket'!I$2:I$200,MATCH('Calculations - Supermarket'!$C33,'Input - Supermarket'!$B$2:$B$200,0)),"")</f>
        <v>7.6518740042307796</v>
      </c>
      <c r="K33" s="20">
        <f>IFERROR(INDEX('Input - Supermarket'!J$2:J$200,MATCH('Calculations - Supermarket'!$C33,'Input - Supermarket'!$B$2:$B$200,0)),"")</f>
        <v>2353181.0099999998</v>
      </c>
      <c r="L33" s="20">
        <f>IFERROR(INDEX('Input - Supermarket'!K$2:K$200,MATCH('Calculations - Supermarket'!$C33,'Input - Supermarket'!$B$2:$B$200,0)),"")</f>
        <v>821092.79</v>
      </c>
      <c r="M33" s="21">
        <f t="shared" ref="M33:M96" si="68">IFERROR(G33/H33,"")</f>
        <v>3.6484739822477517</v>
      </c>
      <c r="N33" s="21">
        <f t="shared" si="52"/>
        <v>2.8659136198236497</v>
      </c>
      <c r="O33" s="21">
        <f t="shared" ref="O33:O96" si="69">IFERROR((M33/(M33-J33)*5),0)</f>
        <v>-4.5567192414118676</v>
      </c>
      <c r="P33" s="9">
        <f t="shared" si="53"/>
        <v>1.5921452658222651E-3</v>
      </c>
      <c r="Q33" s="9">
        <f t="shared" si="54"/>
        <v>2.1377654267046731E-3</v>
      </c>
      <c r="R33" s="22">
        <f>IFERROR(INDEX(Supermarket!$Q$11:$Q$170,MATCH('Calculations - Supermarket'!$C33,Supermarket!$M$11:$M$170,0)),"")</f>
        <v>0.8</v>
      </c>
      <c r="S33" s="22">
        <f>IFERROR(INDEX(Supermarket!$R$11:$R$170,MATCH('Calculations - Supermarket'!$C33,Supermarket!$M$11:$M$170,0)),"")</f>
        <v>0.3</v>
      </c>
      <c r="T33" s="16">
        <f t="shared" si="55"/>
        <v>49293.991999999998</v>
      </c>
      <c r="U33" s="16">
        <f t="shared" ref="U33:U96" si="70">S33*T33</f>
        <v>14788.1976</v>
      </c>
      <c r="V33" s="16">
        <f t="shared" ref="V33:V96" si="71">T33-U33</f>
        <v>34505.794399999999</v>
      </c>
      <c r="W33" s="10">
        <f t="shared" si="56"/>
        <v>2.0431454300587411</v>
      </c>
      <c r="X33" s="10">
        <f t="shared" si="57"/>
        <v>95423.330746130887</v>
      </c>
      <c r="Y33" s="13">
        <f t="shared" ref="Y33:Y96" si="72">IFERROR(X33/$X$30,"-")</f>
        <v>1.5229947650496557E-3</v>
      </c>
      <c r="Z33" s="9">
        <f t="shared" si="58"/>
        <v>-6.9150500772609388E-5</v>
      </c>
      <c r="AA33" s="16">
        <f t="shared" ref="AA33:AA96" si="73">IFERROR(Y33*$G$30,"-")</f>
        <v>58941.30185227422</v>
      </c>
      <c r="AB33" s="16">
        <f t="shared" si="59"/>
        <v>16155.056097169059</v>
      </c>
      <c r="AC33" s="16">
        <f t="shared" si="60"/>
        <v>47153.041481819382</v>
      </c>
      <c r="AD33" s="16">
        <f t="shared" ref="AD33:AD96" si="74">IFERROR(AC33-(W33)*AB33,"-")</f>
        <v>14145.912444545815</v>
      </c>
      <c r="AE33" s="16"/>
      <c r="AF33" s="31">
        <f>IFERROR(INDEX(Supermarket!$P$11:$P$170,MATCH('Calculations - Supermarket'!C33,Supermarket!$M$11:$M$170,0)),"")</f>
        <v>3.6484739822477517</v>
      </c>
      <c r="AG33" s="23">
        <f t="shared" ref="AG33:AG96" si="75">R33</f>
        <v>0.8</v>
      </c>
      <c r="AH33" s="23">
        <f t="shared" ref="AH33:AH96" si="76">S33</f>
        <v>0.3</v>
      </c>
      <c r="AI33" s="9">
        <f t="shared" si="61"/>
        <v>0</v>
      </c>
      <c r="AJ33" s="4">
        <f t="shared" si="62"/>
        <v>16888.564999999999</v>
      </c>
      <c r="AK33" s="4"/>
      <c r="AL33" s="4"/>
      <c r="AM33" s="4"/>
      <c r="AN33" s="4"/>
      <c r="AO33" s="4"/>
      <c r="AP33" s="20">
        <f t="shared" si="63"/>
        <v>95423.330746130887</v>
      </c>
      <c r="AQ33" s="13">
        <f t="shared" ref="AQ33:AQ96" si="77">IFERROR(AP33/AP$30,"-")</f>
        <v>1.5229947650496557E-3</v>
      </c>
      <c r="AR33" s="13">
        <f t="shared" ref="AR33:AR96" si="78">IFERROR(AQ33*$P$30,"-")</f>
        <v>1.5229947650496555E-3</v>
      </c>
      <c r="AS33" s="13">
        <f t="shared" si="64"/>
        <v>-6.9150500772609605E-5</v>
      </c>
      <c r="AT33" s="16">
        <f t="shared" ref="AT33:AT96" si="79">IFERROR(AR33*AO$32,"-")</f>
        <v>58941.301852274213</v>
      </c>
      <c r="AU33" s="16">
        <f t="shared" si="65"/>
        <v>16155.056097169057</v>
      </c>
      <c r="AV33" s="16">
        <f t="shared" si="66"/>
        <v>47153.041481819375</v>
      </c>
      <c r="AW33" s="16">
        <f t="shared" ref="AW33:AW96" si="80">IFERROR(AV33-(W33*AU33),"-")</f>
        <v>14145.912444545815</v>
      </c>
      <c r="AX33" s="13">
        <f t="shared" ref="AX33:AX96" si="81">IFERROR(AU33/SUMIFS($AU$32:$AU$229,$B$32:$B$229,$B33),"-")</f>
        <v>1.7801539453437102E-2</v>
      </c>
      <c r="AY33" s="10">
        <f t="shared" ref="AY33:AY96" si="82">IFERROR(AX33*INDEX($AU$4:$AU$24,MATCH($B33,$D$4:$D$24,0)),"-")</f>
        <v>16157.828437896638</v>
      </c>
      <c r="AZ33" s="9">
        <f t="shared" ref="AZ33:AZ96" si="83">IFERROR(AY33/SUM($AY$32:$AY$229),"-")</f>
        <v>2.0444927979676357E-3</v>
      </c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</row>
    <row r="34" spans="2:68" x14ac:dyDescent="0.3">
      <c r="B34" s="108" t="str">
        <f t="shared" si="67"/>
        <v>SupermarketHP</v>
      </c>
      <c r="C34" s="108" t="str">
        <f t="shared" si="51"/>
        <v>SupermarketHPMedium</v>
      </c>
      <c r="D34" s="3" t="s">
        <v>105</v>
      </c>
      <c r="E34" s="3" t="s">
        <v>107</v>
      </c>
      <c r="F34" s="3" t="s">
        <v>111</v>
      </c>
      <c r="G34" s="20">
        <f>IFERROR(INDEX('Input - Supermarket'!F$2:F$200,MATCH('Calculations - Supermarket'!$C34,'Input - Supermarket'!$B$2:$B$200,0)),"")</f>
        <v>17511425.59</v>
      </c>
      <c r="H34" s="20">
        <f>IFERROR(INDEX('Input - Supermarket'!G$2:G$200,MATCH('Calculations - Supermarket'!$C34,'Input - Supermarket'!$B$2:$B$200,0)),"")</f>
        <v>2931790.1850000001</v>
      </c>
      <c r="I34" s="21">
        <f>IFERROR(INDEX('Input - Supermarket'!H$2:H$200,MATCH('Calculations - Supermarket'!$C34,'Input - Supermarket'!$B$2:$B$200,0)),"")</f>
        <v>2.3451475410617699</v>
      </c>
      <c r="J34" s="21">
        <f>IFERROR(INDEX('Input - Supermarket'!I$2:I$200,MATCH('Calculations - Supermarket'!$C34,'Input - Supermarket'!$B$2:$B$200,0)),"")</f>
        <v>14.0074405300169</v>
      </c>
      <c r="K34" s="20">
        <f>IFERROR(INDEX('Input - Supermarket'!J$2:J$200,MATCH('Calculations - Supermarket'!$C34,'Input - Supermarket'!$B$2:$B$200,0)),"")</f>
        <v>50565722.43</v>
      </c>
      <c r="L34" s="20">
        <f>IFERROR(INDEX('Input - Supermarket'!K$2:K$200,MATCH('Calculations - Supermarket'!$C34,'Input - Supermarket'!$B$2:$B$200,0)),"")</f>
        <v>8683786.5250000004</v>
      </c>
      <c r="M34" s="21">
        <f t="shared" si="68"/>
        <v>5.9729463859979459</v>
      </c>
      <c r="N34" s="21">
        <f t="shared" si="52"/>
        <v>5.823003857179688</v>
      </c>
      <c r="O34" s="21">
        <f t="shared" si="69"/>
        <v>-3.7170643720266652</v>
      </c>
      <c r="P34" s="9">
        <f t="shared" si="53"/>
        <v>0.4524808354075664</v>
      </c>
      <c r="Q34" s="9">
        <f t="shared" si="54"/>
        <v>0.37110788843487286</v>
      </c>
      <c r="R34" s="22">
        <f>IFERROR(INDEX(Supermarket!$Q$11:$Q$170,MATCH('Calculations - Supermarket'!$C34,Supermarket!$M$11:$M$170,0)),"")</f>
        <v>0.8</v>
      </c>
      <c r="S34" s="22">
        <f>IFERROR(INDEX(Supermarket!$R$11:$R$170,MATCH('Calculations - Supermarket'!$C34,Supermarket!$M$11:$M$170,0)),"")</f>
        <v>0.3</v>
      </c>
      <c r="T34" s="16">
        <f t="shared" si="55"/>
        <v>14009140.472000001</v>
      </c>
      <c r="U34" s="16">
        <f t="shared" si="70"/>
        <v>4202742.1415999997</v>
      </c>
      <c r="V34" s="16">
        <f t="shared" si="71"/>
        <v>9806398.3304000013</v>
      </c>
      <c r="W34" s="10">
        <f t="shared" si="56"/>
        <v>3.3448499761588502</v>
      </c>
      <c r="X34" s="10">
        <f t="shared" si="57"/>
        <v>29289151.126437373</v>
      </c>
      <c r="Y34" s="13">
        <f t="shared" si="72"/>
        <v>0.46746664038575314</v>
      </c>
      <c r="Z34" s="9">
        <f t="shared" si="58"/>
        <v>1.4985804978186745E-2</v>
      </c>
      <c r="AA34" s="16">
        <f t="shared" si="73"/>
        <v>18091390.061965745</v>
      </c>
      <c r="AB34" s="16">
        <f t="shared" si="59"/>
        <v>3028888.7414721167</v>
      </c>
      <c r="AC34" s="16">
        <f t="shared" si="60"/>
        <v>14473112.049572596</v>
      </c>
      <c r="AD34" s="16">
        <f t="shared" si="74"/>
        <v>4341933.6148717776</v>
      </c>
      <c r="AE34" s="16"/>
      <c r="AF34" s="31">
        <f>IFERROR(INDEX(Supermarket!$P$11:$P$170,MATCH('Calculations - Supermarket'!C34,Supermarket!$M$11:$M$170,0)),"")</f>
        <v>5.9729463859979459</v>
      </c>
      <c r="AG34" s="23">
        <f t="shared" si="75"/>
        <v>0.8</v>
      </c>
      <c r="AH34" s="23">
        <f t="shared" si="76"/>
        <v>0.3</v>
      </c>
      <c r="AI34" s="9">
        <f t="shared" si="61"/>
        <v>0</v>
      </c>
      <c r="AJ34" s="4">
        <f t="shared" si="62"/>
        <v>2931790.1850000001</v>
      </c>
      <c r="AK34" s="4"/>
      <c r="AL34" s="4"/>
      <c r="AM34" s="4"/>
      <c r="AN34" s="4"/>
      <c r="AO34" s="4"/>
      <c r="AP34" s="20">
        <f t="shared" si="63"/>
        <v>29289151.126437373</v>
      </c>
      <c r="AQ34" s="13">
        <f t="shared" si="77"/>
        <v>0.46746664038575314</v>
      </c>
      <c r="AR34" s="13">
        <f t="shared" si="78"/>
        <v>0.46746664038575308</v>
      </c>
      <c r="AS34" s="13">
        <f t="shared" si="64"/>
        <v>1.498580497818669E-2</v>
      </c>
      <c r="AT34" s="16">
        <f t="shared" si="79"/>
        <v>18091390.061965745</v>
      </c>
      <c r="AU34" s="16">
        <f t="shared" si="65"/>
        <v>3028888.7414721167</v>
      </c>
      <c r="AV34" s="16">
        <f t="shared" si="66"/>
        <v>14473112.049572596</v>
      </c>
      <c r="AW34" s="16">
        <f t="shared" si="80"/>
        <v>4341933.6148717776</v>
      </c>
      <c r="AX34" s="13">
        <f t="shared" si="81"/>
        <v>0.60942907418020464</v>
      </c>
      <c r="AY34" s="10">
        <f t="shared" si="82"/>
        <v>3030033.0151725537</v>
      </c>
      <c r="AZ34" s="9">
        <f t="shared" si="83"/>
        <v>0.3833980971474451</v>
      </c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</row>
    <row r="35" spans="2:68" x14ac:dyDescent="0.3">
      <c r="B35" s="108" t="str">
        <f t="shared" si="67"/>
        <v>SupermarketHP</v>
      </c>
      <c r="C35" s="108" t="str">
        <f t="shared" si="51"/>
        <v>SupermarketHPLarge</v>
      </c>
      <c r="D35" s="3" t="s">
        <v>105</v>
      </c>
      <c r="E35" s="3" t="s">
        <v>107</v>
      </c>
      <c r="F35" s="3" t="s">
        <v>112</v>
      </c>
      <c r="G35" s="20">
        <f>IFERROR(INDEX('Input - Supermarket'!F$2:F$200,MATCH('Calculations - Supermarket'!$C35,'Input - Supermarket'!$B$2:$B$200,0)),"")</f>
        <v>8472637.5299999993</v>
      </c>
      <c r="H35" s="20">
        <f>IFERROR(INDEX('Input - Supermarket'!G$2:G$200,MATCH('Calculations - Supermarket'!$C35,'Input - Supermarket'!$B$2:$B$200,0)),"")</f>
        <v>1477986.6</v>
      </c>
      <c r="I35" s="21">
        <f>IFERROR(INDEX('Input - Supermarket'!H$2:H$200,MATCH('Calculations - Supermarket'!$C35,'Input - Supermarket'!$B$2:$B$200,0)),"")</f>
        <v>2.0836270246720399</v>
      </c>
      <c r="J35" s="21">
        <f>IFERROR(INDEX('Input - Supermarket'!I$2:I$200,MATCH('Calculations - Supermarket'!$C35,'Input - Supermarket'!$B$2:$B$200,0)),"")</f>
        <v>11.9445037781524</v>
      </c>
      <c r="K35" s="20">
        <f>IFERROR(INDEX('Input - Supermarket'!J$2:J$200,MATCH('Calculations - Supermarket'!$C35,'Input - Supermarket'!$B$2:$B$200,0)),"")</f>
        <v>27568738.859999999</v>
      </c>
      <c r="L35" s="20">
        <f>IFERROR(INDEX('Input - Supermarket'!K$2:K$200,MATCH('Calculations - Supermarket'!$C35,'Input - Supermarket'!$B$2:$B$200,0)),"")</f>
        <v>5085019.8</v>
      </c>
      <c r="M35" s="21">
        <f t="shared" si="68"/>
        <v>5.7325536848574936</v>
      </c>
      <c r="N35" s="21">
        <f t="shared" si="52"/>
        <v>5.4215597862568794</v>
      </c>
      <c r="O35" s="21">
        <f t="shared" si="69"/>
        <v>-4.614133725128549</v>
      </c>
      <c r="P35" s="9">
        <f t="shared" si="53"/>
        <v>0.21892598566442012</v>
      </c>
      <c r="Q35" s="9">
        <f t="shared" si="54"/>
        <v>0.18708449501854005</v>
      </c>
      <c r="R35" s="22">
        <f>IFERROR(INDEX(Supermarket!$Q$11:$Q$170,MATCH('Calculations - Supermarket'!$C35,Supermarket!$M$11:$M$170,0)),"")</f>
        <v>0.8</v>
      </c>
      <c r="S35" s="22">
        <f>IFERROR(INDEX(Supermarket!$R$11:$R$170,MATCH('Calculations - Supermarket'!$C35,Supermarket!$M$11:$M$170,0)),"")</f>
        <v>0.3</v>
      </c>
      <c r="T35" s="16">
        <f t="shared" si="55"/>
        <v>6778110.0240000002</v>
      </c>
      <c r="U35" s="16">
        <f t="shared" si="70"/>
        <v>2033433.0071999999</v>
      </c>
      <c r="V35" s="16">
        <f t="shared" si="71"/>
        <v>4744677.0168000003</v>
      </c>
      <c r="W35" s="10">
        <f t="shared" si="56"/>
        <v>3.2102300635201972</v>
      </c>
      <c r="X35" s="10">
        <f t="shared" si="57"/>
        <v>13063227.028879311</v>
      </c>
      <c r="Y35" s="13">
        <f t="shared" si="72"/>
        <v>0.20849436111770861</v>
      </c>
      <c r="Z35" s="9">
        <f t="shared" si="58"/>
        <v>-1.043162454671151E-2</v>
      </c>
      <c r="AA35" s="16">
        <f t="shared" si="73"/>
        <v>8068924.0404153727</v>
      </c>
      <c r="AB35" s="16">
        <f t="shared" si="59"/>
        <v>1407561.8797481805</v>
      </c>
      <c r="AC35" s="16">
        <f t="shared" si="60"/>
        <v>6455139.2323322985</v>
      </c>
      <c r="AD35" s="16">
        <f t="shared" si="74"/>
        <v>1936541.769699689</v>
      </c>
      <c r="AE35" s="16"/>
      <c r="AF35" s="31">
        <f>IFERROR(INDEX(Supermarket!$P$11:$P$170,MATCH('Calculations - Supermarket'!C35,Supermarket!$M$11:$M$170,0)),"")</f>
        <v>5.7325536848574936</v>
      </c>
      <c r="AG35" s="23">
        <f t="shared" si="75"/>
        <v>0.8</v>
      </c>
      <c r="AH35" s="23">
        <f t="shared" si="76"/>
        <v>0.3</v>
      </c>
      <c r="AI35" s="9">
        <f t="shared" si="61"/>
        <v>0</v>
      </c>
      <c r="AJ35" s="4">
        <f t="shared" si="62"/>
        <v>1477986.6</v>
      </c>
      <c r="AK35" s="4"/>
      <c r="AL35" s="4"/>
      <c r="AM35" s="4"/>
      <c r="AN35" s="4"/>
      <c r="AO35" s="4"/>
      <c r="AP35" s="20">
        <f t="shared" si="63"/>
        <v>13063227.028879311</v>
      </c>
      <c r="AQ35" s="13">
        <f t="shared" si="77"/>
        <v>0.20849436111770861</v>
      </c>
      <c r="AR35" s="13">
        <f t="shared" si="78"/>
        <v>0.20849436111770858</v>
      </c>
      <c r="AS35" s="13">
        <f t="shared" si="64"/>
        <v>-1.0431624546711538E-2</v>
      </c>
      <c r="AT35" s="16">
        <f t="shared" si="79"/>
        <v>8068924.0404153708</v>
      </c>
      <c r="AU35" s="16">
        <f t="shared" si="65"/>
        <v>1407561.8797481803</v>
      </c>
      <c r="AV35" s="16">
        <f t="shared" si="66"/>
        <v>6455139.2323322967</v>
      </c>
      <c r="AW35" s="16">
        <f t="shared" si="80"/>
        <v>1936541.7696996881</v>
      </c>
      <c r="AX35" s="13">
        <f t="shared" si="81"/>
        <v>0.28320919203171691</v>
      </c>
      <c r="AY35" s="10">
        <f t="shared" si="82"/>
        <v>1408093.6378212583</v>
      </c>
      <c r="AZ35" s="9">
        <f t="shared" si="83"/>
        <v>0.17816981486432759</v>
      </c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</row>
    <row r="36" spans="2:68" x14ac:dyDescent="0.3">
      <c r="B36" s="108" t="str">
        <f t="shared" si="67"/>
        <v>SupermarketHP</v>
      </c>
      <c r="C36" s="108" t="str">
        <f t="shared" si="51"/>
        <v>SupermarketHPSmall</v>
      </c>
      <c r="D36" s="3" t="s">
        <v>105</v>
      </c>
      <c r="E36" s="3" t="s">
        <v>107</v>
      </c>
      <c r="F36" s="3" t="s">
        <v>113</v>
      </c>
      <c r="G36" s="20">
        <f>IFERROR(INDEX('Input - Supermarket'!F$2:F$200,MATCH('Calculations - Supermarket'!$C36,'Input - Supermarket'!$B$2:$B$200,0)),"")</f>
        <v>3809270.07</v>
      </c>
      <c r="H36" s="20">
        <f>IFERROR(INDEX('Input - Supermarket'!G$2:G$200,MATCH('Calculations - Supermarket'!$C36,'Input - Supermarket'!$B$2:$B$200,0)),"")</f>
        <v>542744.26899999997</v>
      </c>
      <c r="I36" s="21">
        <f>IFERROR(INDEX('Input - Supermarket'!H$2:H$200,MATCH('Calculations - Supermarket'!$C36,'Input - Supermarket'!$B$2:$B$200,0)),"")</f>
        <v>2.1833124276317299</v>
      </c>
      <c r="J36" s="21">
        <f>IFERROR(INDEX('Input - Supermarket'!I$2:I$200,MATCH('Calculations - Supermarket'!$C36,'Input - Supermarket'!$B$2:$B$200,0)),"")</f>
        <v>15.323656386755101</v>
      </c>
      <c r="K36" s="20">
        <f>IFERROR(INDEX('Input - Supermarket'!J$2:J$200,MATCH('Calculations - Supermarket'!$C36,'Input - Supermarket'!$B$2:$B$200,0)),"")</f>
        <v>11549915.17</v>
      </c>
      <c r="L36" s="20">
        <f>IFERROR(INDEX('Input - Supermarket'!K$2:K$200,MATCH('Calculations - Supermarket'!$C36,'Input - Supermarket'!$B$2:$B$200,0)),"")</f>
        <v>1694747.0360000001</v>
      </c>
      <c r="M36" s="21">
        <f t="shared" si="68"/>
        <v>7.0185357774823416</v>
      </c>
      <c r="N36" s="21">
        <f t="shared" si="52"/>
        <v>6.8151263431387994</v>
      </c>
      <c r="O36" s="21">
        <f t="shared" si="69"/>
        <v>-4.2254267624037087</v>
      </c>
      <c r="P36" s="9">
        <f t="shared" si="53"/>
        <v>9.8428405769026756E-2</v>
      </c>
      <c r="Q36" s="9">
        <f t="shared" si="54"/>
        <v>6.8700918864942104E-2</v>
      </c>
      <c r="R36" s="22">
        <f>IFERROR(INDEX(Supermarket!$Q$11:$Q$170,MATCH('Calculations - Supermarket'!$C36,Supermarket!$M$11:$M$170,0)),"")</f>
        <v>0.8</v>
      </c>
      <c r="S36" s="22">
        <f>IFERROR(INDEX(Supermarket!$R$11:$R$170,MATCH('Calculations - Supermarket'!$C36,Supermarket!$M$11:$M$170,0)),"")</f>
        <v>0.3</v>
      </c>
      <c r="T36" s="16">
        <f t="shared" si="55"/>
        <v>3047416.0559999999</v>
      </c>
      <c r="U36" s="16">
        <f t="shared" si="70"/>
        <v>914224.81679999991</v>
      </c>
      <c r="V36" s="16">
        <f t="shared" si="71"/>
        <v>2133191.2391999997</v>
      </c>
      <c r="W36" s="10">
        <f t="shared" si="56"/>
        <v>3.9303800353901108</v>
      </c>
      <c r="X36" s="10">
        <f t="shared" si="57"/>
        <v>6063048.3770182887</v>
      </c>
      <c r="Y36" s="13">
        <f t="shared" si="72"/>
        <v>9.6768692375748727E-2</v>
      </c>
      <c r="Z36" s="9">
        <f t="shared" si="58"/>
        <v>-1.6597133932780284E-3</v>
      </c>
      <c r="AA36" s="16">
        <f t="shared" si="73"/>
        <v>3745037.6311588371</v>
      </c>
      <c r="AB36" s="16">
        <f t="shared" si="59"/>
        <v>533592.44006051647</v>
      </c>
      <c r="AC36" s="16">
        <f t="shared" si="60"/>
        <v>2996030.10492707</v>
      </c>
      <c r="AD36" s="16">
        <f t="shared" si="74"/>
        <v>898809.03147812188</v>
      </c>
      <c r="AE36" s="16"/>
      <c r="AF36" s="31">
        <f>IFERROR(INDEX(Supermarket!$P$11:$P$170,MATCH('Calculations - Supermarket'!C36,Supermarket!$M$11:$M$170,0)),"")</f>
        <v>7.0185357774823416</v>
      </c>
      <c r="AG36" s="23">
        <f t="shared" si="75"/>
        <v>0.8</v>
      </c>
      <c r="AH36" s="23">
        <f t="shared" si="76"/>
        <v>0.3</v>
      </c>
      <c r="AI36" s="9">
        <f t="shared" si="61"/>
        <v>0</v>
      </c>
      <c r="AJ36" s="4">
        <f t="shared" si="62"/>
        <v>542744.26899999997</v>
      </c>
      <c r="AK36" s="4"/>
      <c r="AL36" s="4"/>
      <c r="AM36" s="4"/>
      <c r="AN36" s="4"/>
      <c r="AO36" s="4"/>
      <c r="AP36" s="20">
        <f t="shared" si="63"/>
        <v>6063048.3770182887</v>
      </c>
      <c r="AQ36" s="13">
        <f t="shared" si="77"/>
        <v>9.6768692375748727E-2</v>
      </c>
      <c r="AR36" s="13">
        <f t="shared" si="78"/>
        <v>9.6768692375748713E-2</v>
      </c>
      <c r="AS36" s="13">
        <f t="shared" si="64"/>
        <v>-1.6597133932780422E-3</v>
      </c>
      <c r="AT36" s="16">
        <f t="shared" si="79"/>
        <v>3745037.6311588367</v>
      </c>
      <c r="AU36" s="16">
        <f t="shared" si="65"/>
        <v>533592.44006051647</v>
      </c>
      <c r="AV36" s="16">
        <f t="shared" si="66"/>
        <v>2996030.1049270695</v>
      </c>
      <c r="AW36" s="16">
        <f t="shared" si="80"/>
        <v>898809.03147812141</v>
      </c>
      <c r="AX36" s="13">
        <f t="shared" si="81"/>
        <v>0.1073617337880783</v>
      </c>
      <c r="AY36" s="10">
        <f t="shared" si="82"/>
        <v>533794.02415555203</v>
      </c>
      <c r="AZ36" s="9">
        <f t="shared" si="83"/>
        <v>6.7542370695344162E-2</v>
      </c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</row>
    <row r="37" spans="2:68" x14ac:dyDescent="0.3">
      <c r="B37" s="108" t="str">
        <f t="shared" si="67"/>
        <v>SupermarketPRIVATE LABEL</v>
      </c>
      <c r="C37" s="108" t="str">
        <f t="shared" si="51"/>
        <v>SupermarketPRIVATE LABELMedium</v>
      </c>
      <c r="D37" s="3" t="s">
        <v>105</v>
      </c>
      <c r="E37" s="3" t="s">
        <v>108</v>
      </c>
      <c r="F37" s="3" t="s">
        <v>111</v>
      </c>
      <c r="G37" s="20">
        <f>IFERROR(INDEX('Input - Supermarket'!F$2:F$200,MATCH('Calculations - Supermarket'!$C37,'Input - Supermarket'!$B$2:$B$200,0)),"")</f>
        <v>3671303.34</v>
      </c>
      <c r="H37" s="20">
        <f>IFERROR(INDEX('Input - Supermarket'!G$2:G$200,MATCH('Calculations - Supermarket'!$C37,'Input - Supermarket'!$B$2:$B$200,0)),"")</f>
        <v>1616331.7949999999</v>
      </c>
      <c r="I37" s="21">
        <f>IFERROR(INDEX('Input - Supermarket'!H$2:H$200,MATCH('Calculations - Supermarket'!$C37,'Input - Supermarket'!$B$2:$B$200,0)),"")</f>
        <v>2.3001554114112999</v>
      </c>
      <c r="J37" s="21">
        <f>IFERROR(INDEX('Input - Supermarket'!I$2:I$200,MATCH('Calculations - Supermarket'!$C37,'Input - Supermarket'!$B$2:$B$200,0)),"")</f>
        <v>5.2245264682387704</v>
      </c>
      <c r="K37" s="20">
        <f>IFERROR(INDEX('Input - Supermarket'!J$2:J$200,MATCH('Calculations - Supermarket'!$C37,'Input - Supermarket'!$B$2:$B$200,0)),"")</f>
        <v>9417271.6300000008</v>
      </c>
      <c r="L37" s="20">
        <f>IFERROR(INDEX('Input - Supermarket'!K$2:K$200,MATCH('Calculations - Supermarket'!$C37,'Input - Supermarket'!$B$2:$B$200,0)),"")</f>
        <v>4507004.78</v>
      </c>
      <c r="M37" s="21">
        <f t="shared" si="68"/>
        <v>2.2713797695231257</v>
      </c>
      <c r="N37" s="21">
        <f t="shared" si="52"/>
        <v>2.0894745157115189</v>
      </c>
      <c r="O37" s="21">
        <f t="shared" si="69"/>
        <v>-3.8456941040398931</v>
      </c>
      <c r="P37" s="9">
        <f t="shared" si="53"/>
        <v>9.4863458933144948E-2</v>
      </c>
      <c r="Q37" s="9">
        <f t="shared" si="54"/>
        <v>0.20459631883671026</v>
      </c>
      <c r="R37" s="22">
        <f>IFERROR(INDEX(Supermarket!$Q$11:$Q$170,MATCH('Calculations - Supermarket'!$C37,Supermarket!$M$11:$M$170,0)),"")</f>
        <v>0</v>
      </c>
      <c r="S37" s="22">
        <f>IFERROR(INDEX(Supermarket!$R$11:$R$170,MATCH('Calculations - Supermarket'!$C37,Supermarket!$M$11:$M$170,0)),"")</f>
        <v>0</v>
      </c>
      <c r="T37" s="16">
        <f t="shared" si="55"/>
        <v>0</v>
      </c>
      <c r="U37" s="16">
        <f t="shared" si="70"/>
        <v>0</v>
      </c>
      <c r="V37" s="16">
        <f t="shared" si="71"/>
        <v>0</v>
      </c>
      <c r="W37" s="10">
        <f t="shared" si="56"/>
        <v>0</v>
      </c>
      <c r="X37" s="10">
        <f t="shared" si="57"/>
        <v>6057935.7922166912</v>
      </c>
      <c r="Y37" s="13">
        <f t="shared" si="72"/>
        <v>9.668709346458286E-2</v>
      </c>
      <c r="Z37" s="9">
        <f t="shared" si="58"/>
        <v>1.8236345314379121E-3</v>
      </c>
      <c r="AA37" s="16">
        <f t="shared" si="73"/>
        <v>3741879.6780494666</v>
      </c>
      <c r="AB37" s="16">
        <f t="shared" si="59"/>
        <v>1647403.8063811192</v>
      </c>
      <c r="AC37" s="16">
        <f t="shared" si="60"/>
        <v>0</v>
      </c>
      <c r="AD37" s="16">
        <f t="shared" si="74"/>
        <v>0</v>
      </c>
      <c r="AE37" s="16"/>
      <c r="AF37" s="31">
        <f>IFERROR(INDEX(Supermarket!$P$11:$P$170,MATCH('Calculations - Supermarket'!C37,Supermarket!$M$11:$M$170,0)),"")</f>
        <v>2.2713797695231257</v>
      </c>
      <c r="AG37" s="23">
        <f t="shared" si="75"/>
        <v>0</v>
      </c>
      <c r="AH37" s="23">
        <f t="shared" si="76"/>
        <v>0</v>
      </c>
      <c r="AI37" s="9">
        <f t="shared" si="61"/>
        <v>0</v>
      </c>
      <c r="AJ37" s="4">
        <f t="shared" si="62"/>
        <v>1616331.7949999999</v>
      </c>
      <c r="AK37" s="4"/>
      <c r="AL37" s="4"/>
      <c r="AM37" s="4"/>
      <c r="AN37" s="4"/>
      <c r="AO37" s="4"/>
      <c r="AP37" s="20">
        <f t="shared" si="63"/>
        <v>6057935.7922166912</v>
      </c>
      <c r="AQ37" s="13">
        <f t="shared" si="77"/>
        <v>9.668709346458286E-2</v>
      </c>
      <c r="AR37" s="13">
        <f t="shared" si="78"/>
        <v>9.6687093464582846E-2</v>
      </c>
      <c r="AS37" s="13">
        <f t="shared" si="64"/>
        <v>1.8236345314378982E-3</v>
      </c>
      <c r="AT37" s="16">
        <f t="shared" si="79"/>
        <v>3741879.6780494656</v>
      </c>
      <c r="AU37" s="16">
        <f t="shared" si="65"/>
        <v>1647403.8063811187</v>
      </c>
      <c r="AV37" s="16">
        <f t="shared" si="66"/>
        <v>0</v>
      </c>
      <c r="AW37" s="16">
        <f t="shared" si="80"/>
        <v>0</v>
      </c>
      <c r="AX37" s="13">
        <f t="shared" si="81"/>
        <v>0.99998638015041941</v>
      </c>
      <c r="AY37" s="10">
        <f t="shared" si="82"/>
        <v>1647662.0153733739</v>
      </c>
      <c r="AZ37" s="9">
        <f t="shared" si="83"/>
        <v>0.20848303575342444</v>
      </c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</row>
    <row r="38" spans="2:68" x14ac:dyDescent="0.3">
      <c r="B38" s="108" t="str">
        <f t="shared" si="67"/>
        <v>SupermarketPRIVATE LABEL</v>
      </c>
      <c r="C38" s="108" t="str">
        <f t="shared" si="51"/>
        <v>SupermarketPRIVATE LABELLarge</v>
      </c>
      <c r="D38" s="3" t="s">
        <v>105</v>
      </c>
      <c r="E38" s="3" t="s">
        <v>108</v>
      </c>
      <c r="F38" s="3" t="s">
        <v>112</v>
      </c>
      <c r="G38" s="20">
        <f>IFERROR(INDEX('Input - Supermarket'!F$2:F$200,MATCH('Calculations - Supermarket'!$C38,'Input - Supermarket'!$B$2:$B$200,0)),"")</f>
        <v>48.13</v>
      </c>
      <c r="H38" s="20">
        <f>IFERROR(INDEX('Input - Supermarket'!G$2:G$200,MATCH('Calculations - Supermarket'!$C38,'Input - Supermarket'!$B$2:$B$200,0)),"")</f>
        <v>23.13</v>
      </c>
      <c r="I38" s="21">
        <f>IFERROR(INDEX('Input - Supermarket'!H$2:H$200,MATCH('Calculations - Supermarket'!$C38,'Input - Supermarket'!$B$2:$B$200,0)),"")</f>
        <v>2.1409968565904398</v>
      </c>
      <c r="J38" s="21">
        <f>IFERROR(INDEX('Input - Supermarket'!I$2:I$200,MATCH('Calculations - Supermarket'!$C38,'Input - Supermarket'!$B$2:$B$200,0)),"")</f>
        <v>4.4550877089363503</v>
      </c>
      <c r="K38" s="20">
        <f>IFERROR(INDEX('Input - Supermarket'!J$2:J$200,MATCH('Calculations - Supermarket'!$C38,'Input - Supermarket'!$B$2:$B$200,0)),"")</f>
        <v>534715</v>
      </c>
      <c r="L38" s="20">
        <f>IFERROR(INDEX('Input - Supermarket'!K$2:K$200,MATCH('Calculations - Supermarket'!$C38,'Input - Supermarket'!$B$2:$B$200,0)),"")</f>
        <v>322461.68</v>
      </c>
      <c r="M38" s="21">
        <f t="shared" si="68"/>
        <v>2.08084738434933</v>
      </c>
      <c r="N38" s="21">
        <f t="shared" si="52"/>
        <v>1.6582280412357835</v>
      </c>
      <c r="O38" s="21">
        <f t="shared" si="69"/>
        <v>-4.3821330191400829</v>
      </c>
      <c r="P38" s="9">
        <f t="shared" si="53"/>
        <v>1.2436396166741882E-6</v>
      </c>
      <c r="Q38" s="9">
        <f t="shared" si="54"/>
        <v>2.9278102858164145E-6</v>
      </c>
      <c r="R38" s="22">
        <f>IFERROR(INDEX(Supermarket!$Q$11:$Q$170,MATCH('Calculations - Supermarket'!$C38,Supermarket!$M$11:$M$170,0)),"")</f>
        <v>0</v>
      </c>
      <c r="S38" s="22">
        <f>IFERROR(INDEX(Supermarket!$R$11:$R$170,MATCH('Calculations - Supermarket'!$C38,Supermarket!$M$11:$M$170,0)),"")</f>
        <v>0</v>
      </c>
      <c r="T38" s="16">
        <f t="shared" si="55"/>
        <v>0</v>
      </c>
      <c r="U38" s="16">
        <f t="shared" si="70"/>
        <v>0</v>
      </c>
      <c r="V38" s="16">
        <f t="shared" si="71"/>
        <v>0</v>
      </c>
      <c r="W38" s="10">
        <f t="shared" si="56"/>
        <v>0</v>
      </c>
      <c r="X38" s="10">
        <f t="shared" si="57"/>
        <v>75.588089353848886</v>
      </c>
      <c r="Y38" s="13">
        <f t="shared" si="72"/>
        <v>1.2064163290662041E-6</v>
      </c>
      <c r="Z38" s="9">
        <f t="shared" si="58"/>
        <v>-3.7223287607984074E-8</v>
      </c>
      <c r="AA38" s="16">
        <f t="shared" si="73"/>
        <v>46.689424443744116</v>
      </c>
      <c r="AB38" s="16">
        <f t="shared" si="59"/>
        <v>22.437697639389182</v>
      </c>
      <c r="AC38" s="16">
        <f t="shared" si="60"/>
        <v>0</v>
      </c>
      <c r="AD38" s="16">
        <f t="shared" si="74"/>
        <v>0</v>
      </c>
      <c r="AE38" s="16"/>
      <c r="AF38" s="31">
        <f>IFERROR(INDEX(Supermarket!$P$11:$P$170,MATCH('Calculations - Supermarket'!C38,Supermarket!$M$11:$M$170,0)),"")</f>
        <v>2.08084738434933</v>
      </c>
      <c r="AG38" s="23">
        <f t="shared" si="75"/>
        <v>0</v>
      </c>
      <c r="AH38" s="23">
        <f t="shared" si="76"/>
        <v>0</v>
      </c>
      <c r="AI38" s="9">
        <f t="shared" si="61"/>
        <v>0</v>
      </c>
      <c r="AJ38" s="4">
        <f t="shared" si="62"/>
        <v>23.13</v>
      </c>
      <c r="AK38" s="4"/>
      <c r="AL38" s="4"/>
      <c r="AM38" s="4"/>
      <c r="AN38" s="4"/>
      <c r="AO38" s="4"/>
      <c r="AP38" s="20">
        <f t="shared" si="63"/>
        <v>75.588089353848886</v>
      </c>
      <c r="AQ38" s="13">
        <f t="shared" si="77"/>
        <v>1.2064163290662041E-6</v>
      </c>
      <c r="AR38" s="13">
        <f t="shared" si="78"/>
        <v>1.2064163290662039E-6</v>
      </c>
      <c r="AS38" s="13">
        <f t="shared" si="64"/>
        <v>-3.7223287607984286E-8</v>
      </c>
      <c r="AT38" s="16">
        <f t="shared" si="79"/>
        <v>46.689424443744109</v>
      </c>
      <c r="AU38" s="16">
        <f t="shared" si="65"/>
        <v>22.437697639389178</v>
      </c>
      <c r="AV38" s="16">
        <f t="shared" si="66"/>
        <v>0</v>
      </c>
      <c r="AW38" s="16">
        <f t="shared" si="80"/>
        <v>0</v>
      </c>
      <c r="AX38" s="13">
        <f t="shared" si="81"/>
        <v>1.3619849580541527E-5</v>
      </c>
      <c r="AY38" s="10">
        <f t="shared" si="82"/>
        <v>22.441214454922537</v>
      </c>
      <c r="AZ38" s="9">
        <f t="shared" si="83"/>
        <v>2.8395462612492577E-6</v>
      </c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</row>
    <row r="39" spans="2:68" x14ac:dyDescent="0.3">
      <c r="B39" s="108" t="str">
        <f t="shared" si="67"/>
        <v>SupermarketRESTOFCATEGORY</v>
      </c>
      <c r="C39" s="108" t="str">
        <f t="shared" si="51"/>
        <v>SupermarketRESTOFCATEGORYMedium</v>
      </c>
      <c r="D39" s="3" t="s">
        <v>105</v>
      </c>
      <c r="E39" s="3" t="s">
        <v>109</v>
      </c>
      <c r="F39" s="3" t="s">
        <v>111</v>
      </c>
      <c r="G39" s="20">
        <f>IFERROR(INDEX('Input - Supermarket'!F$2:F$200,MATCH('Calculations - Supermarket'!$C39,'Input - Supermarket'!$B$2:$B$200,0)),"")</f>
        <v>1243.83</v>
      </c>
      <c r="H39" s="20">
        <f>IFERROR(INDEX('Input - Supermarket'!G$2:G$200,MATCH('Calculations - Supermarket'!$C39,'Input - Supermarket'!$B$2:$B$200,0)),"")</f>
        <v>699</v>
      </c>
      <c r="I39" s="21">
        <f>IFERROR(INDEX('Input - Supermarket'!H$2:H$200,MATCH('Calculations - Supermarket'!$C39,'Input - Supermarket'!$B$2:$B$200,0)),"")</f>
        <v>3.5589451944830799</v>
      </c>
      <c r="J39" s="21">
        <f>IFERROR(INDEX('Input - Supermarket'!I$2:I$200,MATCH('Calculations - Supermarket'!$C39,'Input - Supermarket'!$B$2:$B$200,0)),"")</f>
        <v>6.3329367686035596</v>
      </c>
      <c r="K39" s="20">
        <f>IFERROR(INDEX('Input - Supermarket'!J$2:J$200,MATCH('Calculations - Supermarket'!$C39,'Input - Supermarket'!$B$2:$B$200,0)),"")</f>
        <v>6379.57</v>
      </c>
      <c r="L39" s="20">
        <f>IFERROR(INDEX('Input - Supermarket'!K$2:K$200,MATCH('Calculations - Supermarket'!$C39,'Input - Supermarket'!$B$2:$B$200,0)),"")</f>
        <v>3737.45</v>
      </c>
      <c r="M39" s="21">
        <f t="shared" si="68"/>
        <v>1.7794420600858367</v>
      </c>
      <c r="N39" s="21">
        <f t="shared" si="52"/>
        <v>1.7069311964039653</v>
      </c>
      <c r="O39" s="21">
        <f t="shared" si="69"/>
        <v>-1.9539300844659264</v>
      </c>
      <c r="P39" s="9">
        <f t="shared" si="53"/>
        <v>3.2139544242839298E-5</v>
      </c>
      <c r="Q39" s="9">
        <f t="shared" si="54"/>
        <v>8.8479869856708762E-5</v>
      </c>
      <c r="R39" s="22">
        <f>IFERROR(INDEX(Supermarket!$Q$11:$Q$170,MATCH('Calculations - Supermarket'!$C39,Supermarket!$M$11:$M$170,0)),"")</f>
        <v>0</v>
      </c>
      <c r="S39" s="22">
        <f>IFERROR(INDEX(Supermarket!$R$11:$R$170,MATCH('Calculations - Supermarket'!$C39,Supermarket!$M$11:$M$170,0)),"")</f>
        <v>0</v>
      </c>
      <c r="T39" s="16">
        <f t="shared" si="55"/>
        <v>0</v>
      </c>
      <c r="U39" s="16">
        <f t="shared" si="70"/>
        <v>0</v>
      </c>
      <c r="V39" s="16">
        <f t="shared" si="71"/>
        <v>0</v>
      </c>
      <c r="W39" s="10">
        <f t="shared" si="56"/>
        <v>0</v>
      </c>
      <c r="X39" s="10">
        <f t="shared" si="57"/>
        <v>2835.276400626944</v>
      </c>
      <c r="Y39" s="13">
        <f t="shared" si="72"/>
        <v>4.525215250672595E-5</v>
      </c>
      <c r="Z39" s="9">
        <f t="shared" si="58"/>
        <v>1.3112608263886653E-5</v>
      </c>
      <c r="AA39" s="16">
        <f t="shared" si="73"/>
        <v>1751.3000317352501</v>
      </c>
      <c r="AB39" s="16">
        <f t="shared" si="59"/>
        <v>984.18491448424618</v>
      </c>
      <c r="AC39" s="16">
        <f t="shared" si="60"/>
        <v>0</v>
      </c>
      <c r="AD39" s="16">
        <f t="shared" si="74"/>
        <v>0</v>
      </c>
      <c r="AE39" s="16"/>
      <c r="AF39" s="31">
        <f>IFERROR(INDEX(Supermarket!$P$11:$P$170,MATCH('Calculations - Supermarket'!C39,Supermarket!$M$11:$M$170,0)),"")</f>
        <v>1.7794420600858367</v>
      </c>
      <c r="AG39" s="23">
        <f t="shared" si="75"/>
        <v>0</v>
      </c>
      <c r="AH39" s="23">
        <f t="shared" si="76"/>
        <v>0</v>
      </c>
      <c r="AI39" s="9">
        <f t="shared" si="61"/>
        <v>0</v>
      </c>
      <c r="AJ39" s="4">
        <f t="shared" si="62"/>
        <v>699</v>
      </c>
      <c r="AK39" s="4"/>
      <c r="AL39" s="4"/>
      <c r="AM39" s="4"/>
      <c r="AN39" s="4"/>
      <c r="AO39" s="4"/>
      <c r="AP39" s="20">
        <f t="shared" si="63"/>
        <v>2835.276400626944</v>
      </c>
      <c r="AQ39" s="13">
        <f t="shared" si="77"/>
        <v>4.525215250672595E-5</v>
      </c>
      <c r="AR39" s="13">
        <f t="shared" si="78"/>
        <v>4.5252152506725943E-5</v>
      </c>
      <c r="AS39" s="13">
        <f t="shared" si="64"/>
        <v>1.3112608263886646E-5</v>
      </c>
      <c r="AT39" s="16">
        <f t="shared" si="79"/>
        <v>1751.3000317352498</v>
      </c>
      <c r="AU39" s="16">
        <f t="shared" si="65"/>
        <v>984.18491448424606</v>
      </c>
      <c r="AV39" s="16">
        <f t="shared" si="66"/>
        <v>0</v>
      </c>
      <c r="AW39" s="16">
        <f t="shared" si="80"/>
        <v>0</v>
      </c>
      <c r="AX39" s="13">
        <f t="shared" si="81"/>
        <v>3.4772351673403568E-3</v>
      </c>
      <c r="AY39" s="10">
        <f t="shared" si="82"/>
        <v>889.37135185493946</v>
      </c>
      <c r="AZ39" s="9">
        <f t="shared" si="83"/>
        <v>1.1253451109317911E-4</v>
      </c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</row>
    <row r="40" spans="2:68" x14ac:dyDescent="0.3">
      <c r="B40" s="108" t="str">
        <f t="shared" si="67"/>
        <v>SupermarketRESTOFCATEGORY</v>
      </c>
      <c r="C40" s="108" t="str">
        <f t="shared" si="51"/>
        <v>SupermarketRESTOFCATEGORYLarge</v>
      </c>
      <c r="D40" s="3" t="s">
        <v>105</v>
      </c>
      <c r="E40" s="3" t="s">
        <v>109</v>
      </c>
      <c r="F40" s="3" t="s">
        <v>112</v>
      </c>
      <c r="G40" s="20">
        <f>IFERROR(INDEX('Input - Supermarket'!F$2:F$200,MATCH('Calculations - Supermarket'!$C40,'Input - Supermarket'!$B$2:$B$200,0)),"")</f>
        <v>483356.04</v>
      </c>
      <c r="H40" s="20">
        <f>IFERROR(INDEX('Input - Supermarket'!G$2:G$200,MATCH('Calculations - Supermarket'!$C40,'Input - Supermarket'!$B$2:$B$200,0)),"")</f>
        <v>235288.61199999999</v>
      </c>
      <c r="I40" s="21">
        <f>IFERROR(INDEX('Input - Supermarket'!H$2:H$200,MATCH('Calculations - Supermarket'!$C40,'Input - Supermarket'!$B$2:$B$200,0)),"")</f>
        <v>2.62874363754886</v>
      </c>
      <c r="J40" s="21">
        <f>IFERROR(INDEX('Input - Supermarket'!I$2:I$200,MATCH('Calculations - Supermarket'!$C40,'Input - Supermarket'!$B$2:$B$200,0)),"")</f>
        <v>5.4002575986160002</v>
      </c>
      <c r="K40" s="20">
        <f>IFERROR(INDEX('Input - Supermarket'!J$2:J$200,MATCH('Calculations - Supermarket'!$C40,'Input - Supermarket'!$B$2:$B$200,0)),"")</f>
        <v>1396069.98</v>
      </c>
      <c r="L40" s="20">
        <f>IFERROR(INDEX('Input - Supermarket'!K$2:K$200,MATCH('Calculations - Supermarket'!$C40,'Input - Supermarket'!$B$2:$B$200,0)),"")</f>
        <v>680792.24</v>
      </c>
      <c r="M40" s="21">
        <f t="shared" si="68"/>
        <v>2.0543112388286775</v>
      </c>
      <c r="N40" s="21">
        <f t="shared" si="52"/>
        <v>2.050654954586439</v>
      </c>
      <c r="O40" s="21">
        <f t="shared" si="69"/>
        <v>-3.0698508253420642</v>
      </c>
      <c r="P40" s="9">
        <f t="shared" si="53"/>
        <v>1.2489522549402733E-2</v>
      </c>
      <c r="Q40" s="9">
        <f t="shared" si="54"/>
        <v>2.9782983932082466E-2</v>
      </c>
      <c r="R40" s="22">
        <f>IFERROR(INDEX(Supermarket!$Q$11:$Q$170,MATCH('Calculations - Supermarket'!$C40,Supermarket!$M$11:$M$170,0)),"")</f>
        <v>0</v>
      </c>
      <c r="S40" s="22">
        <f>IFERROR(INDEX(Supermarket!$R$11:$R$170,MATCH('Calculations - Supermarket'!$C40,Supermarket!$M$11:$M$170,0)),"")</f>
        <v>0</v>
      </c>
      <c r="T40" s="16">
        <f t="shared" si="55"/>
        <v>0</v>
      </c>
      <c r="U40" s="16">
        <f t="shared" si="70"/>
        <v>0</v>
      </c>
      <c r="V40" s="16">
        <f t="shared" si="71"/>
        <v>0</v>
      </c>
      <c r="W40" s="10">
        <f t="shared" si="56"/>
        <v>0</v>
      </c>
      <c r="X40" s="10">
        <f t="shared" si="57"/>
        <v>876987.57741040585</v>
      </c>
      <c r="Y40" s="13">
        <f t="shared" si="72"/>
        <v>1.3997074708731901E-2</v>
      </c>
      <c r="Z40" s="9">
        <f t="shared" si="58"/>
        <v>1.5075521593291685E-3</v>
      </c>
      <c r="AA40" s="16">
        <f t="shared" si="73"/>
        <v>541699.69877033809</v>
      </c>
      <c r="AB40" s="16">
        <f t="shared" si="59"/>
        <v>263689.20567226375</v>
      </c>
      <c r="AC40" s="16">
        <f t="shared" si="60"/>
        <v>0</v>
      </c>
      <c r="AD40" s="16">
        <f t="shared" si="74"/>
        <v>0</v>
      </c>
      <c r="AE40" s="16"/>
      <c r="AF40" s="31">
        <f>IFERROR(INDEX(Supermarket!$P$11:$P$170,MATCH('Calculations - Supermarket'!C40,Supermarket!$M$11:$M$170,0)),"")</f>
        <v>2.0543112388286775</v>
      </c>
      <c r="AG40" s="23">
        <f t="shared" si="75"/>
        <v>0</v>
      </c>
      <c r="AH40" s="23">
        <f t="shared" si="76"/>
        <v>0</v>
      </c>
      <c r="AI40" s="9">
        <f t="shared" si="61"/>
        <v>0</v>
      </c>
      <c r="AJ40" s="4">
        <f t="shared" si="62"/>
        <v>235288.61199999999</v>
      </c>
      <c r="AK40" s="4"/>
      <c r="AL40" s="4"/>
      <c r="AM40" s="4"/>
      <c r="AN40" s="4"/>
      <c r="AO40" s="4"/>
      <c r="AP40" s="20">
        <f t="shared" si="63"/>
        <v>876987.57741040585</v>
      </c>
      <c r="AQ40" s="13">
        <f t="shared" si="77"/>
        <v>1.3997074708731901E-2</v>
      </c>
      <c r="AR40" s="13">
        <f t="shared" si="78"/>
        <v>1.39970747087319E-2</v>
      </c>
      <c r="AS40" s="13">
        <f t="shared" si="64"/>
        <v>1.5075521593291667E-3</v>
      </c>
      <c r="AT40" s="16">
        <f t="shared" si="79"/>
        <v>541699.69877033797</v>
      </c>
      <c r="AU40" s="16">
        <f t="shared" si="65"/>
        <v>263689.20567226369</v>
      </c>
      <c r="AV40" s="16">
        <f t="shared" si="66"/>
        <v>0</v>
      </c>
      <c r="AW40" s="16">
        <f t="shared" si="80"/>
        <v>0</v>
      </c>
      <c r="AX40" s="13">
        <f t="shared" si="81"/>
        <v>0.93164339924082085</v>
      </c>
      <c r="AY40" s="10">
        <f t="shared" si="82"/>
        <v>238286.14101567827</v>
      </c>
      <c r="AZ40" s="9">
        <f t="shared" si="83"/>
        <v>3.015097610638284E-2</v>
      </c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</row>
    <row r="41" spans="2:68" x14ac:dyDescent="0.3">
      <c r="B41" s="108" t="str">
        <f t="shared" si="67"/>
        <v>SupermarketRESTOFCATEGORY</v>
      </c>
      <c r="C41" s="108" t="str">
        <f t="shared" si="51"/>
        <v>SupermarketRESTOFCATEGORYSmall</v>
      </c>
      <c r="D41" s="3" t="s">
        <v>105</v>
      </c>
      <c r="E41" s="3" t="s">
        <v>109</v>
      </c>
      <c r="F41" s="3" t="s">
        <v>113</v>
      </c>
      <c r="G41" s="20">
        <f>IFERROR(INDEX('Input - Supermarket'!F$2:F$200,MATCH('Calculations - Supermarket'!$C41,'Input - Supermarket'!$B$2:$B$200,0)),"")</f>
        <v>210068.18</v>
      </c>
      <c r="H41" s="20">
        <f>IFERROR(INDEX('Input - Supermarket'!G$2:G$200,MATCH('Calculations - Supermarket'!$C41,'Input - Supermarket'!$B$2:$B$200,0)),"")</f>
        <v>29004.154999999999</v>
      </c>
      <c r="I41" s="21">
        <f>IFERROR(INDEX('Input - Supermarket'!H$2:H$200,MATCH('Calculations - Supermarket'!$C41,'Input - Supermarket'!$B$2:$B$200,0)),"")</f>
        <v>1.05</v>
      </c>
      <c r="J41" s="21">
        <f>IFERROR(INDEX('Input - Supermarket'!I$2:I$200,MATCH('Calculations - Supermarket'!$C41,'Input - Supermarket'!$B$2:$B$200,0)),"")</f>
        <v>7.6048272738854097</v>
      </c>
      <c r="K41" s="20">
        <f>IFERROR(INDEX('Input - Supermarket'!J$2:J$200,MATCH('Calculations - Supermarket'!$C41,'Input - Supermarket'!$B$2:$B$200,0)),"")</f>
        <v>547209.87</v>
      </c>
      <c r="L41" s="20">
        <f>IFERROR(INDEX('Input - Supermarket'!K$2:K$200,MATCH('Calculations - Supermarket'!$C41,'Input - Supermarket'!$B$2:$B$200,0)),"")</f>
        <v>79423.315000000002</v>
      </c>
      <c r="M41" s="21">
        <f t="shared" si="68"/>
        <v>7.2426926417956325</v>
      </c>
      <c r="N41" s="21">
        <f t="shared" si="52"/>
        <v>6.8897888485264049</v>
      </c>
      <c r="O41" s="21">
        <f t="shared" si="69"/>
        <v>-100.00000000000125</v>
      </c>
      <c r="P41" s="9">
        <f t="shared" si="53"/>
        <v>5.4279890058309653E-3</v>
      </c>
      <c r="Q41" s="9">
        <f t="shared" si="54"/>
        <v>3.671364606157094E-3</v>
      </c>
      <c r="R41" s="22">
        <f>IFERROR(INDEX(Supermarket!$Q$11:$Q$170,MATCH('Calculations - Supermarket'!$C41,Supermarket!$M$11:$M$170,0)),"")</f>
        <v>0</v>
      </c>
      <c r="S41" s="22">
        <f>IFERROR(INDEX(Supermarket!$R$11:$R$170,MATCH('Calculations - Supermarket'!$C41,Supermarket!$M$11:$M$170,0)),"")</f>
        <v>0</v>
      </c>
      <c r="T41" s="16">
        <f t="shared" si="55"/>
        <v>0</v>
      </c>
      <c r="U41" s="16">
        <f t="shared" si="70"/>
        <v>0</v>
      </c>
      <c r="V41" s="16">
        <f t="shared" si="71"/>
        <v>0</v>
      </c>
      <c r="W41" s="10">
        <f t="shared" si="56"/>
        <v>0</v>
      </c>
      <c r="X41" s="10">
        <f t="shared" si="57"/>
        <v>215319.88449999993</v>
      </c>
      <c r="Y41" s="13">
        <f t="shared" si="72"/>
        <v>3.4365920193777451E-3</v>
      </c>
      <c r="Z41" s="9">
        <f t="shared" si="58"/>
        <v>-1.9913969864532202E-3</v>
      </c>
      <c r="AA41" s="16">
        <f t="shared" si="73"/>
        <v>132999.28023761534</v>
      </c>
      <c r="AB41" s="16">
        <f t="shared" si="59"/>
        <v>18363.236825778335</v>
      </c>
      <c r="AC41" s="16">
        <f t="shared" si="60"/>
        <v>0</v>
      </c>
      <c r="AD41" s="16">
        <f t="shared" si="74"/>
        <v>0</v>
      </c>
      <c r="AE41" s="16"/>
      <c r="AF41" s="31">
        <f>IFERROR(INDEX(Supermarket!$P$11:$P$170,MATCH('Calculations - Supermarket'!C41,Supermarket!$M$11:$M$170,0)),"")</f>
        <v>7.2426926417956325</v>
      </c>
      <c r="AG41" s="23">
        <f t="shared" si="75"/>
        <v>0</v>
      </c>
      <c r="AH41" s="23">
        <f t="shared" si="76"/>
        <v>0</v>
      </c>
      <c r="AI41" s="9">
        <f t="shared" si="61"/>
        <v>0</v>
      </c>
      <c r="AJ41" s="4">
        <f t="shared" si="62"/>
        <v>29004.154999999999</v>
      </c>
      <c r="AK41" s="4"/>
      <c r="AL41" s="4"/>
      <c r="AM41" s="4"/>
      <c r="AN41" s="4"/>
      <c r="AO41" s="4"/>
      <c r="AP41" s="20">
        <f t="shared" si="63"/>
        <v>215319.88449999993</v>
      </c>
      <c r="AQ41" s="13">
        <f t="shared" si="77"/>
        <v>3.4365920193777451E-3</v>
      </c>
      <c r="AR41" s="13">
        <f t="shared" si="78"/>
        <v>3.4365920193777447E-3</v>
      </c>
      <c r="AS41" s="13">
        <f t="shared" si="64"/>
        <v>-1.9913969864532206E-3</v>
      </c>
      <c r="AT41" s="16">
        <f t="shared" si="79"/>
        <v>132999.28023761531</v>
      </c>
      <c r="AU41" s="16">
        <f t="shared" si="65"/>
        <v>18363.236825778331</v>
      </c>
      <c r="AV41" s="16">
        <f t="shared" si="66"/>
        <v>0</v>
      </c>
      <c r="AW41" s="16">
        <f t="shared" si="80"/>
        <v>0</v>
      </c>
      <c r="AX41" s="13">
        <f t="shared" si="81"/>
        <v>6.4879365591838711E-2</v>
      </c>
      <c r="AY41" s="10">
        <f t="shared" si="82"/>
        <v>16594.175057777018</v>
      </c>
      <c r="AZ41" s="9">
        <f t="shared" si="83"/>
        <v>2.0997048906811967E-3</v>
      </c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</row>
    <row r="42" spans="2:68" x14ac:dyDescent="0.3">
      <c r="B42" s="108" t="str">
        <f t="shared" si="67"/>
        <v>SupermarketBRANSTON</v>
      </c>
      <c r="C42" s="108" t="str">
        <f t="shared" si="51"/>
        <v>SupermarketBRANSTONSmall</v>
      </c>
      <c r="D42" s="3" t="s">
        <v>105</v>
      </c>
      <c r="E42" s="3" t="s">
        <v>110</v>
      </c>
      <c r="F42" s="3" t="s">
        <v>113</v>
      </c>
      <c r="G42" s="20">
        <f>IFERROR(INDEX('Input - Supermarket'!F$2:F$200,MATCH('Calculations - Supermarket'!$C42,'Input - Supermarket'!$B$2:$B$200,0)),"")</f>
        <v>552606.5</v>
      </c>
      <c r="H42" s="20">
        <f>IFERROR(INDEX('Input - Supermarket'!G$2:G$200,MATCH('Calculations - Supermarket'!$C42,'Input - Supermarket'!$B$2:$B$200,0)),"")</f>
        <v>123171.325</v>
      </c>
      <c r="I42" s="21">
        <f>IFERROR(INDEX('Input - Supermarket'!H$2:H$200,MATCH('Calculations - Supermarket'!$C42,'Input - Supermarket'!$B$2:$B$200,0)),"")</f>
        <v>2.1556060500852601</v>
      </c>
      <c r="J42" s="21">
        <f>IFERROR(INDEX('Input - Supermarket'!I$2:I$200,MATCH('Calculations - Supermarket'!$C42,'Input - Supermarket'!$B$2:$B$200,0)),"")</f>
        <v>9.6710976740441907</v>
      </c>
      <c r="K42" s="20">
        <f>IFERROR(INDEX('Input - Supermarket'!J$2:J$200,MATCH('Calculations - Supermarket'!$C42,'Input - Supermarket'!$B$2:$B$200,0)),"")</f>
        <v>1658346.19</v>
      </c>
      <c r="L42" s="20">
        <f>IFERROR(INDEX('Input - Supermarket'!K$2:K$200,MATCH('Calculations - Supermarket'!$C42,'Input - Supermarket'!$B$2:$B$200,0)),"")</f>
        <v>409523.85</v>
      </c>
      <c r="M42" s="21">
        <f t="shared" si="68"/>
        <v>4.4864866071709466</v>
      </c>
      <c r="N42" s="21">
        <f t="shared" si="52"/>
        <v>4.049449598600912</v>
      </c>
      <c r="O42" s="21">
        <f t="shared" si="69"/>
        <v>-4.3267340108085239</v>
      </c>
      <c r="P42" s="9">
        <f t="shared" si="53"/>
        <v>1.4278897482477971E-2</v>
      </c>
      <c r="Q42" s="9">
        <f t="shared" si="54"/>
        <v>1.5591105588094963E-2</v>
      </c>
      <c r="R42" s="22">
        <f>IFERROR(INDEX(Supermarket!$Q$11:$Q$170,MATCH('Calculations - Supermarket'!$C42,Supermarket!$M$11:$M$170,0)),"")</f>
        <v>0</v>
      </c>
      <c r="S42" s="22">
        <f>IFERROR(INDEX(Supermarket!$R$11:$R$170,MATCH('Calculations - Supermarket'!$C42,Supermarket!$M$11:$M$170,0)),"")</f>
        <v>0</v>
      </c>
      <c r="T42" s="16">
        <f t="shared" si="55"/>
        <v>0</v>
      </c>
      <c r="U42" s="16">
        <f t="shared" si="70"/>
        <v>0</v>
      </c>
      <c r="V42" s="16">
        <f t="shared" si="71"/>
        <v>0</v>
      </c>
      <c r="W42" s="10">
        <f t="shared" si="56"/>
        <v>0</v>
      </c>
      <c r="X42" s="10">
        <f t="shared" si="57"/>
        <v>871904.20735822048</v>
      </c>
      <c r="Y42" s="13">
        <f t="shared" si="72"/>
        <v>1.3915942076725106E-2</v>
      </c>
      <c r="Z42" s="9">
        <f t="shared" si="58"/>
        <v>-3.6295540575286521E-4</v>
      </c>
      <c r="AA42" s="16">
        <f t="shared" si="73"/>
        <v>538559.79109440709</v>
      </c>
      <c r="AB42" s="16">
        <f t="shared" si="59"/>
        <v>120040.43213538264</v>
      </c>
      <c r="AC42" s="16">
        <f t="shared" si="60"/>
        <v>0</v>
      </c>
      <c r="AD42" s="16">
        <f t="shared" si="74"/>
        <v>0</v>
      </c>
      <c r="AE42" s="16"/>
      <c r="AF42" s="31">
        <f>IFERROR(INDEX(Supermarket!$P$11:$P$170,MATCH('Calculations - Supermarket'!C42,Supermarket!$M$11:$M$170,0)),"")</f>
        <v>4.4864866071709466</v>
      </c>
      <c r="AG42" s="23">
        <f t="shared" si="75"/>
        <v>0</v>
      </c>
      <c r="AH42" s="23">
        <f t="shared" si="76"/>
        <v>0</v>
      </c>
      <c r="AI42" s="9">
        <f t="shared" si="61"/>
        <v>0</v>
      </c>
      <c r="AJ42" s="4">
        <f t="shared" si="62"/>
        <v>123171.325</v>
      </c>
      <c r="AK42" s="4"/>
      <c r="AL42" s="4"/>
      <c r="AM42" s="4"/>
      <c r="AN42" s="4"/>
      <c r="AO42" s="4"/>
      <c r="AP42" s="20">
        <f t="shared" si="63"/>
        <v>871904.20735822048</v>
      </c>
      <c r="AQ42" s="13">
        <f t="shared" si="77"/>
        <v>1.3915942076725106E-2</v>
      </c>
      <c r="AR42" s="13">
        <f t="shared" si="78"/>
        <v>1.3915942076725104E-2</v>
      </c>
      <c r="AS42" s="13">
        <f t="shared" si="64"/>
        <v>-3.6295540575286694E-4</v>
      </c>
      <c r="AT42" s="16">
        <f t="shared" si="79"/>
        <v>538559.79109440709</v>
      </c>
      <c r="AU42" s="16">
        <f t="shared" si="65"/>
        <v>120040.43213538264</v>
      </c>
      <c r="AV42" s="16">
        <f t="shared" si="66"/>
        <v>0</v>
      </c>
      <c r="AW42" s="16">
        <f t="shared" si="80"/>
        <v>0</v>
      </c>
      <c r="AX42" s="13">
        <f t="shared" si="81"/>
        <v>1</v>
      </c>
      <c r="AY42" s="10">
        <f t="shared" si="82"/>
        <v>120059.23995222498</v>
      </c>
      <c r="AZ42" s="9">
        <f t="shared" si="83"/>
        <v>1.5191413397860367E-2</v>
      </c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</row>
    <row r="43" spans="2:68" x14ac:dyDescent="0.3">
      <c r="B43" s="108" t="str">
        <f t="shared" si="67"/>
        <v/>
      </c>
      <c r="C43" s="108" t="str">
        <f t="shared" si="51"/>
        <v/>
      </c>
      <c r="D43" s="3"/>
      <c r="E43" s="3"/>
      <c r="F43" s="3"/>
      <c r="G43" s="20">
        <f>IFERROR(INDEX('Input - Supermarket'!F$2:F$200,MATCH('Calculations - Supermarket'!$C43,'Input - Supermarket'!$B$2:$B$200,0)),"")</f>
        <v>0</v>
      </c>
      <c r="H43" s="20">
        <f>IFERROR(INDEX('Input - Supermarket'!G$2:G$200,MATCH('Calculations - Supermarket'!$C43,'Input - Supermarket'!$B$2:$B$200,0)),"")</f>
        <v>0</v>
      </c>
      <c r="I43" s="21">
        <f>IFERROR(INDEX('Input - Supermarket'!H$2:H$200,MATCH('Calculations - Supermarket'!$C43,'Input - Supermarket'!$B$2:$B$200,0)),"")</f>
        <v>0</v>
      </c>
      <c r="J43" s="21">
        <f>IFERROR(INDEX('Input - Supermarket'!I$2:I$200,MATCH('Calculations - Supermarket'!$C43,'Input - Supermarket'!$B$2:$B$200,0)),"")</f>
        <v>0</v>
      </c>
      <c r="K43" s="20">
        <f>IFERROR(INDEX('Input - Supermarket'!J$2:J$200,MATCH('Calculations - Supermarket'!$C43,'Input - Supermarket'!$B$2:$B$200,0)),"")</f>
        <v>0</v>
      </c>
      <c r="L43" s="20">
        <f>IFERROR(INDEX('Input - Supermarket'!K$2:K$200,MATCH('Calculations - Supermarket'!$C43,'Input - Supermarket'!$B$2:$B$200,0)),"")</f>
        <v>0</v>
      </c>
      <c r="M43" s="21" t="str">
        <f t="shared" si="68"/>
        <v/>
      </c>
      <c r="N43" s="21" t="str">
        <f t="shared" si="52"/>
        <v/>
      </c>
      <c r="O43" s="21">
        <f t="shared" si="69"/>
        <v>0</v>
      </c>
      <c r="P43" s="9">
        <f t="shared" si="53"/>
        <v>0</v>
      </c>
      <c r="Q43" s="9">
        <f t="shared" si="54"/>
        <v>0</v>
      </c>
      <c r="R43" s="22" t="str">
        <f>IFERROR(INDEX(Supermarket!$Q$11:$Q$170,MATCH('Calculations - Supermarket'!$C43,Supermarket!$M$11:$M$170,0)),"")</f>
        <v/>
      </c>
      <c r="S43" s="22" t="str">
        <f>IFERROR(INDEX(Supermarket!$R$11:$R$170,MATCH('Calculations - Supermarket'!$C43,Supermarket!$M$11:$M$170,0)),"")</f>
        <v/>
      </c>
      <c r="T43" s="16" t="e">
        <f t="shared" si="55"/>
        <v>#VALUE!</v>
      </c>
      <c r="U43" s="16" t="e">
        <f t="shared" si="70"/>
        <v>#VALUE!</v>
      </c>
      <c r="V43" s="16" t="e">
        <f t="shared" si="71"/>
        <v>#VALUE!</v>
      </c>
      <c r="W43" s="10" t="str">
        <f t="shared" si="56"/>
        <v>-</v>
      </c>
      <c r="X43" s="10" t="str">
        <f t="shared" si="57"/>
        <v>-</v>
      </c>
      <c r="Y43" s="13" t="str">
        <f t="shared" si="72"/>
        <v>-</v>
      </c>
      <c r="Z43" s="9" t="str">
        <f t="shared" si="58"/>
        <v>-</v>
      </c>
      <c r="AA43" s="16" t="str">
        <f t="shared" si="73"/>
        <v>-</v>
      </c>
      <c r="AB43" s="16" t="str">
        <f t="shared" si="59"/>
        <v>-</v>
      </c>
      <c r="AC43" s="16" t="str">
        <f t="shared" si="60"/>
        <v>-</v>
      </c>
      <c r="AD43" s="16" t="str">
        <f t="shared" si="74"/>
        <v>-</v>
      </c>
      <c r="AE43" s="16"/>
      <c r="AF43" s="31" t="str">
        <f>IFERROR(INDEX(Supermarket!$P$11:$P$170,MATCH('Calculations - Supermarket'!C43,Supermarket!$M$11:$M$170,0)),"")</f>
        <v/>
      </c>
      <c r="AG43" s="23" t="str">
        <f t="shared" si="75"/>
        <v/>
      </c>
      <c r="AH43" s="23" t="str">
        <f t="shared" si="76"/>
        <v/>
      </c>
      <c r="AI43" s="9" t="str">
        <f t="shared" si="61"/>
        <v/>
      </c>
      <c r="AJ43" s="4" t="str">
        <f t="shared" si="62"/>
        <v/>
      </c>
      <c r="AK43" s="4"/>
      <c r="AL43" s="4"/>
      <c r="AM43" s="4"/>
      <c r="AN43" s="4"/>
      <c r="AO43" s="4"/>
      <c r="AP43" s="20" t="str">
        <f t="shared" si="63"/>
        <v>-</v>
      </c>
      <c r="AQ43" s="13" t="str">
        <f t="shared" si="77"/>
        <v>-</v>
      </c>
      <c r="AR43" s="13" t="str">
        <f t="shared" si="78"/>
        <v>-</v>
      </c>
      <c r="AS43" s="13" t="str">
        <f t="shared" si="64"/>
        <v>-</v>
      </c>
      <c r="AT43" s="16" t="str">
        <f t="shared" si="79"/>
        <v>-</v>
      </c>
      <c r="AU43" s="16" t="str">
        <f t="shared" si="65"/>
        <v>-</v>
      </c>
      <c r="AV43" s="16" t="str">
        <f t="shared" si="66"/>
        <v>-</v>
      </c>
      <c r="AW43" s="16" t="str">
        <f t="shared" si="80"/>
        <v>-</v>
      </c>
      <c r="AX43" s="13" t="str">
        <f t="shared" si="81"/>
        <v>-</v>
      </c>
      <c r="AY43" s="10" t="str">
        <f t="shared" si="82"/>
        <v>-</v>
      </c>
      <c r="AZ43" s="9" t="str">
        <f t="shared" si="83"/>
        <v>-</v>
      </c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</row>
    <row r="44" spans="2:68" x14ac:dyDescent="0.3">
      <c r="B44" s="108" t="str">
        <f t="shared" si="67"/>
        <v/>
      </c>
      <c r="C44" s="108" t="str">
        <f t="shared" si="51"/>
        <v/>
      </c>
      <c r="D44" s="3"/>
      <c r="E44" s="3"/>
      <c r="F44" s="3"/>
      <c r="G44" s="20">
        <f>IFERROR(INDEX('Input - Supermarket'!F$2:F$200,MATCH('Calculations - Supermarket'!$C44,'Input - Supermarket'!$B$2:$B$200,0)),"")</f>
        <v>0</v>
      </c>
      <c r="H44" s="20">
        <f>IFERROR(INDEX('Input - Supermarket'!G$2:G$200,MATCH('Calculations - Supermarket'!$C44,'Input - Supermarket'!$B$2:$B$200,0)),"")</f>
        <v>0</v>
      </c>
      <c r="I44" s="21">
        <f>IFERROR(INDEX('Input - Supermarket'!H$2:H$200,MATCH('Calculations - Supermarket'!$C44,'Input - Supermarket'!$B$2:$B$200,0)),"")</f>
        <v>0</v>
      </c>
      <c r="J44" s="21">
        <f>IFERROR(INDEX('Input - Supermarket'!I$2:I$200,MATCH('Calculations - Supermarket'!$C44,'Input - Supermarket'!$B$2:$B$200,0)),"")</f>
        <v>0</v>
      </c>
      <c r="K44" s="20">
        <f>IFERROR(INDEX('Input - Supermarket'!J$2:J$200,MATCH('Calculations - Supermarket'!$C44,'Input - Supermarket'!$B$2:$B$200,0)),"")</f>
        <v>0</v>
      </c>
      <c r="L44" s="20">
        <f>IFERROR(INDEX('Input - Supermarket'!K$2:K$200,MATCH('Calculations - Supermarket'!$C44,'Input - Supermarket'!$B$2:$B$200,0)),"")</f>
        <v>0</v>
      </c>
      <c r="M44" s="21" t="str">
        <f t="shared" si="68"/>
        <v/>
      </c>
      <c r="N44" s="21" t="str">
        <f t="shared" si="52"/>
        <v/>
      </c>
      <c r="O44" s="21">
        <f t="shared" si="69"/>
        <v>0</v>
      </c>
      <c r="P44" s="9">
        <f t="shared" si="53"/>
        <v>0</v>
      </c>
      <c r="Q44" s="9">
        <f t="shared" si="54"/>
        <v>0</v>
      </c>
      <c r="R44" s="22" t="str">
        <f>IFERROR(INDEX(Supermarket!$Q$11:$Q$170,MATCH('Calculations - Supermarket'!$C44,Supermarket!$M$11:$M$170,0)),"")</f>
        <v/>
      </c>
      <c r="S44" s="22" t="str">
        <f>IFERROR(INDEX(Supermarket!$R$11:$R$170,MATCH('Calculations - Supermarket'!$C44,Supermarket!$M$11:$M$170,0)),"")</f>
        <v/>
      </c>
      <c r="T44" s="16" t="e">
        <f t="shared" si="55"/>
        <v>#VALUE!</v>
      </c>
      <c r="U44" s="16" t="e">
        <f t="shared" si="70"/>
        <v>#VALUE!</v>
      </c>
      <c r="V44" s="16" t="e">
        <f t="shared" si="71"/>
        <v>#VALUE!</v>
      </c>
      <c r="W44" s="10" t="str">
        <f t="shared" si="56"/>
        <v>-</v>
      </c>
      <c r="X44" s="10" t="str">
        <f t="shared" si="57"/>
        <v>-</v>
      </c>
      <c r="Y44" s="13" t="str">
        <f t="shared" si="72"/>
        <v>-</v>
      </c>
      <c r="Z44" s="9" t="str">
        <f t="shared" si="58"/>
        <v>-</v>
      </c>
      <c r="AA44" s="16" t="str">
        <f t="shared" si="73"/>
        <v>-</v>
      </c>
      <c r="AB44" s="16" t="str">
        <f t="shared" si="59"/>
        <v>-</v>
      </c>
      <c r="AC44" s="16" t="str">
        <f t="shared" si="60"/>
        <v>-</v>
      </c>
      <c r="AD44" s="16" t="str">
        <f t="shared" si="74"/>
        <v>-</v>
      </c>
      <c r="AE44" s="16"/>
      <c r="AF44" s="31" t="str">
        <f>IFERROR(INDEX(Supermarket!$P$11:$P$170,MATCH('Calculations - Supermarket'!C44,Supermarket!$M$11:$M$170,0)),"")</f>
        <v/>
      </c>
      <c r="AG44" s="23" t="str">
        <f t="shared" si="75"/>
        <v/>
      </c>
      <c r="AH44" s="23" t="str">
        <f t="shared" si="76"/>
        <v/>
      </c>
      <c r="AI44" s="9" t="str">
        <f t="shared" si="61"/>
        <v/>
      </c>
      <c r="AJ44" s="4" t="str">
        <f t="shared" si="62"/>
        <v/>
      </c>
      <c r="AK44" s="4"/>
      <c r="AL44" s="4"/>
      <c r="AM44" s="4"/>
      <c r="AN44" s="4"/>
      <c r="AO44" s="4"/>
      <c r="AP44" s="20" t="str">
        <f t="shared" si="63"/>
        <v>-</v>
      </c>
      <c r="AQ44" s="13" t="str">
        <f t="shared" si="77"/>
        <v>-</v>
      </c>
      <c r="AR44" s="13" t="str">
        <f t="shared" si="78"/>
        <v>-</v>
      </c>
      <c r="AS44" s="13" t="str">
        <f t="shared" si="64"/>
        <v>-</v>
      </c>
      <c r="AT44" s="16" t="str">
        <f t="shared" si="79"/>
        <v>-</v>
      </c>
      <c r="AU44" s="16" t="str">
        <f t="shared" si="65"/>
        <v>-</v>
      </c>
      <c r="AV44" s="16" t="str">
        <f t="shared" si="66"/>
        <v>-</v>
      </c>
      <c r="AW44" s="16" t="str">
        <f t="shared" si="80"/>
        <v>-</v>
      </c>
      <c r="AX44" s="13" t="str">
        <f t="shared" si="81"/>
        <v>-</v>
      </c>
      <c r="AY44" s="10" t="str">
        <f t="shared" si="82"/>
        <v>-</v>
      </c>
      <c r="AZ44" s="9" t="str">
        <f t="shared" si="83"/>
        <v>-</v>
      </c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</row>
    <row r="45" spans="2:68" x14ac:dyDescent="0.3">
      <c r="B45" s="108" t="str">
        <f t="shared" si="67"/>
        <v/>
      </c>
      <c r="C45" s="108" t="str">
        <f t="shared" si="51"/>
        <v/>
      </c>
      <c r="D45" s="3"/>
      <c r="E45" s="3"/>
      <c r="F45" s="3"/>
      <c r="G45" s="20">
        <f>IFERROR(INDEX('Input - Supermarket'!F$2:F$200,MATCH('Calculations - Supermarket'!$C45,'Input - Supermarket'!$B$2:$B$200,0)),"")</f>
        <v>0</v>
      </c>
      <c r="H45" s="20">
        <f>IFERROR(INDEX('Input - Supermarket'!G$2:G$200,MATCH('Calculations - Supermarket'!$C45,'Input - Supermarket'!$B$2:$B$200,0)),"")</f>
        <v>0</v>
      </c>
      <c r="I45" s="21">
        <f>IFERROR(INDEX('Input - Supermarket'!H$2:H$200,MATCH('Calculations - Supermarket'!$C45,'Input - Supermarket'!$B$2:$B$200,0)),"")</f>
        <v>0</v>
      </c>
      <c r="J45" s="21">
        <f>IFERROR(INDEX('Input - Supermarket'!I$2:I$200,MATCH('Calculations - Supermarket'!$C45,'Input - Supermarket'!$B$2:$B$200,0)),"")</f>
        <v>0</v>
      </c>
      <c r="K45" s="20">
        <f>IFERROR(INDEX('Input - Supermarket'!J$2:J$200,MATCH('Calculations - Supermarket'!$C45,'Input - Supermarket'!$B$2:$B$200,0)),"")</f>
        <v>0</v>
      </c>
      <c r="L45" s="20">
        <f>IFERROR(INDEX('Input - Supermarket'!K$2:K$200,MATCH('Calculations - Supermarket'!$C45,'Input - Supermarket'!$B$2:$B$200,0)),"")</f>
        <v>0</v>
      </c>
      <c r="M45" s="21" t="str">
        <f t="shared" si="68"/>
        <v/>
      </c>
      <c r="N45" s="21" t="str">
        <f t="shared" si="52"/>
        <v/>
      </c>
      <c r="O45" s="21">
        <f t="shared" si="69"/>
        <v>0</v>
      </c>
      <c r="P45" s="9">
        <f t="shared" si="53"/>
        <v>0</v>
      </c>
      <c r="Q45" s="9">
        <f t="shared" si="54"/>
        <v>0</v>
      </c>
      <c r="R45" s="22" t="str">
        <f>IFERROR(INDEX(Supermarket!$Q$11:$Q$170,MATCH('Calculations - Supermarket'!$C45,Supermarket!$M$11:$M$170,0)),"")</f>
        <v/>
      </c>
      <c r="S45" s="22" t="str">
        <f>IFERROR(INDEX(Supermarket!$R$11:$R$170,MATCH('Calculations - Supermarket'!$C45,Supermarket!$M$11:$M$170,0)),"")</f>
        <v/>
      </c>
      <c r="T45" s="16" t="e">
        <f t="shared" si="55"/>
        <v>#VALUE!</v>
      </c>
      <c r="U45" s="16" t="e">
        <f t="shared" si="70"/>
        <v>#VALUE!</v>
      </c>
      <c r="V45" s="16" t="e">
        <f t="shared" si="71"/>
        <v>#VALUE!</v>
      </c>
      <c r="W45" s="10" t="str">
        <f t="shared" si="56"/>
        <v>-</v>
      </c>
      <c r="X45" s="10" t="str">
        <f t="shared" si="57"/>
        <v>-</v>
      </c>
      <c r="Y45" s="13" t="str">
        <f t="shared" si="72"/>
        <v>-</v>
      </c>
      <c r="Z45" s="9" t="str">
        <f t="shared" si="58"/>
        <v>-</v>
      </c>
      <c r="AA45" s="16" t="str">
        <f t="shared" si="73"/>
        <v>-</v>
      </c>
      <c r="AB45" s="16" t="str">
        <f t="shared" si="59"/>
        <v>-</v>
      </c>
      <c r="AC45" s="16" t="str">
        <f t="shared" si="60"/>
        <v>-</v>
      </c>
      <c r="AD45" s="16" t="str">
        <f t="shared" si="74"/>
        <v>-</v>
      </c>
      <c r="AE45" s="16"/>
      <c r="AF45" s="31" t="str">
        <f>IFERROR(INDEX(Supermarket!$P$11:$P$170,MATCH('Calculations - Supermarket'!C45,Supermarket!$M$11:$M$170,0)),"")</f>
        <v/>
      </c>
      <c r="AG45" s="23" t="str">
        <f t="shared" si="75"/>
        <v/>
      </c>
      <c r="AH45" s="23" t="str">
        <f t="shared" si="76"/>
        <v/>
      </c>
      <c r="AI45" s="9" t="str">
        <f t="shared" si="61"/>
        <v/>
      </c>
      <c r="AJ45" s="4" t="str">
        <f t="shared" si="62"/>
        <v/>
      </c>
      <c r="AK45" s="4"/>
      <c r="AL45" s="4"/>
      <c r="AM45" s="4"/>
      <c r="AN45" s="4"/>
      <c r="AO45" s="4"/>
      <c r="AP45" s="20" t="str">
        <f t="shared" si="63"/>
        <v>-</v>
      </c>
      <c r="AQ45" s="13" t="str">
        <f t="shared" si="77"/>
        <v>-</v>
      </c>
      <c r="AR45" s="13" t="str">
        <f t="shared" si="78"/>
        <v>-</v>
      </c>
      <c r="AS45" s="13" t="str">
        <f t="shared" si="64"/>
        <v>-</v>
      </c>
      <c r="AT45" s="16" t="str">
        <f t="shared" si="79"/>
        <v>-</v>
      </c>
      <c r="AU45" s="16" t="str">
        <f t="shared" si="65"/>
        <v>-</v>
      </c>
      <c r="AV45" s="16" t="str">
        <f t="shared" si="66"/>
        <v>-</v>
      </c>
      <c r="AW45" s="16" t="str">
        <f t="shared" si="80"/>
        <v>-</v>
      </c>
      <c r="AX45" s="13" t="str">
        <f t="shared" si="81"/>
        <v>-</v>
      </c>
      <c r="AY45" s="10" t="str">
        <f t="shared" si="82"/>
        <v>-</v>
      </c>
      <c r="AZ45" s="9" t="str">
        <f t="shared" si="83"/>
        <v>-</v>
      </c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</row>
    <row r="46" spans="2:68" x14ac:dyDescent="0.3">
      <c r="B46" s="108" t="str">
        <f t="shared" si="67"/>
        <v/>
      </c>
      <c r="C46" s="108" t="str">
        <f t="shared" si="51"/>
        <v/>
      </c>
      <c r="D46" s="3"/>
      <c r="E46" s="3"/>
      <c r="F46" s="3"/>
      <c r="G46" s="20">
        <f>IFERROR(INDEX('Input - Supermarket'!F$2:F$200,MATCH('Calculations - Supermarket'!$C46,'Input - Supermarket'!$B$2:$B$200,0)),"")</f>
        <v>0</v>
      </c>
      <c r="H46" s="20">
        <f>IFERROR(INDEX('Input - Supermarket'!G$2:G$200,MATCH('Calculations - Supermarket'!$C46,'Input - Supermarket'!$B$2:$B$200,0)),"")</f>
        <v>0</v>
      </c>
      <c r="I46" s="21">
        <f>IFERROR(INDEX('Input - Supermarket'!H$2:H$200,MATCH('Calculations - Supermarket'!$C46,'Input - Supermarket'!$B$2:$B$200,0)),"")</f>
        <v>0</v>
      </c>
      <c r="J46" s="21">
        <f>IFERROR(INDEX('Input - Supermarket'!I$2:I$200,MATCH('Calculations - Supermarket'!$C46,'Input - Supermarket'!$B$2:$B$200,0)),"")</f>
        <v>0</v>
      </c>
      <c r="K46" s="20">
        <f>IFERROR(INDEX('Input - Supermarket'!J$2:J$200,MATCH('Calculations - Supermarket'!$C46,'Input - Supermarket'!$B$2:$B$200,0)),"")</f>
        <v>0</v>
      </c>
      <c r="L46" s="20">
        <f>IFERROR(INDEX('Input - Supermarket'!K$2:K$200,MATCH('Calculations - Supermarket'!$C46,'Input - Supermarket'!$B$2:$B$200,0)),"")</f>
        <v>0</v>
      </c>
      <c r="M46" s="21" t="str">
        <f t="shared" si="68"/>
        <v/>
      </c>
      <c r="N46" s="21" t="str">
        <f t="shared" si="52"/>
        <v/>
      </c>
      <c r="O46" s="21">
        <f t="shared" si="69"/>
        <v>0</v>
      </c>
      <c r="P46" s="9">
        <f t="shared" si="53"/>
        <v>0</v>
      </c>
      <c r="Q46" s="9">
        <f t="shared" si="54"/>
        <v>0</v>
      </c>
      <c r="R46" s="22" t="str">
        <f>IFERROR(INDEX(Supermarket!$Q$11:$Q$170,MATCH('Calculations - Supermarket'!$C46,Supermarket!$M$11:$M$170,0)),"")</f>
        <v/>
      </c>
      <c r="S46" s="22" t="str">
        <f>IFERROR(INDEX(Supermarket!$R$11:$R$170,MATCH('Calculations - Supermarket'!$C46,Supermarket!$M$11:$M$170,0)),"")</f>
        <v/>
      </c>
      <c r="T46" s="16" t="e">
        <f t="shared" si="55"/>
        <v>#VALUE!</v>
      </c>
      <c r="U46" s="16" t="e">
        <f t="shared" si="70"/>
        <v>#VALUE!</v>
      </c>
      <c r="V46" s="16" t="e">
        <f t="shared" si="71"/>
        <v>#VALUE!</v>
      </c>
      <c r="W46" s="10" t="str">
        <f t="shared" si="56"/>
        <v>-</v>
      </c>
      <c r="X46" s="10" t="str">
        <f t="shared" si="57"/>
        <v>-</v>
      </c>
      <c r="Y46" s="13" t="str">
        <f t="shared" si="72"/>
        <v>-</v>
      </c>
      <c r="Z46" s="9" t="str">
        <f t="shared" si="58"/>
        <v>-</v>
      </c>
      <c r="AA46" s="16" t="str">
        <f t="shared" si="73"/>
        <v>-</v>
      </c>
      <c r="AB46" s="16" t="str">
        <f t="shared" si="59"/>
        <v>-</v>
      </c>
      <c r="AC46" s="16" t="str">
        <f t="shared" si="60"/>
        <v>-</v>
      </c>
      <c r="AD46" s="16" t="str">
        <f t="shared" si="74"/>
        <v>-</v>
      </c>
      <c r="AE46" s="16"/>
      <c r="AF46" s="31" t="str">
        <f>IFERROR(INDEX(Supermarket!$P$11:$P$170,MATCH('Calculations - Supermarket'!C46,Supermarket!$M$11:$M$170,0)),"")</f>
        <v/>
      </c>
      <c r="AG46" s="23" t="str">
        <f t="shared" si="75"/>
        <v/>
      </c>
      <c r="AH46" s="23" t="str">
        <f t="shared" si="76"/>
        <v/>
      </c>
      <c r="AI46" s="9" t="str">
        <f t="shared" si="61"/>
        <v/>
      </c>
      <c r="AJ46" s="4" t="str">
        <f t="shared" si="62"/>
        <v/>
      </c>
      <c r="AK46" s="4"/>
      <c r="AL46" s="4"/>
      <c r="AM46" s="4"/>
      <c r="AN46" s="4"/>
      <c r="AO46" s="4"/>
      <c r="AP46" s="20" t="str">
        <f t="shared" si="63"/>
        <v>-</v>
      </c>
      <c r="AQ46" s="13" t="str">
        <f t="shared" si="77"/>
        <v>-</v>
      </c>
      <c r="AR46" s="13" t="str">
        <f t="shared" si="78"/>
        <v>-</v>
      </c>
      <c r="AS46" s="13" t="str">
        <f t="shared" si="64"/>
        <v>-</v>
      </c>
      <c r="AT46" s="16" t="str">
        <f t="shared" si="79"/>
        <v>-</v>
      </c>
      <c r="AU46" s="16" t="str">
        <f t="shared" si="65"/>
        <v>-</v>
      </c>
      <c r="AV46" s="16" t="str">
        <f t="shared" si="66"/>
        <v>-</v>
      </c>
      <c r="AW46" s="16" t="str">
        <f t="shared" si="80"/>
        <v>-</v>
      </c>
      <c r="AX46" s="13" t="str">
        <f t="shared" si="81"/>
        <v>-</v>
      </c>
      <c r="AY46" s="10" t="str">
        <f t="shared" si="82"/>
        <v>-</v>
      </c>
      <c r="AZ46" s="9" t="str">
        <f t="shared" si="83"/>
        <v>-</v>
      </c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</row>
    <row r="47" spans="2:68" x14ac:dyDescent="0.3">
      <c r="B47" s="108" t="str">
        <f t="shared" si="67"/>
        <v/>
      </c>
      <c r="C47" s="108" t="str">
        <f t="shared" si="51"/>
        <v/>
      </c>
      <c r="D47" s="3"/>
      <c r="E47" s="3"/>
      <c r="F47" s="3"/>
      <c r="G47" s="20">
        <f>IFERROR(INDEX('Input - Supermarket'!F$2:F$200,MATCH('Calculations - Supermarket'!$C47,'Input - Supermarket'!$B$2:$B$200,0)),"")</f>
        <v>0</v>
      </c>
      <c r="H47" s="20">
        <f>IFERROR(INDEX('Input - Supermarket'!G$2:G$200,MATCH('Calculations - Supermarket'!$C47,'Input - Supermarket'!$B$2:$B$200,0)),"")</f>
        <v>0</v>
      </c>
      <c r="I47" s="21">
        <f>IFERROR(INDEX('Input - Supermarket'!H$2:H$200,MATCH('Calculations - Supermarket'!$C47,'Input - Supermarket'!$B$2:$B$200,0)),"")</f>
        <v>0</v>
      </c>
      <c r="J47" s="21">
        <f>IFERROR(INDEX('Input - Supermarket'!I$2:I$200,MATCH('Calculations - Supermarket'!$C47,'Input - Supermarket'!$B$2:$B$200,0)),"")</f>
        <v>0</v>
      </c>
      <c r="K47" s="20">
        <f>IFERROR(INDEX('Input - Supermarket'!J$2:J$200,MATCH('Calculations - Supermarket'!$C47,'Input - Supermarket'!$B$2:$B$200,0)),"")</f>
        <v>0</v>
      </c>
      <c r="L47" s="20">
        <f>IFERROR(INDEX('Input - Supermarket'!K$2:K$200,MATCH('Calculations - Supermarket'!$C47,'Input - Supermarket'!$B$2:$B$200,0)),"")</f>
        <v>0</v>
      </c>
      <c r="M47" s="21" t="str">
        <f t="shared" si="68"/>
        <v/>
      </c>
      <c r="N47" s="21" t="str">
        <f t="shared" si="52"/>
        <v/>
      </c>
      <c r="O47" s="21">
        <f t="shared" si="69"/>
        <v>0</v>
      </c>
      <c r="P47" s="9">
        <f t="shared" si="53"/>
        <v>0</v>
      </c>
      <c r="Q47" s="9">
        <f t="shared" si="54"/>
        <v>0</v>
      </c>
      <c r="R47" s="22" t="str">
        <f>IFERROR(INDEX(Supermarket!$Q$11:$Q$170,MATCH('Calculations - Supermarket'!$C47,Supermarket!$M$11:$M$170,0)),"")</f>
        <v/>
      </c>
      <c r="S47" s="22" t="str">
        <f>IFERROR(INDEX(Supermarket!$R$11:$R$170,MATCH('Calculations - Supermarket'!$C47,Supermarket!$M$11:$M$170,0)),"")</f>
        <v/>
      </c>
      <c r="T47" s="16" t="e">
        <f t="shared" si="55"/>
        <v>#VALUE!</v>
      </c>
      <c r="U47" s="16" t="e">
        <f t="shared" si="70"/>
        <v>#VALUE!</v>
      </c>
      <c r="V47" s="16" t="e">
        <f t="shared" si="71"/>
        <v>#VALUE!</v>
      </c>
      <c r="W47" s="10" t="str">
        <f t="shared" si="56"/>
        <v>-</v>
      </c>
      <c r="X47" s="10" t="str">
        <f t="shared" si="57"/>
        <v>-</v>
      </c>
      <c r="Y47" s="13" t="str">
        <f t="shared" si="72"/>
        <v>-</v>
      </c>
      <c r="Z47" s="9" t="str">
        <f t="shared" si="58"/>
        <v>-</v>
      </c>
      <c r="AA47" s="16" t="str">
        <f t="shared" si="73"/>
        <v>-</v>
      </c>
      <c r="AB47" s="16" t="str">
        <f t="shared" si="59"/>
        <v>-</v>
      </c>
      <c r="AC47" s="16" t="str">
        <f t="shared" si="60"/>
        <v>-</v>
      </c>
      <c r="AD47" s="16" t="str">
        <f t="shared" si="74"/>
        <v>-</v>
      </c>
      <c r="AE47" s="16"/>
      <c r="AF47" s="31" t="str">
        <f>IFERROR(INDEX(Supermarket!$P$11:$P$170,MATCH('Calculations - Supermarket'!C47,Supermarket!$M$11:$M$170,0)),"")</f>
        <v/>
      </c>
      <c r="AG47" s="23" t="str">
        <f t="shared" si="75"/>
        <v/>
      </c>
      <c r="AH47" s="23" t="str">
        <f t="shared" si="76"/>
        <v/>
      </c>
      <c r="AI47" s="9" t="str">
        <f t="shared" si="61"/>
        <v/>
      </c>
      <c r="AJ47" s="4" t="str">
        <f t="shared" si="62"/>
        <v/>
      </c>
      <c r="AK47" s="4"/>
      <c r="AL47" s="4"/>
      <c r="AM47" s="4"/>
      <c r="AN47" s="4"/>
      <c r="AO47" s="4"/>
      <c r="AP47" s="20" t="str">
        <f t="shared" si="63"/>
        <v>-</v>
      </c>
      <c r="AQ47" s="13" t="str">
        <f t="shared" si="77"/>
        <v>-</v>
      </c>
      <c r="AR47" s="13" t="str">
        <f t="shared" si="78"/>
        <v>-</v>
      </c>
      <c r="AS47" s="13" t="str">
        <f t="shared" si="64"/>
        <v>-</v>
      </c>
      <c r="AT47" s="16" t="str">
        <f t="shared" si="79"/>
        <v>-</v>
      </c>
      <c r="AU47" s="16" t="str">
        <f t="shared" si="65"/>
        <v>-</v>
      </c>
      <c r="AV47" s="16" t="str">
        <f t="shared" si="66"/>
        <v>-</v>
      </c>
      <c r="AW47" s="16" t="str">
        <f t="shared" si="80"/>
        <v>-</v>
      </c>
      <c r="AX47" s="13" t="str">
        <f t="shared" si="81"/>
        <v>-</v>
      </c>
      <c r="AY47" s="10" t="str">
        <f t="shared" si="82"/>
        <v>-</v>
      </c>
      <c r="AZ47" s="9" t="str">
        <f t="shared" si="83"/>
        <v>-</v>
      </c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</row>
    <row r="48" spans="2:68" x14ac:dyDescent="0.3">
      <c r="B48" s="108" t="str">
        <f t="shared" si="67"/>
        <v/>
      </c>
      <c r="C48" s="108" t="str">
        <f t="shared" si="51"/>
        <v/>
      </c>
      <c r="D48" s="3"/>
      <c r="E48" s="3"/>
      <c r="F48" s="3"/>
      <c r="G48" s="20">
        <f>IFERROR(INDEX('Input - Supermarket'!F$2:F$200,MATCH('Calculations - Supermarket'!$C48,'Input - Supermarket'!$B$2:$B$200,0)),"")</f>
        <v>0</v>
      </c>
      <c r="H48" s="20">
        <f>IFERROR(INDEX('Input - Supermarket'!G$2:G$200,MATCH('Calculations - Supermarket'!$C48,'Input - Supermarket'!$B$2:$B$200,0)),"")</f>
        <v>0</v>
      </c>
      <c r="I48" s="21">
        <f>IFERROR(INDEX('Input - Supermarket'!H$2:H$200,MATCH('Calculations - Supermarket'!$C48,'Input - Supermarket'!$B$2:$B$200,0)),"")</f>
        <v>0</v>
      </c>
      <c r="J48" s="21">
        <f>IFERROR(INDEX('Input - Supermarket'!I$2:I$200,MATCH('Calculations - Supermarket'!$C48,'Input - Supermarket'!$B$2:$B$200,0)),"")</f>
        <v>0</v>
      </c>
      <c r="K48" s="20">
        <f>IFERROR(INDEX('Input - Supermarket'!J$2:J$200,MATCH('Calculations - Supermarket'!$C48,'Input - Supermarket'!$B$2:$B$200,0)),"")</f>
        <v>0</v>
      </c>
      <c r="L48" s="20">
        <f>IFERROR(INDEX('Input - Supermarket'!K$2:K$200,MATCH('Calculations - Supermarket'!$C48,'Input - Supermarket'!$B$2:$B$200,0)),"")</f>
        <v>0</v>
      </c>
      <c r="M48" s="21" t="str">
        <f t="shared" si="68"/>
        <v/>
      </c>
      <c r="N48" s="21" t="str">
        <f t="shared" si="52"/>
        <v/>
      </c>
      <c r="O48" s="21">
        <f t="shared" si="69"/>
        <v>0</v>
      </c>
      <c r="P48" s="9">
        <f t="shared" si="53"/>
        <v>0</v>
      </c>
      <c r="Q48" s="9">
        <f t="shared" si="54"/>
        <v>0</v>
      </c>
      <c r="R48" s="22" t="str">
        <f>IFERROR(INDEX(Supermarket!$Q$11:$Q$170,MATCH('Calculations - Supermarket'!$C48,Supermarket!$M$11:$M$170,0)),"")</f>
        <v/>
      </c>
      <c r="S48" s="22" t="str">
        <f>IFERROR(INDEX(Supermarket!$R$11:$R$170,MATCH('Calculations - Supermarket'!$C48,Supermarket!$M$11:$M$170,0)),"")</f>
        <v/>
      </c>
      <c r="T48" s="16" t="e">
        <f t="shared" si="55"/>
        <v>#VALUE!</v>
      </c>
      <c r="U48" s="16" t="e">
        <f t="shared" si="70"/>
        <v>#VALUE!</v>
      </c>
      <c r="V48" s="16" t="e">
        <f t="shared" si="71"/>
        <v>#VALUE!</v>
      </c>
      <c r="W48" s="10" t="str">
        <f t="shared" si="56"/>
        <v>-</v>
      </c>
      <c r="X48" s="10" t="str">
        <f t="shared" si="57"/>
        <v>-</v>
      </c>
      <c r="Y48" s="13" t="str">
        <f t="shared" si="72"/>
        <v>-</v>
      </c>
      <c r="Z48" s="9" t="str">
        <f t="shared" si="58"/>
        <v>-</v>
      </c>
      <c r="AA48" s="16" t="str">
        <f t="shared" si="73"/>
        <v>-</v>
      </c>
      <c r="AB48" s="16" t="str">
        <f t="shared" si="59"/>
        <v>-</v>
      </c>
      <c r="AC48" s="16" t="str">
        <f t="shared" si="60"/>
        <v>-</v>
      </c>
      <c r="AD48" s="16" t="str">
        <f t="shared" si="74"/>
        <v>-</v>
      </c>
      <c r="AE48" s="16"/>
      <c r="AF48" s="31" t="str">
        <f>IFERROR(INDEX(Supermarket!$P$11:$P$170,MATCH('Calculations - Supermarket'!C48,Supermarket!$M$11:$M$170,0)),"")</f>
        <v/>
      </c>
      <c r="AG48" s="23" t="str">
        <f t="shared" si="75"/>
        <v/>
      </c>
      <c r="AH48" s="23" t="str">
        <f t="shared" si="76"/>
        <v/>
      </c>
      <c r="AI48" s="9" t="str">
        <f t="shared" si="61"/>
        <v/>
      </c>
      <c r="AJ48" s="4" t="str">
        <f t="shared" si="62"/>
        <v/>
      </c>
      <c r="AK48" s="4"/>
      <c r="AL48" s="4"/>
      <c r="AM48" s="4"/>
      <c r="AN48" s="4"/>
      <c r="AO48" s="4"/>
      <c r="AP48" s="20" t="str">
        <f t="shared" si="63"/>
        <v>-</v>
      </c>
      <c r="AQ48" s="13" t="str">
        <f t="shared" si="77"/>
        <v>-</v>
      </c>
      <c r="AR48" s="13" t="str">
        <f t="shared" si="78"/>
        <v>-</v>
      </c>
      <c r="AS48" s="13" t="str">
        <f t="shared" si="64"/>
        <v>-</v>
      </c>
      <c r="AT48" s="16" t="str">
        <f t="shared" si="79"/>
        <v>-</v>
      </c>
      <c r="AU48" s="16" t="str">
        <f t="shared" si="65"/>
        <v>-</v>
      </c>
      <c r="AV48" s="16" t="str">
        <f t="shared" si="66"/>
        <v>-</v>
      </c>
      <c r="AW48" s="16" t="str">
        <f t="shared" si="80"/>
        <v>-</v>
      </c>
      <c r="AX48" s="13" t="str">
        <f t="shared" si="81"/>
        <v>-</v>
      </c>
      <c r="AY48" s="10" t="str">
        <f t="shared" si="82"/>
        <v>-</v>
      </c>
      <c r="AZ48" s="9" t="str">
        <f t="shared" si="83"/>
        <v>-</v>
      </c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</row>
    <row r="49" spans="2:68" x14ac:dyDescent="0.3">
      <c r="B49" s="108" t="str">
        <f t="shared" si="67"/>
        <v/>
      </c>
      <c r="C49" s="108" t="str">
        <f t="shared" si="51"/>
        <v/>
      </c>
      <c r="D49" s="3"/>
      <c r="E49" s="3"/>
      <c r="F49" s="3"/>
      <c r="G49" s="20">
        <f>IFERROR(INDEX('Input - Supermarket'!F$2:F$200,MATCH('Calculations - Supermarket'!$C49,'Input - Supermarket'!$B$2:$B$200,0)),"")</f>
        <v>0</v>
      </c>
      <c r="H49" s="20">
        <f>IFERROR(INDEX('Input - Supermarket'!G$2:G$200,MATCH('Calculations - Supermarket'!$C49,'Input - Supermarket'!$B$2:$B$200,0)),"")</f>
        <v>0</v>
      </c>
      <c r="I49" s="21">
        <f>IFERROR(INDEX('Input - Supermarket'!H$2:H$200,MATCH('Calculations - Supermarket'!$C49,'Input - Supermarket'!$B$2:$B$200,0)),"")</f>
        <v>0</v>
      </c>
      <c r="J49" s="21">
        <f>IFERROR(INDEX('Input - Supermarket'!I$2:I$200,MATCH('Calculations - Supermarket'!$C49,'Input - Supermarket'!$B$2:$B$200,0)),"")</f>
        <v>0</v>
      </c>
      <c r="K49" s="20">
        <f>IFERROR(INDEX('Input - Supermarket'!J$2:J$200,MATCH('Calculations - Supermarket'!$C49,'Input - Supermarket'!$B$2:$B$200,0)),"")</f>
        <v>0</v>
      </c>
      <c r="L49" s="20">
        <f>IFERROR(INDEX('Input - Supermarket'!K$2:K$200,MATCH('Calculations - Supermarket'!$C49,'Input - Supermarket'!$B$2:$B$200,0)),"")</f>
        <v>0</v>
      </c>
      <c r="M49" s="21" t="str">
        <f t="shared" si="68"/>
        <v/>
      </c>
      <c r="N49" s="21" t="str">
        <f t="shared" si="52"/>
        <v/>
      </c>
      <c r="O49" s="21">
        <f t="shared" si="69"/>
        <v>0</v>
      </c>
      <c r="P49" s="9">
        <f t="shared" si="53"/>
        <v>0</v>
      </c>
      <c r="Q49" s="9">
        <f t="shared" si="54"/>
        <v>0</v>
      </c>
      <c r="R49" s="22" t="str">
        <f>IFERROR(INDEX(Supermarket!$Q$11:$Q$170,MATCH('Calculations - Supermarket'!$C49,Supermarket!$M$11:$M$170,0)),"")</f>
        <v/>
      </c>
      <c r="S49" s="22" t="str">
        <f>IFERROR(INDEX(Supermarket!$R$11:$R$170,MATCH('Calculations - Supermarket'!$C49,Supermarket!$M$11:$M$170,0)),"")</f>
        <v/>
      </c>
      <c r="T49" s="16" t="e">
        <f t="shared" si="55"/>
        <v>#VALUE!</v>
      </c>
      <c r="U49" s="16" t="e">
        <f t="shared" si="70"/>
        <v>#VALUE!</v>
      </c>
      <c r="V49" s="16" t="e">
        <f t="shared" si="71"/>
        <v>#VALUE!</v>
      </c>
      <c r="W49" s="10" t="str">
        <f t="shared" si="56"/>
        <v>-</v>
      </c>
      <c r="X49" s="10" t="str">
        <f t="shared" si="57"/>
        <v>-</v>
      </c>
      <c r="Y49" s="13" t="str">
        <f t="shared" si="72"/>
        <v>-</v>
      </c>
      <c r="Z49" s="9" t="str">
        <f t="shared" si="58"/>
        <v>-</v>
      </c>
      <c r="AA49" s="16" t="str">
        <f t="shared" si="73"/>
        <v>-</v>
      </c>
      <c r="AB49" s="16" t="str">
        <f t="shared" si="59"/>
        <v>-</v>
      </c>
      <c r="AC49" s="16" t="str">
        <f t="shared" si="60"/>
        <v>-</v>
      </c>
      <c r="AD49" s="16" t="str">
        <f t="shared" si="74"/>
        <v>-</v>
      </c>
      <c r="AE49" s="16"/>
      <c r="AF49" s="31" t="str">
        <f>IFERROR(INDEX(Supermarket!$P$11:$P$170,MATCH('Calculations - Supermarket'!C49,Supermarket!$M$11:$M$170,0)),"")</f>
        <v/>
      </c>
      <c r="AG49" s="23" t="str">
        <f t="shared" si="75"/>
        <v/>
      </c>
      <c r="AH49" s="23" t="str">
        <f t="shared" si="76"/>
        <v/>
      </c>
      <c r="AI49" s="9" t="str">
        <f t="shared" si="61"/>
        <v/>
      </c>
      <c r="AJ49" s="4" t="str">
        <f t="shared" si="62"/>
        <v/>
      </c>
      <c r="AK49" s="4"/>
      <c r="AL49" s="4"/>
      <c r="AM49" s="4"/>
      <c r="AN49" s="4"/>
      <c r="AO49" s="4"/>
      <c r="AP49" s="20" t="str">
        <f t="shared" si="63"/>
        <v>-</v>
      </c>
      <c r="AQ49" s="13" t="str">
        <f t="shared" si="77"/>
        <v>-</v>
      </c>
      <c r="AR49" s="13" t="str">
        <f t="shared" si="78"/>
        <v>-</v>
      </c>
      <c r="AS49" s="13" t="str">
        <f t="shared" si="64"/>
        <v>-</v>
      </c>
      <c r="AT49" s="16" t="str">
        <f t="shared" si="79"/>
        <v>-</v>
      </c>
      <c r="AU49" s="16" t="str">
        <f t="shared" si="65"/>
        <v>-</v>
      </c>
      <c r="AV49" s="16" t="str">
        <f t="shared" si="66"/>
        <v>-</v>
      </c>
      <c r="AW49" s="16" t="str">
        <f t="shared" si="80"/>
        <v>-</v>
      </c>
      <c r="AX49" s="13" t="str">
        <f t="shared" si="81"/>
        <v>-</v>
      </c>
      <c r="AY49" s="10" t="str">
        <f t="shared" si="82"/>
        <v>-</v>
      </c>
      <c r="AZ49" s="9" t="str">
        <f t="shared" si="83"/>
        <v>-</v>
      </c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</row>
    <row r="50" spans="2:68" x14ac:dyDescent="0.3">
      <c r="B50" s="108" t="str">
        <f t="shared" si="67"/>
        <v/>
      </c>
      <c r="C50" s="108" t="str">
        <f t="shared" si="51"/>
        <v/>
      </c>
      <c r="D50" s="3"/>
      <c r="E50" s="3"/>
      <c r="F50" s="3"/>
      <c r="G50" s="20">
        <f>IFERROR(INDEX('Input - Supermarket'!F$2:F$200,MATCH('Calculations - Supermarket'!$C50,'Input - Supermarket'!$B$2:$B$200,0)),"")</f>
        <v>0</v>
      </c>
      <c r="H50" s="20">
        <f>IFERROR(INDEX('Input - Supermarket'!G$2:G$200,MATCH('Calculations - Supermarket'!$C50,'Input - Supermarket'!$B$2:$B$200,0)),"")</f>
        <v>0</v>
      </c>
      <c r="I50" s="21">
        <f>IFERROR(INDEX('Input - Supermarket'!H$2:H$200,MATCH('Calculations - Supermarket'!$C50,'Input - Supermarket'!$B$2:$B$200,0)),"")</f>
        <v>0</v>
      </c>
      <c r="J50" s="21">
        <f>IFERROR(INDEX('Input - Supermarket'!I$2:I$200,MATCH('Calculations - Supermarket'!$C50,'Input - Supermarket'!$B$2:$B$200,0)),"")</f>
        <v>0</v>
      </c>
      <c r="K50" s="20">
        <f>IFERROR(INDEX('Input - Supermarket'!J$2:J$200,MATCH('Calculations - Supermarket'!$C50,'Input - Supermarket'!$B$2:$B$200,0)),"")</f>
        <v>0</v>
      </c>
      <c r="L50" s="20">
        <f>IFERROR(INDEX('Input - Supermarket'!K$2:K$200,MATCH('Calculations - Supermarket'!$C50,'Input - Supermarket'!$B$2:$B$200,0)),"")</f>
        <v>0</v>
      </c>
      <c r="M50" s="21" t="str">
        <f t="shared" si="68"/>
        <v/>
      </c>
      <c r="N50" s="21" t="str">
        <f t="shared" si="52"/>
        <v/>
      </c>
      <c r="O50" s="21">
        <f t="shared" si="69"/>
        <v>0</v>
      </c>
      <c r="P50" s="9">
        <f t="shared" si="53"/>
        <v>0</v>
      </c>
      <c r="Q50" s="9">
        <f t="shared" si="54"/>
        <v>0</v>
      </c>
      <c r="R50" s="22" t="str">
        <f>IFERROR(INDEX(Supermarket!$Q$11:$Q$170,MATCH('Calculations - Supermarket'!$C50,Supermarket!$M$11:$M$170,0)),"")</f>
        <v/>
      </c>
      <c r="S50" s="22" t="str">
        <f>IFERROR(INDEX(Supermarket!$R$11:$R$170,MATCH('Calculations - Supermarket'!$C50,Supermarket!$M$11:$M$170,0)),"")</f>
        <v/>
      </c>
      <c r="T50" s="16" t="e">
        <f t="shared" si="55"/>
        <v>#VALUE!</v>
      </c>
      <c r="U50" s="16" t="e">
        <f t="shared" si="70"/>
        <v>#VALUE!</v>
      </c>
      <c r="V50" s="16" t="e">
        <f t="shared" si="71"/>
        <v>#VALUE!</v>
      </c>
      <c r="W50" s="10" t="str">
        <f t="shared" si="56"/>
        <v>-</v>
      </c>
      <c r="X50" s="10" t="str">
        <f t="shared" si="57"/>
        <v>-</v>
      </c>
      <c r="Y50" s="13" t="str">
        <f t="shared" si="72"/>
        <v>-</v>
      </c>
      <c r="Z50" s="9" t="str">
        <f t="shared" si="58"/>
        <v>-</v>
      </c>
      <c r="AA50" s="16" t="str">
        <f t="shared" si="73"/>
        <v>-</v>
      </c>
      <c r="AB50" s="16" t="str">
        <f t="shared" si="59"/>
        <v>-</v>
      </c>
      <c r="AC50" s="16" t="str">
        <f t="shared" si="60"/>
        <v>-</v>
      </c>
      <c r="AD50" s="16" t="str">
        <f t="shared" si="74"/>
        <v>-</v>
      </c>
      <c r="AE50" s="16"/>
      <c r="AF50" s="31" t="str">
        <f>IFERROR(INDEX(Supermarket!$P$11:$P$170,MATCH('Calculations - Supermarket'!C50,Supermarket!$M$11:$M$170,0)),"")</f>
        <v/>
      </c>
      <c r="AG50" s="23" t="str">
        <f t="shared" si="75"/>
        <v/>
      </c>
      <c r="AH50" s="23" t="str">
        <f t="shared" si="76"/>
        <v/>
      </c>
      <c r="AI50" s="9" t="str">
        <f t="shared" si="61"/>
        <v/>
      </c>
      <c r="AJ50" s="4" t="str">
        <f t="shared" si="62"/>
        <v/>
      </c>
      <c r="AK50" s="4"/>
      <c r="AL50" s="4"/>
      <c r="AM50" s="4"/>
      <c r="AN50" s="4"/>
      <c r="AO50" s="4"/>
      <c r="AP50" s="20" t="str">
        <f t="shared" si="63"/>
        <v>-</v>
      </c>
      <c r="AQ50" s="13" t="str">
        <f t="shared" si="77"/>
        <v>-</v>
      </c>
      <c r="AR50" s="13" t="str">
        <f t="shared" si="78"/>
        <v>-</v>
      </c>
      <c r="AS50" s="13" t="str">
        <f t="shared" si="64"/>
        <v>-</v>
      </c>
      <c r="AT50" s="16" t="str">
        <f t="shared" si="79"/>
        <v>-</v>
      </c>
      <c r="AU50" s="16" t="str">
        <f t="shared" si="65"/>
        <v>-</v>
      </c>
      <c r="AV50" s="16" t="str">
        <f t="shared" si="66"/>
        <v>-</v>
      </c>
      <c r="AW50" s="16" t="str">
        <f t="shared" si="80"/>
        <v>-</v>
      </c>
      <c r="AX50" s="13" t="str">
        <f t="shared" si="81"/>
        <v>-</v>
      </c>
      <c r="AY50" s="10" t="str">
        <f t="shared" si="82"/>
        <v>-</v>
      </c>
      <c r="AZ50" s="9" t="str">
        <f t="shared" si="83"/>
        <v>-</v>
      </c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</row>
    <row r="51" spans="2:68" x14ac:dyDescent="0.3">
      <c r="B51" s="108" t="str">
        <f t="shared" si="67"/>
        <v/>
      </c>
      <c r="C51" s="108" t="str">
        <f t="shared" si="51"/>
        <v/>
      </c>
      <c r="D51" s="3"/>
      <c r="E51" s="3"/>
      <c r="F51" s="3"/>
      <c r="G51" s="20">
        <f>IFERROR(INDEX('Input - Supermarket'!F$2:F$200,MATCH('Calculations - Supermarket'!$C51,'Input - Supermarket'!$B$2:$B$200,0)),"")</f>
        <v>0</v>
      </c>
      <c r="H51" s="20">
        <f>IFERROR(INDEX('Input - Supermarket'!G$2:G$200,MATCH('Calculations - Supermarket'!$C51,'Input - Supermarket'!$B$2:$B$200,0)),"")</f>
        <v>0</v>
      </c>
      <c r="I51" s="21">
        <f>IFERROR(INDEX('Input - Supermarket'!H$2:H$200,MATCH('Calculations - Supermarket'!$C51,'Input - Supermarket'!$B$2:$B$200,0)),"")</f>
        <v>0</v>
      </c>
      <c r="J51" s="21">
        <f>IFERROR(INDEX('Input - Supermarket'!I$2:I$200,MATCH('Calculations - Supermarket'!$C51,'Input - Supermarket'!$B$2:$B$200,0)),"")</f>
        <v>0</v>
      </c>
      <c r="K51" s="20">
        <f>IFERROR(INDEX('Input - Supermarket'!J$2:J$200,MATCH('Calculations - Supermarket'!$C51,'Input - Supermarket'!$B$2:$B$200,0)),"")</f>
        <v>0</v>
      </c>
      <c r="L51" s="20">
        <f>IFERROR(INDEX('Input - Supermarket'!K$2:K$200,MATCH('Calculations - Supermarket'!$C51,'Input - Supermarket'!$B$2:$B$200,0)),"")</f>
        <v>0</v>
      </c>
      <c r="M51" s="21" t="str">
        <f t="shared" si="68"/>
        <v/>
      </c>
      <c r="N51" s="21" t="str">
        <f t="shared" si="52"/>
        <v/>
      </c>
      <c r="O51" s="21">
        <f t="shared" si="69"/>
        <v>0</v>
      </c>
      <c r="P51" s="9">
        <f t="shared" si="53"/>
        <v>0</v>
      </c>
      <c r="Q51" s="9">
        <f t="shared" si="54"/>
        <v>0</v>
      </c>
      <c r="R51" s="22" t="str">
        <f>IFERROR(INDEX(Supermarket!$Q$11:$Q$170,MATCH('Calculations - Supermarket'!$C51,Supermarket!$M$11:$M$170,0)),"")</f>
        <v/>
      </c>
      <c r="S51" s="22" t="str">
        <f>IFERROR(INDEX(Supermarket!$R$11:$R$170,MATCH('Calculations - Supermarket'!$C51,Supermarket!$M$11:$M$170,0)),"")</f>
        <v/>
      </c>
      <c r="T51" s="16" t="e">
        <f t="shared" si="55"/>
        <v>#VALUE!</v>
      </c>
      <c r="U51" s="16" t="e">
        <f t="shared" si="70"/>
        <v>#VALUE!</v>
      </c>
      <c r="V51" s="16" t="e">
        <f t="shared" si="71"/>
        <v>#VALUE!</v>
      </c>
      <c r="W51" s="10" t="str">
        <f t="shared" si="56"/>
        <v>-</v>
      </c>
      <c r="X51" s="10" t="str">
        <f t="shared" si="57"/>
        <v>-</v>
      </c>
      <c r="Y51" s="13" t="str">
        <f t="shared" si="72"/>
        <v>-</v>
      </c>
      <c r="Z51" s="9" t="str">
        <f t="shared" si="58"/>
        <v>-</v>
      </c>
      <c r="AA51" s="16" t="str">
        <f t="shared" si="73"/>
        <v>-</v>
      </c>
      <c r="AB51" s="16" t="str">
        <f t="shared" si="59"/>
        <v>-</v>
      </c>
      <c r="AC51" s="16" t="str">
        <f t="shared" si="60"/>
        <v>-</v>
      </c>
      <c r="AD51" s="16" t="str">
        <f t="shared" si="74"/>
        <v>-</v>
      </c>
      <c r="AE51" s="16"/>
      <c r="AF51" s="31" t="str">
        <f>IFERROR(INDEX(Supermarket!$P$11:$P$170,MATCH('Calculations - Supermarket'!C51,Supermarket!$M$11:$M$170,0)),"")</f>
        <v/>
      </c>
      <c r="AG51" s="23" t="str">
        <f t="shared" si="75"/>
        <v/>
      </c>
      <c r="AH51" s="23" t="str">
        <f t="shared" si="76"/>
        <v/>
      </c>
      <c r="AI51" s="9" t="str">
        <f t="shared" si="61"/>
        <v/>
      </c>
      <c r="AJ51" s="4" t="str">
        <f t="shared" si="62"/>
        <v/>
      </c>
      <c r="AK51" s="4"/>
      <c r="AL51" s="4"/>
      <c r="AM51" s="4"/>
      <c r="AN51" s="4"/>
      <c r="AO51" s="4"/>
      <c r="AP51" s="20" t="str">
        <f t="shared" si="63"/>
        <v>-</v>
      </c>
      <c r="AQ51" s="13" t="str">
        <f t="shared" si="77"/>
        <v>-</v>
      </c>
      <c r="AR51" s="13" t="str">
        <f t="shared" si="78"/>
        <v>-</v>
      </c>
      <c r="AS51" s="13" t="str">
        <f t="shared" si="64"/>
        <v>-</v>
      </c>
      <c r="AT51" s="16" t="str">
        <f t="shared" si="79"/>
        <v>-</v>
      </c>
      <c r="AU51" s="16" t="str">
        <f t="shared" si="65"/>
        <v>-</v>
      </c>
      <c r="AV51" s="16" t="str">
        <f t="shared" si="66"/>
        <v>-</v>
      </c>
      <c r="AW51" s="16" t="str">
        <f t="shared" si="80"/>
        <v>-</v>
      </c>
      <c r="AX51" s="13" t="str">
        <f t="shared" si="81"/>
        <v>-</v>
      </c>
      <c r="AY51" s="10" t="str">
        <f t="shared" si="82"/>
        <v>-</v>
      </c>
      <c r="AZ51" s="9" t="str">
        <f t="shared" si="83"/>
        <v>-</v>
      </c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2:68" x14ac:dyDescent="0.3">
      <c r="B52" s="108" t="str">
        <f t="shared" si="67"/>
        <v/>
      </c>
      <c r="C52" s="108" t="str">
        <f t="shared" si="51"/>
        <v/>
      </c>
      <c r="D52" s="3"/>
      <c r="E52" s="3"/>
      <c r="F52" s="3"/>
      <c r="G52" s="20">
        <f>IFERROR(INDEX('Input - Supermarket'!F$2:F$200,MATCH('Calculations - Supermarket'!$C52,'Input - Supermarket'!$B$2:$B$200,0)),"")</f>
        <v>0</v>
      </c>
      <c r="H52" s="20">
        <f>IFERROR(INDEX('Input - Supermarket'!G$2:G$200,MATCH('Calculations - Supermarket'!$C52,'Input - Supermarket'!$B$2:$B$200,0)),"")</f>
        <v>0</v>
      </c>
      <c r="I52" s="21">
        <f>IFERROR(INDEX('Input - Supermarket'!H$2:H$200,MATCH('Calculations - Supermarket'!$C52,'Input - Supermarket'!$B$2:$B$200,0)),"")</f>
        <v>0</v>
      </c>
      <c r="J52" s="21">
        <f>IFERROR(INDEX('Input - Supermarket'!I$2:I$200,MATCH('Calculations - Supermarket'!$C52,'Input - Supermarket'!$B$2:$B$200,0)),"")</f>
        <v>0</v>
      </c>
      <c r="K52" s="20">
        <f>IFERROR(INDEX('Input - Supermarket'!J$2:J$200,MATCH('Calculations - Supermarket'!$C52,'Input - Supermarket'!$B$2:$B$200,0)),"")</f>
        <v>0</v>
      </c>
      <c r="L52" s="20">
        <f>IFERROR(INDEX('Input - Supermarket'!K$2:K$200,MATCH('Calculations - Supermarket'!$C52,'Input - Supermarket'!$B$2:$B$200,0)),"")</f>
        <v>0</v>
      </c>
      <c r="M52" s="21" t="str">
        <f t="shared" si="68"/>
        <v/>
      </c>
      <c r="N52" s="21" t="str">
        <f t="shared" si="52"/>
        <v/>
      </c>
      <c r="O52" s="21">
        <f t="shared" si="69"/>
        <v>0</v>
      </c>
      <c r="P52" s="9">
        <f t="shared" si="53"/>
        <v>0</v>
      </c>
      <c r="Q52" s="9">
        <f t="shared" si="54"/>
        <v>0</v>
      </c>
      <c r="R52" s="22" t="str">
        <f>IFERROR(INDEX(Supermarket!$Q$11:$Q$170,MATCH('Calculations - Supermarket'!$C52,Supermarket!$M$11:$M$170,0)),"")</f>
        <v/>
      </c>
      <c r="S52" s="22" t="str">
        <f>IFERROR(INDEX(Supermarket!$R$11:$R$170,MATCH('Calculations - Supermarket'!$C52,Supermarket!$M$11:$M$170,0)),"")</f>
        <v/>
      </c>
      <c r="T52" s="16" t="e">
        <f t="shared" si="55"/>
        <v>#VALUE!</v>
      </c>
      <c r="U52" s="16" t="e">
        <f t="shared" si="70"/>
        <v>#VALUE!</v>
      </c>
      <c r="V52" s="16" t="e">
        <f t="shared" si="71"/>
        <v>#VALUE!</v>
      </c>
      <c r="W52" s="10" t="str">
        <f t="shared" si="56"/>
        <v>-</v>
      </c>
      <c r="X52" s="10" t="str">
        <f t="shared" si="57"/>
        <v>-</v>
      </c>
      <c r="Y52" s="13" t="str">
        <f t="shared" si="72"/>
        <v>-</v>
      </c>
      <c r="Z52" s="9" t="str">
        <f t="shared" si="58"/>
        <v>-</v>
      </c>
      <c r="AA52" s="16" t="str">
        <f t="shared" si="73"/>
        <v>-</v>
      </c>
      <c r="AB52" s="16" t="str">
        <f t="shared" si="59"/>
        <v>-</v>
      </c>
      <c r="AC52" s="16" t="str">
        <f t="shared" si="60"/>
        <v>-</v>
      </c>
      <c r="AD52" s="16" t="str">
        <f t="shared" si="74"/>
        <v>-</v>
      </c>
      <c r="AE52" s="16"/>
      <c r="AF52" s="31" t="str">
        <f>IFERROR(INDEX(Supermarket!$P$11:$P$170,MATCH('Calculations - Supermarket'!C52,Supermarket!$M$11:$M$170,0)),"")</f>
        <v/>
      </c>
      <c r="AG52" s="23" t="str">
        <f t="shared" si="75"/>
        <v/>
      </c>
      <c r="AH52" s="23" t="str">
        <f t="shared" si="76"/>
        <v/>
      </c>
      <c r="AI52" s="9" t="str">
        <f t="shared" si="61"/>
        <v/>
      </c>
      <c r="AJ52" s="4" t="str">
        <f t="shared" si="62"/>
        <v/>
      </c>
      <c r="AK52" s="4"/>
      <c r="AL52" s="4"/>
      <c r="AM52" s="4"/>
      <c r="AN52" s="4"/>
      <c r="AO52" s="4"/>
      <c r="AP52" s="20" t="str">
        <f t="shared" si="63"/>
        <v>-</v>
      </c>
      <c r="AQ52" s="13" t="str">
        <f t="shared" si="77"/>
        <v>-</v>
      </c>
      <c r="AR52" s="13" t="str">
        <f t="shared" si="78"/>
        <v>-</v>
      </c>
      <c r="AS52" s="13" t="str">
        <f t="shared" si="64"/>
        <v>-</v>
      </c>
      <c r="AT52" s="16" t="str">
        <f t="shared" si="79"/>
        <v>-</v>
      </c>
      <c r="AU52" s="16" t="str">
        <f t="shared" si="65"/>
        <v>-</v>
      </c>
      <c r="AV52" s="16" t="str">
        <f t="shared" si="66"/>
        <v>-</v>
      </c>
      <c r="AW52" s="16" t="str">
        <f t="shared" si="80"/>
        <v>-</v>
      </c>
      <c r="AX52" s="13" t="str">
        <f t="shared" si="81"/>
        <v>-</v>
      </c>
      <c r="AY52" s="10" t="str">
        <f t="shared" si="82"/>
        <v>-</v>
      </c>
      <c r="AZ52" s="9" t="str">
        <f t="shared" si="83"/>
        <v>-</v>
      </c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2:68" x14ac:dyDescent="0.3">
      <c r="B53" s="108" t="str">
        <f t="shared" si="67"/>
        <v/>
      </c>
      <c r="C53" s="108" t="str">
        <f t="shared" si="51"/>
        <v/>
      </c>
      <c r="D53" s="3"/>
      <c r="E53" s="3"/>
      <c r="F53" s="3"/>
      <c r="G53" s="20">
        <f>IFERROR(INDEX('Input - Supermarket'!F$2:F$200,MATCH('Calculations - Supermarket'!$C53,'Input - Supermarket'!$B$2:$B$200,0)),"")</f>
        <v>0</v>
      </c>
      <c r="H53" s="20">
        <f>IFERROR(INDEX('Input - Supermarket'!G$2:G$200,MATCH('Calculations - Supermarket'!$C53,'Input - Supermarket'!$B$2:$B$200,0)),"")</f>
        <v>0</v>
      </c>
      <c r="I53" s="21">
        <f>IFERROR(INDEX('Input - Supermarket'!H$2:H$200,MATCH('Calculations - Supermarket'!$C53,'Input - Supermarket'!$B$2:$B$200,0)),"")</f>
        <v>0</v>
      </c>
      <c r="J53" s="21">
        <f>IFERROR(INDEX('Input - Supermarket'!I$2:I$200,MATCH('Calculations - Supermarket'!$C53,'Input - Supermarket'!$B$2:$B$200,0)),"")</f>
        <v>0</v>
      </c>
      <c r="K53" s="20">
        <f>IFERROR(INDEX('Input - Supermarket'!J$2:J$200,MATCH('Calculations - Supermarket'!$C53,'Input - Supermarket'!$B$2:$B$200,0)),"")</f>
        <v>0</v>
      </c>
      <c r="L53" s="20">
        <f>IFERROR(INDEX('Input - Supermarket'!K$2:K$200,MATCH('Calculations - Supermarket'!$C53,'Input - Supermarket'!$B$2:$B$200,0)),"")</f>
        <v>0</v>
      </c>
      <c r="M53" s="21" t="str">
        <f t="shared" si="68"/>
        <v/>
      </c>
      <c r="N53" s="21" t="str">
        <f t="shared" si="52"/>
        <v/>
      </c>
      <c r="O53" s="21">
        <f t="shared" si="69"/>
        <v>0</v>
      </c>
      <c r="P53" s="9">
        <f t="shared" si="53"/>
        <v>0</v>
      </c>
      <c r="Q53" s="9">
        <f t="shared" si="54"/>
        <v>0</v>
      </c>
      <c r="R53" s="22" t="str">
        <f>IFERROR(INDEX(Supermarket!$Q$11:$Q$170,MATCH('Calculations - Supermarket'!$C53,Supermarket!$M$11:$M$170,0)),"")</f>
        <v/>
      </c>
      <c r="S53" s="22" t="str">
        <f>IFERROR(INDEX(Supermarket!$R$11:$R$170,MATCH('Calculations - Supermarket'!$C53,Supermarket!$M$11:$M$170,0)),"")</f>
        <v/>
      </c>
      <c r="T53" s="16" t="e">
        <f t="shared" si="55"/>
        <v>#VALUE!</v>
      </c>
      <c r="U53" s="16" t="e">
        <f t="shared" si="70"/>
        <v>#VALUE!</v>
      </c>
      <c r="V53" s="16" t="e">
        <f t="shared" si="71"/>
        <v>#VALUE!</v>
      </c>
      <c r="W53" s="10" t="str">
        <f t="shared" si="56"/>
        <v>-</v>
      </c>
      <c r="X53" s="10" t="str">
        <f t="shared" si="57"/>
        <v>-</v>
      </c>
      <c r="Y53" s="13" t="str">
        <f t="shared" si="72"/>
        <v>-</v>
      </c>
      <c r="Z53" s="9" t="str">
        <f t="shared" si="58"/>
        <v>-</v>
      </c>
      <c r="AA53" s="16" t="str">
        <f t="shared" si="73"/>
        <v>-</v>
      </c>
      <c r="AB53" s="16" t="str">
        <f t="shared" si="59"/>
        <v>-</v>
      </c>
      <c r="AC53" s="16" t="str">
        <f t="shared" si="60"/>
        <v>-</v>
      </c>
      <c r="AD53" s="16" t="str">
        <f t="shared" si="74"/>
        <v>-</v>
      </c>
      <c r="AE53" s="16"/>
      <c r="AF53" s="31" t="str">
        <f>IFERROR(INDEX(Supermarket!$P$11:$P$170,MATCH('Calculations - Supermarket'!C53,Supermarket!$M$11:$M$170,0)),"")</f>
        <v/>
      </c>
      <c r="AG53" s="23" t="str">
        <f t="shared" si="75"/>
        <v/>
      </c>
      <c r="AH53" s="23" t="str">
        <f t="shared" si="76"/>
        <v/>
      </c>
      <c r="AI53" s="9" t="str">
        <f t="shared" si="61"/>
        <v/>
      </c>
      <c r="AJ53" s="4" t="str">
        <f t="shared" si="62"/>
        <v/>
      </c>
      <c r="AK53" s="4"/>
      <c r="AL53" s="4"/>
      <c r="AM53" s="4"/>
      <c r="AN53" s="4"/>
      <c r="AO53" s="4"/>
      <c r="AP53" s="20" t="str">
        <f t="shared" si="63"/>
        <v>-</v>
      </c>
      <c r="AQ53" s="13" t="str">
        <f t="shared" si="77"/>
        <v>-</v>
      </c>
      <c r="AR53" s="13" t="str">
        <f t="shared" si="78"/>
        <v>-</v>
      </c>
      <c r="AS53" s="13" t="str">
        <f t="shared" si="64"/>
        <v>-</v>
      </c>
      <c r="AT53" s="16" t="str">
        <f t="shared" si="79"/>
        <v>-</v>
      </c>
      <c r="AU53" s="16" t="str">
        <f t="shared" si="65"/>
        <v>-</v>
      </c>
      <c r="AV53" s="16" t="str">
        <f t="shared" si="66"/>
        <v>-</v>
      </c>
      <c r="AW53" s="16" t="str">
        <f t="shared" si="80"/>
        <v>-</v>
      </c>
      <c r="AX53" s="13" t="str">
        <f t="shared" si="81"/>
        <v>-</v>
      </c>
      <c r="AY53" s="10" t="str">
        <f t="shared" si="82"/>
        <v>-</v>
      </c>
      <c r="AZ53" s="9" t="str">
        <f t="shared" si="83"/>
        <v>-</v>
      </c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2:68" x14ac:dyDescent="0.3">
      <c r="B54" s="108" t="str">
        <f t="shared" si="67"/>
        <v/>
      </c>
      <c r="C54" s="108" t="str">
        <f t="shared" si="51"/>
        <v/>
      </c>
      <c r="D54" s="3"/>
      <c r="E54" s="3"/>
      <c r="F54" s="3"/>
      <c r="G54" s="20">
        <f>IFERROR(INDEX('Input - Supermarket'!F$2:F$200,MATCH('Calculations - Supermarket'!$C54,'Input - Supermarket'!$B$2:$B$200,0)),"")</f>
        <v>0</v>
      </c>
      <c r="H54" s="20">
        <f>IFERROR(INDEX('Input - Supermarket'!G$2:G$200,MATCH('Calculations - Supermarket'!$C54,'Input - Supermarket'!$B$2:$B$200,0)),"")</f>
        <v>0</v>
      </c>
      <c r="I54" s="21">
        <f>IFERROR(INDEX('Input - Supermarket'!H$2:H$200,MATCH('Calculations - Supermarket'!$C54,'Input - Supermarket'!$B$2:$B$200,0)),"")</f>
        <v>0</v>
      </c>
      <c r="J54" s="21">
        <f>IFERROR(INDEX('Input - Supermarket'!I$2:I$200,MATCH('Calculations - Supermarket'!$C54,'Input - Supermarket'!$B$2:$B$200,0)),"")</f>
        <v>0</v>
      </c>
      <c r="K54" s="20">
        <f>IFERROR(INDEX('Input - Supermarket'!J$2:J$200,MATCH('Calculations - Supermarket'!$C54,'Input - Supermarket'!$B$2:$B$200,0)),"")</f>
        <v>0</v>
      </c>
      <c r="L54" s="20">
        <f>IFERROR(INDEX('Input - Supermarket'!K$2:K$200,MATCH('Calculations - Supermarket'!$C54,'Input - Supermarket'!$B$2:$B$200,0)),"")</f>
        <v>0</v>
      </c>
      <c r="M54" s="21" t="str">
        <f t="shared" si="68"/>
        <v/>
      </c>
      <c r="N54" s="21" t="str">
        <f t="shared" si="52"/>
        <v/>
      </c>
      <c r="O54" s="21">
        <f t="shared" si="69"/>
        <v>0</v>
      </c>
      <c r="P54" s="9">
        <f t="shared" si="53"/>
        <v>0</v>
      </c>
      <c r="Q54" s="9">
        <f t="shared" si="54"/>
        <v>0</v>
      </c>
      <c r="R54" s="22" t="str">
        <f>IFERROR(INDEX(Supermarket!$Q$11:$Q$170,MATCH('Calculations - Supermarket'!$C54,Supermarket!$M$11:$M$170,0)),"")</f>
        <v/>
      </c>
      <c r="S54" s="22" t="str">
        <f>IFERROR(INDEX(Supermarket!$R$11:$R$170,MATCH('Calculations - Supermarket'!$C54,Supermarket!$M$11:$M$170,0)),"")</f>
        <v/>
      </c>
      <c r="T54" s="16" t="e">
        <f t="shared" si="55"/>
        <v>#VALUE!</v>
      </c>
      <c r="U54" s="16" t="e">
        <f t="shared" si="70"/>
        <v>#VALUE!</v>
      </c>
      <c r="V54" s="16" t="e">
        <f t="shared" si="71"/>
        <v>#VALUE!</v>
      </c>
      <c r="W54" s="10" t="str">
        <f t="shared" si="56"/>
        <v>-</v>
      </c>
      <c r="X54" s="10" t="str">
        <f t="shared" si="57"/>
        <v>-</v>
      </c>
      <c r="Y54" s="13" t="str">
        <f t="shared" si="72"/>
        <v>-</v>
      </c>
      <c r="Z54" s="9" t="str">
        <f t="shared" si="58"/>
        <v>-</v>
      </c>
      <c r="AA54" s="16" t="str">
        <f t="shared" si="73"/>
        <v>-</v>
      </c>
      <c r="AB54" s="16" t="str">
        <f t="shared" si="59"/>
        <v>-</v>
      </c>
      <c r="AC54" s="16" t="str">
        <f t="shared" si="60"/>
        <v>-</v>
      </c>
      <c r="AD54" s="16" t="str">
        <f t="shared" si="74"/>
        <v>-</v>
      </c>
      <c r="AE54" s="16"/>
      <c r="AF54" s="31" t="str">
        <f>IFERROR(INDEX(Supermarket!$P$11:$P$170,MATCH('Calculations - Supermarket'!C54,Supermarket!$M$11:$M$170,0)),"")</f>
        <v/>
      </c>
      <c r="AG54" s="23" t="str">
        <f t="shared" si="75"/>
        <v/>
      </c>
      <c r="AH54" s="23" t="str">
        <f t="shared" si="76"/>
        <v/>
      </c>
      <c r="AI54" s="9" t="str">
        <f t="shared" si="61"/>
        <v/>
      </c>
      <c r="AJ54" s="4" t="str">
        <f t="shared" si="62"/>
        <v/>
      </c>
      <c r="AK54" s="4"/>
      <c r="AL54" s="4"/>
      <c r="AM54" s="4"/>
      <c r="AN54" s="4"/>
      <c r="AO54" s="4"/>
      <c r="AP54" s="20" t="str">
        <f t="shared" si="63"/>
        <v>-</v>
      </c>
      <c r="AQ54" s="13" t="str">
        <f t="shared" si="77"/>
        <v>-</v>
      </c>
      <c r="AR54" s="13" t="str">
        <f t="shared" si="78"/>
        <v>-</v>
      </c>
      <c r="AS54" s="13" t="str">
        <f t="shared" si="64"/>
        <v>-</v>
      </c>
      <c r="AT54" s="16" t="str">
        <f t="shared" si="79"/>
        <v>-</v>
      </c>
      <c r="AU54" s="16" t="str">
        <f t="shared" si="65"/>
        <v>-</v>
      </c>
      <c r="AV54" s="16" t="str">
        <f t="shared" si="66"/>
        <v>-</v>
      </c>
      <c r="AW54" s="16" t="str">
        <f t="shared" si="80"/>
        <v>-</v>
      </c>
      <c r="AX54" s="13" t="str">
        <f t="shared" si="81"/>
        <v>-</v>
      </c>
      <c r="AY54" s="10" t="str">
        <f t="shared" si="82"/>
        <v>-</v>
      </c>
      <c r="AZ54" s="9" t="str">
        <f t="shared" si="83"/>
        <v>-</v>
      </c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2:68" x14ac:dyDescent="0.3">
      <c r="B55" s="108" t="str">
        <f t="shared" si="67"/>
        <v/>
      </c>
      <c r="C55" s="108" t="str">
        <f t="shared" si="51"/>
        <v/>
      </c>
      <c r="D55" s="3"/>
      <c r="E55" s="3"/>
      <c r="F55" s="3"/>
      <c r="G55" s="20">
        <f>IFERROR(INDEX('Input - Supermarket'!F$2:F$200,MATCH('Calculations - Supermarket'!$C55,'Input - Supermarket'!$B$2:$B$200,0)),"")</f>
        <v>0</v>
      </c>
      <c r="H55" s="20">
        <f>IFERROR(INDEX('Input - Supermarket'!G$2:G$200,MATCH('Calculations - Supermarket'!$C55,'Input - Supermarket'!$B$2:$B$200,0)),"")</f>
        <v>0</v>
      </c>
      <c r="I55" s="21">
        <f>IFERROR(INDEX('Input - Supermarket'!H$2:H$200,MATCH('Calculations - Supermarket'!$C55,'Input - Supermarket'!$B$2:$B$200,0)),"")</f>
        <v>0</v>
      </c>
      <c r="J55" s="21">
        <f>IFERROR(INDEX('Input - Supermarket'!I$2:I$200,MATCH('Calculations - Supermarket'!$C55,'Input - Supermarket'!$B$2:$B$200,0)),"")</f>
        <v>0</v>
      </c>
      <c r="K55" s="20">
        <f>IFERROR(INDEX('Input - Supermarket'!J$2:J$200,MATCH('Calculations - Supermarket'!$C55,'Input - Supermarket'!$B$2:$B$200,0)),"")</f>
        <v>0</v>
      </c>
      <c r="L55" s="20">
        <f>IFERROR(INDEX('Input - Supermarket'!K$2:K$200,MATCH('Calculations - Supermarket'!$C55,'Input - Supermarket'!$B$2:$B$200,0)),"")</f>
        <v>0</v>
      </c>
      <c r="M55" s="21" t="str">
        <f t="shared" si="68"/>
        <v/>
      </c>
      <c r="N55" s="21" t="str">
        <f t="shared" si="52"/>
        <v/>
      </c>
      <c r="O55" s="21">
        <f t="shared" si="69"/>
        <v>0</v>
      </c>
      <c r="P55" s="9">
        <f t="shared" si="53"/>
        <v>0</v>
      </c>
      <c r="Q55" s="9">
        <f t="shared" si="54"/>
        <v>0</v>
      </c>
      <c r="R55" s="22" t="str">
        <f>IFERROR(INDEX(Supermarket!$Q$11:$Q$170,MATCH('Calculations - Supermarket'!$C55,Supermarket!$M$11:$M$170,0)),"")</f>
        <v/>
      </c>
      <c r="S55" s="22" t="str">
        <f>IFERROR(INDEX(Supermarket!$R$11:$R$170,MATCH('Calculations - Supermarket'!$C55,Supermarket!$M$11:$M$170,0)),"")</f>
        <v/>
      </c>
      <c r="T55" s="16" t="e">
        <f t="shared" si="55"/>
        <v>#VALUE!</v>
      </c>
      <c r="U55" s="16" t="e">
        <f t="shared" si="70"/>
        <v>#VALUE!</v>
      </c>
      <c r="V55" s="16" t="e">
        <f t="shared" si="71"/>
        <v>#VALUE!</v>
      </c>
      <c r="W55" s="10" t="str">
        <f t="shared" si="56"/>
        <v>-</v>
      </c>
      <c r="X55" s="10" t="str">
        <f t="shared" si="57"/>
        <v>-</v>
      </c>
      <c r="Y55" s="13" t="str">
        <f t="shared" si="72"/>
        <v>-</v>
      </c>
      <c r="Z55" s="9" t="str">
        <f t="shared" si="58"/>
        <v>-</v>
      </c>
      <c r="AA55" s="16" t="str">
        <f t="shared" si="73"/>
        <v>-</v>
      </c>
      <c r="AB55" s="16" t="str">
        <f t="shared" si="59"/>
        <v>-</v>
      </c>
      <c r="AC55" s="16" t="str">
        <f t="shared" si="60"/>
        <v>-</v>
      </c>
      <c r="AD55" s="16" t="str">
        <f t="shared" si="74"/>
        <v>-</v>
      </c>
      <c r="AE55" s="16"/>
      <c r="AF55" s="31" t="str">
        <f>IFERROR(INDEX(Supermarket!$P$11:$P$170,MATCH('Calculations - Supermarket'!C55,Supermarket!$M$11:$M$170,0)),"")</f>
        <v/>
      </c>
      <c r="AG55" s="23" t="str">
        <f t="shared" si="75"/>
        <v/>
      </c>
      <c r="AH55" s="23" t="str">
        <f t="shared" si="76"/>
        <v/>
      </c>
      <c r="AI55" s="9" t="str">
        <f t="shared" si="61"/>
        <v/>
      </c>
      <c r="AJ55" s="4" t="str">
        <f t="shared" si="62"/>
        <v/>
      </c>
      <c r="AK55" s="4"/>
      <c r="AL55" s="4"/>
      <c r="AM55" s="4"/>
      <c r="AN55" s="4"/>
      <c r="AO55" s="4"/>
      <c r="AP55" s="20" t="str">
        <f t="shared" si="63"/>
        <v>-</v>
      </c>
      <c r="AQ55" s="13" t="str">
        <f t="shared" si="77"/>
        <v>-</v>
      </c>
      <c r="AR55" s="13" t="str">
        <f t="shared" si="78"/>
        <v>-</v>
      </c>
      <c r="AS55" s="13" t="str">
        <f t="shared" si="64"/>
        <v>-</v>
      </c>
      <c r="AT55" s="16" t="str">
        <f t="shared" si="79"/>
        <v>-</v>
      </c>
      <c r="AU55" s="16" t="str">
        <f t="shared" si="65"/>
        <v>-</v>
      </c>
      <c r="AV55" s="16" t="str">
        <f t="shared" si="66"/>
        <v>-</v>
      </c>
      <c r="AW55" s="16" t="str">
        <f t="shared" si="80"/>
        <v>-</v>
      </c>
      <c r="AX55" s="13" t="str">
        <f t="shared" si="81"/>
        <v>-</v>
      </c>
      <c r="AY55" s="10" t="str">
        <f t="shared" si="82"/>
        <v>-</v>
      </c>
      <c r="AZ55" s="9" t="str">
        <f t="shared" si="83"/>
        <v>-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2:68" x14ac:dyDescent="0.3">
      <c r="B56" s="108" t="str">
        <f t="shared" si="67"/>
        <v/>
      </c>
      <c r="C56" s="108" t="str">
        <f t="shared" si="51"/>
        <v/>
      </c>
      <c r="D56" s="3"/>
      <c r="E56" s="3"/>
      <c r="F56" s="3"/>
      <c r="G56" s="20">
        <f>IFERROR(INDEX('Input - Supermarket'!F$2:F$200,MATCH('Calculations - Supermarket'!$C56,'Input - Supermarket'!$B$2:$B$200,0)),"")</f>
        <v>0</v>
      </c>
      <c r="H56" s="20">
        <f>IFERROR(INDEX('Input - Supermarket'!G$2:G$200,MATCH('Calculations - Supermarket'!$C56,'Input - Supermarket'!$B$2:$B$200,0)),"")</f>
        <v>0</v>
      </c>
      <c r="I56" s="21">
        <f>IFERROR(INDEX('Input - Supermarket'!H$2:H$200,MATCH('Calculations - Supermarket'!$C56,'Input - Supermarket'!$B$2:$B$200,0)),"")</f>
        <v>0</v>
      </c>
      <c r="J56" s="21">
        <f>IFERROR(INDEX('Input - Supermarket'!I$2:I$200,MATCH('Calculations - Supermarket'!$C56,'Input - Supermarket'!$B$2:$B$200,0)),"")</f>
        <v>0</v>
      </c>
      <c r="K56" s="20">
        <f>IFERROR(INDEX('Input - Supermarket'!J$2:J$200,MATCH('Calculations - Supermarket'!$C56,'Input - Supermarket'!$B$2:$B$200,0)),"")</f>
        <v>0</v>
      </c>
      <c r="L56" s="20">
        <f>IFERROR(INDEX('Input - Supermarket'!K$2:K$200,MATCH('Calculations - Supermarket'!$C56,'Input - Supermarket'!$B$2:$B$200,0)),"")</f>
        <v>0</v>
      </c>
      <c r="M56" s="21" t="str">
        <f t="shared" si="68"/>
        <v/>
      </c>
      <c r="N56" s="21" t="str">
        <f t="shared" si="52"/>
        <v/>
      </c>
      <c r="O56" s="21">
        <f t="shared" si="69"/>
        <v>0</v>
      </c>
      <c r="P56" s="9">
        <f t="shared" si="53"/>
        <v>0</v>
      </c>
      <c r="Q56" s="9">
        <f t="shared" si="54"/>
        <v>0</v>
      </c>
      <c r="R56" s="22" t="str">
        <f>IFERROR(INDEX(Supermarket!$Q$11:$Q$170,MATCH('Calculations - Supermarket'!$C56,Supermarket!$M$11:$M$170,0)),"")</f>
        <v/>
      </c>
      <c r="S56" s="22" t="str">
        <f>IFERROR(INDEX(Supermarket!$R$11:$R$170,MATCH('Calculations - Supermarket'!$C56,Supermarket!$M$11:$M$170,0)),"")</f>
        <v/>
      </c>
      <c r="T56" s="16" t="e">
        <f t="shared" si="55"/>
        <v>#VALUE!</v>
      </c>
      <c r="U56" s="16" t="e">
        <f t="shared" si="70"/>
        <v>#VALUE!</v>
      </c>
      <c r="V56" s="16" t="e">
        <f t="shared" si="71"/>
        <v>#VALUE!</v>
      </c>
      <c r="W56" s="10" t="str">
        <f t="shared" si="56"/>
        <v>-</v>
      </c>
      <c r="X56" s="10" t="str">
        <f t="shared" si="57"/>
        <v>-</v>
      </c>
      <c r="Y56" s="13" t="str">
        <f t="shared" si="72"/>
        <v>-</v>
      </c>
      <c r="Z56" s="9" t="str">
        <f t="shared" si="58"/>
        <v>-</v>
      </c>
      <c r="AA56" s="16" t="str">
        <f t="shared" si="73"/>
        <v>-</v>
      </c>
      <c r="AB56" s="16" t="str">
        <f t="shared" si="59"/>
        <v>-</v>
      </c>
      <c r="AC56" s="16" t="str">
        <f t="shared" si="60"/>
        <v>-</v>
      </c>
      <c r="AD56" s="16" t="str">
        <f t="shared" si="74"/>
        <v>-</v>
      </c>
      <c r="AE56" s="16"/>
      <c r="AF56" s="31" t="str">
        <f>IFERROR(INDEX(Supermarket!$P$11:$P$170,MATCH('Calculations - Supermarket'!C56,Supermarket!$M$11:$M$170,0)),"")</f>
        <v/>
      </c>
      <c r="AG56" s="23" t="str">
        <f t="shared" si="75"/>
        <v/>
      </c>
      <c r="AH56" s="23" t="str">
        <f t="shared" si="76"/>
        <v/>
      </c>
      <c r="AI56" s="9" t="str">
        <f t="shared" si="61"/>
        <v/>
      </c>
      <c r="AJ56" s="4" t="str">
        <f t="shared" si="62"/>
        <v/>
      </c>
      <c r="AK56" s="4"/>
      <c r="AL56" s="4"/>
      <c r="AM56" s="4"/>
      <c r="AN56" s="4"/>
      <c r="AO56" s="4"/>
      <c r="AP56" s="20" t="str">
        <f t="shared" si="63"/>
        <v>-</v>
      </c>
      <c r="AQ56" s="13" t="str">
        <f t="shared" si="77"/>
        <v>-</v>
      </c>
      <c r="AR56" s="13" t="str">
        <f t="shared" si="78"/>
        <v>-</v>
      </c>
      <c r="AS56" s="13" t="str">
        <f t="shared" si="64"/>
        <v>-</v>
      </c>
      <c r="AT56" s="16" t="str">
        <f t="shared" si="79"/>
        <v>-</v>
      </c>
      <c r="AU56" s="16" t="str">
        <f t="shared" si="65"/>
        <v>-</v>
      </c>
      <c r="AV56" s="16" t="str">
        <f t="shared" si="66"/>
        <v>-</v>
      </c>
      <c r="AW56" s="16" t="str">
        <f t="shared" si="80"/>
        <v>-</v>
      </c>
      <c r="AX56" s="13" t="str">
        <f t="shared" si="81"/>
        <v>-</v>
      </c>
      <c r="AY56" s="10" t="str">
        <f t="shared" si="82"/>
        <v>-</v>
      </c>
      <c r="AZ56" s="9" t="str">
        <f t="shared" si="83"/>
        <v>-</v>
      </c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2:68" x14ac:dyDescent="0.3">
      <c r="B57" s="108" t="str">
        <f t="shared" si="67"/>
        <v/>
      </c>
      <c r="C57" s="108" t="str">
        <f t="shared" si="51"/>
        <v/>
      </c>
      <c r="D57" s="3"/>
      <c r="E57" s="3"/>
      <c r="F57" s="3"/>
      <c r="G57" s="20">
        <f>IFERROR(INDEX('Input - Supermarket'!F$2:F$200,MATCH('Calculations - Supermarket'!$C57,'Input - Supermarket'!$B$2:$B$200,0)),"")</f>
        <v>0</v>
      </c>
      <c r="H57" s="20">
        <f>IFERROR(INDEX('Input - Supermarket'!G$2:G$200,MATCH('Calculations - Supermarket'!$C57,'Input - Supermarket'!$B$2:$B$200,0)),"")</f>
        <v>0</v>
      </c>
      <c r="I57" s="21">
        <f>IFERROR(INDEX('Input - Supermarket'!H$2:H$200,MATCH('Calculations - Supermarket'!$C57,'Input - Supermarket'!$B$2:$B$200,0)),"")</f>
        <v>0</v>
      </c>
      <c r="J57" s="21">
        <f>IFERROR(INDEX('Input - Supermarket'!I$2:I$200,MATCH('Calculations - Supermarket'!$C57,'Input - Supermarket'!$B$2:$B$200,0)),"")</f>
        <v>0</v>
      </c>
      <c r="K57" s="20">
        <f>IFERROR(INDEX('Input - Supermarket'!J$2:J$200,MATCH('Calculations - Supermarket'!$C57,'Input - Supermarket'!$B$2:$B$200,0)),"")</f>
        <v>0</v>
      </c>
      <c r="L57" s="20">
        <f>IFERROR(INDEX('Input - Supermarket'!K$2:K$200,MATCH('Calculations - Supermarket'!$C57,'Input - Supermarket'!$B$2:$B$200,0)),"")</f>
        <v>0</v>
      </c>
      <c r="M57" s="21" t="str">
        <f t="shared" si="68"/>
        <v/>
      </c>
      <c r="N57" s="21" t="str">
        <f t="shared" si="52"/>
        <v/>
      </c>
      <c r="O57" s="21">
        <f t="shared" si="69"/>
        <v>0</v>
      </c>
      <c r="P57" s="9">
        <f t="shared" si="53"/>
        <v>0</v>
      </c>
      <c r="Q57" s="9">
        <f t="shared" si="54"/>
        <v>0</v>
      </c>
      <c r="R57" s="22" t="str">
        <f>IFERROR(INDEX(Supermarket!$Q$11:$Q$170,MATCH('Calculations - Supermarket'!$C57,Supermarket!$M$11:$M$170,0)),"")</f>
        <v/>
      </c>
      <c r="S57" s="22" t="str">
        <f>IFERROR(INDEX(Supermarket!$R$11:$R$170,MATCH('Calculations - Supermarket'!$C57,Supermarket!$M$11:$M$170,0)),"")</f>
        <v/>
      </c>
      <c r="T57" s="16" t="e">
        <f t="shared" si="55"/>
        <v>#VALUE!</v>
      </c>
      <c r="U57" s="16" t="e">
        <f t="shared" si="70"/>
        <v>#VALUE!</v>
      </c>
      <c r="V57" s="16" t="e">
        <f t="shared" si="71"/>
        <v>#VALUE!</v>
      </c>
      <c r="W57" s="10" t="str">
        <f t="shared" si="56"/>
        <v>-</v>
      </c>
      <c r="X57" s="10" t="str">
        <f t="shared" si="57"/>
        <v>-</v>
      </c>
      <c r="Y57" s="13" t="str">
        <f t="shared" si="72"/>
        <v>-</v>
      </c>
      <c r="Z57" s="9" t="str">
        <f t="shared" si="58"/>
        <v>-</v>
      </c>
      <c r="AA57" s="16" t="str">
        <f t="shared" si="73"/>
        <v>-</v>
      </c>
      <c r="AB57" s="16" t="str">
        <f t="shared" si="59"/>
        <v>-</v>
      </c>
      <c r="AC57" s="16" t="str">
        <f t="shared" si="60"/>
        <v>-</v>
      </c>
      <c r="AD57" s="16" t="str">
        <f t="shared" si="74"/>
        <v>-</v>
      </c>
      <c r="AE57" s="16"/>
      <c r="AF57" s="31" t="str">
        <f>IFERROR(INDEX(Supermarket!$P$11:$P$170,MATCH('Calculations - Supermarket'!C57,Supermarket!$M$11:$M$170,0)),"")</f>
        <v/>
      </c>
      <c r="AG57" s="23" t="str">
        <f t="shared" si="75"/>
        <v/>
      </c>
      <c r="AH57" s="23" t="str">
        <f t="shared" si="76"/>
        <v/>
      </c>
      <c r="AI57" s="9" t="str">
        <f t="shared" si="61"/>
        <v/>
      </c>
      <c r="AJ57" s="4" t="str">
        <f t="shared" si="62"/>
        <v/>
      </c>
      <c r="AK57" s="4"/>
      <c r="AL57" s="4"/>
      <c r="AM57" s="4"/>
      <c r="AN57" s="4"/>
      <c r="AO57" s="4"/>
      <c r="AP57" s="20" t="str">
        <f t="shared" si="63"/>
        <v>-</v>
      </c>
      <c r="AQ57" s="13" t="str">
        <f t="shared" si="77"/>
        <v>-</v>
      </c>
      <c r="AR57" s="13" t="str">
        <f t="shared" si="78"/>
        <v>-</v>
      </c>
      <c r="AS57" s="13" t="str">
        <f t="shared" si="64"/>
        <v>-</v>
      </c>
      <c r="AT57" s="16" t="str">
        <f t="shared" si="79"/>
        <v>-</v>
      </c>
      <c r="AU57" s="16" t="str">
        <f t="shared" si="65"/>
        <v>-</v>
      </c>
      <c r="AV57" s="16" t="str">
        <f t="shared" si="66"/>
        <v>-</v>
      </c>
      <c r="AW57" s="16" t="str">
        <f t="shared" si="80"/>
        <v>-</v>
      </c>
      <c r="AX57" s="13" t="str">
        <f t="shared" si="81"/>
        <v>-</v>
      </c>
      <c r="AY57" s="10" t="str">
        <f t="shared" si="82"/>
        <v>-</v>
      </c>
      <c r="AZ57" s="9" t="str">
        <f t="shared" si="83"/>
        <v>-</v>
      </c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2:68" x14ac:dyDescent="0.3">
      <c r="B58" s="108" t="str">
        <f t="shared" si="67"/>
        <v/>
      </c>
      <c r="C58" s="108" t="str">
        <f t="shared" si="51"/>
        <v/>
      </c>
      <c r="D58" s="3"/>
      <c r="E58" s="3"/>
      <c r="F58" s="3"/>
      <c r="G58" s="20">
        <f>IFERROR(INDEX('Input - Supermarket'!F$2:F$200,MATCH('Calculations - Supermarket'!$C58,'Input - Supermarket'!$B$2:$B$200,0)),"")</f>
        <v>0</v>
      </c>
      <c r="H58" s="20">
        <f>IFERROR(INDEX('Input - Supermarket'!G$2:G$200,MATCH('Calculations - Supermarket'!$C58,'Input - Supermarket'!$B$2:$B$200,0)),"")</f>
        <v>0</v>
      </c>
      <c r="I58" s="21">
        <f>IFERROR(INDEX('Input - Supermarket'!H$2:H$200,MATCH('Calculations - Supermarket'!$C58,'Input - Supermarket'!$B$2:$B$200,0)),"")</f>
        <v>0</v>
      </c>
      <c r="J58" s="21">
        <f>IFERROR(INDEX('Input - Supermarket'!I$2:I$200,MATCH('Calculations - Supermarket'!$C58,'Input - Supermarket'!$B$2:$B$200,0)),"")</f>
        <v>0</v>
      </c>
      <c r="K58" s="20">
        <f>IFERROR(INDEX('Input - Supermarket'!J$2:J$200,MATCH('Calculations - Supermarket'!$C58,'Input - Supermarket'!$B$2:$B$200,0)),"")</f>
        <v>0</v>
      </c>
      <c r="L58" s="20">
        <f>IFERROR(INDEX('Input - Supermarket'!K$2:K$200,MATCH('Calculations - Supermarket'!$C58,'Input - Supermarket'!$B$2:$B$200,0)),"")</f>
        <v>0</v>
      </c>
      <c r="M58" s="21" t="str">
        <f t="shared" si="68"/>
        <v/>
      </c>
      <c r="N58" s="21" t="str">
        <f t="shared" si="52"/>
        <v/>
      </c>
      <c r="O58" s="21">
        <f t="shared" si="69"/>
        <v>0</v>
      </c>
      <c r="P58" s="9">
        <f t="shared" si="53"/>
        <v>0</v>
      </c>
      <c r="Q58" s="9">
        <f t="shared" si="54"/>
        <v>0</v>
      </c>
      <c r="R58" s="22" t="str">
        <f>IFERROR(INDEX(Supermarket!$Q$11:$Q$170,MATCH('Calculations - Supermarket'!$C58,Supermarket!$M$11:$M$170,0)),"")</f>
        <v/>
      </c>
      <c r="S58" s="22" t="str">
        <f>IFERROR(INDEX(Supermarket!$R$11:$R$170,MATCH('Calculations - Supermarket'!$C58,Supermarket!$M$11:$M$170,0)),"")</f>
        <v/>
      </c>
      <c r="T58" s="16" t="e">
        <f t="shared" si="55"/>
        <v>#VALUE!</v>
      </c>
      <c r="U58" s="16" t="e">
        <f t="shared" si="70"/>
        <v>#VALUE!</v>
      </c>
      <c r="V58" s="16" t="e">
        <f t="shared" si="71"/>
        <v>#VALUE!</v>
      </c>
      <c r="W58" s="10" t="str">
        <f t="shared" si="56"/>
        <v>-</v>
      </c>
      <c r="X58" s="10" t="str">
        <f t="shared" si="57"/>
        <v>-</v>
      </c>
      <c r="Y58" s="13" t="str">
        <f t="shared" si="72"/>
        <v>-</v>
      </c>
      <c r="Z58" s="9" t="str">
        <f t="shared" si="58"/>
        <v>-</v>
      </c>
      <c r="AA58" s="16" t="str">
        <f t="shared" si="73"/>
        <v>-</v>
      </c>
      <c r="AB58" s="16" t="str">
        <f t="shared" si="59"/>
        <v>-</v>
      </c>
      <c r="AC58" s="16" t="str">
        <f t="shared" si="60"/>
        <v>-</v>
      </c>
      <c r="AD58" s="16" t="str">
        <f t="shared" si="74"/>
        <v>-</v>
      </c>
      <c r="AE58" s="16"/>
      <c r="AF58" s="31" t="str">
        <f>IFERROR(INDEX(Supermarket!$P$11:$P$170,MATCH('Calculations - Supermarket'!C58,Supermarket!$M$11:$M$170,0)),"")</f>
        <v/>
      </c>
      <c r="AG58" s="23" t="str">
        <f t="shared" si="75"/>
        <v/>
      </c>
      <c r="AH58" s="23" t="str">
        <f t="shared" si="76"/>
        <v/>
      </c>
      <c r="AI58" s="9" t="str">
        <f t="shared" si="61"/>
        <v/>
      </c>
      <c r="AJ58" s="4" t="str">
        <f t="shared" si="62"/>
        <v/>
      </c>
      <c r="AK58" s="4"/>
      <c r="AL58" s="4"/>
      <c r="AM58" s="4"/>
      <c r="AN58" s="4"/>
      <c r="AO58" s="4"/>
      <c r="AP58" s="20" t="str">
        <f t="shared" si="63"/>
        <v>-</v>
      </c>
      <c r="AQ58" s="13" t="str">
        <f t="shared" si="77"/>
        <v>-</v>
      </c>
      <c r="AR58" s="13" t="str">
        <f t="shared" si="78"/>
        <v>-</v>
      </c>
      <c r="AS58" s="13" t="str">
        <f t="shared" si="64"/>
        <v>-</v>
      </c>
      <c r="AT58" s="16" t="str">
        <f t="shared" si="79"/>
        <v>-</v>
      </c>
      <c r="AU58" s="16" t="str">
        <f t="shared" si="65"/>
        <v>-</v>
      </c>
      <c r="AV58" s="16" t="str">
        <f t="shared" si="66"/>
        <v>-</v>
      </c>
      <c r="AW58" s="16" t="str">
        <f t="shared" si="80"/>
        <v>-</v>
      </c>
      <c r="AX58" s="13" t="str">
        <f t="shared" si="81"/>
        <v>-</v>
      </c>
      <c r="AY58" s="10" t="str">
        <f t="shared" si="82"/>
        <v>-</v>
      </c>
      <c r="AZ58" s="9" t="str">
        <f t="shared" si="83"/>
        <v>-</v>
      </c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2:68" x14ac:dyDescent="0.3">
      <c r="B59" s="108" t="str">
        <f t="shared" si="67"/>
        <v/>
      </c>
      <c r="C59" s="108" t="str">
        <f t="shared" si="51"/>
        <v/>
      </c>
      <c r="D59" s="3"/>
      <c r="E59" s="3"/>
      <c r="F59" s="3"/>
      <c r="G59" s="20">
        <f>IFERROR(INDEX('Input - Supermarket'!F$2:F$200,MATCH('Calculations - Supermarket'!$C59,'Input - Supermarket'!$B$2:$B$200,0)),"")</f>
        <v>0</v>
      </c>
      <c r="H59" s="20">
        <f>IFERROR(INDEX('Input - Supermarket'!G$2:G$200,MATCH('Calculations - Supermarket'!$C59,'Input - Supermarket'!$B$2:$B$200,0)),"")</f>
        <v>0</v>
      </c>
      <c r="I59" s="21">
        <f>IFERROR(INDEX('Input - Supermarket'!H$2:H$200,MATCH('Calculations - Supermarket'!$C59,'Input - Supermarket'!$B$2:$B$200,0)),"")</f>
        <v>0</v>
      </c>
      <c r="J59" s="21">
        <f>IFERROR(INDEX('Input - Supermarket'!I$2:I$200,MATCH('Calculations - Supermarket'!$C59,'Input - Supermarket'!$B$2:$B$200,0)),"")</f>
        <v>0</v>
      </c>
      <c r="K59" s="20">
        <f>IFERROR(INDEX('Input - Supermarket'!J$2:J$200,MATCH('Calculations - Supermarket'!$C59,'Input - Supermarket'!$B$2:$B$200,0)),"")</f>
        <v>0</v>
      </c>
      <c r="L59" s="20">
        <f>IFERROR(INDEX('Input - Supermarket'!K$2:K$200,MATCH('Calculations - Supermarket'!$C59,'Input - Supermarket'!$B$2:$B$200,0)),"")</f>
        <v>0</v>
      </c>
      <c r="M59" s="21" t="str">
        <f t="shared" si="68"/>
        <v/>
      </c>
      <c r="N59" s="21" t="str">
        <f t="shared" si="52"/>
        <v/>
      </c>
      <c r="O59" s="21">
        <f t="shared" si="69"/>
        <v>0</v>
      </c>
      <c r="P59" s="9">
        <f t="shared" si="53"/>
        <v>0</v>
      </c>
      <c r="Q59" s="9">
        <f t="shared" si="54"/>
        <v>0</v>
      </c>
      <c r="R59" s="22" t="str">
        <f>IFERROR(INDEX(Supermarket!$Q$11:$Q$170,MATCH('Calculations - Supermarket'!$C59,Supermarket!$M$11:$M$170,0)),"")</f>
        <v/>
      </c>
      <c r="S59" s="22" t="str">
        <f>IFERROR(INDEX(Supermarket!$R$11:$R$170,MATCH('Calculations - Supermarket'!$C59,Supermarket!$M$11:$M$170,0)),"")</f>
        <v/>
      </c>
      <c r="T59" s="16" t="e">
        <f t="shared" si="55"/>
        <v>#VALUE!</v>
      </c>
      <c r="U59" s="16" t="e">
        <f t="shared" si="70"/>
        <v>#VALUE!</v>
      </c>
      <c r="V59" s="16" t="e">
        <f t="shared" si="71"/>
        <v>#VALUE!</v>
      </c>
      <c r="W59" s="10" t="str">
        <f t="shared" si="56"/>
        <v>-</v>
      </c>
      <c r="X59" s="10" t="str">
        <f t="shared" si="57"/>
        <v>-</v>
      </c>
      <c r="Y59" s="13" t="str">
        <f t="shared" si="72"/>
        <v>-</v>
      </c>
      <c r="Z59" s="9" t="str">
        <f t="shared" si="58"/>
        <v>-</v>
      </c>
      <c r="AA59" s="16" t="str">
        <f t="shared" si="73"/>
        <v>-</v>
      </c>
      <c r="AB59" s="16" t="str">
        <f t="shared" si="59"/>
        <v>-</v>
      </c>
      <c r="AC59" s="16" t="str">
        <f t="shared" si="60"/>
        <v>-</v>
      </c>
      <c r="AD59" s="16" t="str">
        <f t="shared" si="74"/>
        <v>-</v>
      </c>
      <c r="AE59" s="16"/>
      <c r="AF59" s="31" t="str">
        <f>IFERROR(INDEX(Supermarket!$P$11:$P$170,MATCH('Calculations - Supermarket'!C59,Supermarket!$M$11:$M$170,0)),"")</f>
        <v/>
      </c>
      <c r="AG59" s="23" t="str">
        <f t="shared" si="75"/>
        <v/>
      </c>
      <c r="AH59" s="23" t="str">
        <f t="shared" si="76"/>
        <v/>
      </c>
      <c r="AI59" s="9" t="str">
        <f t="shared" si="61"/>
        <v/>
      </c>
      <c r="AJ59" s="4" t="str">
        <f t="shared" si="62"/>
        <v/>
      </c>
      <c r="AK59" s="4"/>
      <c r="AL59" s="4"/>
      <c r="AM59" s="4"/>
      <c r="AN59" s="4"/>
      <c r="AO59" s="4"/>
      <c r="AP59" s="20" t="str">
        <f t="shared" si="63"/>
        <v>-</v>
      </c>
      <c r="AQ59" s="13" t="str">
        <f t="shared" si="77"/>
        <v>-</v>
      </c>
      <c r="AR59" s="13" t="str">
        <f t="shared" si="78"/>
        <v>-</v>
      </c>
      <c r="AS59" s="13" t="str">
        <f t="shared" si="64"/>
        <v>-</v>
      </c>
      <c r="AT59" s="16" t="str">
        <f t="shared" si="79"/>
        <v>-</v>
      </c>
      <c r="AU59" s="16" t="str">
        <f t="shared" si="65"/>
        <v>-</v>
      </c>
      <c r="AV59" s="16" t="str">
        <f t="shared" si="66"/>
        <v>-</v>
      </c>
      <c r="AW59" s="16" t="str">
        <f t="shared" si="80"/>
        <v>-</v>
      </c>
      <c r="AX59" s="13" t="str">
        <f t="shared" si="81"/>
        <v>-</v>
      </c>
      <c r="AY59" s="10" t="str">
        <f t="shared" si="82"/>
        <v>-</v>
      </c>
      <c r="AZ59" s="9" t="str">
        <f t="shared" si="83"/>
        <v>-</v>
      </c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2:68" x14ac:dyDescent="0.3">
      <c r="B60" s="108" t="str">
        <f t="shared" si="67"/>
        <v/>
      </c>
      <c r="C60" s="108" t="str">
        <f t="shared" si="51"/>
        <v/>
      </c>
      <c r="D60" s="3"/>
      <c r="E60" s="3"/>
      <c r="F60" s="3"/>
      <c r="G60" s="20">
        <f>IFERROR(INDEX('Input - Supermarket'!F$2:F$200,MATCH('Calculations - Supermarket'!$C60,'Input - Supermarket'!$B$2:$B$200,0)),"")</f>
        <v>0</v>
      </c>
      <c r="H60" s="20">
        <f>IFERROR(INDEX('Input - Supermarket'!G$2:G$200,MATCH('Calculations - Supermarket'!$C60,'Input - Supermarket'!$B$2:$B$200,0)),"")</f>
        <v>0</v>
      </c>
      <c r="I60" s="21">
        <f>IFERROR(INDEX('Input - Supermarket'!H$2:H$200,MATCH('Calculations - Supermarket'!$C60,'Input - Supermarket'!$B$2:$B$200,0)),"")</f>
        <v>0</v>
      </c>
      <c r="J60" s="21">
        <f>IFERROR(INDEX('Input - Supermarket'!I$2:I$200,MATCH('Calculations - Supermarket'!$C60,'Input - Supermarket'!$B$2:$B$200,0)),"")</f>
        <v>0</v>
      </c>
      <c r="K60" s="20">
        <f>IFERROR(INDEX('Input - Supermarket'!J$2:J$200,MATCH('Calculations - Supermarket'!$C60,'Input - Supermarket'!$B$2:$B$200,0)),"")</f>
        <v>0</v>
      </c>
      <c r="L60" s="20">
        <f>IFERROR(INDEX('Input - Supermarket'!K$2:K$200,MATCH('Calculations - Supermarket'!$C60,'Input - Supermarket'!$B$2:$B$200,0)),"")</f>
        <v>0</v>
      </c>
      <c r="M60" s="21" t="str">
        <f t="shared" si="68"/>
        <v/>
      </c>
      <c r="N60" s="21" t="str">
        <f t="shared" si="52"/>
        <v/>
      </c>
      <c r="O60" s="21">
        <f t="shared" si="69"/>
        <v>0</v>
      </c>
      <c r="P60" s="9">
        <f t="shared" si="53"/>
        <v>0</v>
      </c>
      <c r="Q60" s="9">
        <f t="shared" si="54"/>
        <v>0</v>
      </c>
      <c r="R60" s="22" t="str">
        <f>IFERROR(INDEX(Supermarket!$Q$11:$Q$170,MATCH('Calculations - Supermarket'!$C60,Supermarket!$M$11:$M$170,0)),"")</f>
        <v/>
      </c>
      <c r="S60" s="22" t="str">
        <f>IFERROR(INDEX(Supermarket!$R$11:$R$170,MATCH('Calculations - Supermarket'!$C60,Supermarket!$M$11:$M$170,0)),"")</f>
        <v/>
      </c>
      <c r="T60" s="16" t="e">
        <f t="shared" si="55"/>
        <v>#VALUE!</v>
      </c>
      <c r="U60" s="16" t="e">
        <f t="shared" si="70"/>
        <v>#VALUE!</v>
      </c>
      <c r="V60" s="16" t="e">
        <f t="shared" si="71"/>
        <v>#VALUE!</v>
      </c>
      <c r="W60" s="10" t="str">
        <f t="shared" si="56"/>
        <v>-</v>
      </c>
      <c r="X60" s="10" t="str">
        <f t="shared" si="57"/>
        <v>-</v>
      </c>
      <c r="Y60" s="13" t="str">
        <f t="shared" si="72"/>
        <v>-</v>
      </c>
      <c r="Z60" s="9" t="str">
        <f t="shared" si="58"/>
        <v>-</v>
      </c>
      <c r="AA60" s="16" t="str">
        <f t="shared" si="73"/>
        <v>-</v>
      </c>
      <c r="AB60" s="16" t="str">
        <f t="shared" si="59"/>
        <v>-</v>
      </c>
      <c r="AC60" s="16" t="str">
        <f t="shared" si="60"/>
        <v>-</v>
      </c>
      <c r="AD60" s="16" t="str">
        <f t="shared" si="74"/>
        <v>-</v>
      </c>
      <c r="AE60" s="16"/>
      <c r="AF60" s="31" t="str">
        <f>IFERROR(INDEX(Supermarket!$P$11:$P$170,MATCH('Calculations - Supermarket'!C60,Supermarket!$M$11:$M$170,0)),"")</f>
        <v/>
      </c>
      <c r="AG60" s="23" t="str">
        <f t="shared" si="75"/>
        <v/>
      </c>
      <c r="AH60" s="23" t="str">
        <f t="shared" si="76"/>
        <v/>
      </c>
      <c r="AI60" s="9" t="str">
        <f t="shared" si="61"/>
        <v/>
      </c>
      <c r="AJ60" s="4" t="str">
        <f t="shared" si="62"/>
        <v/>
      </c>
      <c r="AK60" s="4"/>
      <c r="AL60" s="4"/>
      <c r="AM60" s="4"/>
      <c r="AN60" s="4"/>
      <c r="AO60" s="4"/>
      <c r="AP60" s="20" t="str">
        <f t="shared" si="63"/>
        <v>-</v>
      </c>
      <c r="AQ60" s="13" t="str">
        <f t="shared" si="77"/>
        <v>-</v>
      </c>
      <c r="AR60" s="13" t="str">
        <f t="shared" si="78"/>
        <v>-</v>
      </c>
      <c r="AS60" s="13" t="str">
        <f t="shared" si="64"/>
        <v>-</v>
      </c>
      <c r="AT60" s="16" t="str">
        <f t="shared" si="79"/>
        <v>-</v>
      </c>
      <c r="AU60" s="16" t="str">
        <f t="shared" si="65"/>
        <v>-</v>
      </c>
      <c r="AV60" s="16" t="str">
        <f t="shared" si="66"/>
        <v>-</v>
      </c>
      <c r="AW60" s="16" t="str">
        <f t="shared" si="80"/>
        <v>-</v>
      </c>
      <c r="AX60" s="13" t="str">
        <f t="shared" si="81"/>
        <v>-</v>
      </c>
      <c r="AY60" s="10" t="str">
        <f t="shared" si="82"/>
        <v>-</v>
      </c>
      <c r="AZ60" s="9" t="str">
        <f t="shared" si="83"/>
        <v>-</v>
      </c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2:68" x14ac:dyDescent="0.3">
      <c r="B61" s="108" t="str">
        <f t="shared" si="67"/>
        <v/>
      </c>
      <c r="C61" s="108" t="str">
        <f t="shared" si="51"/>
        <v/>
      </c>
      <c r="D61" s="3"/>
      <c r="E61" s="3"/>
      <c r="F61" s="3"/>
      <c r="G61" s="20">
        <f>IFERROR(INDEX('Input - Supermarket'!F$2:F$200,MATCH('Calculations - Supermarket'!$C61,'Input - Supermarket'!$B$2:$B$200,0)),"")</f>
        <v>0</v>
      </c>
      <c r="H61" s="20">
        <f>IFERROR(INDEX('Input - Supermarket'!G$2:G$200,MATCH('Calculations - Supermarket'!$C61,'Input - Supermarket'!$B$2:$B$200,0)),"")</f>
        <v>0</v>
      </c>
      <c r="I61" s="21">
        <f>IFERROR(INDEX('Input - Supermarket'!H$2:H$200,MATCH('Calculations - Supermarket'!$C61,'Input - Supermarket'!$B$2:$B$200,0)),"")</f>
        <v>0</v>
      </c>
      <c r="J61" s="21">
        <f>IFERROR(INDEX('Input - Supermarket'!I$2:I$200,MATCH('Calculations - Supermarket'!$C61,'Input - Supermarket'!$B$2:$B$200,0)),"")</f>
        <v>0</v>
      </c>
      <c r="K61" s="20">
        <f>IFERROR(INDEX('Input - Supermarket'!J$2:J$200,MATCH('Calculations - Supermarket'!$C61,'Input - Supermarket'!$B$2:$B$200,0)),"")</f>
        <v>0</v>
      </c>
      <c r="L61" s="20">
        <f>IFERROR(INDEX('Input - Supermarket'!K$2:K$200,MATCH('Calculations - Supermarket'!$C61,'Input - Supermarket'!$B$2:$B$200,0)),"")</f>
        <v>0</v>
      </c>
      <c r="M61" s="21" t="str">
        <f t="shared" si="68"/>
        <v/>
      </c>
      <c r="N61" s="21" t="str">
        <f t="shared" si="52"/>
        <v/>
      </c>
      <c r="O61" s="21">
        <f t="shared" si="69"/>
        <v>0</v>
      </c>
      <c r="P61" s="9">
        <f t="shared" si="53"/>
        <v>0</v>
      </c>
      <c r="Q61" s="9">
        <f t="shared" si="54"/>
        <v>0</v>
      </c>
      <c r="R61" s="22" t="str">
        <f>IFERROR(INDEX(Supermarket!$Q$11:$Q$170,MATCH('Calculations - Supermarket'!$C61,Supermarket!$M$11:$M$170,0)),"")</f>
        <v/>
      </c>
      <c r="S61" s="22" t="str">
        <f>IFERROR(INDEX(Supermarket!$R$11:$R$170,MATCH('Calculations - Supermarket'!$C61,Supermarket!$M$11:$M$170,0)),"")</f>
        <v/>
      </c>
      <c r="T61" s="16" t="e">
        <f t="shared" si="55"/>
        <v>#VALUE!</v>
      </c>
      <c r="U61" s="16" t="e">
        <f t="shared" si="70"/>
        <v>#VALUE!</v>
      </c>
      <c r="V61" s="16" t="e">
        <f t="shared" si="71"/>
        <v>#VALUE!</v>
      </c>
      <c r="W61" s="10" t="str">
        <f t="shared" si="56"/>
        <v>-</v>
      </c>
      <c r="X61" s="10" t="str">
        <f t="shared" si="57"/>
        <v>-</v>
      </c>
      <c r="Y61" s="13" t="str">
        <f t="shared" si="72"/>
        <v>-</v>
      </c>
      <c r="Z61" s="9" t="str">
        <f t="shared" si="58"/>
        <v>-</v>
      </c>
      <c r="AA61" s="16" t="str">
        <f t="shared" si="73"/>
        <v>-</v>
      </c>
      <c r="AB61" s="16" t="str">
        <f t="shared" si="59"/>
        <v>-</v>
      </c>
      <c r="AC61" s="16" t="str">
        <f t="shared" si="60"/>
        <v>-</v>
      </c>
      <c r="AD61" s="16" t="str">
        <f t="shared" si="74"/>
        <v>-</v>
      </c>
      <c r="AE61" s="16"/>
      <c r="AF61" s="31" t="str">
        <f>IFERROR(INDEX(Supermarket!$P$11:$P$170,MATCH('Calculations - Supermarket'!C61,Supermarket!$M$11:$M$170,0)),"")</f>
        <v/>
      </c>
      <c r="AG61" s="23" t="str">
        <f t="shared" si="75"/>
        <v/>
      </c>
      <c r="AH61" s="23" t="str">
        <f t="shared" si="76"/>
        <v/>
      </c>
      <c r="AI61" s="9" t="str">
        <f t="shared" si="61"/>
        <v/>
      </c>
      <c r="AJ61" s="4" t="str">
        <f t="shared" si="62"/>
        <v/>
      </c>
      <c r="AK61" s="4"/>
      <c r="AL61" s="4"/>
      <c r="AM61" s="4"/>
      <c r="AN61" s="4"/>
      <c r="AO61" s="4"/>
      <c r="AP61" s="20" t="str">
        <f t="shared" si="63"/>
        <v>-</v>
      </c>
      <c r="AQ61" s="13" t="str">
        <f t="shared" si="77"/>
        <v>-</v>
      </c>
      <c r="AR61" s="13" t="str">
        <f t="shared" si="78"/>
        <v>-</v>
      </c>
      <c r="AS61" s="13" t="str">
        <f t="shared" si="64"/>
        <v>-</v>
      </c>
      <c r="AT61" s="16" t="str">
        <f t="shared" si="79"/>
        <v>-</v>
      </c>
      <c r="AU61" s="16" t="str">
        <f t="shared" si="65"/>
        <v>-</v>
      </c>
      <c r="AV61" s="16" t="str">
        <f t="shared" si="66"/>
        <v>-</v>
      </c>
      <c r="AW61" s="16" t="str">
        <f t="shared" si="80"/>
        <v>-</v>
      </c>
      <c r="AX61" s="13" t="str">
        <f t="shared" si="81"/>
        <v>-</v>
      </c>
      <c r="AY61" s="10" t="str">
        <f t="shared" si="82"/>
        <v>-</v>
      </c>
      <c r="AZ61" s="9" t="str">
        <f t="shared" si="83"/>
        <v>-</v>
      </c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2:68" x14ac:dyDescent="0.3">
      <c r="B62" s="108" t="str">
        <f t="shared" si="67"/>
        <v/>
      </c>
      <c r="C62" s="108" t="str">
        <f t="shared" si="51"/>
        <v/>
      </c>
      <c r="D62" s="3"/>
      <c r="E62" s="3"/>
      <c r="F62" s="3"/>
      <c r="G62" s="20">
        <f>IFERROR(INDEX('Input - Supermarket'!F$2:F$200,MATCH('Calculations - Supermarket'!$C62,'Input - Supermarket'!$B$2:$B$200,0)),"")</f>
        <v>0</v>
      </c>
      <c r="H62" s="20">
        <f>IFERROR(INDEX('Input - Supermarket'!G$2:G$200,MATCH('Calculations - Supermarket'!$C62,'Input - Supermarket'!$B$2:$B$200,0)),"")</f>
        <v>0</v>
      </c>
      <c r="I62" s="21">
        <f>IFERROR(INDEX('Input - Supermarket'!H$2:H$200,MATCH('Calculations - Supermarket'!$C62,'Input - Supermarket'!$B$2:$B$200,0)),"")</f>
        <v>0</v>
      </c>
      <c r="J62" s="21">
        <f>IFERROR(INDEX('Input - Supermarket'!I$2:I$200,MATCH('Calculations - Supermarket'!$C62,'Input - Supermarket'!$B$2:$B$200,0)),"")</f>
        <v>0</v>
      </c>
      <c r="K62" s="20">
        <f>IFERROR(INDEX('Input - Supermarket'!J$2:J$200,MATCH('Calculations - Supermarket'!$C62,'Input - Supermarket'!$B$2:$B$200,0)),"")</f>
        <v>0</v>
      </c>
      <c r="L62" s="20">
        <f>IFERROR(INDEX('Input - Supermarket'!K$2:K$200,MATCH('Calculations - Supermarket'!$C62,'Input - Supermarket'!$B$2:$B$200,0)),"")</f>
        <v>0</v>
      </c>
      <c r="M62" s="21" t="str">
        <f t="shared" si="68"/>
        <v/>
      </c>
      <c r="N62" s="21" t="str">
        <f t="shared" si="52"/>
        <v/>
      </c>
      <c r="O62" s="21">
        <f t="shared" si="69"/>
        <v>0</v>
      </c>
      <c r="P62" s="9">
        <f t="shared" si="53"/>
        <v>0</v>
      </c>
      <c r="Q62" s="9">
        <f t="shared" si="54"/>
        <v>0</v>
      </c>
      <c r="R62" s="22" t="str">
        <f>IFERROR(INDEX(Supermarket!$Q$11:$Q$170,MATCH('Calculations - Supermarket'!$C62,Supermarket!$M$11:$M$170,0)),"")</f>
        <v/>
      </c>
      <c r="S62" s="22" t="str">
        <f>IFERROR(INDEX(Supermarket!$R$11:$R$170,MATCH('Calculations - Supermarket'!$C62,Supermarket!$M$11:$M$170,0)),"")</f>
        <v/>
      </c>
      <c r="T62" s="16" t="e">
        <f t="shared" si="55"/>
        <v>#VALUE!</v>
      </c>
      <c r="U62" s="16" t="e">
        <f t="shared" si="70"/>
        <v>#VALUE!</v>
      </c>
      <c r="V62" s="16" t="e">
        <f t="shared" si="71"/>
        <v>#VALUE!</v>
      </c>
      <c r="W62" s="10" t="str">
        <f t="shared" si="56"/>
        <v>-</v>
      </c>
      <c r="X62" s="10" t="str">
        <f t="shared" si="57"/>
        <v>-</v>
      </c>
      <c r="Y62" s="13" t="str">
        <f t="shared" si="72"/>
        <v>-</v>
      </c>
      <c r="Z62" s="9" t="str">
        <f t="shared" si="58"/>
        <v>-</v>
      </c>
      <c r="AA62" s="16" t="str">
        <f t="shared" si="73"/>
        <v>-</v>
      </c>
      <c r="AB62" s="16" t="str">
        <f t="shared" si="59"/>
        <v>-</v>
      </c>
      <c r="AC62" s="16" t="str">
        <f t="shared" si="60"/>
        <v>-</v>
      </c>
      <c r="AD62" s="16" t="str">
        <f t="shared" si="74"/>
        <v>-</v>
      </c>
      <c r="AE62" s="16"/>
      <c r="AF62" s="31" t="str">
        <f>IFERROR(INDEX(Supermarket!$P$11:$P$170,MATCH('Calculations - Supermarket'!C62,Supermarket!$M$11:$M$170,0)),"")</f>
        <v/>
      </c>
      <c r="AG62" s="23" t="str">
        <f t="shared" si="75"/>
        <v/>
      </c>
      <c r="AH62" s="23" t="str">
        <f t="shared" si="76"/>
        <v/>
      </c>
      <c r="AI62" s="9" t="str">
        <f t="shared" si="61"/>
        <v/>
      </c>
      <c r="AJ62" s="4" t="str">
        <f t="shared" si="62"/>
        <v/>
      </c>
      <c r="AK62" s="4"/>
      <c r="AL62" s="4"/>
      <c r="AM62" s="4"/>
      <c r="AN62" s="4"/>
      <c r="AO62" s="4"/>
      <c r="AP62" s="20" t="str">
        <f t="shared" si="63"/>
        <v>-</v>
      </c>
      <c r="AQ62" s="13" t="str">
        <f t="shared" si="77"/>
        <v>-</v>
      </c>
      <c r="AR62" s="13" t="str">
        <f t="shared" si="78"/>
        <v>-</v>
      </c>
      <c r="AS62" s="13" t="str">
        <f t="shared" si="64"/>
        <v>-</v>
      </c>
      <c r="AT62" s="16" t="str">
        <f t="shared" si="79"/>
        <v>-</v>
      </c>
      <c r="AU62" s="16" t="str">
        <f t="shared" si="65"/>
        <v>-</v>
      </c>
      <c r="AV62" s="16" t="str">
        <f t="shared" si="66"/>
        <v>-</v>
      </c>
      <c r="AW62" s="16" t="str">
        <f t="shared" si="80"/>
        <v>-</v>
      </c>
      <c r="AX62" s="13" t="str">
        <f t="shared" si="81"/>
        <v>-</v>
      </c>
      <c r="AY62" s="10" t="str">
        <f t="shared" si="82"/>
        <v>-</v>
      </c>
      <c r="AZ62" s="9" t="str">
        <f t="shared" si="83"/>
        <v>-</v>
      </c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2:68" x14ac:dyDescent="0.3">
      <c r="B63" s="108" t="str">
        <f t="shared" si="67"/>
        <v/>
      </c>
      <c r="C63" s="108" t="str">
        <f t="shared" si="51"/>
        <v/>
      </c>
      <c r="D63" s="3"/>
      <c r="E63" s="3"/>
      <c r="F63" s="3"/>
      <c r="G63" s="20">
        <f>IFERROR(INDEX('Input - Supermarket'!F$2:F$200,MATCH('Calculations - Supermarket'!$C63,'Input - Supermarket'!$B$2:$B$200,0)),"")</f>
        <v>0</v>
      </c>
      <c r="H63" s="20">
        <f>IFERROR(INDEX('Input - Supermarket'!G$2:G$200,MATCH('Calculations - Supermarket'!$C63,'Input - Supermarket'!$B$2:$B$200,0)),"")</f>
        <v>0</v>
      </c>
      <c r="I63" s="21">
        <f>IFERROR(INDEX('Input - Supermarket'!H$2:H$200,MATCH('Calculations - Supermarket'!$C63,'Input - Supermarket'!$B$2:$B$200,0)),"")</f>
        <v>0</v>
      </c>
      <c r="J63" s="21">
        <f>IFERROR(INDEX('Input - Supermarket'!I$2:I$200,MATCH('Calculations - Supermarket'!$C63,'Input - Supermarket'!$B$2:$B$200,0)),"")</f>
        <v>0</v>
      </c>
      <c r="K63" s="20">
        <f>IFERROR(INDEX('Input - Supermarket'!J$2:J$200,MATCH('Calculations - Supermarket'!$C63,'Input - Supermarket'!$B$2:$B$200,0)),"")</f>
        <v>0</v>
      </c>
      <c r="L63" s="20">
        <f>IFERROR(INDEX('Input - Supermarket'!K$2:K$200,MATCH('Calculations - Supermarket'!$C63,'Input - Supermarket'!$B$2:$B$200,0)),"")</f>
        <v>0</v>
      </c>
      <c r="M63" s="21" t="str">
        <f t="shared" si="68"/>
        <v/>
      </c>
      <c r="N63" s="21" t="str">
        <f t="shared" si="52"/>
        <v/>
      </c>
      <c r="O63" s="21">
        <f t="shared" si="69"/>
        <v>0</v>
      </c>
      <c r="P63" s="9">
        <f t="shared" si="53"/>
        <v>0</v>
      </c>
      <c r="Q63" s="9">
        <f t="shared" si="54"/>
        <v>0</v>
      </c>
      <c r="R63" s="22" t="str">
        <f>IFERROR(INDEX(Supermarket!$Q$11:$Q$170,MATCH('Calculations - Supermarket'!$C63,Supermarket!$M$11:$M$170,0)),"")</f>
        <v/>
      </c>
      <c r="S63" s="22" t="str">
        <f>IFERROR(INDEX(Supermarket!$R$11:$R$170,MATCH('Calculations - Supermarket'!$C63,Supermarket!$M$11:$M$170,0)),"")</f>
        <v/>
      </c>
      <c r="T63" s="16" t="e">
        <f t="shared" si="55"/>
        <v>#VALUE!</v>
      </c>
      <c r="U63" s="16" t="e">
        <f t="shared" si="70"/>
        <v>#VALUE!</v>
      </c>
      <c r="V63" s="16" t="e">
        <f t="shared" si="71"/>
        <v>#VALUE!</v>
      </c>
      <c r="W63" s="10" t="str">
        <f t="shared" si="56"/>
        <v>-</v>
      </c>
      <c r="X63" s="10" t="str">
        <f t="shared" si="57"/>
        <v>-</v>
      </c>
      <c r="Y63" s="13" t="str">
        <f t="shared" si="72"/>
        <v>-</v>
      </c>
      <c r="Z63" s="9" t="str">
        <f t="shared" si="58"/>
        <v>-</v>
      </c>
      <c r="AA63" s="16" t="str">
        <f t="shared" si="73"/>
        <v>-</v>
      </c>
      <c r="AB63" s="16" t="str">
        <f t="shared" si="59"/>
        <v>-</v>
      </c>
      <c r="AC63" s="16" t="str">
        <f t="shared" si="60"/>
        <v>-</v>
      </c>
      <c r="AD63" s="16" t="str">
        <f t="shared" si="74"/>
        <v>-</v>
      </c>
      <c r="AE63" s="16"/>
      <c r="AF63" s="31" t="str">
        <f>IFERROR(INDEX(Supermarket!$P$11:$P$170,MATCH('Calculations - Supermarket'!C63,Supermarket!$M$11:$M$170,0)),"")</f>
        <v/>
      </c>
      <c r="AG63" s="23" t="str">
        <f t="shared" si="75"/>
        <v/>
      </c>
      <c r="AH63" s="23" t="str">
        <f t="shared" si="76"/>
        <v/>
      </c>
      <c r="AI63" s="9" t="str">
        <f t="shared" si="61"/>
        <v/>
      </c>
      <c r="AJ63" s="4" t="str">
        <f t="shared" si="62"/>
        <v/>
      </c>
      <c r="AK63" s="4"/>
      <c r="AL63" s="4"/>
      <c r="AM63" s="4"/>
      <c r="AN63" s="4"/>
      <c r="AO63" s="4"/>
      <c r="AP63" s="20" t="str">
        <f t="shared" si="63"/>
        <v>-</v>
      </c>
      <c r="AQ63" s="13" t="str">
        <f t="shared" si="77"/>
        <v>-</v>
      </c>
      <c r="AR63" s="13" t="str">
        <f t="shared" si="78"/>
        <v>-</v>
      </c>
      <c r="AS63" s="13" t="str">
        <f t="shared" si="64"/>
        <v>-</v>
      </c>
      <c r="AT63" s="16" t="str">
        <f t="shared" si="79"/>
        <v>-</v>
      </c>
      <c r="AU63" s="16" t="str">
        <f t="shared" si="65"/>
        <v>-</v>
      </c>
      <c r="AV63" s="16" t="str">
        <f t="shared" si="66"/>
        <v>-</v>
      </c>
      <c r="AW63" s="16" t="str">
        <f t="shared" si="80"/>
        <v>-</v>
      </c>
      <c r="AX63" s="13" t="str">
        <f t="shared" si="81"/>
        <v>-</v>
      </c>
      <c r="AY63" s="10" t="str">
        <f t="shared" si="82"/>
        <v>-</v>
      </c>
      <c r="AZ63" s="9" t="str">
        <f t="shared" si="83"/>
        <v>-</v>
      </c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2:68" x14ac:dyDescent="0.3">
      <c r="B64" s="108" t="str">
        <f t="shared" si="67"/>
        <v/>
      </c>
      <c r="C64" s="108" t="str">
        <f t="shared" ref="C64:C95" si="84">IFERROR(D64&amp;E64&amp;F64,"")</f>
        <v/>
      </c>
      <c r="D64" s="3"/>
      <c r="E64" s="3"/>
      <c r="F64" s="3"/>
      <c r="G64" s="20">
        <f>IFERROR(INDEX('Input - Supermarket'!F$2:F$200,MATCH('Calculations - Supermarket'!$C64,'Input - Supermarket'!$B$2:$B$200,0)),"")</f>
        <v>0</v>
      </c>
      <c r="H64" s="20">
        <f>IFERROR(INDEX('Input - Supermarket'!G$2:G$200,MATCH('Calculations - Supermarket'!$C64,'Input - Supermarket'!$B$2:$B$200,0)),"")</f>
        <v>0</v>
      </c>
      <c r="I64" s="21">
        <f>IFERROR(INDEX('Input - Supermarket'!H$2:H$200,MATCH('Calculations - Supermarket'!$C64,'Input - Supermarket'!$B$2:$B$200,0)),"")</f>
        <v>0</v>
      </c>
      <c r="J64" s="21">
        <f>IFERROR(INDEX('Input - Supermarket'!I$2:I$200,MATCH('Calculations - Supermarket'!$C64,'Input - Supermarket'!$B$2:$B$200,0)),"")</f>
        <v>0</v>
      </c>
      <c r="K64" s="20">
        <f>IFERROR(INDEX('Input - Supermarket'!J$2:J$200,MATCH('Calculations - Supermarket'!$C64,'Input - Supermarket'!$B$2:$B$200,0)),"")</f>
        <v>0</v>
      </c>
      <c r="L64" s="20">
        <f>IFERROR(INDEX('Input - Supermarket'!K$2:K$200,MATCH('Calculations - Supermarket'!$C64,'Input - Supermarket'!$B$2:$B$200,0)),"")</f>
        <v>0</v>
      </c>
      <c r="M64" s="21" t="str">
        <f t="shared" si="68"/>
        <v/>
      </c>
      <c r="N64" s="21" t="str">
        <f t="shared" ref="N64:N95" si="85">IFERROR(K64/L64,"")</f>
        <v/>
      </c>
      <c r="O64" s="21">
        <f t="shared" si="69"/>
        <v>0</v>
      </c>
      <c r="P64" s="9">
        <f t="shared" ref="P64:P95" si="86">G64/SUM(G$32:G$229)</f>
        <v>0</v>
      </c>
      <c r="Q64" s="9">
        <f t="shared" ref="Q64:Q95" si="87">H64/SUM(H$32:H$229)</f>
        <v>0</v>
      </c>
      <c r="R64" s="22" t="str">
        <f>IFERROR(INDEX(Supermarket!$Q$11:$Q$170,MATCH('Calculations - Supermarket'!$C64,Supermarket!$M$11:$M$170,0)),"")</f>
        <v/>
      </c>
      <c r="S64" s="22" t="str">
        <f>IFERROR(INDEX(Supermarket!$R$11:$R$170,MATCH('Calculations - Supermarket'!$C64,Supermarket!$M$11:$M$170,0)),"")</f>
        <v/>
      </c>
      <c r="T64" s="16" t="e">
        <f t="shared" ref="T64:T95" si="88">R64*G64</f>
        <v>#VALUE!</v>
      </c>
      <c r="U64" s="16" t="e">
        <f t="shared" si="70"/>
        <v>#VALUE!</v>
      </c>
      <c r="V64" s="16" t="e">
        <f t="shared" si="71"/>
        <v>#VALUE!</v>
      </c>
      <c r="W64" s="10" t="str">
        <f t="shared" ref="W64:W95" si="89">IFERROR(V64/H64,"-")</f>
        <v>-</v>
      </c>
      <c r="X64" s="10" t="str">
        <f t="shared" ref="X64:X95" si="90">IFERROR((J64+M64)*H64*0.5,"-")</f>
        <v>-</v>
      </c>
      <c r="Y64" s="13" t="str">
        <f t="shared" si="72"/>
        <v>-</v>
      </c>
      <c r="Z64" s="9" t="str">
        <f t="shared" ref="Z64:Z95" si="91">IFERROR(Y64-P64,"-")</f>
        <v>-</v>
      </c>
      <c r="AA64" s="16" t="str">
        <f t="shared" si="73"/>
        <v>-</v>
      </c>
      <c r="AB64" s="16" t="str">
        <f t="shared" ref="AB64:AB95" si="92">IFERROR(AA64/M64,"-")</f>
        <v>-</v>
      </c>
      <c r="AC64" s="16" t="str">
        <f t="shared" ref="AC64:AC95" si="93">IFERROR(R64*AA64,"-")</f>
        <v>-</v>
      </c>
      <c r="AD64" s="16" t="str">
        <f t="shared" si="74"/>
        <v>-</v>
      </c>
      <c r="AE64" s="16"/>
      <c r="AF64" s="31" t="str">
        <f>IFERROR(INDEX(Supermarket!$P$11:$P$170,MATCH('Calculations - Supermarket'!C64,Supermarket!$M$11:$M$170,0)),"")</f>
        <v/>
      </c>
      <c r="AG64" s="23" t="str">
        <f t="shared" si="75"/>
        <v/>
      </c>
      <c r="AH64" s="23" t="str">
        <f t="shared" si="76"/>
        <v/>
      </c>
      <c r="AI64" s="9" t="str">
        <f t="shared" ref="AI64:AI95" si="94">IFERROR((AF64-M64)/M64,"")</f>
        <v/>
      </c>
      <c r="AJ64" s="4" t="str">
        <f t="shared" ref="AJ64:AJ95" si="95">IFERROR(MAX((1+AI64*O64/5)*H64,0),"")</f>
        <v/>
      </c>
      <c r="AK64" s="4"/>
      <c r="AL64" s="4"/>
      <c r="AM64" s="4"/>
      <c r="AN64" s="4"/>
      <c r="AO64" s="4"/>
      <c r="AP64" s="20" t="str">
        <f t="shared" ref="AP64:AP95" si="96">IFERROR(0.5*(J64+AF64)*AJ64,"-")</f>
        <v>-</v>
      </c>
      <c r="AQ64" s="13" t="str">
        <f t="shared" si="77"/>
        <v>-</v>
      </c>
      <c r="AR64" s="13" t="str">
        <f t="shared" si="78"/>
        <v>-</v>
      </c>
      <c r="AS64" s="13" t="str">
        <f t="shared" ref="AS64:AS95" si="97">IFERROR(AR64-P64,"-")</f>
        <v>-</v>
      </c>
      <c r="AT64" s="16" t="str">
        <f t="shared" si="79"/>
        <v>-</v>
      </c>
      <c r="AU64" s="16" t="str">
        <f t="shared" ref="AU64:AU95" si="98">IFERROR(AT64/AF64,"-")</f>
        <v>-</v>
      </c>
      <c r="AV64" s="16" t="str">
        <f t="shared" ref="AV64:AV95" si="99">IFERROR(AG64*AT64,"-")</f>
        <v>-</v>
      </c>
      <c r="AW64" s="16" t="str">
        <f t="shared" si="80"/>
        <v>-</v>
      </c>
      <c r="AX64" s="13" t="str">
        <f t="shared" si="81"/>
        <v>-</v>
      </c>
      <c r="AY64" s="10" t="str">
        <f t="shared" si="82"/>
        <v>-</v>
      </c>
      <c r="AZ64" s="9" t="str">
        <f t="shared" si="83"/>
        <v>-</v>
      </c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2:68" x14ac:dyDescent="0.3">
      <c r="B65" s="108" t="str">
        <f t="shared" si="67"/>
        <v/>
      </c>
      <c r="C65" s="108" t="str">
        <f t="shared" si="84"/>
        <v/>
      </c>
      <c r="D65" s="3"/>
      <c r="E65" s="3"/>
      <c r="F65" s="3"/>
      <c r="G65" s="20">
        <f>IFERROR(INDEX('Input - Supermarket'!F$2:F$200,MATCH('Calculations - Supermarket'!$C65,'Input - Supermarket'!$B$2:$B$200,0)),"")</f>
        <v>0</v>
      </c>
      <c r="H65" s="20">
        <f>IFERROR(INDEX('Input - Supermarket'!G$2:G$200,MATCH('Calculations - Supermarket'!$C65,'Input - Supermarket'!$B$2:$B$200,0)),"")</f>
        <v>0</v>
      </c>
      <c r="I65" s="21">
        <f>IFERROR(INDEX('Input - Supermarket'!H$2:H$200,MATCH('Calculations - Supermarket'!$C65,'Input - Supermarket'!$B$2:$B$200,0)),"")</f>
        <v>0</v>
      </c>
      <c r="J65" s="21">
        <f>IFERROR(INDEX('Input - Supermarket'!I$2:I$200,MATCH('Calculations - Supermarket'!$C65,'Input - Supermarket'!$B$2:$B$200,0)),"")</f>
        <v>0</v>
      </c>
      <c r="K65" s="20">
        <f>IFERROR(INDEX('Input - Supermarket'!J$2:J$200,MATCH('Calculations - Supermarket'!$C65,'Input - Supermarket'!$B$2:$B$200,0)),"")</f>
        <v>0</v>
      </c>
      <c r="L65" s="20">
        <f>IFERROR(INDEX('Input - Supermarket'!K$2:K$200,MATCH('Calculations - Supermarket'!$C65,'Input - Supermarket'!$B$2:$B$200,0)),"")</f>
        <v>0</v>
      </c>
      <c r="M65" s="21" t="str">
        <f t="shared" si="68"/>
        <v/>
      </c>
      <c r="N65" s="21" t="str">
        <f t="shared" si="85"/>
        <v/>
      </c>
      <c r="O65" s="21">
        <f t="shared" si="69"/>
        <v>0</v>
      </c>
      <c r="P65" s="9">
        <f t="shared" si="86"/>
        <v>0</v>
      </c>
      <c r="Q65" s="9">
        <f t="shared" si="87"/>
        <v>0</v>
      </c>
      <c r="R65" s="22" t="str">
        <f>IFERROR(INDEX(Supermarket!$Q$11:$Q$170,MATCH('Calculations - Supermarket'!$C65,Supermarket!$M$11:$M$170,0)),"")</f>
        <v/>
      </c>
      <c r="S65" s="22" t="str">
        <f>IFERROR(INDEX(Supermarket!$R$11:$R$170,MATCH('Calculations - Supermarket'!$C65,Supermarket!$M$11:$M$170,0)),"")</f>
        <v/>
      </c>
      <c r="T65" s="16" t="e">
        <f t="shared" si="88"/>
        <v>#VALUE!</v>
      </c>
      <c r="U65" s="16" t="e">
        <f t="shared" si="70"/>
        <v>#VALUE!</v>
      </c>
      <c r="V65" s="16" t="e">
        <f t="shared" si="71"/>
        <v>#VALUE!</v>
      </c>
      <c r="W65" s="10" t="str">
        <f t="shared" si="89"/>
        <v>-</v>
      </c>
      <c r="X65" s="10" t="str">
        <f t="shared" si="90"/>
        <v>-</v>
      </c>
      <c r="Y65" s="13" t="str">
        <f t="shared" si="72"/>
        <v>-</v>
      </c>
      <c r="Z65" s="9" t="str">
        <f t="shared" si="91"/>
        <v>-</v>
      </c>
      <c r="AA65" s="16" t="str">
        <f t="shared" si="73"/>
        <v>-</v>
      </c>
      <c r="AB65" s="16" t="str">
        <f t="shared" si="92"/>
        <v>-</v>
      </c>
      <c r="AC65" s="16" t="str">
        <f t="shared" si="93"/>
        <v>-</v>
      </c>
      <c r="AD65" s="16" t="str">
        <f t="shared" si="74"/>
        <v>-</v>
      </c>
      <c r="AE65" s="16"/>
      <c r="AF65" s="31" t="str">
        <f>IFERROR(INDEX(Supermarket!$P$11:$P$170,MATCH('Calculations - Supermarket'!C65,Supermarket!$M$11:$M$170,0)),"")</f>
        <v/>
      </c>
      <c r="AG65" s="23" t="str">
        <f t="shared" si="75"/>
        <v/>
      </c>
      <c r="AH65" s="23" t="str">
        <f t="shared" si="76"/>
        <v/>
      </c>
      <c r="AI65" s="9" t="str">
        <f t="shared" si="94"/>
        <v/>
      </c>
      <c r="AJ65" s="4" t="str">
        <f t="shared" si="95"/>
        <v/>
      </c>
      <c r="AK65" s="4"/>
      <c r="AL65" s="4"/>
      <c r="AM65" s="4"/>
      <c r="AN65" s="4"/>
      <c r="AO65" s="4"/>
      <c r="AP65" s="20" t="str">
        <f t="shared" si="96"/>
        <v>-</v>
      </c>
      <c r="AQ65" s="13" t="str">
        <f t="shared" si="77"/>
        <v>-</v>
      </c>
      <c r="AR65" s="13" t="str">
        <f t="shared" si="78"/>
        <v>-</v>
      </c>
      <c r="AS65" s="13" t="str">
        <f t="shared" si="97"/>
        <v>-</v>
      </c>
      <c r="AT65" s="16" t="str">
        <f t="shared" si="79"/>
        <v>-</v>
      </c>
      <c r="AU65" s="16" t="str">
        <f t="shared" si="98"/>
        <v>-</v>
      </c>
      <c r="AV65" s="16" t="str">
        <f t="shared" si="99"/>
        <v>-</v>
      </c>
      <c r="AW65" s="16" t="str">
        <f t="shared" si="80"/>
        <v>-</v>
      </c>
      <c r="AX65" s="13" t="str">
        <f t="shared" si="81"/>
        <v>-</v>
      </c>
      <c r="AY65" s="10" t="str">
        <f t="shared" si="82"/>
        <v>-</v>
      </c>
      <c r="AZ65" s="9" t="str">
        <f t="shared" si="83"/>
        <v>-</v>
      </c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2:68" x14ac:dyDescent="0.3">
      <c r="B66" s="108" t="str">
        <f t="shared" si="67"/>
        <v/>
      </c>
      <c r="C66" s="108" t="str">
        <f t="shared" si="84"/>
        <v/>
      </c>
      <c r="D66" s="3"/>
      <c r="E66" s="3"/>
      <c r="F66" s="3"/>
      <c r="G66" s="20">
        <f>IFERROR(INDEX('Input - Supermarket'!F$2:F$200,MATCH('Calculations - Supermarket'!$C66,'Input - Supermarket'!$B$2:$B$200,0)),"")</f>
        <v>0</v>
      </c>
      <c r="H66" s="20">
        <f>IFERROR(INDEX('Input - Supermarket'!G$2:G$200,MATCH('Calculations - Supermarket'!$C66,'Input - Supermarket'!$B$2:$B$200,0)),"")</f>
        <v>0</v>
      </c>
      <c r="I66" s="21">
        <f>IFERROR(INDEX('Input - Supermarket'!H$2:H$200,MATCH('Calculations - Supermarket'!$C66,'Input - Supermarket'!$B$2:$B$200,0)),"")</f>
        <v>0</v>
      </c>
      <c r="J66" s="21">
        <f>IFERROR(INDEX('Input - Supermarket'!I$2:I$200,MATCH('Calculations - Supermarket'!$C66,'Input - Supermarket'!$B$2:$B$200,0)),"")</f>
        <v>0</v>
      </c>
      <c r="K66" s="20">
        <f>IFERROR(INDEX('Input - Supermarket'!J$2:J$200,MATCH('Calculations - Supermarket'!$C66,'Input - Supermarket'!$B$2:$B$200,0)),"")</f>
        <v>0</v>
      </c>
      <c r="L66" s="20">
        <f>IFERROR(INDEX('Input - Supermarket'!K$2:K$200,MATCH('Calculations - Supermarket'!$C66,'Input - Supermarket'!$B$2:$B$200,0)),"")</f>
        <v>0</v>
      </c>
      <c r="M66" s="21" t="str">
        <f t="shared" si="68"/>
        <v/>
      </c>
      <c r="N66" s="21" t="str">
        <f t="shared" si="85"/>
        <v/>
      </c>
      <c r="O66" s="21">
        <f t="shared" si="69"/>
        <v>0</v>
      </c>
      <c r="P66" s="9">
        <f t="shared" si="86"/>
        <v>0</v>
      </c>
      <c r="Q66" s="9">
        <f t="shared" si="87"/>
        <v>0</v>
      </c>
      <c r="R66" s="22" t="str">
        <f>IFERROR(INDEX(Supermarket!$Q$11:$Q$170,MATCH('Calculations - Supermarket'!$C66,Supermarket!$M$11:$M$170,0)),"")</f>
        <v/>
      </c>
      <c r="S66" s="22" t="str">
        <f>IFERROR(INDEX(Supermarket!$R$11:$R$170,MATCH('Calculations - Supermarket'!$C66,Supermarket!$M$11:$M$170,0)),"")</f>
        <v/>
      </c>
      <c r="T66" s="16" t="e">
        <f t="shared" si="88"/>
        <v>#VALUE!</v>
      </c>
      <c r="U66" s="16" t="e">
        <f t="shared" si="70"/>
        <v>#VALUE!</v>
      </c>
      <c r="V66" s="16" t="e">
        <f t="shared" si="71"/>
        <v>#VALUE!</v>
      </c>
      <c r="W66" s="10" t="str">
        <f t="shared" si="89"/>
        <v>-</v>
      </c>
      <c r="X66" s="10" t="str">
        <f t="shared" si="90"/>
        <v>-</v>
      </c>
      <c r="Y66" s="13" t="str">
        <f t="shared" si="72"/>
        <v>-</v>
      </c>
      <c r="Z66" s="9" t="str">
        <f t="shared" si="91"/>
        <v>-</v>
      </c>
      <c r="AA66" s="16" t="str">
        <f t="shared" si="73"/>
        <v>-</v>
      </c>
      <c r="AB66" s="16" t="str">
        <f t="shared" si="92"/>
        <v>-</v>
      </c>
      <c r="AC66" s="16" t="str">
        <f t="shared" si="93"/>
        <v>-</v>
      </c>
      <c r="AD66" s="16" t="str">
        <f t="shared" si="74"/>
        <v>-</v>
      </c>
      <c r="AE66" s="16"/>
      <c r="AF66" s="31" t="str">
        <f>IFERROR(INDEX(Supermarket!$P$11:$P$170,MATCH('Calculations - Supermarket'!C66,Supermarket!$M$11:$M$170,0)),"")</f>
        <v/>
      </c>
      <c r="AG66" s="23" t="str">
        <f t="shared" si="75"/>
        <v/>
      </c>
      <c r="AH66" s="23" t="str">
        <f t="shared" si="76"/>
        <v/>
      </c>
      <c r="AI66" s="9" t="str">
        <f t="shared" si="94"/>
        <v/>
      </c>
      <c r="AJ66" s="4" t="str">
        <f t="shared" si="95"/>
        <v/>
      </c>
      <c r="AK66" s="4"/>
      <c r="AL66" s="4"/>
      <c r="AM66" s="4"/>
      <c r="AN66" s="4"/>
      <c r="AO66" s="4"/>
      <c r="AP66" s="20" t="str">
        <f t="shared" si="96"/>
        <v>-</v>
      </c>
      <c r="AQ66" s="13" t="str">
        <f t="shared" si="77"/>
        <v>-</v>
      </c>
      <c r="AR66" s="13" t="str">
        <f t="shared" si="78"/>
        <v>-</v>
      </c>
      <c r="AS66" s="13" t="str">
        <f t="shared" si="97"/>
        <v>-</v>
      </c>
      <c r="AT66" s="16" t="str">
        <f t="shared" si="79"/>
        <v>-</v>
      </c>
      <c r="AU66" s="16" t="str">
        <f t="shared" si="98"/>
        <v>-</v>
      </c>
      <c r="AV66" s="16" t="str">
        <f t="shared" si="99"/>
        <v>-</v>
      </c>
      <c r="AW66" s="16" t="str">
        <f t="shared" si="80"/>
        <v>-</v>
      </c>
      <c r="AX66" s="13" t="str">
        <f t="shared" si="81"/>
        <v>-</v>
      </c>
      <c r="AY66" s="10" t="str">
        <f t="shared" si="82"/>
        <v>-</v>
      </c>
      <c r="AZ66" s="9" t="str">
        <f t="shared" si="83"/>
        <v>-</v>
      </c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2:68" x14ac:dyDescent="0.3">
      <c r="B67" s="108" t="str">
        <f t="shared" si="67"/>
        <v/>
      </c>
      <c r="C67" s="108" t="str">
        <f t="shared" si="84"/>
        <v/>
      </c>
      <c r="D67" s="3"/>
      <c r="E67" s="3"/>
      <c r="F67" s="3"/>
      <c r="G67" s="20">
        <f>IFERROR(INDEX('Input - Supermarket'!F$2:F$200,MATCH('Calculations - Supermarket'!$C67,'Input - Supermarket'!$B$2:$B$200,0)),"")</f>
        <v>0</v>
      </c>
      <c r="H67" s="20">
        <f>IFERROR(INDEX('Input - Supermarket'!G$2:G$200,MATCH('Calculations - Supermarket'!$C67,'Input - Supermarket'!$B$2:$B$200,0)),"")</f>
        <v>0</v>
      </c>
      <c r="I67" s="21">
        <f>IFERROR(INDEX('Input - Supermarket'!H$2:H$200,MATCH('Calculations - Supermarket'!$C67,'Input - Supermarket'!$B$2:$B$200,0)),"")</f>
        <v>0</v>
      </c>
      <c r="J67" s="21">
        <f>IFERROR(INDEX('Input - Supermarket'!I$2:I$200,MATCH('Calculations - Supermarket'!$C67,'Input - Supermarket'!$B$2:$B$200,0)),"")</f>
        <v>0</v>
      </c>
      <c r="K67" s="20">
        <f>IFERROR(INDEX('Input - Supermarket'!J$2:J$200,MATCH('Calculations - Supermarket'!$C67,'Input - Supermarket'!$B$2:$B$200,0)),"")</f>
        <v>0</v>
      </c>
      <c r="L67" s="20">
        <f>IFERROR(INDEX('Input - Supermarket'!K$2:K$200,MATCH('Calculations - Supermarket'!$C67,'Input - Supermarket'!$B$2:$B$200,0)),"")</f>
        <v>0</v>
      </c>
      <c r="M67" s="21" t="str">
        <f t="shared" si="68"/>
        <v/>
      </c>
      <c r="N67" s="21" t="str">
        <f t="shared" si="85"/>
        <v/>
      </c>
      <c r="O67" s="21">
        <f t="shared" si="69"/>
        <v>0</v>
      </c>
      <c r="P67" s="9">
        <f t="shared" si="86"/>
        <v>0</v>
      </c>
      <c r="Q67" s="9">
        <f t="shared" si="87"/>
        <v>0</v>
      </c>
      <c r="R67" s="22" t="str">
        <f>IFERROR(INDEX(Supermarket!$Q$11:$Q$170,MATCH('Calculations - Supermarket'!$C67,Supermarket!$M$11:$M$170,0)),"")</f>
        <v/>
      </c>
      <c r="S67" s="22" t="str">
        <f>IFERROR(INDEX(Supermarket!$R$11:$R$170,MATCH('Calculations - Supermarket'!$C67,Supermarket!$M$11:$M$170,0)),"")</f>
        <v/>
      </c>
      <c r="T67" s="16" t="e">
        <f t="shared" si="88"/>
        <v>#VALUE!</v>
      </c>
      <c r="U67" s="16" t="e">
        <f t="shared" si="70"/>
        <v>#VALUE!</v>
      </c>
      <c r="V67" s="16" t="e">
        <f t="shared" si="71"/>
        <v>#VALUE!</v>
      </c>
      <c r="W67" s="10" t="str">
        <f t="shared" si="89"/>
        <v>-</v>
      </c>
      <c r="X67" s="10" t="str">
        <f t="shared" si="90"/>
        <v>-</v>
      </c>
      <c r="Y67" s="13" t="str">
        <f t="shared" si="72"/>
        <v>-</v>
      </c>
      <c r="Z67" s="9" t="str">
        <f t="shared" si="91"/>
        <v>-</v>
      </c>
      <c r="AA67" s="16" t="str">
        <f t="shared" si="73"/>
        <v>-</v>
      </c>
      <c r="AB67" s="16" t="str">
        <f t="shared" si="92"/>
        <v>-</v>
      </c>
      <c r="AC67" s="16" t="str">
        <f t="shared" si="93"/>
        <v>-</v>
      </c>
      <c r="AD67" s="16" t="str">
        <f t="shared" si="74"/>
        <v>-</v>
      </c>
      <c r="AE67" s="16"/>
      <c r="AF67" s="31" t="str">
        <f>IFERROR(INDEX(Supermarket!$P$11:$P$170,MATCH('Calculations - Supermarket'!C67,Supermarket!$M$11:$M$170,0)),"")</f>
        <v/>
      </c>
      <c r="AG67" s="23" t="str">
        <f t="shared" si="75"/>
        <v/>
      </c>
      <c r="AH67" s="23" t="str">
        <f t="shared" si="76"/>
        <v/>
      </c>
      <c r="AI67" s="9" t="str">
        <f t="shared" si="94"/>
        <v/>
      </c>
      <c r="AJ67" s="4" t="str">
        <f t="shared" si="95"/>
        <v/>
      </c>
      <c r="AK67" s="4"/>
      <c r="AL67" s="4"/>
      <c r="AM67" s="4"/>
      <c r="AN67" s="4"/>
      <c r="AO67" s="4"/>
      <c r="AP67" s="20" t="str">
        <f t="shared" si="96"/>
        <v>-</v>
      </c>
      <c r="AQ67" s="13" t="str">
        <f t="shared" si="77"/>
        <v>-</v>
      </c>
      <c r="AR67" s="13" t="str">
        <f t="shared" si="78"/>
        <v>-</v>
      </c>
      <c r="AS67" s="13" t="str">
        <f t="shared" si="97"/>
        <v>-</v>
      </c>
      <c r="AT67" s="16" t="str">
        <f t="shared" si="79"/>
        <v>-</v>
      </c>
      <c r="AU67" s="16" t="str">
        <f t="shared" si="98"/>
        <v>-</v>
      </c>
      <c r="AV67" s="16" t="str">
        <f t="shared" si="99"/>
        <v>-</v>
      </c>
      <c r="AW67" s="16" t="str">
        <f t="shared" si="80"/>
        <v>-</v>
      </c>
      <c r="AX67" s="13" t="str">
        <f t="shared" si="81"/>
        <v>-</v>
      </c>
      <c r="AY67" s="10" t="str">
        <f t="shared" si="82"/>
        <v>-</v>
      </c>
      <c r="AZ67" s="9" t="str">
        <f t="shared" si="83"/>
        <v>-</v>
      </c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</row>
    <row r="68" spans="2:68" x14ac:dyDescent="0.3">
      <c r="B68" s="108" t="str">
        <f t="shared" si="67"/>
        <v/>
      </c>
      <c r="C68" s="108" t="str">
        <f t="shared" si="84"/>
        <v/>
      </c>
      <c r="D68" s="3"/>
      <c r="E68" s="3"/>
      <c r="F68" s="3"/>
      <c r="G68" s="20">
        <f>IFERROR(INDEX('Input - Supermarket'!F$2:F$200,MATCH('Calculations - Supermarket'!$C68,'Input - Supermarket'!$B$2:$B$200,0)),"")</f>
        <v>0</v>
      </c>
      <c r="H68" s="20">
        <f>IFERROR(INDEX('Input - Supermarket'!G$2:G$200,MATCH('Calculations - Supermarket'!$C68,'Input - Supermarket'!$B$2:$B$200,0)),"")</f>
        <v>0</v>
      </c>
      <c r="I68" s="21">
        <f>IFERROR(INDEX('Input - Supermarket'!H$2:H$200,MATCH('Calculations - Supermarket'!$C68,'Input - Supermarket'!$B$2:$B$200,0)),"")</f>
        <v>0</v>
      </c>
      <c r="J68" s="21">
        <f>IFERROR(INDEX('Input - Supermarket'!I$2:I$200,MATCH('Calculations - Supermarket'!$C68,'Input - Supermarket'!$B$2:$B$200,0)),"")</f>
        <v>0</v>
      </c>
      <c r="K68" s="20">
        <f>IFERROR(INDEX('Input - Supermarket'!J$2:J$200,MATCH('Calculations - Supermarket'!$C68,'Input - Supermarket'!$B$2:$B$200,0)),"")</f>
        <v>0</v>
      </c>
      <c r="L68" s="20">
        <f>IFERROR(INDEX('Input - Supermarket'!K$2:K$200,MATCH('Calculations - Supermarket'!$C68,'Input - Supermarket'!$B$2:$B$200,0)),"")</f>
        <v>0</v>
      </c>
      <c r="M68" s="21" t="str">
        <f t="shared" si="68"/>
        <v/>
      </c>
      <c r="N68" s="21" t="str">
        <f t="shared" si="85"/>
        <v/>
      </c>
      <c r="O68" s="21">
        <f t="shared" si="69"/>
        <v>0</v>
      </c>
      <c r="P68" s="9">
        <f t="shared" si="86"/>
        <v>0</v>
      </c>
      <c r="Q68" s="9">
        <f t="shared" si="87"/>
        <v>0</v>
      </c>
      <c r="R68" s="22" t="str">
        <f>IFERROR(INDEX(Supermarket!$Q$11:$Q$170,MATCH('Calculations - Supermarket'!$C68,Supermarket!$M$11:$M$170,0)),"")</f>
        <v/>
      </c>
      <c r="S68" s="22" t="str">
        <f>IFERROR(INDEX(Supermarket!$R$11:$R$170,MATCH('Calculations - Supermarket'!$C68,Supermarket!$M$11:$M$170,0)),"")</f>
        <v/>
      </c>
      <c r="T68" s="16" t="e">
        <f t="shared" si="88"/>
        <v>#VALUE!</v>
      </c>
      <c r="U68" s="16" t="e">
        <f t="shared" si="70"/>
        <v>#VALUE!</v>
      </c>
      <c r="V68" s="16" t="e">
        <f t="shared" si="71"/>
        <v>#VALUE!</v>
      </c>
      <c r="W68" s="10" t="str">
        <f t="shared" si="89"/>
        <v>-</v>
      </c>
      <c r="X68" s="10" t="str">
        <f t="shared" si="90"/>
        <v>-</v>
      </c>
      <c r="Y68" s="13" t="str">
        <f t="shared" si="72"/>
        <v>-</v>
      </c>
      <c r="Z68" s="9" t="str">
        <f t="shared" si="91"/>
        <v>-</v>
      </c>
      <c r="AA68" s="16" t="str">
        <f t="shared" si="73"/>
        <v>-</v>
      </c>
      <c r="AB68" s="16" t="str">
        <f t="shared" si="92"/>
        <v>-</v>
      </c>
      <c r="AC68" s="16" t="str">
        <f t="shared" si="93"/>
        <v>-</v>
      </c>
      <c r="AD68" s="16" t="str">
        <f t="shared" si="74"/>
        <v>-</v>
      </c>
      <c r="AE68" s="16"/>
      <c r="AF68" s="31" t="str">
        <f>IFERROR(INDEX(Supermarket!$P$11:$P$170,MATCH('Calculations - Supermarket'!C68,Supermarket!$M$11:$M$170,0)),"")</f>
        <v/>
      </c>
      <c r="AG68" s="23" t="str">
        <f t="shared" si="75"/>
        <v/>
      </c>
      <c r="AH68" s="23" t="str">
        <f t="shared" si="76"/>
        <v/>
      </c>
      <c r="AI68" s="9" t="str">
        <f t="shared" si="94"/>
        <v/>
      </c>
      <c r="AJ68" s="4" t="str">
        <f t="shared" si="95"/>
        <v/>
      </c>
      <c r="AK68" s="4"/>
      <c r="AL68" s="4"/>
      <c r="AM68" s="4"/>
      <c r="AN68" s="4"/>
      <c r="AO68" s="4"/>
      <c r="AP68" s="20" t="str">
        <f t="shared" si="96"/>
        <v>-</v>
      </c>
      <c r="AQ68" s="13" t="str">
        <f t="shared" si="77"/>
        <v>-</v>
      </c>
      <c r="AR68" s="13" t="str">
        <f t="shared" si="78"/>
        <v>-</v>
      </c>
      <c r="AS68" s="13" t="str">
        <f t="shared" si="97"/>
        <v>-</v>
      </c>
      <c r="AT68" s="16" t="str">
        <f t="shared" si="79"/>
        <v>-</v>
      </c>
      <c r="AU68" s="16" t="str">
        <f t="shared" si="98"/>
        <v>-</v>
      </c>
      <c r="AV68" s="16" t="str">
        <f t="shared" si="99"/>
        <v>-</v>
      </c>
      <c r="AW68" s="16" t="str">
        <f t="shared" si="80"/>
        <v>-</v>
      </c>
      <c r="AX68" s="13" t="str">
        <f t="shared" si="81"/>
        <v>-</v>
      </c>
      <c r="AY68" s="10" t="str">
        <f t="shared" si="82"/>
        <v>-</v>
      </c>
      <c r="AZ68" s="9" t="str">
        <f t="shared" si="83"/>
        <v>-</v>
      </c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2:68" x14ac:dyDescent="0.3">
      <c r="B69" s="108" t="str">
        <f t="shared" si="67"/>
        <v/>
      </c>
      <c r="C69" s="108" t="str">
        <f t="shared" si="84"/>
        <v/>
      </c>
      <c r="D69" s="3"/>
      <c r="E69" s="3"/>
      <c r="F69" s="3"/>
      <c r="G69" s="20">
        <f>IFERROR(INDEX('Input - Supermarket'!F$2:F$200,MATCH('Calculations - Supermarket'!$C69,'Input - Supermarket'!$B$2:$B$200,0)),"")</f>
        <v>0</v>
      </c>
      <c r="H69" s="20">
        <f>IFERROR(INDEX('Input - Supermarket'!G$2:G$200,MATCH('Calculations - Supermarket'!$C69,'Input - Supermarket'!$B$2:$B$200,0)),"")</f>
        <v>0</v>
      </c>
      <c r="I69" s="21">
        <f>IFERROR(INDEX('Input - Supermarket'!H$2:H$200,MATCH('Calculations - Supermarket'!$C69,'Input - Supermarket'!$B$2:$B$200,0)),"")</f>
        <v>0</v>
      </c>
      <c r="J69" s="21">
        <f>IFERROR(INDEX('Input - Supermarket'!I$2:I$200,MATCH('Calculations - Supermarket'!$C69,'Input - Supermarket'!$B$2:$B$200,0)),"")</f>
        <v>0</v>
      </c>
      <c r="K69" s="20">
        <f>IFERROR(INDEX('Input - Supermarket'!J$2:J$200,MATCH('Calculations - Supermarket'!$C69,'Input - Supermarket'!$B$2:$B$200,0)),"")</f>
        <v>0</v>
      </c>
      <c r="L69" s="20">
        <f>IFERROR(INDEX('Input - Supermarket'!K$2:K$200,MATCH('Calculations - Supermarket'!$C69,'Input - Supermarket'!$B$2:$B$200,0)),"")</f>
        <v>0</v>
      </c>
      <c r="M69" s="21" t="str">
        <f t="shared" si="68"/>
        <v/>
      </c>
      <c r="N69" s="21" t="str">
        <f t="shared" si="85"/>
        <v/>
      </c>
      <c r="O69" s="21">
        <f t="shared" si="69"/>
        <v>0</v>
      </c>
      <c r="P69" s="9">
        <f t="shared" si="86"/>
        <v>0</v>
      </c>
      <c r="Q69" s="9">
        <f t="shared" si="87"/>
        <v>0</v>
      </c>
      <c r="R69" s="22" t="str">
        <f>IFERROR(INDEX(Supermarket!$Q$11:$Q$170,MATCH('Calculations - Supermarket'!$C69,Supermarket!$M$11:$M$170,0)),"")</f>
        <v/>
      </c>
      <c r="S69" s="22" t="str">
        <f>IFERROR(INDEX(Supermarket!$R$11:$R$170,MATCH('Calculations - Supermarket'!$C69,Supermarket!$M$11:$M$170,0)),"")</f>
        <v/>
      </c>
      <c r="T69" s="16" t="e">
        <f t="shared" si="88"/>
        <v>#VALUE!</v>
      </c>
      <c r="U69" s="16" t="e">
        <f t="shared" si="70"/>
        <v>#VALUE!</v>
      </c>
      <c r="V69" s="16" t="e">
        <f t="shared" si="71"/>
        <v>#VALUE!</v>
      </c>
      <c r="W69" s="10" t="str">
        <f t="shared" si="89"/>
        <v>-</v>
      </c>
      <c r="X69" s="10" t="str">
        <f t="shared" si="90"/>
        <v>-</v>
      </c>
      <c r="Y69" s="13" t="str">
        <f t="shared" si="72"/>
        <v>-</v>
      </c>
      <c r="Z69" s="9" t="str">
        <f t="shared" si="91"/>
        <v>-</v>
      </c>
      <c r="AA69" s="16" t="str">
        <f t="shared" si="73"/>
        <v>-</v>
      </c>
      <c r="AB69" s="16" t="str">
        <f t="shared" si="92"/>
        <v>-</v>
      </c>
      <c r="AC69" s="16" t="str">
        <f t="shared" si="93"/>
        <v>-</v>
      </c>
      <c r="AD69" s="16" t="str">
        <f t="shared" si="74"/>
        <v>-</v>
      </c>
      <c r="AE69" s="16"/>
      <c r="AF69" s="31" t="str">
        <f>IFERROR(INDEX(Supermarket!$P$11:$P$170,MATCH('Calculations - Supermarket'!C69,Supermarket!$M$11:$M$170,0)),"")</f>
        <v/>
      </c>
      <c r="AG69" s="23" t="str">
        <f t="shared" si="75"/>
        <v/>
      </c>
      <c r="AH69" s="23" t="str">
        <f t="shared" si="76"/>
        <v/>
      </c>
      <c r="AI69" s="9" t="str">
        <f t="shared" si="94"/>
        <v/>
      </c>
      <c r="AJ69" s="4" t="str">
        <f t="shared" si="95"/>
        <v/>
      </c>
      <c r="AK69" s="4"/>
      <c r="AL69" s="4"/>
      <c r="AM69" s="4"/>
      <c r="AN69" s="4"/>
      <c r="AO69" s="4"/>
      <c r="AP69" s="20" t="str">
        <f t="shared" si="96"/>
        <v>-</v>
      </c>
      <c r="AQ69" s="13" t="str">
        <f t="shared" si="77"/>
        <v>-</v>
      </c>
      <c r="AR69" s="13" t="str">
        <f t="shared" si="78"/>
        <v>-</v>
      </c>
      <c r="AS69" s="13" t="str">
        <f t="shared" si="97"/>
        <v>-</v>
      </c>
      <c r="AT69" s="16" t="str">
        <f t="shared" si="79"/>
        <v>-</v>
      </c>
      <c r="AU69" s="16" t="str">
        <f t="shared" si="98"/>
        <v>-</v>
      </c>
      <c r="AV69" s="16" t="str">
        <f t="shared" si="99"/>
        <v>-</v>
      </c>
      <c r="AW69" s="16" t="str">
        <f t="shared" si="80"/>
        <v>-</v>
      </c>
      <c r="AX69" s="13" t="str">
        <f t="shared" si="81"/>
        <v>-</v>
      </c>
      <c r="AY69" s="10" t="str">
        <f t="shared" si="82"/>
        <v>-</v>
      </c>
      <c r="AZ69" s="9" t="str">
        <f t="shared" si="83"/>
        <v>-</v>
      </c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2:68" x14ac:dyDescent="0.3">
      <c r="B70" s="108" t="str">
        <f t="shared" si="67"/>
        <v/>
      </c>
      <c r="C70" s="108" t="str">
        <f t="shared" si="84"/>
        <v/>
      </c>
      <c r="D70" s="3"/>
      <c r="E70" s="3"/>
      <c r="F70" s="3"/>
      <c r="G70" s="20">
        <f>IFERROR(INDEX('Input - Supermarket'!F$2:F$200,MATCH('Calculations - Supermarket'!$C70,'Input - Supermarket'!$B$2:$B$200,0)),"")</f>
        <v>0</v>
      </c>
      <c r="H70" s="20">
        <f>IFERROR(INDEX('Input - Supermarket'!G$2:G$200,MATCH('Calculations - Supermarket'!$C70,'Input - Supermarket'!$B$2:$B$200,0)),"")</f>
        <v>0</v>
      </c>
      <c r="I70" s="21">
        <f>IFERROR(INDEX('Input - Supermarket'!H$2:H$200,MATCH('Calculations - Supermarket'!$C70,'Input - Supermarket'!$B$2:$B$200,0)),"")</f>
        <v>0</v>
      </c>
      <c r="J70" s="21">
        <f>IFERROR(INDEX('Input - Supermarket'!I$2:I$200,MATCH('Calculations - Supermarket'!$C70,'Input - Supermarket'!$B$2:$B$200,0)),"")</f>
        <v>0</v>
      </c>
      <c r="K70" s="20">
        <f>IFERROR(INDEX('Input - Supermarket'!J$2:J$200,MATCH('Calculations - Supermarket'!$C70,'Input - Supermarket'!$B$2:$B$200,0)),"")</f>
        <v>0</v>
      </c>
      <c r="L70" s="20">
        <f>IFERROR(INDEX('Input - Supermarket'!K$2:K$200,MATCH('Calculations - Supermarket'!$C70,'Input - Supermarket'!$B$2:$B$200,0)),"")</f>
        <v>0</v>
      </c>
      <c r="M70" s="21" t="str">
        <f t="shared" si="68"/>
        <v/>
      </c>
      <c r="N70" s="21" t="str">
        <f t="shared" si="85"/>
        <v/>
      </c>
      <c r="O70" s="21">
        <f t="shared" si="69"/>
        <v>0</v>
      </c>
      <c r="P70" s="9">
        <f t="shared" si="86"/>
        <v>0</v>
      </c>
      <c r="Q70" s="9">
        <f t="shared" si="87"/>
        <v>0</v>
      </c>
      <c r="R70" s="22" t="str">
        <f>IFERROR(INDEX(Supermarket!$Q$11:$Q$170,MATCH('Calculations - Supermarket'!$C70,Supermarket!$M$11:$M$170,0)),"")</f>
        <v/>
      </c>
      <c r="S70" s="22" t="str">
        <f>IFERROR(INDEX(Supermarket!$R$11:$R$170,MATCH('Calculations - Supermarket'!$C70,Supermarket!$M$11:$M$170,0)),"")</f>
        <v/>
      </c>
      <c r="T70" s="16" t="e">
        <f t="shared" si="88"/>
        <v>#VALUE!</v>
      </c>
      <c r="U70" s="16" t="e">
        <f t="shared" si="70"/>
        <v>#VALUE!</v>
      </c>
      <c r="V70" s="16" t="e">
        <f t="shared" si="71"/>
        <v>#VALUE!</v>
      </c>
      <c r="W70" s="10" t="str">
        <f t="shared" si="89"/>
        <v>-</v>
      </c>
      <c r="X70" s="10" t="str">
        <f t="shared" si="90"/>
        <v>-</v>
      </c>
      <c r="Y70" s="13" t="str">
        <f t="shared" si="72"/>
        <v>-</v>
      </c>
      <c r="Z70" s="9" t="str">
        <f t="shared" si="91"/>
        <v>-</v>
      </c>
      <c r="AA70" s="16" t="str">
        <f t="shared" si="73"/>
        <v>-</v>
      </c>
      <c r="AB70" s="16" t="str">
        <f t="shared" si="92"/>
        <v>-</v>
      </c>
      <c r="AC70" s="16" t="str">
        <f t="shared" si="93"/>
        <v>-</v>
      </c>
      <c r="AD70" s="16" t="str">
        <f t="shared" si="74"/>
        <v>-</v>
      </c>
      <c r="AE70" s="16"/>
      <c r="AF70" s="31" t="str">
        <f>IFERROR(INDEX(Supermarket!$P$11:$P$170,MATCH('Calculations - Supermarket'!C70,Supermarket!$M$11:$M$170,0)),"")</f>
        <v/>
      </c>
      <c r="AG70" s="23" t="str">
        <f t="shared" si="75"/>
        <v/>
      </c>
      <c r="AH70" s="23" t="str">
        <f t="shared" si="76"/>
        <v/>
      </c>
      <c r="AI70" s="9" t="str">
        <f t="shared" si="94"/>
        <v/>
      </c>
      <c r="AJ70" s="4" t="str">
        <f t="shared" si="95"/>
        <v/>
      </c>
      <c r="AK70" s="4"/>
      <c r="AL70" s="4"/>
      <c r="AM70" s="4"/>
      <c r="AN70" s="4"/>
      <c r="AO70" s="4"/>
      <c r="AP70" s="20" t="str">
        <f t="shared" si="96"/>
        <v>-</v>
      </c>
      <c r="AQ70" s="13" t="str">
        <f t="shared" si="77"/>
        <v>-</v>
      </c>
      <c r="AR70" s="13" t="str">
        <f t="shared" si="78"/>
        <v>-</v>
      </c>
      <c r="AS70" s="13" t="str">
        <f t="shared" si="97"/>
        <v>-</v>
      </c>
      <c r="AT70" s="16" t="str">
        <f t="shared" si="79"/>
        <v>-</v>
      </c>
      <c r="AU70" s="16" t="str">
        <f t="shared" si="98"/>
        <v>-</v>
      </c>
      <c r="AV70" s="16" t="str">
        <f t="shared" si="99"/>
        <v>-</v>
      </c>
      <c r="AW70" s="16" t="str">
        <f t="shared" si="80"/>
        <v>-</v>
      </c>
      <c r="AX70" s="13" t="str">
        <f t="shared" si="81"/>
        <v>-</v>
      </c>
      <c r="AY70" s="10" t="str">
        <f t="shared" si="82"/>
        <v>-</v>
      </c>
      <c r="AZ70" s="9" t="str">
        <f t="shared" si="83"/>
        <v>-</v>
      </c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2:68" x14ac:dyDescent="0.3">
      <c r="B71" s="108" t="str">
        <f t="shared" si="67"/>
        <v/>
      </c>
      <c r="C71" s="108" t="str">
        <f t="shared" si="84"/>
        <v/>
      </c>
      <c r="D71" s="3"/>
      <c r="E71" s="3"/>
      <c r="F71" s="3"/>
      <c r="G71" s="20">
        <f>IFERROR(INDEX('Input - Supermarket'!F$2:F$200,MATCH('Calculations - Supermarket'!$C71,'Input - Supermarket'!$B$2:$B$200,0)),"")</f>
        <v>0</v>
      </c>
      <c r="H71" s="20">
        <f>IFERROR(INDEX('Input - Supermarket'!G$2:G$200,MATCH('Calculations - Supermarket'!$C71,'Input - Supermarket'!$B$2:$B$200,0)),"")</f>
        <v>0</v>
      </c>
      <c r="I71" s="21">
        <f>IFERROR(INDEX('Input - Supermarket'!H$2:H$200,MATCH('Calculations - Supermarket'!$C71,'Input - Supermarket'!$B$2:$B$200,0)),"")</f>
        <v>0</v>
      </c>
      <c r="J71" s="21">
        <f>IFERROR(INDEX('Input - Supermarket'!I$2:I$200,MATCH('Calculations - Supermarket'!$C71,'Input - Supermarket'!$B$2:$B$200,0)),"")</f>
        <v>0</v>
      </c>
      <c r="K71" s="20">
        <f>IFERROR(INDEX('Input - Supermarket'!J$2:J$200,MATCH('Calculations - Supermarket'!$C71,'Input - Supermarket'!$B$2:$B$200,0)),"")</f>
        <v>0</v>
      </c>
      <c r="L71" s="20">
        <f>IFERROR(INDEX('Input - Supermarket'!K$2:K$200,MATCH('Calculations - Supermarket'!$C71,'Input - Supermarket'!$B$2:$B$200,0)),"")</f>
        <v>0</v>
      </c>
      <c r="M71" s="21" t="str">
        <f t="shared" si="68"/>
        <v/>
      </c>
      <c r="N71" s="21" t="str">
        <f t="shared" si="85"/>
        <v/>
      </c>
      <c r="O71" s="21">
        <f t="shared" si="69"/>
        <v>0</v>
      </c>
      <c r="P71" s="9">
        <f t="shared" si="86"/>
        <v>0</v>
      </c>
      <c r="Q71" s="9">
        <f t="shared" si="87"/>
        <v>0</v>
      </c>
      <c r="R71" s="22" t="str">
        <f>IFERROR(INDEX(Supermarket!$Q$11:$Q$170,MATCH('Calculations - Supermarket'!$C71,Supermarket!$M$11:$M$170,0)),"")</f>
        <v/>
      </c>
      <c r="S71" s="22" t="str">
        <f>IFERROR(INDEX(Supermarket!$R$11:$R$170,MATCH('Calculations - Supermarket'!$C71,Supermarket!$M$11:$M$170,0)),"")</f>
        <v/>
      </c>
      <c r="T71" s="16" t="e">
        <f t="shared" si="88"/>
        <v>#VALUE!</v>
      </c>
      <c r="U71" s="16" t="e">
        <f t="shared" si="70"/>
        <v>#VALUE!</v>
      </c>
      <c r="V71" s="16" t="e">
        <f t="shared" si="71"/>
        <v>#VALUE!</v>
      </c>
      <c r="W71" s="10" t="str">
        <f t="shared" si="89"/>
        <v>-</v>
      </c>
      <c r="X71" s="10" t="str">
        <f t="shared" si="90"/>
        <v>-</v>
      </c>
      <c r="Y71" s="13" t="str">
        <f t="shared" si="72"/>
        <v>-</v>
      </c>
      <c r="Z71" s="9" t="str">
        <f t="shared" si="91"/>
        <v>-</v>
      </c>
      <c r="AA71" s="16" t="str">
        <f t="shared" si="73"/>
        <v>-</v>
      </c>
      <c r="AB71" s="16" t="str">
        <f t="shared" si="92"/>
        <v>-</v>
      </c>
      <c r="AC71" s="16" t="str">
        <f t="shared" si="93"/>
        <v>-</v>
      </c>
      <c r="AD71" s="16" t="str">
        <f t="shared" si="74"/>
        <v>-</v>
      </c>
      <c r="AE71" s="16"/>
      <c r="AF71" s="31" t="str">
        <f>IFERROR(INDEX(Supermarket!$P$11:$P$170,MATCH('Calculations - Supermarket'!C71,Supermarket!$M$11:$M$170,0)),"")</f>
        <v/>
      </c>
      <c r="AG71" s="23" t="str">
        <f t="shared" si="75"/>
        <v/>
      </c>
      <c r="AH71" s="23" t="str">
        <f t="shared" si="76"/>
        <v/>
      </c>
      <c r="AI71" s="9" t="str">
        <f t="shared" si="94"/>
        <v/>
      </c>
      <c r="AJ71" s="4" t="str">
        <f t="shared" si="95"/>
        <v/>
      </c>
      <c r="AK71" s="4"/>
      <c r="AL71" s="4"/>
      <c r="AM71" s="4"/>
      <c r="AN71" s="4"/>
      <c r="AO71" s="4"/>
      <c r="AP71" s="20" t="str">
        <f t="shared" si="96"/>
        <v>-</v>
      </c>
      <c r="AQ71" s="13" t="str">
        <f t="shared" si="77"/>
        <v>-</v>
      </c>
      <c r="AR71" s="13" t="str">
        <f t="shared" si="78"/>
        <v>-</v>
      </c>
      <c r="AS71" s="13" t="str">
        <f t="shared" si="97"/>
        <v>-</v>
      </c>
      <c r="AT71" s="16" t="str">
        <f t="shared" si="79"/>
        <v>-</v>
      </c>
      <c r="AU71" s="16" t="str">
        <f t="shared" si="98"/>
        <v>-</v>
      </c>
      <c r="AV71" s="16" t="str">
        <f t="shared" si="99"/>
        <v>-</v>
      </c>
      <c r="AW71" s="16" t="str">
        <f t="shared" si="80"/>
        <v>-</v>
      </c>
      <c r="AX71" s="13" t="str">
        <f t="shared" si="81"/>
        <v>-</v>
      </c>
      <c r="AY71" s="10" t="str">
        <f t="shared" si="82"/>
        <v>-</v>
      </c>
      <c r="AZ71" s="9" t="str">
        <f t="shared" si="83"/>
        <v>-</v>
      </c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2:68" x14ac:dyDescent="0.3">
      <c r="B72" s="108" t="str">
        <f t="shared" si="67"/>
        <v/>
      </c>
      <c r="C72" s="108" t="str">
        <f t="shared" si="84"/>
        <v/>
      </c>
      <c r="D72" s="3"/>
      <c r="E72" s="3"/>
      <c r="F72" s="3"/>
      <c r="G72" s="20">
        <f>IFERROR(INDEX('Input - Supermarket'!F$2:F$200,MATCH('Calculations - Supermarket'!$C72,'Input - Supermarket'!$B$2:$B$200,0)),"")</f>
        <v>0</v>
      </c>
      <c r="H72" s="20">
        <f>IFERROR(INDEX('Input - Supermarket'!G$2:G$200,MATCH('Calculations - Supermarket'!$C72,'Input - Supermarket'!$B$2:$B$200,0)),"")</f>
        <v>0</v>
      </c>
      <c r="I72" s="21">
        <f>IFERROR(INDEX('Input - Supermarket'!H$2:H$200,MATCH('Calculations - Supermarket'!$C72,'Input - Supermarket'!$B$2:$B$200,0)),"")</f>
        <v>0</v>
      </c>
      <c r="J72" s="21">
        <f>IFERROR(INDEX('Input - Supermarket'!I$2:I$200,MATCH('Calculations - Supermarket'!$C72,'Input - Supermarket'!$B$2:$B$200,0)),"")</f>
        <v>0</v>
      </c>
      <c r="K72" s="20">
        <f>IFERROR(INDEX('Input - Supermarket'!J$2:J$200,MATCH('Calculations - Supermarket'!$C72,'Input - Supermarket'!$B$2:$B$200,0)),"")</f>
        <v>0</v>
      </c>
      <c r="L72" s="20">
        <f>IFERROR(INDEX('Input - Supermarket'!K$2:K$200,MATCH('Calculations - Supermarket'!$C72,'Input - Supermarket'!$B$2:$B$200,0)),"")</f>
        <v>0</v>
      </c>
      <c r="M72" s="21" t="str">
        <f t="shared" si="68"/>
        <v/>
      </c>
      <c r="N72" s="21" t="str">
        <f t="shared" si="85"/>
        <v/>
      </c>
      <c r="O72" s="21">
        <f t="shared" si="69"/>
        <v>0</v>
      </c>
      <c r="P72" s="9">
        <f t="shared" si="86"/>
        <v>0</v>
      </c>
      <c r="Q72" s="9">
        <f t="shared" si="87"/>
        <v>0</v>
      </c>
      <c r="R72" s="22" t="str">
        <f>IFERROR(INDEX(Supermarket!$Q$11:$Q$170,MATCH('Calculations - Supermarket'!$C72,Supermarket!$M$11:$M$170,0)),"")</f>
        <v/>
      </c>
      <c r="S72" s="22" t="str">
        <f>IFERROR(INDEX(Supermarket!$R$11:$R$170,MATCH('Calculations - Supermarket'!$C72,Supermarket!$M$11:$M$170,0)),"")</f>
        <v/>
      </c>
      <c r="T72" s="16" t="e">
        <f t="shared" si="88"/>
        <v>#VALUE!</v>
      </c>
      <c r="U72" s="16" t="e">
        <f t="shared" si="70"/>
        <v>#VALUE!</v>
      </c>
      <c r="V72" s="16" t="e">
        <f t="shared" si="71"/>
        <v>#VALUE!</v>
      </c>
      <c r="W72" s="10" t="str">
        <f t="shared" si="89"/>
        <v>-</v>
      </c>
      <c r="X72" s="10" t="str">
        <f t="shared" si="90"/>
        <v>-</v>
      </c>
      <c r="Y72" s="13" t="str">
        <f t="shared" si="72"/>
        <v>-</v>
      </c>
      <c r="Z72" s="9" t="str">
        <f t="shared" si="91"/>
        <v>-</v>
      </c>
      <c r="AA72" s="16" t="str">
        <f t="shared" si="73"/>
        <v>-</v>
      </c>
      <c r="AB72" s="16" t="str">
        <f t="shared" si="92"/>
        <v>-</v>
      </c>
      <c r="AC72" s="16" t="str">
        <f t="shared" si="93"/>
        <v>-</v>
      </c>
      <c r="AD72" s="16" t="str">
        <f t="shared" si="74"/>
        <v>-</v>
      </c>
      <c r="AE72" s="16"/>
      <c r="AF72" s="31" t="str">
        <f>IFERROR(INDEX(Supermarket!$P$11:$P$170,MATCH('Calculations - Supermarket'!C72,Supermarket!$M$11:$M$170,0)),"")</f>
        <v/>
      </c>
      <c r="AG72" s="23" t="str">
        <f t="shared" si="75"/>
        <v/>
      </c>
      <c r="AH72" s="23" t="str">
        <f t="shared" si="76"/>
        <v/>
      </c>
      <c r="AI72" s="9" t="str">
        <f t="shared" si="94"/>
        <v/>
      </c>
      <c r="AJ72" s="4" t="str">
        <f t="shared" si="95"/>
        <v/>
      </c>
      <c r="AK72" s="4"/>
      <c r="AL72" s="4"/>
      <c r="AM72" s="4"/>
      <c r="AN72" s="4"/>
      <c r="AO72" s="4"/>
      <c r="AP72" s="20" t="str">
        <f t="shared" si="96"/>
        <v>-</v>
      </c>
      <c r="AQ72" s="13" t="str">
        <f t="shared" si="77"/>
        <v>-</v>
      </c>
      <c r="AR72" s="13" t="str">
        <f t="shared" si="78"/>
        <v>-</v>
      </c>
      <c r="AS72" s="13" t="str">
        <f t="shared" si="97"/>
        <v>-</v>
      </c>
      <c r="AT72" s="16" t="str">
        <f t="shared" si="79"/>
        <v>-</v>
      </c>
      <c r="AU72" s="16" t="str">
        <f t="shared" si="98"/>
        <v>-</v>
      </c>
      <c r="AV72" s="16" t="str">
        <f t="shared" si="99"/>
        <v>-</v>
      </c>
      <c r="AW72" s="16" t="str">
        <f t="shared" si="80"/>
        <v>-</v>
      </c>
      <c r="AX72" s="13" t="str">
        <f t="shared" si="81"/>
        <v>-</v>
      </c>
      <c r="AY72" s="10" t="str">
        <f t="shared" si="82"/>
        <v>-</v>
      </c>
      <c r="AZ72" s="9" t="str">
        <f t="shared" si="83"/>
        <v>-</v>
      </c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2:68" x14ac:dyDescent="0.3">
      <c r="B73" s="108" t="str">
        <f t="shared" si="67"/>
        <v/>
      </c>
      <c r="C73" s="108" t="str">
        <f t="shared" si="84"/>
        <v/>
      </c>
      <c r="D73" s="3"/>
      <c r="E73" s="3"/>
      <c r="F73" s="3"/>
      <c r="G73" s="20">
        <f>IFERROR(INDEX('Input - Supermarket'!F$2:F$200,MATCH('Calculations - Supermarket'!$C73,'Input - Supermarket'!$B$2:$B$200,0)),"")</f>
        <v>0</v>
      </c>
      <c r="H73" s="20">
        <f>IFERROR(INDEX('Input - Supermarket'!G$2:G$200,MATCH('Calculations - Supermarket'!$C73,'Input - Supermarket'!$B$2:$B$200,0)),"")</f>
        <v>0</v>
      </c>
      <c r="I73" s="21">
        <f>IFERROR(INDEX('Input - Supermarket'!H$2:H$200,MATCH('Calculations - Supermarket'!$C73,'Input - Supermarket'!$B$2:$B$200,0)),"")</f>
        <v>0</v>
      </c>
      <c r="J73" s="21">
        <f>IFERROR(INDEX('Input - Supermarket'!I$2:I$200,MATCH('Calculations - Supermarket'!$C73,'Input - Supermarket'!$B$2:$B$200,0)),"")</f>
        <v>0</v>
      </c>
      <c r="K73" s="20">
        <f>IFERROR(INDEX('Input - Supermarket'!J$2:J$200,MATCH('Calculations - Supermarket'!$C73,'Input - Supermarket'!$B$2:$B$200,0)),"")</f>
        <v>0</v>
      </c>
      <c r="L73" s="20">
        <f>IFERROR(INDEX('Input - Supermarket'!K$2:K$200,MATCH('Calculations - Supermarket'!$C73,'Input - Supermarket'!$B$2:$B$200,0)),"")</f>
        <v>0</v>
      </c>
      <c r="M73" s="21" t="str">
        <f t="shared" si="68"/>
        <v/>
      </c>
      <c r="N73" s="21" t="str">
        <f t="shared" si="85"/>
        <v/>
      </c>
      <c r="O73" s="21">
        <f t="shared" si="69"/>
        <v>0</v>
      </c>
      <c r="P73" s="9">
        <f t="shared" si="86"/>
        <v>0</v>
      </c>
      <c r="Q73" s="9">
        <f t="shared" si="87"/>
        <v>0</v>
      </c>
      <c r="R73" s="22" t="str">
        <f>IFERROR(INDEX(Supermarket!$Q$11:$Q$170,MATCH('Calculations - Supermarket'!$C73,Supermarket!$M$11:$M$170,0)),"")</f>
        <v/>
      </c>
      <c r="S73" s="22" t="str">
        <f>IFERROR(INDEX(Supermarket!$R$11:$R$170,MATCH('Calculations - Supermarket'!$C73,Supermarket!$M$11:$M$170,0)),"")</f>
        <v/>
      </c>
      <c r="T73" s="16" t="e">
        <f t="shared" si="88"/>
        <v>#VALUE!</v>
      </c>
      <c r="U73" s="16" t="e">
        <f t="shared" si="70"/>
        <v>#VALUE!</v>
      </c>
      <c r="V73" s="16" t="e">
        <f t="shared" si="71"/>
        <v>#VALUE!</v>
      </c>
      <c r="W73" s="10" t="str">
        <f t="shared" si="89"/>
        <v>-</v>
      </c>
      <c r="X73" s="10" t="str">
        <f t="shared" si="90"/>
        <v>-</v>
      </c>
      <c r="Y73" s="13" t="str">
        <f t="shared" si="72"/>
        <v>-</v>
      </c>
      <c r="Z73" s="9" t="str">
        <f t="shared" si="91"/>
        <v>-</v>
      </c>
      <c r="AA73" s="16" t="str">
        <f t="shared" si="73"/>
        <v>-</v>
      </c>
      <c r="AB73" s="16" t="str">
        <f t="shared" si="92"/>
        <v>-</v>
      </c>
      <c r="AC73" s="16" t="str">
        <f t="shared" si="93"/>
        <v>-</v>
      </c>
      <c r="AD73" s="16" t="str">
        <f t="shared" si="74"/>
        <v>-</v>
      </c>
      <c r="AE73" s="16"/>
      <c r="AF73" s="31" t="str">
        <f>IFERROR(INDEX(Supermarket!$P$11:$P$170,MATCH('Calculations - Supermarket'!C73,Supermarket!$M$11:$M$170,0)),"")</f>
        <v/>
      </c>
      <c r="AG73" s="23" t="str">
        <f t="shared" si="75"/>
        <v/>
      </c>
      <c r="AH73" s="23" t="str">
        <f t="shared" si="76"/>
        <v/>
      </c>
      <c r="AI73" s="9" t="str">
        <f t="shared" si="94"/>
        <v/>
      </c>
      <c r="AJ73" s="4" t="str">
        <f t="shared" si="95"/>
        <v/>
      </c>
      <c r="AK73" s="4"/>
      <c r="AL73" s="4"/>
      <c r="AM73" s="4"/>
      <c r="AN73" s="4"/>
      <c r="AO73" s="4"/>
      <c r="AP73" s="20" t="str">
        <f t="shared" si="96"/>
        <v>-</v>
      </c>
      <c r="AQ73" s="13" t="str">
        <f t="shared" si="77"/>
        <v>-</v>
      </c>
      <c r="AR73" s="13" t="str">
        <f t="shared" si="78"/>
        <v>-</v>
      </c>
      <c r="AS73" s="13" t="str">
        <f t="shared" si="97"/>
        <v>-</v>
      </c>
      <c r="AT73" s="16" t="str">
        <f t="shared" si="79"/>
        <v>-</v>
      </c>
      <c r="AU73" s="16" t="str">
        <f t="shared" si="98"/>
        <v>-</v>
      </c>
      <c r="AV73" s="16" t="str">
        <f t="shared" si="99"/>
        <v>-</v>
      </c>
      <c r="AW73" s="16" t="str">
        <f t="shared" si="80"/>
        <v>-</v>
      </c>
      <c r="AX73" s="13" t="str">
        <f t="shared" si="81"/>
        <v>-</v>
      </c>
      <c r="AY73" s="10" t="str">
        <f t="shared" si="82"/>
        <v>-</v>
      </c>
      <c r="AZ73" s="9" t="str">
        <f t="shared" si="83"/>
        <v>-</v>
      </c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2:68" x14ac:dyDescent="0.3">
      <c r="B74" s="108" t="str">
        <f t="shared" si="67"/>
        <v/>
      </c>
      <c r="C74" s="108" t="str">
        <f t="shared" si="84"/>
        <v/>
      </c>
      <c r="D74" s="3"/>
      <c r="E74" s="3"/>
      <c r="F74" s="3"/>
      <c r="G74" s="20">
        <f>IFERROR(INDEX('Input - Supermarket'!F$2:F$200,MATCH('Calculations - Supermarket'!$C74,'Input - Supermarket'!$B$2:$B$200,0)),"")</f>
        <v>0</v>
      </c>
      <c r="H74" s="20">
        <f>IFERROR(INDEX('Input - Supermarket'!G$2:G$200,MATCH('Calculations - Supermarket'!$C74,'Input - Supermarket'!$B$2:$B$200,0)),"")</f>
        <v>0</v>
      </c>
      <c r="I74" s="21">
        <f>IFERROR(INDEX('Input - Supermarket'!H$2:H$200,MATCH('Calculations - Supermarket'!$C74,'Input - Supermarket'!$B$2:$B$200,0)),"")</f>
        <v>0</v>
      </c>
      <c r="J74" s="21">
        <f>IFERROR(INDEX('Input - Supermarket'!I$2:I$200,MATCH('Calculations - Supermarket'!$C74,'Input - Supermarket'!$B$2:$B$200,0)),"")</f>
        <v>0</v>
      </c>
      <c r="K74" s="20">
        <f>IFERROR(INDEX('Input - Supermarket'!J$2:J$200,MATCH('Calculations - Supermarket'!$C74,'Input - Supermarket'!$B$2:$B$200,0)),"")</f>
        <v>0</v>
      </c>
      <c r="L74" s="20">
        <f>IFERROR(INDEX('Input - Supermarket'!K$2:K$200,MATCH('Calculations - Supermarket'!$C74,'Input - Supermarket'!$B$2:$B$200,0)),"")</f>
        <v>0</v>
      </c>
      <c r="M74" s="21" t="str">
        <f t="shared" si="68"/>
        <v/>
      </c>
      <c r="N74" s="21" t="str">
        <f t="shared" si="85"/>
        <v/>
      </c>
      <c r="O74" s="21">
        <f t="shared" si="69"/>
        <v>0</v>
      </c>
      <c r="P74" s="9">
        <f t="shared" si="86"/>
        <v>0</v>
      </c>
      <c r="Q74" s="9">
        <f t="shared" si="87"/>
        <v>0</v>
      </c>
      <c r="R74" s="22" t="str">
        <f>IFERROR(INDEX(Supermarket!$Q$11:$Q$170,MATCH('Calculations - Supermarket'!$C74,Supermarket!$M$11:$M$170,0)),"")</f>
        <v/>
      </c>
      <c r="S74" s="22" t="str">
        <f>IFERROR(INDEX(Supermarket!$R$11:$R$170,MATCH('Calculations - Supermarket'!$C74,Supermarket!$M$11:$M$170,0)),"")</f>
        <v/>
      </c>
      <c r="T74" s="16" t="e">
        <f t="shared" si="88"/>
        <v>#VALUE!</v>
      </c>
      <c r="U74" s="16" t="e">
        <f t="shared" si="70"/>
        <v>#VALUE!</v>
      </c>
      <c r="V74" s="16" t="e">
        <f t="shared" si="71"/>
        <v>#VALUE!</v>
      </c>
      <c r="W74" s="10" t="str">
        <f t="shared" si="89"/>
        <v>-</v>
      </c>
      <c r="X74" s="10" t="str">
        <f t="shared" si="90"/>
        <v>-</v>
      </c>
      <c r="Y74" s="13" t="str">
        <f t="shared" si="72"/>
        <v>-</v>
      </c>
      <c r="Z74" s="9" t="str">
        <f t="shared" si="91"/>
        <v>-</v>
      </c>
      <c r="AA74" s="16" t="str">
        <f t="shared" si="73"/>
        <v>-</v>
      </c>
      <c r="AB74" s="16" t="str">
        <f t="shared" si="92"/>
        <v>-</v>
      </c>
      <c r="AC74" s="16" t="str">
        <f t="shared" si="93"/>
        <v>-</v>
      </c>
      <c r="AD74" s="16" t="str">
        <f t="shared" si="74"/>
        <v>-</v>
      </c>
      <c r="AE74" s="16"/>
      <c r="AF74" s="31" t="str">
        <f>IFERROR(INDEX(Supermarket!$P$11:$P$170,MATCH('Calculations - Supermarket'!C74,Supermarket!$M$11:$M$170,0)),"")</f>
        <v/>
      </c>
      <c r="AG74" s="23" t="str">
        <f t="shared" si="75"/>
        <v/>
      </c>
      <c r="AH74" s="23" t="str">
        <f t="shared" si="76"/>
        <v/>
      </c>
      <c r="AI74" s="9" t="str">
        <f t="shared" si="94"/>
        <v/>
      </c>
      <c r="AJ74" s="4" t="str">
        <f t="shared" si="95"/>
        <v/>
      </c>
      <c r="AK74" s="4"/>
      <c r="AL74" s="4"/>
      <c r="AM74" s="4"/>
      <c r="AN74" s="4"/>
      <c r="AO74" s="4"/>
      <c r="AP74" s="20" t="str">
        <f t="shared" si="96"/>
        <v>-</v>
      </c>
      <c r="AQ74" s="13" t="str">
        <f t="shared" si="77"/>
        <v>-</v>
      </c>
      <c r="AR74" s="13" t="str">
        <f t="shared" si="78"/>
        <v>-</v>
      </c>
      <c r="AS74" s="13" t="str">
        <f t="shared" si="97"/>
        <v>-</v>
      </c>
      <c r="AT74" s="16" t="str">
        <f t="shared" si="79"/>
        <v>-</v>
      </c>
      <c r="AU74" s="16" t="str">
        <f t="shared" si="98"/>
        <v>-</v>
      </c>
      <c r="AV74" s="16" t="str">
        <f t="shared" si="99"/>
        <v>-</v>
      </c>
      <c r="AW74" s="16" t="str">
        <f t="shared" si="80"/>
        <v>-</v>
      </c>
      <c r="AX74" s="13" t="str">
        <f t="shared" si="81"/>
        <v>-</v>
      </c>
      <c r="AY74" s="10" t="str">
        <f t="shared" si="82"/>
        <v>-</v>
      </c>
      <c r="AZ74" s="9" t="str">
        <f t="shared" si="83"/>
        <v>-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2:68" x14ac:dyDescent="0.3">
      <c r="B75" s="108" t="str">
        <f t="shared" si="67"/>
        <v/>
      </c>
      <c r="C75" s="108" t="str">
        <f t="shared" si="84"/>
        <v/>
      </c>
      <c r="D75" s="3"/>
      <c r="E75" s="3"/>
      <c r="F75" s="3"/>
      <c r="G75" s="20">
        <f>IFERROR(INDEX('Input - Supermarket'!F$2:F$200,MATCH('Calculations - Supermarket'!$C75,'Input - Supermarket'!$B$2:$B$200,0)),"")</f>
        <v>0</v>
      </c>
      <c r="H75" s="20">
        <f>IFERROR(INDEX('Input - Supermarket'!G$2:G$200,MATCH('Calculations - Supermarket'!$C75,'Input - Supermarket'!$B$2:$B$200,0)),"")</f>
        <v>0</v>
      </c>
      <c r="I75" s="21">
        <f>IFERROR(INDEX('Input - Supermarket'!H$2:H$200,MATCH('Calculations - Supermarket'!$C75,'Input - Supermarket'!$B$2:$B$200,0)),"")</f>
        <v>0</v>
      </c>
      <c r="J75" s="21">
        <f>IFERROR(INDEX('Input - Supermarket'!I$2:I$200,MATCH('Calculations - Supermarket'!$C75,'Input - Supermarket'!$B$2:$B$200,0)),"")</f>
        <v>0</v>
      </c>
      <c r="K75" s="20">
        <f>IFERROR(INDEX('Input - Supermarket'!J$2:J$200,MATCH('Calculations - Supermarket'!$C75,'Input - Supermarket'!$B$2:$B$200,0)),"")</f>
        <v>0</v>
      </c>
      <c r="L75" s="20">
        <f>IFERROR(INDEX('Input - Supermarket'!K$2:K$200,MATCH('Calculations - Supermarket'!$C75,'Input - Supermarket'!$B$2:$B$200,0)),"")</f>
        <v>0</v>
      </c>
      <c r="M75" s="21" t="str">
        <f t="shared" si="68"/>
        <v/>
      </c>
      <c r="N75" s="21" t="str">
        <f t="shared" si="85"/>
        <v/>
      </c>
      <c r="O75" s="21">
        <f t="shared" si="69"/>
        <v>0</v>
      </c>
      <c r="P75" s="9">
        <f t="shared" si="86"/>
        <v>0</v>
      </c>
      <c r="Q75" s="9">
        <f t="shared" si="87"/>
        <v>0</v>
      </c>
      <c r="R75" s="22" t="str">
        <f>IFERROR(INDEX(Supermarket!$Q$11:$Q$170,MATCH('Calculations - Supermarket'!$C75,Supermarket!$M$11:$M$170,0)),"")</f>
        <v/>
      </c>
      <c r="S75" s="22" t="str">
        <f>IFERROR(INDEX(Supermarket!$R$11:$R$170,MATCH('Calculations - Supermarket'!$C75,Supermarket!$M$11:$M$170,0)),"")</f>
        <v/>
      </c>
      <c r="T75" s="16" t="e">
        <f t="shared" si="88"/>
        <v>#VALUE!</v>
      </c>
      <c r="U75" s="16" t="e">
        <f t="shared" si="70"/>
        <v>#VALUE!</v>
      </c>
      <c r="V75" s="16" t="e">
        <f t="shared" si="71"/>
        <v>#VALUE!</v>
      </c>
      <c r="W75" s="10" t="str">
        <f t="shared" si="89"/>
        <v>-</v>
      </c>
      <c r="X75" s="10" t="str">
        <f t="shared" si="90"/>
        <v>-</v>
      </c>
      <c r="Y75" s="13" t="str">
        <f t="shared" si="72"/>
        <v>-</v>
      </c>
      <c r="Z75" s="9" t="str">
        <f t="shared" si="91"/>
        <v>-</v>
      </c>
      <c r="AA75" s="16" t="str">
        <f t="shared" si="73"/>
        <v>-</v>
      </c>
      <c r="AB75" s="16" t="str">
        <f t="shared" si="92"/>
        <v>-</v>
      </c>
      <c r="AC75" s="16" t="str">
        <f t="shared" si="93"/>
        <v>-</v>
      </c>
      <c r="AD75" s="16" t="str">
        <f t="shared" si="74"/>
        <v>-</v>
      </c>
      <c r="AE75" s="16"/>
      <c r="AF75" s="31" t="str">
        <f>IFERROR(INDEX(Supermarket!$P$11:$P$170,MATCH('Calculations - Supermarket'!C75,Supermarket!$M$11:$M$170,0)),"")</f>
        <v/>
      </c>
      <c r="AG75" s="23" t="str">
        <f t="shared" si="75"/>
        <v/>
      </c>
      <c r="AH75" s="23" t="str">
        <f t="shared" si="76"/>
        <v/>
      </c>
      <c r="AI75" s="9" t="str">
        <f t="shared" si="94"/>
        <v/>
      </c>
      <c r="AJ75" s="4" t="str">
        <f t="shared" si="95"/>
        <v/>
      </c>
      <c r="AK75" s="4"/>
      <c r="AL75" s="4"/>
      <c r="AM75" s="4"/>
      <c r="AN75" s="4"/>
      <c r="AO75" s="4"/>
      <c r="AP75" s="20" t="str">
        <f t="shared" si="96"/>
        <v>-</v>
      </c>
      <c r="AQ75" s="13" t="str">
        <f t="shared" si="77"/>
        <v>-</v>
      </c>
      <c r="AR75" s="13" t="str">
        <f t="shared" si="78"/>
        <v>-</v>
      </c>
      <c r="AS75" s="13" t="str">
        <f t="shared" si="97"/>
        <v>-</v>
      </c>
      <c r="AT75" s="16" t="str">
        <f t="shared" si="79"/>
        <v>-</v>
      </c>
      <c r="AU75" s="16" t="str">
        <f t="shared" si="98"/>
        <v>-</v>
      </c>
      <c r="AV75" s="16" t="str">
        <f t="shared" si="99"/>
        <v>-</v>
      </c>
      <c r="AW75" s="16" t="str">
        <f t="shared" si="80"/>
        <v>-</v>
      </c>
      <c r="AX75" s="13" t="str">
        <f t="shared" si="81"/>
        <v>-</v>
      </c>
      <c r="AY75" s="10" t="str">
        <f t="shared" si="82"/>
        <v>-</v>
      </c>
      <c r="AZ75" s="9" t="str">
        <f t="shared" si="83"/>
        <v>-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2:68" x14ac:dyDescent="0.3">
      <c r="B76" s="108" t="str">
        <f t="shared" si="67"/>
        <v/>
      </c>
      <c r="C76" s="108" t="str">
        <f t="shared" si="84"/>
        <v/>
      </c>
      <c r="D76" s="3"/>
      <c r="E76" s="3"/>
      <c r="F76" s="3"/>
      <c r="G76" s="20">
        <f>IFERROR(INDEX('Input - Supermarket'!F$2:F$200,MATCH('Calculations - Supermarket'!$C76,'Input - Supermarket'!$B$2:$B$200,0)),"")</f>
        <v>0</v>
      </c>
      <c r="H76" s="20">
        <f>IFERROR(INDEX('Input - Supermarket'!G$2:G$200,MATCH('Calculations - Supermarket'!$C76,'Input - Supermarket'!$B$2:$B$200,0)),"")</f>
        <v>0</v>
      </c>
      <c r="I76" s="21">
        <f>IFERROR(INDEX('Input - Supermarket'!H$2:H$200,MATCH('Calculations - Supermarket'!$C76,'Input - Supermarket'!$B$2:$B$200,0)),"")</f>
        <v>0</v>
      </c>
      <c r="J76" s="21">
        <f>IFERROR(INDEX('Input - Supermarket'!I$2:I$200,MATCH('Calculations - Supermarket'!$C76,'Input - Supermarket'!$B$2:$B$200,0)),"")</f>
        <v>0</v>
      </c>
      <c r="K76" s="20">
        <f>IFERROR(INDEX('Input - Supermarket'!J$2:J$200,MATCH('Calculations - Supermarket'!$C76,'Input - Supermarket'!$B$2:$B$200,0)),"")</f>
        <v>0</v>
      </c>
      <c r="L76" s="20">
        <f>IFERROR(INDEX('Input - Supermarket'!K$2:K$200,MATCH('Calculations - Supermarket'!$C76,'Input - Supermarket'!$B$2:$B$200,0)),"")</f>
        <v>0</v>
      </c>
      <c r="M76" s="21" t="str">
        <f t="shared" si="68"/>
        <v/>
      </c>
      <c r="N76" s="21" t="str">
        <f t="shared" si="85"/>
        <v/>
      </c>
      <c r="O76" s="21">
        <f t="shared" si="69"/>
        <v>0</v>
      </c>
      <c r="P76" s="9">
        <f t="shared" si="86"/>
        <v>0</v>
      </c>
      <c r="Q76" s="9">
        <f t="shared" si="87"/>
        <v>0</v>
      </c>
      <c r="R76" s="22" t="str">
        <f>IFERROR(INDEX(Supermarket!$Q$11:$Q$170,MATCH('Calculations - Supermarket'!$C76,Supermarket!$M$11:$M$170,0)),"")</f>
        <v/>
      </c>
      <c r="S76" s="22" t="str">
        <f>IFERROR(INDEX(Supermarket!$R$11:$R$170,MATCH('Calculations - Supermarket'!$C76,Supermarket!$M$11:$M$170,0)),"")</f>
        <v/>
      </c>
      <c r="T76" s="16" t="e">
        <f t="shared" si="88"/>
        <v>#VALUE!</v>
      </c>
      <c r="U76" s="16" t="e">
        <f t="shared" si="70"/>
        <v>#VALUE!</v>
      </c>
      <c r="V76" s="16" t="e">
        <f t="shared" si="71"/>
        <v>#VALUE!</v>
      </c>
      <c r="W76" s="10" t="str">
        <f t="shared" si="89"/>
        <v>-</v>
      </c>
      <c r="X76" s="10" t="str">
        <f t="shared" si="90"/>
        <v>-</v>
      </c>
      <c r="Y76" s="13" t="str">
        <f t="shared" si="72"/>
        <v>-</v>
      </c>
      <c r="Z76" s="9" t="str">
        <f t="shared" si="91"/>
        <v>-</v>
      </c>
      <c r="AA76" s="16" t="str">
        <f t="shared" si="73"/>
        <v>-</v>
      </c>
      <c r="AB76" s="16" t="str">
        <f t="shared" si="92"/>
        <v>-</v>
      </c>
      <c r="AC76" s="16" t="str">
        <f t="shared" si="93"/>
        <v>-</v>
      </c>
      <c r="AD76" s="16" t="str">
        <f t="shared" si="74"/>
        <v>-</v>
      </c>
      <c r="AE76" s="16"/>
      <c r="AF76" s="31" t="str">
        <f>IFERROR(INDEX(Supermarket!$P$11:$P$170,MATCH('Calculations - Supermarket'!C76,Supermarket!$M$11:$M$170,0)),"")</f>
        <v/>
      </c>
      <c r="AG76" s="23" t="str">
        <f t="shared" si="75"/>
        <v/>
      </c>
      <c r="AH76" s="23" t="str">
        <f t="shared" si="76"/>
        <v/>
      </c>
      <c r="AI76" s="9" t="str">
        <f t="shared" si="94"/>
        <v/>
      </c>
      <c r="AJ76" s="4" t="str">
        <f t="shared" si="95"/>
        <v/>
      </c>
      <c r="AK76" s="4"/>
      <c r="AL76" s="4"/>
      <c r="AM76" s="4"/>
      <c r="AN76" s="4"/>
      <c r="AO76" s="4"/>
      <c r="AP76" s="20" t="str">
        <f t="shared" si="96"/>
        <v>-</v>
      </c>
      <c r="AQ76" s="13" t="str">
        <f t="shared" si="77"/>
        <v>-</v>
      </c>
      <c r="AR76" s="13" t="str">
        <f t="shared" si="78"/>
        <v>-</v>
      </c>
      <c r="AS76" s="13" t="str">
        <f t="shared" si="97"/>
        <v>-</v>
      </c>
      <c r="AT76" s="16" t="str">
        <f t="shared" si="79"/>
        <v>-</v>
      </c>
      <c r="AU76" s="16" t="str">
        <f t="shared" si="98"/>
        <v>-</v>
      </c>
      <c r="AV76" s="16" t="str">
        <f t="shared" si="99"/>
        <v>-</v>
      </c>
      <c r="AW76" s="16" t="str">
        <f t="shared" si="80"/>
        <v>-</v>
      </c>
      <c r="AX76" s="13" t="str">
        <f t="shared" si="81"/>
        <v>-</v>
      </c>
      <c r="AY76" s="10" t="str">
        <f t="shared" si="82"/>
        <v>-</v>
      </c>
      <c r="AZ76" s="9" t="str">
        <f t="shared" si="83"/>
        <v>-</v>
      </c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2:68" x14ac:dyDescent="0.3">
      <c r="B77" s="108" t="str">
        <f t="shared" si="67"/>
        <v/>
      </c>
      <c r="C77" s="108" t="str">
        <f t="shared" si="84"/>
        <v/>
      </c>
      <c r="D77" s="3"/>
      <c r="E77" s="3"/>
      <c r="F77" s="3"/>
      <c r="G77" s="20">
        <f>IFERROR(INDEX('Input - Supermarket'!F$2:F$200,MATCH('Calculations - Supermarket'!$C77,'Input - Supermarket'!$B$2:$B$200,0)),"")</f>
        <v>0</v>
      </c>
      <c r="H77" s="20">
        <f>IFERROR(INDEX('Input - Supermarket'!G$2:G$200,MATCH('Calculations - Supermarket'!$C77,'Input - Supermarket'!$B$2:$B$200,0)),"")</f>
        <v>0</v>
      </c>
      <c r="I77" s="21">
        <f>IFERROR(INDEX('Input - Supermarket'!H$2:H$200,MATCH('Calculations - Supermarket'!$C77,'Input - Supermarket'!$B$2:$B$200,0)),"")</f>
        <v>0</v>
      </c>
      <c r="J77" s="21">
        <f>IFERROR(INDEX('Input - Supermarket'!I$2:I$200,MATCH('Calculations - Supermarket'!$C77,'Input - Supermarket'!$B$2:$B$200,0)),"")</f>
        <v>0</v>
      </c>
      <c r="K77" s="20">
        <f>IFERROR(INDEX('Input - Supermarket'!J$2:J$200,MATCH('Calculations - Supermarket'!$C77,'Input - Supermarket'!$B$2:$B$200,0)),"")</f>
        <v>0</v>
      </c>
      <c r="L77" s="20">
        <f>IFERROR(INDEX('Input - Supermarket'!K$2:K$200,MATCH('Calculations - Supermarket'!$C77,'Input - Supermarket'!$B$2:$B$200,0)),"")</f>
        <v>0</v>
      </c>
      <c r="M77" s="21" t="str">
        <f t="shared" si="68"/>
        <v/>
      </c>
      <c r="N77" s="21" t="str">
        <f t="shared" si="85"/>
        <v/>
      </c>
      <c r="O77" s="21">
        <f t="shared" si="69"/>
        <v>0</v>
      </c>
      <c r="P77" s="9">
        <f t="shared" si="86"/>
        <v>0</v>
      </c>
      <c r="Q77" s="9">
        <f t="shared" si="87"/>
        <v>0</v>
      </c>
      <c r="R77" s="22" t="str">
        <f>IFERROR(INDEX(Supermarket!$Q$11:$Q$170,MATCH('Calculations - Supermarket'!$C77,Supermarket!$M$11:$M$170,0)),"")</f>
        <v/>
      </c>
      <c r="S77" s="22" t="str">
        <f>IFERROR(INDEX(Supermarket!$R$11:$R$170,MATCH('Calculations - Supermarket'!$C77,Supermarket!$M$11:$M$170,0)),"")</f>
        <v/>
      </c>
      <c r="T77" s="16" t="e">
        <f t="shared" si="88"/>
        <v>#VALUE!</v>
      </c>
      <c r="U77" s="16" t="e">
        <f t="shared" si="70"/>
        <v>#VALUE!</v>
      </c>
      <c r="V77" s="16" t="e">
        <f t="shared" si="71"/>
        <v>#VALUE!</v>
      </c>
      <c r="W77" s="10" t="str">
        <f t="shared" si="89"/>
        <v>-</v>
      </c>
      <c r="X77" s="10" t="str">
        <f t="shared" si="90"/>
        <v>-</v>
      </c>
      <c r="Y77" s="13" t="str">
        <f t="shared" si="72"/>
        <v>-</v>
      </c>
      <c r="Z77" s="9" t="str">
        <f t="shared" si="91"/>
        <v>-</v>
      </c>
      <c r="AA77" s="16" t="str">
        <f t="shared" si="73"/>
        <v>-</v>
      </c>
      <c r="AB77" s="16" t="str">
        <f t="shared" si="92"/>
        <v>-</v>
      </c>
      <c r="AC77" s="16" t="str">
        <f t="shared" si="93"/>
        <v>-</v>
      </c>
      <c r="AD77" s="16" t="str">
        <f t="shared" si="74"/>
        <v>-</v>
      </c>
      <c r="AE77" s="16"/>
      <c r="AF77" s="31" t="str">
        <f>IFERROR(INDEX(Supermarket!$P$11:$P$170,MATCH('Calculations - Supermarket'!C77,Supermarket!$M$11:$M$170,0)),"")</f>
        <v/>
      </c>
      <c r="AG77" s="23" t="str">
        <f t="shared" si="75"/>
        <v/>
      </c>
      <c r="AH77" s="23" t="str">
        <f t="shared" si="76"/>
        <v/>
      </c>
      <c r="AI77" s="9" t="str">
        <f t="shared" si="94"/>
        <v/>
      </c>
      <c r="AJ77" s="4" t="str">
        <f t="shared" si="95"/>
        <v/>
      </c>
      <c r="AK77" s="4"/>
      <c r="AL77" s="4"/>
      <c r="AM77" s="4"/>
      <c r="AN77" s="4"/>
      <c r="AO77" s="4"/>
      <c r="AP77" s="20" t="str">
        <f t="shared" si="96"/>
        <v>-</v>
      </c>
      <c r="AQ77" s="13" t="str">
        <f t="shared" si="77"/>
        <v>-</v>
      </c>
      <c r="AR77" s="13" t="str">
        <f t="shared" si="78"/>
        <v>-</v>
      </c>
      <c r="AS77" s="13" t="str">
        <f t="shared" si="97"/>
        <v>-</v>
      </c>
      <c r="AT77" s="16" t="str">
        <f t="shared" si="79"/>
        <v>-</v>
      </c>
      <c r="AU77" s="16" t="str">
        <f t="shared" si="98"/>
        <v>-</v>
      </c>
      <c r="AV77" s="16" t="str">
        <f t="shared" si="99"/>
        <v>-</v>
      </c>
      <c r="AW77" s="16" t="str">
        <f t="shared" si="80"/>
        <v>-</v>
      </c>
      <c r="AX77" s="13" t="str">
        <f t="shared" si="81"/>
        <v>-</v>
      </c>
      <c r="AY77" s="10" t="str">
        <f t="shared" si="82"/>
        <v>-</v>
      </c>
      <c r="AZ77" s="9" t="str">
        <f t="shared" si="83"/>
        <v>-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2:68" x14ac:dyDescent="0.3">
      <c r="B78" s="108" t="str">
        <f t="shared" si="67"/>
        <v/>
      </c>
      <c r="C78" s="108" t="str">
        <f t="shared" si="84"/>
        <v/>
      </c>
      <c r="D78" s="3"/>
      <c r="E78" s="3"/>
      <c r="F78" s="3"/>
      <c r="G78" s="20">
        <f>IFERROR(INDEX('Input - Supermarket'!F$2:F$200,MATCH('Calculations - Supermarket'!$C78,'Input - Supermarket'!$B$2:$B$200,0)),"")</f>
        <v>0</v>
      </c>
      <c r="H78" s="20">
        <f>IFERROR(INDEX('Input - Supermarket'!G$2:G$200,MATCH('Calculations - Supermarket'!$C78,'Input - Supermarket'!$B$2:$B$200,0)),"")</f>
        <v>0</v>
      </c>
      <c r="I78" s="21">
        <f>IFERROR(INDEX('Input - Supermarket'!H$2:H$200,MATCH('Calculations - Supermarket'!$C78,'Input - Supermarket'!$B$2:$B$200,0)),"")</f>
        <v>0</v>
      </c>
      <c r="J78" s="21">
        <f>IFERROR(INDEX('Input - Supermarket'!I$2:I$200,MATCH('Calculations - Supermarket'!$C78,'Input - Supermarket'!$B$2:$B$200,0)),"")</f>
        <v>0</v>
      </c>
      <c r="K78" s="20">
        <f>IFERROR(INDEX('Input - Supermarket'!J$2:J$200,MATCH('Calculations - Supermarket'!$C78,'Input - Supermarket'!$B$2:$B$200,0)),"")</f>
        <v>0</v>
      </c>
      <c r="L78" s="20">
        <f>IFERROR(INDEX('Input - Supermarket'!K$2:K$200,MATCH('Calculations - Supermarket'!$C78,'Input - Supermarket'!$B$2:$B$200,0)),"")</f>
        <v>0</v>
      </c>
      <c r="M78" s="21" t="str">
        <f t="shared" si="68"/>
        <v/>
      </c>
      <c r="N78" s="21" t="str">
        <f t="shared" si="85"/>
        <v/>
      </c>
      <c r="O78" s="21">
        <f t="shared" si="69"/>
        <v>0</v>
      </c>
      <c r="P78" s="9">
        <f t="shared" si="86"/>
        <v>0</v>
      </c>
      <c r="Q78" s="9">
        <f t="shared" si="87"/>
        <v>0</v>
      </c>
      <c r="R78" s="22" t="str">
        <f>IFERROR(INDEX(Supermarket!$Q$11:$Q$170,MATCH('Calculations - Supermarket'!$C78,Supermarket!$M$11:$M$170,0)),"")</f>
        <v/>
      </c>
      <c r="S78" s="22" t="str">
        <f>IFERROR(INDEX(Supermarket!$R$11:$R$170,MATCH('Calculations - Supermarket'!$C78,Supermarket!$M$11:$M$170,0)),"")</f>
        <v/>
      </c>
      <c r="T78" s="16" t="e">
        <f t="shared" si="88"/>
        <v>#VALUE!</v>
      </c>
      <c r="U78" s="16" t="e">
        <f t="shared" si="70"/>
        <v>#VALUE!</v>
      </c>
      <c r="V78" s="16" t="e">
        <f t="shared" si="71"/>
        <v>#VALUE!</v>
      </c>
      <c r="W78" s="10" t="str">
        <f t="shared" si="89"/>
        <v>-</v>
      </c>
      <c r="X78" s="10" t="str">
        <f t="shared" si="90"/>
        <v>-</v>
      </c>
      <c r="Y78" s="13" t="str">
        <f t="shared" si="72"/>
        <v>-</v>
      </c>
      <c r="Z78" s="9" t="str">
        <f t="shared" si="91"/>
        <v>-</v>
      </c>
      <c r="AA78" s="16" t="str">
        <f t="shared" si="73"/>
        <v>-</v>
      </c>
      <c r="AB78" s="16" t="str">
        <f t="shared" si="92"/>
        <v>-</v>
      </c>
      <c r="AC78" s="16" t="str">
        <f t="shared" si="93"/>
        <v>-</v>
      </c>
      <c r="AD78" s="16" t="str">
        <f t="shared" si="74"/>
        <v>-</v>
      </c>
      <c r="AE78" s="16"/>
      <c r="AF78" s="31" t="str">
        <f>IFERROR(INDEX(Supermarket!$P$11:$P$170,MATCH('Calculations - Supermarket'!C78,Supermarket!$M$11:$M$170,0)),"")</f>
        <v/>
      </c>
      <c r="AG78" s="23" t="str">
        <f t="shared" si="75"/>
        <v/>
      </c>
      <c r="AH78" s="23" t="str">
        <f t="shared" si="76"/>
        <v/>
      </c>
      <c r="AI78" s="9" t="str">
        <f t="shared" si="94"/>
        <v/>
      </c>
      <c r="AJ78" s="4" t="str">
        <f t="shared" si="95"/>
        <v/>
      </c>
      <c r="AK78" s="4"/>
      <c r="AL78" s="4"/>
      <c r="AM78" s="4"/>
      <c r="AN78" s="4"/>
      <c r="AO78" s="4"/>
      <c r="AP78" s="20" t="str">
        <f t="shared" si="96"/>
        <v>-</v>
      </c>
      <c r="AQ78" s="13" t="str">
        <f t="shared" si="77"/>
        <v>-</v>
      </c>
      <c r="AR78" s="13" t="str">
        <f t="shared" si="78"/>
        <v>-</v>
      </c>
      <c r="AS78" s="13" t="str">
        <f t="shared" si="97"/>
        <v>-</v>
      </c>
      <c r="AT78" s="16" t="str">
        <f t="shared" si="79"/>
        <v>-</v>
      </c>
      <c r="AU78" s="16" t="str">
        <f t="shared" si="98"/>
        <v>-</v>
      </c>
      <c r="AV78" s="16" t="str">
        <f t="shared" si="99"/>
        <v>-</v>
      </c>
      <c r="AW78" s="16" t="str">
        <f t="shared" si="80"/>
        <v>-</v>
      </c>
      <c r="AX78" s="13" t="str">
        <f t="shared" si="81"/>
        <v>-</v>
      </c>
      <c r="AY78" s="10" t="str">
        <f t="shared" si="82"/>
        <v>-</v>
      </c>
      <c r="AZ78" s="9" t="str">
        <f t="shared" si="83"/>
        <v>-</v>
      </c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2:68" x14ac:dyDescent="0.3">
      <c r="B79" s="108" t="str">
        <f t="shared" si="67"/>
        <v/>
      </c>
      <c r="C79" s="108" t="str">
        <f t="shared" si="84"/>
        <v/>
      </c>
      <c r="D79" s="3"/>
      <c r="E79" s="3"/>
      <c r="F79" s="3"/>
      <c r="G79" s="20">
        <f>IFERROR(INDEX('Input - Supermarket'!F$2:F$200,MATCH('Calculations - Supermarket'!$C79,'Input - Supermarket'!$B$2:$B$200,0)),"")</f>
        <v>0</v>
      </c>
      <c r="H79" s="20">
        <f>IFERROR(INDEX('Input - Supermarket'!G$2:G$200,MATCH('Calculations - Supermarket'!$C79,'Input - Supermarket'!$B$2:$B$200,0)),"")</f>
        <v>0</v>
      </c>
      <c r="I79" s="21">
        <f>IFERROR(INDEX('Input - Supermarket'!H$2:H$200,MATCH('Calculations - Supermarket'!$C79,'Input - Supermarket'!$B$2:$B$200,0)),"")</f>
        <v>0</v>
      </c>
      <c r="J79" s="21">
        <f>IFERROR(INDEX('Input - Supermarket'!I$2:I$200,MATCH('Calculations - Supermarket'!$C79,'Input - Supermarket'!$B$2:$B$200,0)),"")</f>
        <v>0</v>
      </c>
      <c r="K79" s="20">
        <f>IFERROR(INDEX('Input - Supermarket'!J$2:J$200,MATCH('Calculations - Supermarket'!$C79,'Input - Supermarket'!$B$2:$B$200,0)),"")</f>
        <v>0</v>
      </c>
      <c r="L79" s="20">
        <f>IFERROR(INDEX('Input - Supermarket'!K$2:K$200,MATCH('Calculations - Supermarket'!$C79,'Input - Supermarket'!$B$2:$B$200,0)),"")</f>
        <v>0</v>
      </c>
      <c r="M79" s="21" t="str">
        <f t="shared" si="68"/>
        <v/>
      </c>
      <c r="N79" s="21" t="str">
        <f t="shared" si="85"/>
        <v/>
      </c>
      <c r="O79" s="21">
        <f t="shared" si="69"/>
        <v>0</v>
      </c>
      <c r="P79" s="9">
        <f t="shared" si="86"/>
        <v>0</v>
      </c>
      <c r="Q79" s="9">
        <f t="shared" si="87"/>
        <v>0</v>
      </c>
      <c r="R79" s="22" t="str">
        <f>IFERROR(INDEX(Supermarket!$Q$11:$Q$170,MATCH('Calculations - Supermarket'!$C79,Supermarket!$M$11:$M$170,0)),"")</f>
        <v/>
      </c>
      <c r="S79" s="22" t="str">
        <f>IFERROR(INDEX(Supermarket!$R$11:$R$170,MATCH('Calculations - Supermarket'!$C79,Supermarket!$M$11:$M$170,0)),"")</f>
        <v/>
      </c>
      <c r="T79" s="16" t="e">
        <f t="shared" si="88"/>
        <v>#VALUE!</v>
      </c>
      <c r="U79" s="16" t="e">
        <f t="shared" si="70"/>
        <v>#VALUE!</v>
      </c>
      <c r="V79" s="16" t="e">
        <f t="shared" si="71"/>
        <v>#VALUE!</v>
      </c>
      <c r="W79" s="10" t="str">
        <f t="shared" si="89"/>
        <v>-</v>
      </c>
      <c r="X79" s="10" t="str">
        <f t="shared" si="90"/>
        <v>-</v>
      </c>
      <c r="Y79" s="13" t="str">
        <f t="shared" si="72"/>
        <v>-</v>
      </c>
      <c r="Z79" s="9" t="str">
        <f t="shared" si="91"/>
        <v>-</v>
      </c>
      <c r="AA79" s="16" t="str">
        <f t="shared" si="73"/>
        <v>-</v>
      </c>
      <c r="AB79" s="16" t="str">
        <f t="shared" si="92"/>
        <v>-</v>
      </c>
      <c r="AC79" s="16" t="str">
        <f t="shared" si="93"/>
        <v>-</v>
      </c>
      <c r="AD79" s="16" t="str">
        <f t="shared" si="74"/>
        <v>-</v>
      </c>
      <c r="AE79" s="16"/>
      <c r="AF79" s="31" t="str">
        <f>IFERROR(INDEX(Supermarket!$P$11:$P$170,MATCH('Calculations - Supermarket'!C79,Supermarket!$M$11:$M$170,0)),"")</f>
        <v/>
      </c>
      <c r="AG79" s="23" t="str">
        <f t="shared" si="75"/>
        <v/>
      </c>
      <c r="AH79" s="23" t="str">
        <f t="shared" si="76"/>
        <v/>
      </c>
      <c r="AI79" s="9" t="str">
        <f t="shared" si="94"/>
        <v/>
      </c>
      <c r="AJ79" s="4" t="str">
        <f t="shared" si="95"/>
        <v/>
      </c>
      <c r="AK79" s="4"/>
      <c r="AL79" s="4"/>
      <c r="AM79" s="4"/>
      <c r="AN79" s="4"/>
      <c r="AO79" s="4"/>
      <c r="AP79" s="20" t="str">
        <f t="shared" si="96"/>
        <v>-</v>
      </c>
      <c r="AQ79" s="13" t="str">
        <f t="shared" si="77"/>
        <v>-</v>
      </c>
      <c r="AR79" s="13" t="str">
        <f t="shared" si="78"/>
        <v>-</v>
      </c>
      <c r="AS79" s="13" t="str">
        <f t="shared" si="97"/>
        <v>-</v>
      </c>
      <c r="AT79" s="16" t="str">
        <f t="shared" si="79"/>
        <v>-</v>
      </c>
      <c r="AU79" s="16" t="str">
        <f t="shared" si="98"/>
        <v>-</v>
      </c>
      <c r="AV79" s="16" t="str">
        <f t="shared" si="99"/>
        <v>-</v>
      </c>
      <c r="AW79" s="16" t="str">
        <f t="shared" si="80"/>
        <v>-</v>
      </c>
      <c r="AX79" s="13" t="str">
        <f t="shared" si="81"/>
        <v>-</v>
      </c>
      <c r="AY79" s="10" t="str">
        <f t="shared" si="82"/>
        <v>-</v>
      </c>
      <c r="AZ79" s="9" t="str">
        <f t="shared" si="83"/>
        <v>-</v>
      </c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</row>
    <row r="80" spans="2:68" x14ac:dyDescent="0.3">
      <c r="B80" s="108" t="str">
        <f t="shared" si="67"/>
        <v/>
      </c>
      <c r="C80" s="108" t="str">
        <f t="shared" si="84"/>
        <v/>
      </c>
      <c r="D80" s="3"/>
      <c r="E80" s="3"/>
      <c r="F80" s="3"/>
      <c r="G80" s="20">
        <f>IFERROR(INDEX('Input - Supermarket'!F$2:F$200,MATCH('Calculations - Supermarket'!$C80,'Input - Supermarket'!$B$2:$B$200,0)),"")</f>
        <v>0</v>
      </c>
      <c r="H80" s="20">
        <f>IFERROR(INDEX('Input - Supermarket'!G$2:G$200,MATCH('Calculations - Supermarket'!$C80,'Input - Supermarket'!$B$2:$B$200,0)),"")</f>
        <v>0</v>
      </c>
      <c r="I80" s="21">
        <f>IFERROR(INDEX('Input - Supermarket'!H$2:H$200,MATCH('Calculations - Supermarket'!$C80,'Input - Supermarket'!$B$2:$B$200,0)),"")</f>
        <v>0</v>
      </c>
      <c r="J80" s="21">
        <f>IFERROR(INDEX('Input - Supermarket'!I$2:I$200,MATCH('Calculations - Supermarket'!$C80,'Input - Supermarket'!$B$2:$B$200,0)),"")</f>
        <v>0</v>
      </c>
      <c r="K80" s="20">
        <f>IFERROR(INDEX('Input - Supermarket'!J$2:J$200,MATCH('Calculations - Supermarket'!$C80,'Input - Supermarket'!$B$2:$B$200,0)),"")</f>
        <v>0</v>
      </c>
      <c r="L80" s="20">
        <f>IFERROR(INDEX('Input - Supermarket'!K$2:K$200,MATCH('Calculations - Supermarket'!$C80,'Input - Supermarket'!$B$2:$B$200,0)),"")</f>
        <v>0</v>
      </c>
      <c r="M80" s="21" t="str">
        <f t="shared" si="68"/>
        <v/>
      </c>
      <c r="N80" s="21" t="str">
        <f t="shared" si="85"/>
        <v/>
      </c>
      <c r="O80" s="21">
        <f t="shared" si="69"/>
        <v>0</v>
      </c>
      <c r="P80" s="9">
        <f t="shared" si="86"/>
        <v>0</v>
      </c>
      <c r="Q80" s="9">
        <f t="shared" si="87"/>
        <v>0</v>
      </c>
      <c r="R80" s="22" t="str">
        <f>IFERROR(INDEX(Supermarket!$Q$11:$Q$170,MATCH('Calculations - Supermarket'!$C80,Supermarket!$M$11:$M$170,0)),"")</f>
        <v/>
      </c>
      <c r="S80" s="22" t="str">
        <f>IFERROR(INDEX(Supermarket!$R$11:$R$170,MATCH('Calculations - Supermarket'!$C80,Supermarket!$M$11:$M$170,0)),"")</f>
        <v/>
      </c>
      <c r="T80" s="16" t="e">
        <f t="shared" si="88"/>
        <v>#VALUE!</v>
      </c>
      <c r="U80" s="16" t="e">
        <f t="shared" si="70"/>
        <v>#VALUE!</v>
      </c>
      <c r="V80" s="16" t="e">
        <f t="shared" si="71"/>
        <v>#VALUE!</v>
      </c>
      <c r="W80" s="10" t="str">
        <f t="shared" si="89"/>
        <v>-</v>
      </c>
      <c r="X80" s="10" t="str">
        <f t="shared" si="90"/>
        <v>-</v>
      </c>
      <c r="Y80" s="13" t="str">
        <f t="shared" si="72"/>
        <v>-</v>
      </c>
      <c r="Z80" s="9" t="str">
        <f t="shared" si="91"/>
        <v>-</v>
      </c>
      <c r="AA80" s="16" t="str">
        <f t="shared" si="73"/>
        <v>-</v>
      </c>
      <c r="AB80" s="16" t="str">
        <f t="shared" si="92"/>
        <v>-</v>
      </c>
      <c r="AC80" s="16" t="str">
        <f t="shared" si="93"/>
        <v>-</v>
      </c>
      <c r="AD80" s="16" t="str">
        <f t="shared" si="74"/>
        <v>-</v>
      </c>
      <c r="AE80" s="16"/>
      <c r="AF80" s="31" t="str">
        <f>IFERROR(INDEX(Supermarket!$P$11:$P$170,MATCH('Calculations - Supermarket'!C80,Supermarket!$M$11:$M$170,0)),"")</f>
        <v/>
      </c>
      <c r="AG80" s="23" t="str">
        <f t="shared" si="75"/>
        <v/>
      </c>
      <c r="AH80" s="23" t="str">
        <f t="shared" si="76"/>
        <v/>
      </c>
      <c r="AI80" s="9" t="str">
        <f t="shared" si="94"/>
        <v/>
      </c>
      <c r="AJ80" s="4" t="str">
        <f t="shared" si="95"/>
        <v/>
      </c>
      <c r="AK80" s="4"/>
      <c r="AL80" s="4"/>
      <c r="AM80" s="4"/>
      <c r="AN80" s="4"/>
      <c r="AO80" s="4"/>
      <c r="AP80" s="20" t="str">
        <f t="shared" si="96"/>
        <v>-</v>
      </c>
      <c r="AQ80" s="13" t="str">
        <f t="shared" si="77"/>
        <v>-</v>
      </c>
      <c r="AR80" s="13" t="str">
        <f t="shared" si="78"/>
        <v>-</v>
      </c>
      <c r="AS80" s="13" t="str">
        <f t="shared" si="97"/>
        <v>-</v>
      </c>
      <c r="AT80" s="16" t="str">
        <f t="shared" si="79"/>
        <v>-</v>
      </c>
      <c r="AU80" s="16" t="str">
        <f t="shared" si="98"/>
        <v>-</v>
      </c>
      <c r="AV80" s="16" t="str">
        <f t="shared" si="99"/>
        <v>-</v>
      </c>
      <c r="AW80" s="16" t="str">
        <f t="shared" si="80"/>
        <v>-</v>
      </c>
      <c r="AX80" s="13" t="str">
        <f t="shared" si="81"/>
        <v>-</v>
      </c>
      <c r="AY80" s="10" t="str">
        <f t="shared" si="82"/>
        <v>-</v>
      </c>
      <c r="AZ80" s="9" t="str">
        <f t="shared" si="83"/>
        <v>-</v>
      </c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</row>
    <row r="81" spans="2:68" x14ac:dyDescent="0.3">
      <c r="B81" s="108" t="str">
        <f t="shared" si="67"/>
        <v/>
      </c>
      <c r="C81" s="108" t="str">
        <f t="shared" si="84"/>
        <v/>
      </c>
      <c r="D81" s="3"/>
      <c r="E81" s="3"/>
      <c r="F81" s="3"/>
      <c r="G81" s="20">
        <f>IFERROR(INDEX('Input - Supermarket'!F$2:F$200,MATCH('Calculations - Supermarket'!$C81,'Input - Supermarket'!$B$2:$B$200,0)),"")</f>
        <v>0</v>
      </c>
      <c r="H81" s="20">
        <f>IFERROR(INDEX('Input - Supermarket'!G$2:G$200,MATCH('Calculations - Supermarket'!$C81,'Input - Supermarket'!$B$2:$B$200,0)),"")</f>
        <v>0</v>
      </c>
      <c r="I81" s="21">
        <f>IFERROR(INDEX('Input - Supermarket'!H$2:H$200,MATCH('Calculations - Supermarket'!$C81,'Input - Supermarket'!$B$2:$B$200,0)),"")</f>
        <v>0</v>
      </c>
      <c r="J81" s="21">
        <f>IFERROR(INDEX('Input - Supermarket'!I$2:I$200,MATCH('Calculations - Supermarket'!$C81,'Input - Supermarket'!$B$2:$B$200,0)),"")</f>
        <v>0</v>
      </c>
      <c r="K81" s="20">
        <f>IFERROR(INDEX('Input - Supermarket'!J$2:J$200,MATCH('Calculations - Supermarket'!$C81,'Input - Supermarket'!$B$2:$B$200,0)),"")</f>
        <v>0</v>
      </c>
      <c r="L81" s="20">
        <f>IFERROR(INDEX('Input - Supermarket'!K$2:K$200,MATCH('Calculations - Supermarket'!$C81,'Input - Supermarket'!$B$2:$B$200,0)),"")</f>
        <v>0</v>
      </c>
      <c r="M81" s="21" t="str">
        <f t="shared" si="68"/>
        <v/>
      </c>
      <c r="N81" s="21" t="str">
        <f t="shared" si="85"/>
        <v/>
      </c>
      <c r="O81" s="21">
        <f t="shared" si="69"/>
        <v>0</v>
      </c>
      <c r="P81" s="9">
        <f t="shared" si="86"/>
        <v>0</v>
      </c>
      <c r="Q81" s="9">
        <f t="shared" si="87"/>
        <v>0</v>
      </c>
      <c r="R81" s="22" t="str">
        <f>IFERROR(INDEX(Supermarket!$Q$11:$Q$170,MATCH('Calculations - Supermarket'!$C81,Supermarket!$M$11:$M$170,0)),"")</f>
        <v/>
      </c>
      <c r="S81" s="22" t="str">
        <f>IFERROR(INDEX(Supermarket!$R$11:$R$170,MATCH('Calculations - Supermarket'!$C81,Supermarket!$M$11:$M$170,0)),"")</f>
        <v/>
      </c>
      <c r="T81" s="16" t="e">
        <f t="shared" si="88"/>
        <v>#VALUE!</v>
      </c>
      <c r="U81" s="16" t="e">
        <f t="shared" si="70"/>
        <v>#VALUE!</v>
      </c>
      <c r="V81" s="16" t="e">
        <f t="shared" si="71"/>
        <v>#VALUE!</v>
      </c>
      <c r="W81" s="10" t="str">
        <f t="shared" si="89"/>
        <v>-</v>
      </c>
      <c r="X81" s="10" t="str">
        <f t="shared" si="90"/>
        <v>-</v>
      </c>
      <c r="Y81" s="13" t="str">
        <f t="shared" si="72"/>
        <v>-</v>
      </c>
      <c r="Z81" s="9" t="str">
        <f t="shared" si="91"/>
        <v>-</v>
      </c>
      <c r="AA81" s="16" t="str">
        <f t="shared" si="73"/>
        <v>-</v>
      </c>
      <c r="AB81" s="16" t="str">
        <f t="shared" si="92"/>
        <v>-</v>
      </c>
      <c r="AC81" s="16" t="str">
        <f t="shared" si="93"/>
        <v>-</v>
      </c>
      <c r="AD81" s="16" t="str">
        <f t="shared" si="74"/>
        <v>-</v>
      </c>
      <c r="AE81" s="16"/>
      <c r="AF81" s="31" t="str">
        <f>IFERROR(INDEX(Supermarket!$P$11:$P$170,MATCH('Calculations - Supermarket'!C81,Supermarket!$M$11:$M$170,0)),"")</f>
        <v/>
      </c>
      <c r="AG81" s="23" t="str">
        <f t="shared" si="75"/>
        <v/>
      </c>
      <c r="AH81" s="23" t="str">
        <f t="shared" si="76"/>
        <v/>
      </c>
      <c r="AI81" s="9" t="str">
        <f t="shared" si="94"/>
        <v/>
      </c>
      <c r="AJ81" s="4" t="str">
        <f t="shared" si="95"/>
        <v/>
      </c>
      <c r="AK81" s="4"/>
      <c r="AL81" s="4"/>
      <c r="AM81" s="4"/>
      <c r="AN81" s="4"/>
      <c r="AO81" s="4"/>
      <c r="AP81" s="20" t="str">
        <f t="shared" si="96"/>
        <v>-</v>
      </c>
      <c r="AQ81" s="13" t="str">
        <f t="shared" si="77"/>
        <v>-</v>
      </c>
      <c r="AR81" s="13" t="str">
        <f t="shared" si="78"/>
        <v>-</v>
      </c>
      <c r="AS81" s="13" t="str">
        <f t="shared" si="97"/>
        <v>-</v>
      </c>
      <c r="AT81" s="16" t="str">
        <f t="shared" si="79"/>
        <v>-</v>
      </c>
      <c r="AU81" s="16" t="str">
        <f t="shared" si="98"/>
        <v>-</v>
      </c>
      <c r="AV81" s="16" t="str">
        <f t="shared" si="99"/>
        <v>-</v>
      </c>
      <c r="AW81" s="16" t="str">
        <f t="shared" si="80"/>
        <v>-</v>
      </c>
      <c r="AX81" s="13" t="str">
        <f t="shared" si="81"/>
        <v>-</v>
      </c>
      <c r="AY81" s="10" t="str">
        <f t="shared" si="82"/>
        <v>-</v>
      </c>
      <c r="AZ81" s="9" t="str">
        <f t="shared" si="83"/>
        <v>-</v>
      </c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2:68" x14ac:dyDescent="0.3">
      <c r="B82" s="108" t="str">
        <f t="shared" si="67"/>
        <v/>
      </c>
      <c r="C82" s="108" t="str">
        <f t="shared" si="84"/>
        <v/>
      </c>
      <c r="D82" s="3"/>
      <c r="E82" s="3"/>
      <c r="F82" s="3"/>
      <c r="G82" s="20">
        <f>IFERROR(INDEX('Input - Supermarket'!F$2:F$200,MATCH('Calculations - Supermarket'!$C82,'Input - Supermarket'!$B$2:$B$200,0)),"")</f>
        <v>0</v>
      </c>
      <c r="H82" s="20">
        <f>IFERROR(INDEX('Input - Supermarket'!G$2:G$200,MATCH('Calculations - Supermarket'!$C82,'Input - Supermarket'!$B$2:$B$200,0)),"")</f>
        <v>0</v>
      </c>
      <c r="I82" s="21">
        <f>IFERROR(INDEX('Input - Supermarket'!H$2:H$200,MATCH('Calculations - Supermarket'!$C82,'Input - Supermarket'!$B$2:$B$200,0)),"")</f>
        <v>0</v>
      </c>
      <c r="J82" s="21">
        <f>IFERROR(INDEX('Input - Supermarket'!I$2:I$200,MATCH('Calculations - Supermarket'!$C82,'Input - Supermarket'!$B$2:$B$200,0)),"")</f>
        <v>0</v>
      </c>
      <c r="K82" s="20">
        <f>IFERROR(INDEX('Input - Supermarket'!J$2:J$200,MATCH('Calculations - Supermarket'!$C82,'Input - Supermarket'!$B$2:$B$200,0)),"")</f>
        <v>0</v>
      </c>
      <c r="L82" s="20">
        <f>IFERROR(INDEX('Input - Supermarket'!K$2:K$200,MATCH('Calculations - Supermarket'!$C82,'Input - Supermarket'!$B$2:$B$200,0)),"")</f>
        <v>0</v>
      </c>
      <c r="M82" s="21" t="str">
        <f t="shared" si="68"/>
        <v/>
      </c>
      <c r="N82" s="21" t="str">
        <f t="shared" si="85"/>
        <v/>
      </c>
      <c r="O82" s="21">
        <f t="shared" si="69"/>
        <v>0</v>
      </c>
      <c r="P82" s="9">
        <f t="shared" si="86"/>
        <v>0</v>
      </c>
      <c r="Q82" s="9">
        <f t="shared" si="87"/>
        <v>0</v>
      </c>
      <c r="R82" s="22" t="str">
        <f>IFERROR(INDEX(Supermarket!$Q$11:$Q$170,MATCH('Calculations - Supermarket'!$C82,Supermarket!$M$11:$M$170,0)),"")</f>
        <v/>
      </c>
      <c r="S82" s="22" t="str">
        <f>IFERROR(INDEX(Supermarket!$R$11:$R$170,MATCH('Calculations - Supermarket'!$C82,Supermarket!$M$11:$M$170,0)),"")</f>
        <v/>
      </c>
      <c r="T82" s="16" t="e">
        <f t="shared" si="88"/>
        <v>#VALUE!</v>
      </c>
      <c r="U82" s="16" t="e">
        <f t="shared" si="70"/>
        <v>#VALUE!</v>
      </c>
      <c r="V82" s="16" t="e">
        <f t="shared" si="71"/>
        <v>#VALUE!</v>
      </c>
      <c r="W82" s="10" t="str">
        <f t="shared" si="89"/>
        <v>-</v>
      </c>
      <c r="X82" s="10" t="str">
        <f t="shared" si="90"/>
        <v>-</v>
      </c>
      <c r="Y82" s="13" t="str">
        <f t="shared" si="72"/>
        <v>-</v>
      </c>
      <c r="Z82" s="9" t="str">
        <f t="shared" si="91"/>
        <v>-</v>
      </c>
      <c r="AA82" s="16" t="str">
        <f t="shared" si="73"/>
        <v>-</v>
      </c>
      <c r="AB82" s="16" t="str">
        <f t="shared" si="92"/>
        <v>-</v>
      </c>
      <c r="AC82" s="16" t="str">
        <f t="shared" si="93"/>
        <v>-</v>
      </c>
      <c r="AD82" s="16" t="str">
        <f t="shared" si="74"/>
        <v>-</v>
      </c>
      <c r="AE82" s="16"/>
      <c r="AF82" s="31" t="str">
        <f>IFERROR(INDEX(Supermarket!$P$11:$P$170,MATCH('Calculations - Supermarket'!C82,Supermarket!$M$11:$M$170,0)),"")</f>
        <v/>
      </c>
      <c r="AG82" s="23" t="str">
        <f t="shared" si="75"/>
        <v/>
      </c>
      <c r="AH82" s="23" t="str">
        <f t="shared" si="76"/>
        <v/>
      </c>
      <c r="AI82" s="9" t="str">
        <f t="shared" si="94"/>
        <v/>
      </c>
      <c r="AJ82" s="4" t="str">
        <f t="shared" si="95"/>
        <v/>
      </c>
      <c r="AK82" s="4"/>
      <c r="AL82" s="4"/>
      <c r="AM82" s="4"/>
      <c r="AN82" s="4"/>
      <c r="AO82" s="4"/>
      <c r="AP82" s="20" t="str">
        <f t="shared" si="96"/>
        <v>-</v>
      </c>
      <c r="AQ82" s="13" t="str">
        <f t="shared" si="77"/>
        <v>-</v>
      </c>
      <c r="AR82" s="13" t="str">
        <f t="shared" si="78"/>
        <v>-</v>
      </c>
      <c r="AS82" s="13" t="str">
        <f t="shared" si="97"/>
        <v>-</v>
      </c>
      <c r="AT82" s="16" t="str">
        <f t="shared" si="79"/>
        <v>-</v>
      </c>
      <c r="AU82" s="16" t="str">
        <f t="shared" si="98"/>
        <v>-</v>
      </c>
      <c r="AV82" s="16" t="str">
        <f t="shared" si="99"/>
        <v>-</v>
      </c>
      <c r="AW82" s="16" t="str">
        <f t="shared" si="80"/>
        <v>-</v>
      </c>
      <c r="AX82" s="13" t="str">
        <f t="shared" si="81"/>
        <v>-</v>
      </c>
      <c r="AY82" s="10" t="str">
        <f t="shared" si="82"/>
        <v>-</v>
      </c>
      <c r="AZ82" s="9" t="str">
        <f t="shared" si="83"/>
        <v>-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</row>
    <row r="83" spans="2:68" x14ac:dyDescent="0.3">
      <c r="B83" s="108" t="str">
        <f t="shared" si="67"/>
        <v/>
      </c>
      <c r="C83" s="108" t="str">
        <f t="shared" si="84"/>
        <v/>
      </c>
      <c r="D83" s="3"/>
      <c r="E83" s="3"/>
      <c r="F83" s="3"/>
      <c r="G83" s="20">
        <f>IFERROR(INDEX('Input - Supermarket'!F$2:F$200,MATCH('Calculations - Supermarket'!$C83,'Input - Supermarket'!$B$2:$B$200,0)),"")</f>
        <v>0</v>
      </c>
      <c r="H83" s="20">
        <f>IFERROR(INDEX('Input - Supermarket'!G$2:G$200,MATCH('Calculations - Supermarket'!$C83,'Input - Supermarket'!$B$2:$B$200,0)),"")</f>
        <v>0</v>
      </c>
      <c r="I83" s="21">
        <f>IFERROR(INDEX('Input - Supermarket'!H$2:H$200,MATCH('Calculations - Supermarket'!$C83,'Input - Supermarket'!$B$2:$B$200,0)),"")</f>
        <v>0</v>
      </c>
      <c r="J83" s="21">
        <f>IFERROR(INDEX('Input - Supermarket'!I$2:I$200,MATCH('Calculations - Supermarket'!$C83,'Input - Supermarket'!$B$2:$B$200,0)),"")</f>
        <v>0</v>
      </c>
      <c r="K83" s="20">
        <f>IFERROR(INDEX('Input - Supermarket'!J$2:J$200,MATCH('Calculations - Supermarket'!$C83,'Input - Supermarket'!$B$2:$B$200,0)),"")</f>
        <v>0</v>
      </c>
      <c r="L83" s="20">
        <f>IFERROR(INDEX('Input - Supermarket'!K$2:K$200,MATCH('Calculations - Supermarket'!$C83,'Input - Supermarket'!$B$2:$B$200,0)),"")</f>
        <v>0</v>
      </c>
      <c r="M83" s="21" t="str">
        <f t="shared" si="68"/>
        <v/>
      </c>
      <c r="N83" s="21" t="str">
        <f t="shared" si="85"/>
        <v/>
      </c>
      <c r="O83" s="21">
        <f t="shared" si="69"/>
        <v>0</v>
      </c>
      <c r="P83" s="9">
        <f t="shared" si="86"/>
        <v>0</v>
      </c>
      <c r="Q83" s="9">
        <f t="shared" si="87"/>
        <v>0</v>
      </c>
      <c r="R83" s="22" t="str">
        <f>IFERROR(INDEX(Supermarket!$Q$11:$Q$170,MATCH('Calculations - Supermarket'!$C83,Supermarket!$M$11:$M$170,0)),"")</f>
        <v/>
      </c>
      <c r="S83" s="22" t="str">
        <f>IFERROR(INDEX(Supermarket!$R$11:$R$170,MATCH('Calculations - Supermarket'!$C83,Supermarket!$M$11:$M$170,0)),"")</f>
        <v/>
      </c>
      <c r="T83" s="16" t="e">
        <f t="shared" si="88"/>
        <v>#VALUE!</v>
      </c>
      <c r="U83" s="16" t="e">
        <f t="shared" si="70"/>
        <v>#VALUE!</v>
      </c>
      <c r="V83" s="16" t="e">
        <f t="shared" si="71"/>
        <v>#VALUE!</v>
      </c>
      <c r="W83" s="10" t="str">
        <f t="shared" si="89"/>
        <v>-</v>
      </c>
      <c r="X83" s="10" t="str">
        <f t="shared" si="90"/>
        <v>-</v>
      </c>
      <c r="Y83" s="13" t="str">
        <f t="shared" si="72"/>
        <v>-</v>
      </c>
      <c r="Z83" s="9" t="str">
        <f t="shared" si="91"/>
        <v>-</v>
      </c>
      <c r="AA83" s="16" t="str">
        <f t="shared" si="73"/>
        <v>-</v>
      </c>
      <c r="AB83" s="16" t="str">
        <f t="shared" si="92"/>
        <v>-</v>
      </c>
      <c r="AC83" s="16" t="str">
        <f t="shared" si="93"/>
        <v>-</v>
      </c>
      <c r="AD83" s="16" t="str">
        <f t="shared" si="74"/>
        <v>-</v>
      </c>
      <c r="AE83" s="16"/>
      <c r="AF83" s="31" t="str">
        <f>IFERROR(INDEX(Supermarket!$P$11:$P$170,MATCH('Calculations - Supermarket'!C83,Supermarket!$M$11:$M$170,0)),"")</f>
        <v/>
      </c>
      <c r="AG83" s="23" t="str">
        <f t="shared" si="75"/>
        <v/>
      </c>
      <c r="AH83" s="23" t="str">
        <f t="shared" si="76"/>
        <v/>
      </c>
      <c r="AI83" s="9" t="str">
        <f t="shared" si="94"/>
        <v/>
      </c>
      <c r="AJ83" s="4" t="str">
        <f t="shared" si="95"/>
        <v/>
      </c>
      <c r="AK83" s="4"/>
      <c r="AL83" s="4"/>
      <c r="AM83" s="4"/>
      <c r="AN83" s="4"/>
      <c r="AO83" s="4"/>
      <c r="AP83" s="20" t="str">
        <f t="shared" si="96"/>
        <v>-</v>
      </c>
      <c r="AQ83" s="13" t="str">
        <f t="shared" si="77"/>
        <v>-</v>
      </c>
      <c r="AR83" s="13" t="str">
        <f t="shared" si="78"/>
        <v>-</v>
      </c>
      <c r="AS83" s="13" t="str">
        <f t="shared" si="97"/>
        <v>-</v>
      </c>
      <c r="AT83" s="16" t="str">
        <f t="shared" si="79"/>
        <v>-</v>
      </c>
      <c r="AU83" s="16" t="str">
        <f t="shared" si="98"/>
        <v>-</v>
      </c>
      <c r="AV83" s="16" t="str">
        <f t="shared" si="99"/>
        <v>-</v>
      </c>
      <c r="AW83" s="16" t="str">
        <f t="shared" si="80"/>
        <v>-</v>
      </c>
      <c r="AX83" s="13" t="str">
        <f t="shared" si="81"/>
        <v>-</v>
      </c>
      <c r="AY83" s="10" t="str">
        <f t="shared" si="82"/>
        <v>-</v>
      </c>
      <c r="AZ83" s="9" t="str">
        <f t="shared" si="83"/>
        <v>-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</row>
    <row r="84" spans="2:68" x14ac:dyDescent="0.3">
      <c r="B84" s="108" t="str">
        <f t="shared" si="67"/>
        <v/>
      </c>
      <c r="C84" s="108" t="str">
        <f t="shared" si="84"/>
        <v/>
      </c>
      <c r="D84" s="3"/>
      <c r="E84" s="3"/>
      <c r="F84" s="3"/>
      <c r="G84" s="20">
        <f>IFERROR(INDEX('Input - Supermarket'!F$2:F$200,MATCH('Calculations - Supermarket'!$C84,'Input - Supermarket'!$B$2:$B$200,0)),"")</f>
        <v>0</v>
      </c>
      <c r="H84" s="20">
        <f>IFERROR(INDEX('Input - Supermarket'!G$2:G$200,MATCH('Calculations - Supermarket'!$C84,'Input - Supermarket'!$B$2:$B$200,0)),"")</f>
        <v>0</v>
      </c>
      <c r="I84" s="21">
        <f>IFERROR(INDEX('Input - Supermarket'!H$2:H$200,MATCH('Calculations - Supermarket'!$C84,'Input - Supermarket'!$B$2:$B$200,0)),"")</f>
        <v>0</v>
      </c>
      <c r="J84" s="21">
        <f>IFERROR(INDEX('Input - Supermarket'!I$2:I$200,MATCH('Calculations - Supermarket'!$C84,'Input - Supermarket'!$B$2:$B$200,0)),"")</f>
        <v>0</v>
      </c>
      <c r="K84" s="20">
        <f>IFERROR(INDEX('Input - Supermarket'!J$2:J$200,MATCH('Calculations - Supermarket'!$C84,'Input - Supermarket'!$B$2:$B$200,0)),"")</f>
        <v>0</v>
      </c>
      <c r="L84" s="20">
        <f>IFERROR(INDEX('Input - Supermarket'!K$2:K$200,MATCH('Calculations - Supermarket'!$C84,'Input - Supermarket'!$B$2:$B$200,0)),"")</f>
        <v>0</v>
      </c>
      <c r="M84" s="21" t="str">
        <f t="shared" si="68"/>
        <v/>
      </c>
      <c r="N84" s="21" t="str">
        <f t="shared" si="85"/>
        <v/>
      </c>
      <c r="O84" s="21">
        <f t="shared" si="69"/>
        <v>0</v>
      </c>
      <c r="P84" s="9">
        <f t="shared" si="86"/>
        <v>0</v>
      </c>
      <c r="Q84" s="9">
        <f t="shared" si="87"/>
        <v>0</v>
      </c>
      <c r="R84" s="22" t="str">
        <f>IFERROR(INDEX(Supermarket!$Q$11:$Q$170,MATCH('Calculations - Supermarket'!$C84,Supermarket!$M$11:$M$170,0)),"")</f>
        <v/>
      </c>
      <c r="S84" s="22" t="str">
        <f>IFERROR(INDEX(Supermarket!$R$11:$R$170,MATCH('Calculations - Supermarket'!$C84,Supermarket!$M$11:$M$170,0)),"")</f>
        <v/>
      </c>
      <c r="T84" s="16" t="e">
        <f t="shared" si="88"/>
        <v>#VALUE!</v>
      </c>
      <c r="U84" s="16" t="e">
        <f t="shared" si="70"/>
        <v>#VALUE!</v>
      </c>
      <c r="V84" s="16" t="e">
        <f t="shared" si="71"/>
        <v>#VALUE!</v>
      </c>
      <c r="W84" s="10" t="str">
        <f t="shared" si="89"/>
        <v>-</v>
      </c>
      <c r="X84" s="10" t="str">
        <f t="shared" si="90"/>
        <v>-</v>
      </c>
      <c r="Y84" s="13" t="str">
        <f t="shared" si="72"/>
        <v>-</v>
      </c>
      <c r="Z84" s="9" t="str">
        <f t="shared" si="91"/>
        <v>-</v>
      </c>
      <c r="AA84" s="16" t="str">
        <f t="shared" si="73"/>
        <v>-</v>
      </c>
      <c r="AB84" s="16" t="str">
        <f t="shared" si="92"/>
        <v>-</v>
      </c>
      <c r="AC84" s="16" t="str">
        <f t="shared" si="93"/>
        <v>-</v>
      </c>
      <c r="AD84" s="16" t="str">
        <f t="shared" si="74"/>
        <v>-</v>
      </c>
      <c r="AE84" s="16"/>
      <c r="AF84" s="31" t="str">
        <f>IFERROR(INDEX(Supermarket!$P$11:$P$170,MATCH('Calculations - Supermarket'!C84,Supermarket!$M$11:$M$170,0)),"")</f>
        <v/>
      </c>
      <c r="AG84" s="23" t="str">
        <f t="shared" si="75"/>
        <v/>
      </c>
      <c r="AH84" s="23" t="str">
        <f t="shared" si="76"/>
        <v/>
      </c>
      <c r="AI84" s="9" t="str">
        <f t="shared" si="94"/>
        <v/>
      </c>
      <c r="AJ84" s="4" t="str">
        <f t="shared" si="95"/>
        <v/>
      </c>
      <c r="AK84" s="4"/>
      <c r="AL84" s="4"/>
      <c r="AM84" s="4"/>
      <c r="AN84" s="4"/>
      <c r="AO84" s="4"/>
      <c r="AP84" s="20" t="str">
        <f t="shared" si="96"/>
        <v>-</v>
      </c>
      <c r="AQ84" s="13" t="str">
        <f t="shared" si="77"/>
        <v>-</v>
      </c>
      <c r="AR84" s="13" t="str">
        <f t="shared" si="78"/>
        <v>-</v>
      </c>
      <c r="AS84" s="13" t="str">
        <f t="shared" si="97"/>
        <v>-</v>
      </c>
      <c r="AT84" s="16" t="str">
        <f t="shared" si="79"/>
        <v>-</v>
      </c>
      <c r="AU84" s="16" t="str">
        <f t="shared" si="98"/>
        <v>-</v>
      </c>
      <c r="AV84" s="16" t="str">
        <f t="shared" si="99"/>
        <v>-</v>
      </c>
      <c r="AW84" s="16" t="str">
        <f t="shared" si="80"/>
        <v>-</v>
      </c>
      <c r="AX84" s="13" t="str">
        <f t="shared" si="81"/>
        <v>-</v>
      </c>
      <c r="AY84" s="10" t="str">
        <f t="shared" si="82"/>
        <v>-</v>
      </c>
      <c r="AZ84" s="9" t="str">
        <f t="shared" si="83"/>
        <v>-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</row>
    <row r="85" spans="2:68" x14ac:dyDescent="0.3">
      <c r="B85" s="108" t="str">
        <f t="shared" si="67"/>
        <v/>
      </c>
      <c r="C85" s="108" t="str">
        <f t="shared" si="84"/>
        <v/>
      </c>
      <c r="D85" s="3"/>
      <c r="E85" s="3"/>
      <c r="F85" s="3"/>
      <c r="G85" s="20">
        <f>IFERROR(INDEX('Input - Supermarket'!F$2:F$200,MATCH('Calculations - Supermarket'!$C85,'Input - Supermarket'!$B$2:$B$200,0)),"")</f>
        <v>0</v>
      </c>
      <c r="H85" s="20">
        <f>IFERROR(INDEX('Input - Supermarket'!G$2:G$200,MATCH('Calculations - Supermarket'!$C85,'Input - Supermarket'!$B$2:$B$200,0)),"")</f>
        <v>0</v>
      </c>
      <c r="I85" s="21">
        <f>IFERROR(INDEX('Input - Supermarket'!H$2:H$200,MATCH('Calculations - Supermarket'!$C85,'Input - Supermarket'!$B$2:$B$200,0)),"")</f>
        <v>0</v>
      </c>
      <c r="J85" s="21">
        <f>IFERROR(INDEX('Input - Supermarket'!I$2:I$200,MATCH('Calculations - Supermarket'!$C85,'Input - Supermarket'!$B$2:$B$200,0)),"")</f>
        <v>0</v>
      </c>
      <c r="K85" s="20">
        <f>IFERROR(INDEX('Input - Supermarket'!J$2:J$200,MATCH('Calculations - Supermarket'!$C85,'Input - Supermarket'!$B$2:$B$200,0)),"")</f>
        <v>0</v>
      </c>
      <c r="L85" s="20">
        <f>IFERROR(INDEX('Input - Supermarket'!K$2:K$200,MATCH('Calculations - Supermarket'!$C85,'Input - Supermarket'!$B$2:$B$200,0)),"")</f>
        <v>0</v>
      </c>
      <c r="M85" s="21" t="str">
        <f t="shared" si="68"/>
        <v/>
      </c>
      <c r="N85" s="21" t="str">
        <f t="shared" si="85"/>
        <v/>
      </c>
      <c r="O85" s="21">
        <f t="shared" si="69"/>
        <v>0</v>
      </c>
      <c r="P85" s="9">
        <f t="shared" si="86"/>
        <v>0</v>
      </c>
      <c r="Q85" s="9">
        <f t="shared" si="87"/>
        <v>0</v>
      </c>
      <c r="R85" s="22" t="str">
        <f>IFERROR(INDEX(Supermarket!$Q$11:$Q$170,MATCH('Calculations - Supermarket'!$C85,Supermarket!$M$11:$M$170,0)),"")</f>
        <v/>
      </c>
      <c r="S85" s="22" t="str">
        <f>IFERROR(INDEX(Supermarket!$R$11:$R$170,MATCH('Calculations - Supermarket'!$C85,Supermarket!$M$11:$M$170,0)),"")</f>
        <v/>
      </c>
      <c r="T85" s="16" t="e">
        <f t="shared" si="88"/>
        <v>#VALUE!</v>
      </c>
      <c r="U85" s="16" t="e">
        <f t="shared" si="70"/>
        <v>#VALUE!</v>
      </c>
      <c r="V85" s="16" t="e">
        <f t="shared" si="71"/>
        <v>#VALUE!</v>
      </c>
      <c r="W85" s="10" t="str">
        <f t="shared" si="89"/>
        <v>-</v>
      </c>
      <c r="X85" s="10" t="str">
        <f t="shared" si="90"/>
        <v>-</v>
      </c>
      <c r="Y85" s="13" t="str">
        <f t="shared" si="72"/>
        <v>-</v>
      </c>
      <c r="Z85" s="9" t="str">
        <f t="shared" si="91"/>
        <v>-</v>
      </c>
      <c r="AA85" s="16" t="str">
        <f t="shared" si="73"/>
        <v>-</v>
      </c>
      <c r="AB85" s="16" t="str">
        <f t="shared" si="92"/>
        <v>-</v>
      </c>
      <c r="AC85" s="16" t="str">
        <f t="shared" si="93"/>
        <v>-</v>
      </c>
      <c r="AD85" s="16" t="str">
        <f t="shared" si="74"/>
        <v>-</v>
      </c>
      <c r="AE85" s="16"/>
      <c r="AF85" s="31" t="str">
        <f>IFERROR(INDEX(Supermarket!$P$11:$P$170,MATCH('Calculations - Supermarket'!C85,Supermarket!$M$11:$M$170,0)),"")</f>
        <v/>
      </c>
      <c r="AG85" s="23" t="str">
        <f t="shared" si="75"/>
        <v/>
      </c>
      <c r="AH85" s="23" t="str">
        <f t="shared" si="76"/>
        <v/>
      </c>
      <c r="AI85" s="9" t="str">
        <f t="shared" si="94"/>
        <v/>
      </c>
      <c r="AJ85" s="4" t="str">
        <f t="shared" si="95"/>
        <v/>
      </c>
      <c r="AK85" s="4"/>
      <c r="AL85" s="4"/>
      <c r="AM85" s="4"/>
      <c r="AN85" s="4"/>
      <c r="AO85" s="4"/>
      <c r="AP85" s="20" t="str">
        <f t="shared" si="96"/>
        <v>-</v>
      </c>
      <c r="AQ85" s="13" t="str">
        <f t="shared" si="77"/>
        <v>-</v>
      </c>
      <c r="AR85" s="13" t="str">
        <f t="shared" si="78"/>
        <v>-</v>
      </c>
      <c r="AS85" s="13" t="str">
        <f t="shared" si="97"/>
        <v>-</v>
      </c>
      <c r="AT85" s="16" t="str">
        <f t="shared" si="79"/>
        <v>-</v>
      </c>
      <c r="AU85" s="16" t="str">
        <f t="shared" si="98"/>
        <v>-</v>
      </c>
      <c r="AV85" s="16" t="str">
        <f t="shared" si="99"/>
        <v>-</v>
      </c>
      <c r="AW85" s="16" t="str">
        <f t="shared" si="80"/>
        <v>-</v>
      </c>
      <c r="AX85" s="13" t="str">
        <f t="shared" si="81"/>
        <v>-</v>
      </c>
      <c r="AY85" s="10" t="str">
        <f t="shared" si="82"/>
        <v>-</v>
      </c>
      <c r="AZ85" s="9" t="str">
        <f t="shared" si="83"/>
        <v>-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</row>
    <row r="86" spans="2:68" x14ac:dyDescent="0.3">
      <c r="B86" s="108" t="str">
        <f t="shared" si="67"/>
        <v/>
      </c>
      <c r="C86" s="108" t="str">
        <f t="shared" si="84"/>
        <v/>
      </c>
      <c r="D86" s="3"/>
      <c r="E86" s="3"/>
      <c r="F86" s="3"/>
      <c r="G86" s="20">
        <f>IFERROR(INDEX('Input - Supermarket'!F$2:F$200,MATCH('Calculations - Supermarket'!$C86,'Input - Supermarket'!$B$2:$B$200,0)),"")</f>
        <v>0</v>
      </c>
      <c r="H86" s="20">
        <f>IFERROR(INDEX('Input - Supermarket'!G$2:G$200,MATCH('Calculations - Supermarket'!$C86,'Input - Supermarket'!$B$2:$B$200,0)),"")</f>
        <v>0</v>
      </c>
      <c r="I86" s="21">
        <f>IFERROR(INDEX('Input - Supermarket'!H$2:H$200,MATCH('Calculations - Supermarket'!$C86,'Input - Supermarket'!$B$2:$B$200,0)),"")</f>
        <v>0</v>
      </c>
      <c r="J86" s="21">
        <f>IFERROR(INDEX('Input - Supermarket'!I$2:I$200,MATCH('Calculations - Supermarket'!$C86,'Input - Supermarket'!$B$2:$B$200,0)),"")</f>
        <v>0</v>
      </c>
      <c r="K86" s="20">
        <f>IFERROR(INDEX('Input - Supermarket'!J$2:J$200,MATCH('Calculations - Supermarket'!$C86,'Input - Supermarket'!$B$2:$B$200,0)),"")</f>
        <v>0</v>
      </c>
      <c r="L86" s="20">
        <f>IFERROR(INDEX('Input - Supermarket'!K$2:K$200,MATCH('Calculations - Supermarket'!$C86,'Input - Supermarket'!$B$2:$B$200,0)),"")</f>
        <v>0</v>
      </c>
      <c r="M86" s="21" t="str">
        <f t="shared" si="68"/>
        <v/>
      </c>
      <c r="N86" s="21" t="str">
        <f t="shared" si="85"/>
        <v/>
      </c>
      <c r="O86" s="21">
        <f t="shared" si="69"/>
        <v>0</v>
      </c>
      <c r="P86" s="9">
        <f t="shared" si="86"/>
        <v>0</v>
      </c>
      <c r="Q86" s="9">
        <f t="shared" si="87"/>
        <v>0</v>
      </c>
      <c r="R86" s="22" t="str">
        <f>IFERROR(INDEX(Supermarket!$Q$11:$Q$170,MATCH('Calculations - Supermarket'!$C86,Supermarket!$M$11:$M$170,0)),"")</f>
        <v/>
      </c>
      <c r="S86" s="22" t="str">
        <f>IFERROR(INDEX(Supermarket!$R$11:$R$170,MATCH('Calculations - Supermarket'!$C86,Supermarket!$M$11:$M$170,0)),"")</f>
        <v/>
      </c>
      <c r="T86" s="16" t="e">
        <f t="shared" si="88"/>
        <v>#VALUE!</v>
      </c>
      <c r="U86" s="16" t="e">
        <f t="shared" si="70"/>
        <v>#VALUE!</v>
      </c>
      <c r="V86" s="16" t="e">
        <f t="shared" si="71"/>
        <v>#VALUE!</v>
      </c>
      <c r="W86" s="10" t="str">
        <f t="shared" si="89"/>
        <v>-</v>
      </c>
      <c r="X86" s="10" t="str">
        <f t="shared" si="90"/>
        <v>-</v>
      </c>
      <c r="Y86" s="13" t="str">
        <f t="shared" si="72"/>
        <v>-</v>
      </c>
      <c r="Z86" s="9" t="str">
        <f t="shared" si="91"/>
        <v>-</v>
      </c>
      <c r="AA86" s="16" t="str">
        <f t="shared" si="73"/>
        <v>-</v>
      </c>
      <c r="AB86" s="16" t="str">
        <f t="shared" si="92"/>
        <v>-</v>
      </c>
      <c r="AC86" s="16" t="str">
        <f t="shared" si="93"/>
        <v>-</v>
      </c>
      <c r="AD86" s="16" t="str">
        <f t="shared" si="74"/>
        <v>-</v>
      </c>
      <c r="AE86" s="16"/>
      <c r="AF86" s="31" t="str">
        <f>IFERROR(INDEX(Supermarket!$P$11:$P$170,MATCH('Calculations - Supermarket'!C86,Supermarket!$M$11:$M$170,0)),"")</f>
        <v/>
      </c>
      <c r="AG86" s="23" t="str">
        <f t="shared" si="75"/>
        <v/>
      </c>
      <c r="AH86" s="23" t="str">
        <f t="shared" si="76"/>
        <v/>
      </c>
      <c r="AI86" s="9" t="str">
        <f t="shared" si="94"/>
        <v/>
      </c>
      <c r="AJ86" s="4" t="str">
        <f t="shared" si="95"/>
        <v/>
      </c>
      <c r="AK86" s="4"/>
      <c r="AL86" s="4"/>
      <c r="AM86" s="4"/>
      <c r="AN86" s="4"/>
      <c r="AO86" s="4"/>
      <c r="AP86" s="20" t="str">
        <f t="shared" si="96"/>
        <v>-</v>
      </c>
      <c r="AQ86" s="13" t="str">
        <f t="shared" si="77"/>
        <v>-</v>
      </c>
      <c r="AR86" s="13" t="str">
        <f t="shared" si="78"/>
        <v>-</v>
      </c>
      <c r="AS86" s="13" t="str">
        <f t="shared" si="97"/>
        <v>-</v>
      </c>
      <c r="AT86" s="16" t="str">
        <f t="shared" si="79"/>
        <v>-</v>
      </c>
      <c r="AU86" s="16" t="str">
        <f t="shared" si="98"/>
        <v>-</v>
      </c>
      <c r="AV86" s="16" t="str">
        <f t="shared" si="99"/>
        <v>-</v>
      </c>
      <c r="AW86" s="16" t="str">
        <f t="shared" si="80"/>
        <v>-</v>
      </c>
      <c r="AX86" s="13" t="str">
        <f t="shared" si="81"/>
        <v>-</v>
      </c>
      <c r="AY86" s="10" t="str">
        <f t="shared" si="82"/>
        <v>-</v>
      </c>
      <c r="AZ86" s="9" t="str">
        <f t="shared" si="83"/>
        <v>-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</row>
    <row r="87" spans="2:68" x14ac:dyDescent="0.3">
      <c r="B87" s="108" t="str">
        <f t="shared" si="67"/>
        <v/>
      </c>
      <c r="C87" s="108" t="str">
        <f t="shared" si="84"/>
        <v/>
      </c>
      <c r="D87" s="3"/>
      <c r="E87" s="3"/>
      <c r="F87" s="3"/>
      <c r="G87" s="20">
        <f>IFERROR(INDEX('Input - Supermarket'!F$2:F$200,MATCH('Calculations - Supermarket'!$C87,'Input - Supermarket'!$B$2:$B$200,0)),"")</f>
        <v>0</v>
      </c>
      <c r="H87" s="20">
        <f>IFERROR(INDEX('Input - Supermarket'!G$2:G$200,MATCH('Calculations - Supermarket'!$C87,'Input - Supermarket'!$B$2:$B$200,0)),"")</f>
        <v>0</v>
      </c>
      <c r="I87" s="21">
        <f>IFERROR(INDEX('Input - Supermarket'!H$2:H$200,MATCH('Calculations - Supermarket'!$C87,'Input - Supermarket'!$B$2:$B$200,0)),"")</f>
        <v>0</v>
      </c>
      <c r="J87" s="21">
        <f>IFERROR(INDEX('Input - Supermarket'!I$2:I$200,MATCH('Calculations - Supermarket'!$C87,'Input - Supermarket'!$B$2:$B$200,0)),"")</f>
        <v>0</v>
      </c>
      <c r="K87" s="20">
        <f>IFERROR(INDEX('Input - Supermarket'!J$2:J$200,MATCH('Calculations - Supermarket'!$C87,'Input - Supermarket'!$B$2:$B$200,0)),"")</f>
        <v>0</v>
      </c>
      <c r="L87" s="20">
        <f>IFERROR(INDEX('Input - Supermarket'!K$2:K$200,MATCH('Calculations - Supermarket'!$C87,'Input - Supermarket'!$B$2:$B$200,0)),"")</f>
        <v>0</v>
      </c>
      <c r="M87" s="21" t="str">
        <f t="shared" si="68"/>
        <v/>
      </c>
      <c r="N87" s="21" t="str">
        <f t="shared" si="85"/>
        <v/>
      </c>
      <c r="O87" s="21">
        <f t="shared" si="69"/>
        <v>0</v>
      </c>
      <c r="P87" s="9">
        <f t="shared" si="86"/>
        <v>0</v>
      </c>
      <c r="Q87" s="9">
        <f t="shared" si="87"/>
        <v>0</v>
      </c>
      <c r="R87" s="22" t="str">
        <f>IFERROR(INDEX(Supermarket!$Q$11:$Q$170,MATCH('Calculations - Supermarket'!$C87,Supermarket!$M$11:$M$170,0)),"")</f>
        <v/>
      </c>
      <c r="S87" s="22" t="str">
        <f>IFERROR(INDEX(Supermarket!$R$11:$R$170,MATCH('Calculations - Supermarket'!$C87,Supermarket!$M$11:$M$170,0)),"")</f>
        <v/>
      </c>
      <c r="T87" s="16" t="e">
        <f t="shared" si="88"/>
        <v>#VALUE!</v>
      </c>
      <c r="U87" s="16" t="e">
        <f t="shared" si="70"/>
        <v>#VALUE!</v>
      </c>
      <c r="V87" s="16" t="e">
        <f t="shared" si="71"/>
        <v>#VALUE!</v>
      </c>
      <c r="W87" s="10" t="str">
        <f t="shared" si="89"/>
        <v>-</v>
      </c>
      <c r="X87" s="10" t="str">
        <f t="shared" si="90"/>
        <v>-</v>
      </c>
      <c r="Y87" s="13" t="str">
        <f t="shared" si="72"/>
        <v>-</v>
      </c>
      <c r="Z87" s="9" t="str">
        <f t="shared" si="91"/>
        <v>-</v>
      </c>
      <c r="AA87" s="16" t="str">
        <f t="shared" si="73"/>
        <v>-</v>
      </c>
      <c r="AB87" s="16" t="str">
        <f t="shared" si="92"/>
        <v>-</v>
      </c>
      <c r="AC87" s="16" t="str">
        <f t="shared" si="93"/>
        <v>-</v>
      </c>
      <c r="AD87" s="16" t="str">
        <f t="shared" si="74"/>
        <v>-</v>
      </c>
      <c r="AE87" s="16"/>
      <c r="AF87" s="31" t="str">
        <f>IFERROR(INDEX(Supermarket!$P$11:$P$170,MATCH('Calculations - Supermarket'!C87,Supermarket!$M$11:$M$170,0)),"")</f>
        <v/>
      </c>
      <c r="AG87" s="23" t="str">
        <f t="shared" si="75"/>
        <v/>
      </c>
      <c r="AH87" s="23" t="str">
        <f t="shared" si="76"/>
        <v/>
      </c>
      <c r="AI87" s="9" t="str">
        <f t="shared" si="94"/>
        <v/>
      </c>
      <c r="AJ87" s="4" t="str">
        <f t="shared" si="95"/>
        <v/>
      </c>
      <c r="AK87" s="4"/>
      <c r="AL87" s="4"/>
      <c r="AM87" s="4"/>
      <c r="AN87" s="4"/>
      <c r="AO87" s="4"/>
      <c r="AP87" s="20" t="str">
        <f t="shared" si="96"/>
        <v>-</v>
      </c>
      <c r="AQ87" s="13" t="str">
        <f t="shared" si="77"/>
        <v>-</v>
      </c>
      <c r="AR87" s="13" t="str">
        <f t="shared" si="78"/>
        <v>-</v>
      </c>
      <c r="AS87" s="13" t="str">
        <f t="shared" si="97"/>
        <v>-</v>
      </c>
      <c r="AT87" s="16" t="str">
        <f t="shared" si="79"/>
        <v>-</v>
      </c>
      <c r="AU87" s="16" t="str">
        <f t="shared" si="98"/>
        <v>-</v>
      </c>
      <c r="AV87" s="16" t="str">
        <f t="shared" si="99"/>
        <v>-</v>
      </c>
      <c r="AW87" s="16" t="str">
        <f t="shared" si="80"/>
        <v>-</v>
      </c>
      <c r="AX87" s="13" t="str">
        <f t="shared" si="81"/>
        <v>-</v>
      </c>
      <c r="AY87" s="10" t="str">
        <f t="shared" si="82"/>
        <v>-</v>
      </c>
      <c r="AZ87" s="9" t="str">
        <f t="shared" si="83"/>
        <v>-</v>
      </c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</row>
    <row r="88" spans="2:68" x14ac:dyDescent="0.3">
      <c r="B88" s="108" t="str">
        <f t="shared" si="67"/>
        <v/>
      </c>
      <c r="C88" s="108" t="str">
        <f t="shared" si="84"/>
        <v/>
      </c>
      <c r="D88" s="3"/>
      <c r="E88" s="3"/>
      <c r="F88" s="3"/>
      <c r="G88" s="20">
        <f>IFERROR(INDEX('Input - Supermarket'!F$2:F$200,MATCH('Calculations - Supermarket'!$C88,'Input - Supermarket'!$B$2:$B$200,0)),"")</f>
        <v>0</v>
      </c>
      <c r="H88" s="20">
        <f>IFERROR(INDEX('Input - Supermarket'!G$2:G$200,MATCH('Calculations - Supermarket'!$C88,'Input - Supermarket'!$B$2:$B$200,0)),"")</f>
        <v>0</v>
      </c>
      <c r="I88" s="21">
        <f>IFERROR(INDEX('Input - Supermarket'!H$2:H$200,MATCH('Calculations - Supermarket'!$C88,'Input - Supermarket'!$B$2:$B$200,0)),"")</f>
        <v>0</v>
      </c>
      <c r="J88" s="21">
        <f>IFERROR(INDEX('Input - Supermarket'!I$2:I$200,MATCH('Calculations - Supermarket'!$C88,'Input - Supermarket'!$B$2:$B$200,0)),"")</f>
        <v>0</v>
      </c>
      <c r="K88" s="20">
        <f>IFERROR(INDEX('Input - Supermarket'!J$2:J$200,MATCH('Calculations - Supermarket'!$C88,'Input - Supermarket'!$B$2:$B$200,0)),"")</f>
        <v>0</v>
      </c>
      <c r="L88" s="20">
        <f>IFERROR(INDEX('Input - Supermarket'!K$2:K$200,MATCH('Calculations - Supermarket'!$C88,'Input - Supermarket'!$B$2:$B$200,0)),"")</f>
        <v>0</v>
      </c>
      <c r="M88" s="21" t="str">
        <f t="shared" si="68"/>
        <v/>
      </c>
      <c r="N88" s="21" t="str">
        <f t="shared" si="85"/>
        <v/>
      </c>
      <c r="O88" s="21">
        <f t="shared" si="69"/>
        <v>0</v>
      </c>
      <c r="P88" s="9">
        <f t="shared" si="86"/>
        <v>0</v>
      </c>
      <c r="Q88" s="9">
        <f t="shared" si="87"/>
        <v>0</v>
      </c>
      <c r="R88" s="22" t="str">
        <f>IFERROR(INDEX(Supermarket!$Q$11:$Q$170,MATCH('Calculations - Supermarket'!$C88,Supermarket!$M$11:$M$170,0)),"")</f>
        <v/>
      </c>
      <c r="S88" s="22" t="str">
        <f>IFERROR(INDEX(Supermarket!$R$11:$R$170,MATCH('Calculations - Supermarket'!$C88,Supermarket!$M$11:$M$170,0)),"")</f>
        <v/>
      </c>
      <c r="T88" s="16" t="e">
        <f t="shared" si="88"/>
        <v>#VALUE!</v>
      </c>
      <c r="U88" s="16" t="e">
        <f t="shared" si="70"/>
        <v>#VALUE!</v>
      </c>
      <c r="V88" s="16" t="e">
        <f t="shared" si="71"/>
        <v>#VALUE!</v>
      </c>
      <c r="W88" s="10" t="str">
        <f t="shared" si="89"/>
        <v>-</v>
      </c>
      <c r="X88" s="10" t="str">
        <f t="shared" si="90"/>
        <v>-</v>
      </c>
      <c r="Y88" s="13" t="str">
        <f t="shared" si="72"/>
        <v>-</v>
      </c>
      <c r="Z88" s="9" t="str">
        <f t="shared" si="91"/>
        <v>-</v>
      </c>
      <c r="AA88" s="16" t="str">
        <f t="shared" si="73"/>
        <v>-</v>
      </c>
      <c r="AB88" s="16" t="str">
        <f t="shared" si="92"/>
        <v>-</v>
      </c>
      <c r="AC88" s="16" t="str">
        <f t="shared" si="93"/>
        <v>-</v>
      </c>
      <c r="AD88" s="16" t="str">
        <f t="shared" si="74"/>
        <v>-</v>
      </c>
      <c r="AE88" s="16"/>
      <c r="AF88" s="31" t="str">
        <f>IFERROR(INDEX(Supermarket!$P$11:$P$170,MATCH('Calculations - Supermarket'!C88,Supermarket!$M$11:$M$170,0)),"")</f>
        <v/>
      </c>
      <c r="AG88" s="23" t="str">
        <f t="shared" si="75"/>
        <v/>
      </c>
      <c r="AH88" s="23" t="str">
        <f t="shared" si="76"/>
        <v/>
      </c>
      <c r="AI88" s="9" t="str">
        <f t="shared" si="94"/>
        <v/>
      </c>
      <c r="AJ88" s="4" t="str">
        <f t="shared" si="95"/>
        <v/>
      </c>
      <c r="AK88" s="4"/>
      <c r="AL88" s="4"/>
      <c r="AM88" s="4"/>
      <c r="AN88" s="4"/>
      <c r="AO88" s="4"/>
      <c r="AP88" s="20" t="str">
        <f t="shared" si="96"/>
        <v>-</v>
      </c>
      <c r="AQ88" s="13" t="str">
        <f t="shared" si="77"/>
        <v>-</v>
      </c>
      <c r="AR88" s="13" t="str">
        <f t="shared" si="78"/>
        <v>-</v>
      </c>
      <c r="AS88" s="13" t="str">
        <f t="shared" si="97"/>
        <v>-</v>
      </c>
      <c r="AT88" s="16" t="str">
        <f t="shared" si="79"/>
        <v>-</v>
      </c>
      <c r="AU88" s="16" t="str">
        <f t="shared" si="98"/>
        <v>-</v>
      </c>
      <c r="AV88" s="16" t="str">
        <f t="shared" si="99"/>
        <v>-</v>
      </c>
      <c r="AW88" s="16" t="str">
        <f t="shared" si="80"/>
        <v>-</v>
      </c>
      <c r="AX88" s="13" t="str">
        <f t="shared" si="81"/>
        <v>-</v>
      </c>
      <c r="AY88" s="10" t="str">
        <f t="shared" si="82"/>
        <v>-</v>
      </c>
      <c r="AZ88" s="9" t="str">
        <f t="shared" si="83"/>
        <v>-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</row>
    <row r="89" spans="2:68" x14ac:dyDescent="0.3">
      <c r="B89" s="108" t="str">
        <f t="shared" si="67"/>
        <v/>
      </c>
      <c r="C89" s="108" t="str">
        <f t="shared" si="84"/>
        <v/>
      </c>
      <c r="D89" s="3"/>
      <c r="E89" s="3"/>
      <c r="F89" s="3"/>
      <c r="G89" s="20">
        <f>IFERROR(INDEX('Input - Supermarket'!F$2:F$200,MATCH('Calculations - Supermarket'!$C89,'Input - Supermarket'!$B$2:$B$200,0)),"")</f>
        <v>0</v>
      </c>
      <c r="H89" s="20">
        <f>IFERROR(INDEX('Input - Supermarket'!G$2:G$200,MATCH('Calculations - Supermarket'!$C89,'Input - Supermarket'!$B$2:$B$200,0)),"")</f>
        <v>0</v>
      </c>
      <c r="I89" s="21">
        <f>IFERROR(INDEX('Input - Supermarket'!H$2:H$200,MATCH('Calculations - Supermarket'!$C89,'Input - Supermarket'!$B$2:$B$200,0)),"")</f>
        <v>0</v>
      </c>
      <c r="J89" s="21">
        <f>IFERROR(INDEX('Input - Supermarket'!I$2:I$200,MATCH('Calculations - Supermarket'!$C89,'Input - Supermarket'!$B$2:$B$200,0)),"")</f>
        <v>0</v>
      </c>
      <c r="K89" s="20">
        <f>IFERROR(INDEX('Input - Supermarket'!J$2:J$200,MATCH('Calculations - Supermarket'!$C89,'Input - Supermarket'!$B$2:$B$200,0)),"")</f>
        <v>0</v>
      </c>
      <c r="L89" s="20">
        <f>IFERROR(INDEX('Input - Supermarket'!K$2:K$200,MATCH('Calculations - Supermarket'!$C89,'Input - Supermarket'!$B$2:$B$200,0)),"")</f>
        <v>0</v>
      </c>
      <c r="M89" s="21" t="str">
        <f t="shared" si="68"/>
        <v/>
      </c>
      <c r="N89" s="21" t="str">
        <f t="shared" si="85"/>
        <v/>
      </c>
      <c r="O89" s="21">
        <f t="shared" si="69"/>
        <v>0</v>
      </c>
      <c r="P89" s="9">
        <f t="shared" si="86"/>
        <v>0</v>
      </c>
      <c r="Q89" s="9">
        <f t="shared" si="87"/>
        <v>0</v>
      </c>
      <c r="R89" s="22" t="str">
        <f>IFERROR(INDEX(Supermarket!$Q$11:$Q$170,MATCH('Calculations - Supermarket'!$C89,Supermarket!$M$11:$M$170,0)),"")</f>
        <v/>
      </c>
      <c r="S89" s="22" t="str">
        <f>IFERROR(INDEX(Supermarket!$R$11:$R$170,MATCH('Calculations - Supermarket'!$C89,Supermarket!$M$11:$M$170,0)),"")</f>
        <v/>
      </c>
      <c r="T89" s="16" t="e">
        <f t="shared" si="88"/>
        <v>#VALUE!</v>
      </c>
      <c r="U89" s="16" t="e">
        <f t="shared" si="70"/>
        <v>#VALUE!</v>
      </c>
      <c r="V89" s="16" t="e">
        <f t="shared" si="71"/>
        <v>#VALUE!</v>
      </c>
      <c r="W89" s="10" t="str">
        <f t="shared" si="89"/>
        <v>-</v>
      </c>
      <c r="X89" s="10" t="str">
        <f t="shared" si="90"/>
        <v>-</v>
      </c>
      <c r="Y89" s="13" t="str">
        <f t="shared" si="72"/>
        <v>-</v>
      </c>
      <c r="Z89" s="9" t="str">
        <f t="shared" si="91"/>
        <v>-</v>
      </c>
      <c r="AA89" s="16" t="str">
        <f t="shared" si="73"/>
        <v>-</v>
      </c>
      <c r="AB89" s="16" t="str">
        <f t="shared" si="92"/>
        <v>-</v>
      </c>
      <c r="AC89" s="16" t="str">
        <f t="shared" si="93"/>
        <v>-</v>
      </c>
      <c r="AD89" s="16" t="str">
        <f t="shared" si="74"/>
        <v>-</v>
      </c>
      <c r="AE89" s="16"/>
      <c r="AF89" s="31" t="str">
        <f>IFERROR(INDEX(Supermarket!$P$11:$P$170,MATCH('Calculations - Supermarket'!C89,Supermarket!$M$11:$M$170,0)),"")</f>
        <v/>
      </c>
      <c r="AG89" s="23" t="str">
        <f t="shared" si="75"/>
        <v/>
      </c>
      <c r="AH89" s="23" t="str">
        <f t="shared" si="76"/>
        <v/>
      </c>
      <c r="AI89" s="9" t="str">
        <f t="shared" si="94"/>
        <v/>
      </c>
      <c r="AJ89" s="4" t="str">
        <f t="shared" si="95"/>
        <v/>
      </c>
      <c r="AK89" s="4"/>
      <c r="AL89" s="4"/>
      <c r="AM89" s="4"/>
      <c r="AN89" s="4"/>
      <c r="AO89" s="4"/>
      <c r="AP89" s="20" t="str">
        <f t="shared" si="96"/>
        <v>-</v>
      </c>
      <c r="AQ89" s="13" t="str">
        <f t="shared" si="77"/>
        <v>-</v>
      </c>
      <c r="AR89" s="13" t="str">
        <f t="shared" si="78"/>
        <v>-</v>
      </c>
      <c r="AS89" s="13" t="str">
        <f t="shared" si="97"/>
        <v>-</v>
      </c>
      <c r="AT89" s="16" t="str">
        <f t="shared" si="79"/>
        <v>-</v>
      </c>
      <c r="AU89" s="16" t="str">
        <f t="shared" si="98"/>
        <v>-</v>
      </c>
      <c r="AV89" s="16" t="str">
        <f t="shared" si="99"/>
        <v>-</v>
      </c>
      <c r="AW89" s="16" t="str">
        <f t="shared" si="80"/>
        <v>-</v>
      </c>
      <c r="AX89" s="13" t="str">
        <f t="shared" si="81"/>
        <v>-</v>
      </c>
      <c r="AY89" s="10" t="str">
        <f t="shared" si="82"/>
        <v>-</v>
      </c>
      <c r="AZ89" s="9" t="str">
        <f t="shared" si="83"/>
        <v>-</v>
      </c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</row>
    <row r="90" spans="2:68" x14ac:dyDescent="0.3">
      <c r="B90" s="108" t="str">
        <f t="shared" si="67"/>
        <v/>
      </c>
      <c r="C90" s="108" t="str">
        <f t="shared" si="84"/>
        <v/>
      </c>
      <c r="D90" s="3"/>
      <c r="E90" s="3"/>
      <c r="F90" s="3"/>
      <c r="G90" s="20">
        <f>IFERROR(INDEX('Input - Supermarket'!F$2:F$200,MATCH('Calculations - Supermarket'!$C90,'Input - Supermarket'!$B$2:$B$200,0)),"")</f>
        <v>0</v>
      </c>
      <c r="H90" s="20">
        <f>IFERROR(INDEX('Input - Supermarket'!G$2:G$200,MATCH('Calculations - Supermarket'!$C90,'Input - Supermarket'!$B$2:$B$200,0)),"")</f>
        <v>0</v>
      </c>
      <c r="I90" s="21">
        <f>IFERROR(INDEX('Input - Supermarket'!H$2:H$200,MATCH('Calculations - Supermarket'!$C90,'Input - Supermarket'!$B$2:$B$200,0)),"")</f>
        <v>0</v>
      </c>
      <c r="J90" s="21">
        <f>IFERROR(INDEX('Input - Supermarket'!I$2:I$200,MATCH('Calculations - Supermarket'!$C90,'Input - Supermarket'!$B$2:$B$200,0)),"")</f>
        <v>0</v>
      </c>
      <c r="K90" s="20">
        <f>IFERROR(INDEX('Input - Supermarket'!J$2:J$200,MATCH('Calculations - Supermarket'!$C90,'Input - Supermarket'!$B$2:$B$200,0)),"")</f>
        <v>0</v>
      </c>
      <c r="L90" s="20">
        <f>IFERROR(INDEX('Input - Supermarket'!K$2:K$200,MATCH('Calculations - Supermarket'!$C90,'Input - Supermarket'!$B$2:$B$200,0)),"")</f>
        <v>0</v>
      </c>
      <c r="M90" s="21" t="str">
        <f t="shared" si="68"/>
        <v/>
      </c>
      <c r="N90" s="21" t="str">
        <f t="shared" si="85"/>
        <v/>
      </c>
      <c r="O90" s="21">
        <f t="shared" si="69"/>
        <v>0</v>
      </c>
      <c r="P90" s="9">
        <f t="shared" si="86"/>
        <v>0</v>
      </c>
      <c r="Q90" s="9">
        <f t="shared" si="87"/>
        <v>0</v>
      </c>
      <c r="R90" s="22" t="str">
        <f>IFERROR(INDEX(Supermarket!$Q$11:$Q$170,MATCH('Calculations - Supermarket'!$C90,Supermarket!$M$11:$M$170,0)),"")</f>
        <v/>
      </c>
      <c r="S90" s="22" t="str">
        <f>IFERROR(INDEX(Supermarket!$R$11:$R$170,MATCH('Calculations - Supermarket'!$C90,Supermarket!$M$11:$M$170,0)),"")</f>
        <v/>
      </c>
      <c r="T90" s="16" t="e">
        <f t="shared" si="88"/>
        <v>#VALUE!</v>
      </c>
      <c r="U90" s="16" t="e">
        <f t="shared" si="70"/>
        <v>#VALUE!</v>
      </c>
      <c r="V90" s="16" t="e">
        <f t="shared" si="71"/>
        <v>#VALUE!</v>
      </c>
      <c r="W90" s="10" t="str">
        <f t="shared" si="89"/>
        <v>-</v>
      </c>
      <c r="X90" s="10" t="str">
        <f t="shared" si="90"/>
        <v>-</v>
      </c>
      <c r="Y90" s="13" t="str">
        <f t="shared" si="72"/>
        <v>-</v>
      </c>
      <c r="Z90" s="9" t="str">
        <f t="shared" si="91"/>
        <v>-</v>
      </c>
      <c r="AA90" s="16" t="str">
        <f t="shared" si="73"/>
        <v>-</v>
      </c>
      <c r="AB90" s="16" t="str">
        <f t="shared" si="92"/>
        <v>-</v>
      </c>
      <c r="AC90" s="16" t="str">
        <f t="shared" si="93"/>
        <v>-</v>
      </c>
      <c r="AD90" s="16" t="str">
        <f t="shared" si="74"/>
        <v>-</v>
      </c>
      <c r="AE90" s="16"/>
      <c r="AF90" s="31" t="str">
        <f>IFERROR(INDEX(Supermarket!$P$11:$P$170,MATCH('Calculations - Supermarket'!C90,Supermarket!$M$11:$M$170,0)),"")</f>
        <v/>
      </c>
      <c r="AG90" s="23" t="str">
        <f t="shared" si="75"/>
        <v/>
      </c>
      <c r="AH90" s="23" t="str">
        <f t="shared" si="76"/>
        <v/>
      </c>
      <c r="AI90" s="9" t="str">
        <f t="shared" si="94"/>
        <v/>
      </c>
      <c r="AJ90" s="4" t="str">
        <f t="shared" si="95"/>
        <v/>
      </c>
      <c r="AK90" s="4"/>
      <c r="AL90" s="4"/>
      <c r="AM90" s="4"/>
      <c r="AN90" s="4"/>
      <c r="AO90" s="4"/>
      <c r="AP90" s="20" t="str">
        <f t="shared" si="96"/>
        <v>-</v>
      </c>
      <c r="AQ90" s="13" t="str">
        <f t="shared" si="77"/>
        <v>-</v>
      </c>
      <c r="AR90" s="13" t="str">
        <f t="shared" si="78"/>
        <v>-</v>
      </c>
      <c r="AS90" s="13" t="str">
        <f t="shared" si="97"/>
        <v>-</v>
      </c>
      <c r="AT90" s="16" t="str">
        <f t="shared" si="79"/>
        <v>-</v>
      </c>
      <c r="AU90" s="16" t="str">
        <f t="shared" si="98"/>
        <v>-</v>
      </c>
      <c r="AV90" s="16" t="str">
        <f t="shared" si="99"/>
        <v>-</v>
      </c>
      <c r="AW90" s="16" t="str">
        <f t="shared" si="80"/>
        <v>-</v>
      </c>
      <c r="AX90" s="13" t="str">
        <f t="shared" si="81"/>
        <v>-</v>
      </c>
      <c r="AY90" s="10" t="str">
        <f t="shared" si="82"/>
        <v>-</v>
      </c>
      <c r="AZ90" s="9" t="str">
        <f t="shared" si="83"/>
        <v>-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</row>
    <row r="91" spans="2:68" x14ac:dyDescent="0.3">
      <c r="B91" s="108" t="str">
        <f t="shared" si="67"/>
        <v/>
      </c>
      <c r="C91" s="108" t="str">
        <f t="shared" si="84"/>
        <v/>
      </c>
      <c r="D91" s="3"/>
      <c r="E91" s="3"/>
      <c r="F91" s="3"/>
      <c r="G91" s="20">
        <f>IFERROR(INDEX('Input - Supermarket'!F$2:F$200,MATCH('Calculations - Supermarket'!$C91,'Input - Supermarket'!$B$2:$B$200,0)),"")</f>
        <v>0</v>
      </c>
      <c r="H91" s="20">
        <f>IFERROR(INDEX('Input - Supermarket'!G$2:G$200,MATCH('Calculations - Supermarket'!$C91,'Input - Supermarket'!$B$2:$B$200,0)),"")</f>
        <v>0</v>
      </c>
      <c r="I91" s="21">
        <f>IFERROR(INDEX('Input - Supermarket'!H$2:H$200,MATCH('Calculations - Supermarket'!$C91,'Input - Supermarket'!$B$2:$B$200,0)),"")</f>
        <v>0</v>
      </c>
      <c r="J91" s="21">
        <f>IFERROR(INDEX('Input - Supermarket'!I$2:I$200,MATCH('Calculations - Supermarket'!$C91,'Input - Supermarket'!$B$2:$B$200,0)),"")</f>
        <v>0</v>
      </c>
      <c r="K91" s="20">
        <f>IFERROR(INDEX('Input - Supermarket'!J$2:J$200,MATCH('Calculations - Supermarket'!$C91,'Input - Supermarket'!$B$2:$B$200,0)),"")</f>
        <v>0</v>
      </c>
      <c r="L91" s="20">
        <f>IFERROR(INDEX('Input - Supermarket'!K$2:K$200,MATCH('Calculations - Supermarket'!$C91,'Input - Supermarket'!$B$2:$B$200,0)),"")</f>
        <v>0</v>
      </c>
      <c r="M91" s="21" t="str">
        <f t="shared" si="68"/>
        <v/>
      </c>
      <c r="N91" s="21" t="str">
        <f t="shared" si="85"/>
        <v/>
      </c>
      <c r="O91" s="21">
        <f t="shared" si="69"/>
        <v>0</v>
      </c>
      <c r="P91" s="9">
        <f t="shared" si="86"/>
        <v>0</v>
      </c>
      <c r="Q91" s="9">
        <f t="shared" si="87"/>
        <v>0</v>
      </c>
      <c r="R91" s="22" t="str">
        <f>IFERROR(INDEX(Supermarket!$Q$11:$Q$170,MATCH('Calculations - Supermarket'!$C91,Supermarket!$M$11:$M$170,0)),"")</f>
        <v/>
      </c>
      <c r="S91" s="22" t="str">
        <f>IFERROR(INDEX(Supermarket!$R$11:$R$170,MATCH('Calculations - Supermarket'!$C91,Supermarket!$M$11:$M$170,0)),"")</f>
        <v/>
      </c>
      <c r="T91" s="16" t="e">
        <f t="shared" si="88"/>
        <v>#VALUE!</v>
      </c>
      <c r="U91" s="16" t="e">
        <f t="shared" si="70"/>
        <v>#VALUE!</v>
      </c>
      <c r="V91" s="16" t="e">
        <f t="shared" si="71"/>
        <v>#VALUE!</v>
      </c>
      <c r="W91" s="10" t="str">
        <f t="shared" si="89"/>
        <v>-</v>
      </c>
      <c r="X91" s="10" t="str">
        <f t="shared" si="90"/>
        <v>-</v>
      </c>
      <c r="Y91" s="13" t="str">
        <f t="shared" si="72"/>
        <v>-</v>
      </c>
      <c r="Z91" s="9" t="str">
        <f t="shared" si="91"/>
        <v>-</v>
      </c>
      <c r="AA91" s="16" t="str">
        <f t="shared" si="73"/>
        <v>-</v>
      </c>
      <c r="AB91" s="16" t="str">
        <f t="shared" si="92"/>
        <v>-</v>
      </c>
      <c r="AC91" s="16" t="str">
        <f t="shared" si="93"/>
        <v>-</v>
      </c>
      <c r="AD91" s="16" t="str">
        <f t="shared" si="74"/>
        <v>-</v>
      </c>
      <c r="AE91" s="16"/>
      <c r="AF91" s="31" t="str">
        <f>IFERROR(INDEX(Supermarket!$P$11:$P$170,MATCH('Calculations - Supermarket'!C91,Supermarket!$M$11:$M$170,0)),"")</f>
        <v/>
      </c>
      <c r="AG91" s="23" t="str">
        <f t="shared" si="75"/>
        <v/>
      </c>
      <c r="AH91" s="23" t="str">
        <f t="shared" si="76"/>
        <v/>
      </c>
      <c r="AI91" s="9" t="str">
        <f t="shared" si="94"/>
        <v/>
      </c>
      <c r="AJ91" s="4" t="str">
        <f t="shared" si="95"/>
        <v/>
      </c>
      <c r="AK91" s="4"/>
      <c r="AL91" s="4"/>
      <c r="AM91" s="4"/>
      <c r="AN91" s="4"/>
      <c r="AO91" s="4"/>
      <c r="AP91" s="20" t="str">
        <f t="shared" si="96"/>
        <v>-</v>
      </c>
      <c r="AQ91" s="13" t="str">
        <f t="shared" si="77"/>
        <v>-</v>
      </c>
      <c r="AR91" s="13" t="str">
        <f t="shared" si="78"/>
        <v>-</v>
      </c>
      <c r="AS91" s="13" t="str">
        <f t="shared" si="97"/>
        <v>-</v>
      </c>
      <c r="AT91" s="16" t="str">
        <f t="shared" si="79"/>
        <v>-</v>
      </c>
      <c r="AU91" s="16" t="str">
        <f t="shared" si="98"/>
        <v>-</v>
      </c>
      <c r="AV91" s="16" t="str">
        <f t="shared" si="99"/>
        <v>-</v>
      </c>
      <c r="AW91" s="16" t="str">
        <f t="shared" si="80"/>
        <v>-</v>
      </c>
      <c r="AX91" s="13" t="str">
        <f t="shared" si="81"/>
        <v>-</v>
      </c>
      <c r="AY91" s="10" t="str">
        <f t="shared" si="82"/>
        <v>-</v>
      </c>
      <c r="AZ91" s="9" t="str">
        <f t="shared" si="83"/>
        <v>-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</row>
    <row r="92" spans="2:68" x14ac:dyDescent="0.3">
      <c r="B92" s="108" t="str">
        <f t="shared" si="67"/>
        <v/>
      </c>
      <c r="C92" s="108" t="str">
        <f t="shared" si="84"/>
        <v/>
      </c>
      <c r="D92" s="3"/>
      <c r="E92" s="3"/>
      <c r="F92" s="3"/>
      <c r="G92" s="20">
        <f>IFERROR(INDEX('Input - Supermarket'!F$2:F$200,MATCH('Calculations - Supermarket'!$C92,'Input - Supermarket'!$B$2:$B$200,0)),"")</f>
        <v>0</v>
      </c>
      <c r="H92" s="20">
        <f>IFERROR(INDEX('Input - Supermarket'!G$2:G$200,MATCH('Calculations - Supermarket'!$C92,'Input - Supermarket'!$B$2:$B$200,0)),"")</f>
        <v>0</v>
      </c>
      <c r="I92" s="21">
        <f>IFERROR(INDEX('Input - Supermarket'!H$2:H$200,MATCH('Calculations - Supermarket'!$C92,'Input - Supermarket'!$B$2:$B$200,0)),"")</f>
        <v>0</v>
      </c>
      <c r="J92" s="21">
        <f>IFERROR(INDEX('Input - Supermarket'!I$2:I$200,MATCH('Calculations - Supermarket'!$C92,'Input - Supermarket'!$B$2:$B$200,0)),"")</f>
        <v>0</v>
      </c>
      <c r="K92" s="20">
        <f>IFERROR(INDEX('Input - Supermarket'!J$2:J$200,MATCH('Calculations - Supermarket'!$C92,'Input - Supermarket'!$B$2:$B$200,0)),"")</f>
        <v>0</v>
      </c>
      <c r="L92" s="20">
        <f>IFERROR(INDEX('Input - Supermarket'!K$2:K$200,MATCH('Calculations - Supermarket'!$C92,'Input - Supermarket'!$B$2:$B$200,0)),"")</f>
        <v>0</v>
      </c>
      <c r="M92" s="21" t="str">
        <f t="shared" si="68"/>
        <v/>
      </c>
      <c r="N92" s="21" t="str">
        <f t="shared" si="85"/>
        <v/>
      </c>
      <c r="O92" s="21">
        <f t="shared" si="69"/>
        <v>0</v>
      </c>
      <c r="P92" s="9">
        <f t="shared" si="86"/>
        <v>0</v>
      </c>
      <c r="Q92" s="9">
        <f t="shared" si="87"/>
        <v>0</v>
      </c>
      <c r="R92" s="22" t="str">
        <f>IFERROR(INDEX(Supermarket!$Q$11:$Q$170,MATCH('Calculations - Supermarket'!$C92,Supermarket!$M$11:$M$170,0)),"")</f>
        <v/>
      </c>
      <c r="S92" s="22" t="str">
        <f>IFERROR(INDEX(Supermarket!$R$11:$R$170,MATCH('Calculations - Supermarket'!$C92,Supermarket!$M$11:$M$170,0)),"")</f>
        <v/>
      </c>
      <c r="T92" s="16" t="e">
        <f t="shared" si="88"/>
        <v>#VALUE!</v>
      </c>
      <c r="U92" s="16" t="e">
        <f t="shared" si="70"/>
        <v>#VALUE!</v>
      </c>
      <c r="V92" s="16" t="e">
        <f t="shared" si="71"/>
        <v>#VALUE!</v>
      </c>
      <c r="W92" s="10" t="str">
        <f t="shared" si="89"/>
        <v>-</v>
      </c>
      <c r="X92" s="10" t="str">
        <f t="shared" si="90"/>
        <v>-</v>
      </c>
      <c r="Y92" s="13" t="str">
        <f t="shared" si="72"/>
        <v>-</v>
      </c>
      <c r="Z92" s="9" t="str">
        <f t="shared" si="91"/>
        <v>-</v>
      </c>
      <c r="AA92" s="16" t="str">
        <f t="shared" si="73"/>
        <v>-</v>
      </c>
      <c r="AB92" s="16" t="str">
        <f t="shared" si="92"/>
        <v>-</v>
      </c>
      <c r="AC92" s="16" t="str">
        <f t="shared" si="93"/>
        <v>-</v>
      </c>
      <c r="AD92" s="16" t="str">
        <f t="shared" si="74"/>
        <v>-</v>
      </c>
      <c r="AE92" s="16"/>
      <c r="AF92" s="31" t="str">
        <f>IFERROR(INDEX(Supermarket!$P$11:$P$170,MATCH('Calculations - Supermarket'!C92,Supermarket!$M$11:$M$170,0)),"")</f>
        <v/>
      </c>
      <c r="AG92" s="23" t="str">
        <f t="shared" si="75"/>
        <v/>
      </c>
      <c r="AH92" s="23" t="str">
        <f t="shared" si="76"/>
        <v/>
      </c>
      <c r="AI92" s="9" t="str">
        <f t="shared" si="94"/>
        <v/>
      </c>
      <c r="AJ92" s="4" t="str">
        <f t="shared" si="95"/>
        <v/>
      </c>
      <c r="AK92" s="4"/>
      <c r="AL92" s="4"/>
      <c r="AM92" s="4"/>
      <c r="AN92" s="4"/>
      <c r="AO92" s="4"/>
      <c r="AP92" s="20" t="str">
        <f t="shared" si="96"/>
        <v>-</v>
      </c>
      <c r="AQ92" s="13" t="str">
        <f t="shared" si="77"/>
        <v>-</v>
      </c>
      <c r="AR92" s="13" t="str">
        <f t="shared" si="78"/>
        <v>-</v>
      </c>
      <c r="AS92" s="13" t="str">
        <f t="shared" si="97"/>
        <v>-</v>
      </c>
      <c r="AT92" s="16" t="str">
        <f t="shared" si="79"/>
        <v>-</v>
      </c>
      <c r="AU92" s="16" t="str">
        <f t="shared" si="98"/>
        <v>-</v>
      </c>
      <c r="AV92" s="16" t="str">
        <f t="shared" si="99"/>
        <v>-</v>
      </c>
      <c r="AW92" s="16" t="str">
        <f t="shared" si="80"/>
        <v>-</v>
      </c>
      <c r="AX92" s="13" t="str">
        <f t="shared" si="81"/>
        <v>-</v>
      </c>
      <c r="AY92" s="10" t="str">
        <f t="shared" si="82"/>
        <v>-</v>
      </c>
      <c r="AZ92" s="9" t="str">
        <f t="shared" si="83"/>
        <v>-</v>
      </c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</row>
    <row r="93" spans="2:68" x14ac:dyDescent="0.3">
      <c r="B93" s="108" t="str">
        <f t="shared" si="67"/>
        <v/>
      </c>
      <c r="C93" s="108" t="str">
        <f t="shared" si="84"/>
        <v/>
      </c>
      <c r="D93" s="3"/>
      <c r="E93" s="3"/>
      <c r="F93" s="3"/>
      <c r="G93" s="20">
        <f>IFERROR(INDEX('Input - Supermarket'!F$2:F$200,MATCH('Calculations - Supermarket'!$C93,'Input - Supermarket'!$B$2:$B$200,0)),"")</f>
        <v>0</v>
      </c>
      <c r="H93" s="20">
        <f>IFERROR(INDEX('Input - Supermarket'!G$2:G$200,MATCH('Calculations - Supermarket'!$C93,'Input - Supermarket'!$B$2:$B$200,0)),"")</f>
        <v>0</v>
      </c>
      <c r="I93" s="21">
        <f>IFERROR(INDEX('Input - Supermarket'!H$2:H$200,MATCH('Calculations - Supermarket'!$C93,'Input - Supermarket'!$B$2:$B$200,0)),"")</f>
        <v>0</v>
      </c>
      <c r="J93" s="21">
        <f>IFERROR(INDEX('Input - Supermarket'!I$2:I$200,MATCH('Calculations - Supermarket'!$C93,'Input - Supermarket'!$B$2:$B$200,0)),"")</f>
        <v>0</v>
      </c>
      <c r="K93" s="20">
        <f>IFERROR(INDEX('Input - Supermarket'!J$2:J$200,MATCH('Calculations - Supermarket'!$C93,'Input - Supermarket'!$B$2:$B$200,0)),"")</f>
        <v>0</v>
      </c>
      <c r="L93" s="20">
        <f>IFERROR(INDEX('Input - Supermarket'!K$2:K$200,MATCH('Calculations - Supermarket'!$C93,'Input - Supermarket'!$B$2:$B$200,0)),"")</f>
        <v>0</v>
      </c>
      <c r="M93" s="21" t="str">
        <f t="shared" si="68"/>
        <v/>
      </c>
      <c r="N93" s="21" t="str">
        <f t="shared" si="85"/>
        <v/>
      </c>
      <c r="O93" s="21">
        <f t="shared" si="69"/>
        <v>0</v>
      </c>
      <c r="P93" s="9">
        <f t="shared" si="86"/>
        <v>0</v>
      </c>
      <c r="Q93" s="9">
        <f t="shared" si="87"/>
        <v>0</v>
      </c>
      <c r="R93" s="22" t="str">
        <f>IFERROR(INDEX(Supermarket!$Q$11:$Q$170,MATCH('Calculations - Supermarket'!$C93,Supermarket!$M$11:$M$170,0)),"")</f>
        <v/>
      </c>
      <c r="S93" s="22" t="str">
        <f>IFERROR(INDEX(Supermarket!$R$11:$R$170,MATCH('Calculations - Supermarket'!$C93,Supermarket!$M$11:$M$170,0)),"")</f>
        <v/>
      </c>
      <c r="T93" s="16" t="e">
        <f t="shared" si="88"/>
        <v>#VALUE!</v>
      </c>
      <c r="U93" s="16" t="e">
        <f t="shared" si="70"/>
        <v>#VALUE!</v>
      </c>
      <c r="V93" s="16" t="e">
        <f t="shared" si="71"/>
        <v>#VALUE!</v>
      </c>
      <c r="W93" s="10" t="str">
        <f t="shared" si="89"/>
        <v>-</v>
      </c>
      <c r="X93" s="10" t="str">
        <f t="shared" si="90"/>
        <v>-</v>
      </c>
      <c r="Y93" s="13" t="str">
        <f t="shared" si="72"/>
        <v>-</v>
      </c>
      <c r="Z93" s="9" t="str">
        <f t="shared" si="91"/>
        <v>-</v>
      </c>
      <c r="AA93" s="16" t="str">
        <f t="shared" si="73"/>
        <v>-</v>
      </c>
      <c r="AB93" s="16" t="str">
        <f t="shared" si="92"/>
        <v>-</v>
      </c>
      <c r="AC93" s="16" t="str">
        <f t="shared" si="93"/>
        <v>-</v>
      </c>
      <c r="AD93" s="16" t="str">
        <f t="shared" si="74"/>
        <v>-</v>
      </c>
      <c r="AE93" s="16"/>
      <c r="AF93" s="31" t="str">
        <f>IFERROR(INDEX(Supermarket!$P$11:$P$170,MATCH('Calculations - Supermarket'!C93,Supermarket!$M$11:$M$170,0)),"")</f>
        <v/>
      </c>
      <c r="AG93" s="23" t="str">
        <f t="shared" si="75"/>
        <v/>
      </c>
      <c r="AH93" s="23" t="str">
        <f t="shared" si="76"/>
        <v/>
      </c>
      <c r="AI93" s="9" t="str">
        <f t="shared" si="94"/>
        <v/>
      </c>
      <c r="AJ93" s="4" t="str">
        <f t="shared" si="95"/>
        <v/>
      </c>
      <c r="AK93" s="4"/>
      <c r="AL93" s="4"/>
      <c r="AM93" s="4"/>
      <c r="AN93" s="4"/>
      <c r="AO93" s="4"/>
      <c r="AP93" s="20" t="str">
        <f t="shared" si="96"/>
        <v>-</v>
      </c>
      <c r="AQ93" s="13" t="str">
        <f t="shared" si="77"/>
        <v>-</v>
      </c>
      <c r="AR93" s="13" t="str">
        <f t="shared" si="78"/>
        <v>-</v>
      </c>
      <c r="AS93" s="13" t="str">
        <f t="shared" si="97"/>
        <v>-</v>
      </c>
      <c r="AT93" s="16" t="str">
        <f t="shared" si="79"/>
        <v>-</v>
      </c>
      <c r="AU93" s="16" t="str">
        <f t="shared" si="98"/>
        <v>-</v>
      </c>
      <c r="AV93" s="16" t="str">
        <f t="shared" si="99"/>
        <v>-</v>
      </c>
      <c r="AW93" s="16" t="str">
        <f t="shared" si="80"/>
        <v>-</v>
      </c>
      <c r="AX93" s="13" t="str">
        <f t="shared" si="81"/>
        <v>-</v>
      </c>
      <c r="AY93" s="10" t="str">
        <f t="shared" si="82"/>
        <v>-</v>
      </c>
      <c r="AZ93" s="9" t="str">
        <f t="shared" si="83"/>
        <v>-</v>
      </c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</row>
    <row r="94" spans="2:68" x14ac:dyDescent="0.3">
      <c r="B94" s="108" t="str">
        <f t="shared" si="67"/>
        <v/>
      </c>
      <c r="C94" s="108" t="str">
        <f t="shared" si="84"/>
        <v/>
      </c>
      <c r="D94" s="3"/>
      <c r="E94" s="3"/>
      <c r="F94" s="3"/>
      <c r="G94" s="20">
        <f>IFERROR(INDEX('Input - Supermarket'!F$2:F$200,MATCH('Calculations - Supermarket'!$C94,'Input - Supermarket'!$B$2:$B$200,0)),"")</f>
        <v>0</v>
      </c>
      <c r="H94" s="20">
        <f>IFERROR(INDEX('Input - Supermarket'!G$2:G$200,MATCH('Calculations - Supermarket'!$C94,'Input - Supermarket'!$B$2:$B$200,0)),"")</f>
        <v>0</v>
      </c>
      <c r="I94" s="21">
        <f>IFERROR(INDEX('Input - Supermarket'!H$2:H$200,MATCH('Calculations - Supermarket'!$C94,'Input - Supermarket'!$B$2:$B$200,0)),"")</f>
        <v>0</v>
      </c>
      <c r="J94" s="21">
        <f>IFERROR(INDEX('Input - Supermarket'!I$2:I$200,MATCH('Calculations - Supermarket'!$C94,'Input - Supermarket'!$B$2:$B$200,0)),"")</f>
        <v>0</v>
      </c>
      <c r="K94" s="20">
        <f>IFERROR(INDEX('Input - Supermarket'!J$2:J$200,MATCH('Calculations - Supermarket'!$C94,'Input - Supermarket'!$B$2:$B$200,0)),"")</f>
        <v>0</v>
      </c>
      <c r="L94" s="20">
        <f>IFERROR(INDEX('Input - Supermarket'!K$2:K$200,MATCH('Calculations - Supermarket'!$C94,'Input - Supermarket'!$B$2:$B$200,0)),"")</f>
        <v>0</v>
      </c>
      <c r="M94" s="21" t="str">
        <f t="shared" si="68"/>
        <v/>
      </c>
      <c r="N94" s="21" t="str">
        <f t="shared" si="85"/>
        <v/>
      </c>
      <c r="O94" s="21">
        <f t="shared" si="69"/>
        <v>0</v>
      </c>
      <c r="P94" s="9">
        <f t="shared" si="86"/>
        <v>0</v>
      </c>
      <c r="Q94" s="9">
        <f t="shared" si="87"/>
        <v>0</v>
      </c>
      <c r="R94" s="22" t="str">
        <f>IFERROR(INDEX(Supermarket!$Q$11:$Q$170,MATCH('Calculations - Supermarket'!$C94,Supermarket!$M$11:$M$170,0)),"")</f>
        <v/>
      </c>
      <c r="S94" s="22" t="str">
        <f>IFERROR(INDEX(Supermarket!$R$11:$R$170,MATCH('Calculations - Supermarket'!$C94,Supermarket!$M$11:$M$170,0)),"")</f>
        <v/>
      </c>
      <c r="T94" s="16" t="e">
        <f t="shared" si="88"/>
        <v>#VALUE!</v>
      </c>
      <c r="U94" s="16" t="e">
        <f t="shared" si="70"/>
        <v>#VALUE!</v>
      </c>
      <c r="V94" s="16" t="e">
        <f t="shared" si="71"/>
        <v>#VALUE!</v>
      </c>
      <c r="W94" s="10" t="str">
        <f t="shared" si="89"/>
        <v>-</v>
      </c>
      <c r="X94" s="10" t="str">
        <f t="shared" si="90"/>
        <v>-</v>
      </c>
      <c r="Y94" s="13" t="str">
        <f t="shared" si="72"/>
        <v>-</v>
      </c>
      <c r="Z94" s="9" t="str">
        <f t="shared" si="91"/>
        <v>-</v>
      </c>
      <c r="AA94" s="16" t="str">
        <f t="shared" si="73"/>
        <v>-</v>
      </c>
      <c r="AB94" s="16" t="str">
        <f t="shared" si="92"/>
        <v>-</v>
      </c>
      <c r="AC94" s="16" t="str">
        <f t="shared" si="93"/>
        <v>-</v>
      </c>
      <c r="AD94" s="16" t="str">
        <f t="shared" si="74"/>
        <v>-</v>
      </c>
      <c r="AE94" s="16"/>
      <c r="AF94" s="31" t="str">
        <f>IFERROR(INDEX(Supermarket!$P$11:$P$170,MATCH('Calculations - Supermarket'!C94,Supermarket!$M$11:$M$170,0)),"")</f>
        <v/>
      </c>
      <c r="AG94" s="23" t="str">
        <f t="shared" si="75"/>
        <v/>
      </c>
      <c r="AH94" s="23" t="str">
        <f t="shared" si="76"/>
        <v/>
      </c>
      <c r="AI94" s="9" t="str">
        <f t="shared" si="94"/>
        <v/>
      </c>
      <c r="AJ94" s="4" t="str">
        <f t="shared" si="95"/>
        <v/>
      </c>
      <c r="AK94" s="4"/>
      <c r="AL94" s="4"/>
      <c r="AM94" s="4"/>
      <c r="AN94" s="4"/>
      <c r="AO94" s="4"/>
      <c r="AP94" s="20" t="str">
        <f t="shared" si="96"/>
        <v>-</v>
      </c>
      <c r="AQ94" s="13" t="str">
        <f t="shared" si="77"/>
        <v>-</v>
      </c>
      <c r="AR94" s="13" t="str">
        <f t="shared" si="78"/>
        <v>-</v>
      </c>
      <c r="AS94" s="13" t="str">
        <f t="shared" si="97"/>
        <v>-</v>
      </c>
      <c r="AT94" s="16" t="str">
        <f t="shared" si="79"/>
        <v>-</v>
      </c>
      <c r="AU94" s="16" t="str">
        <f t="shared" si="98"/>
        <v>-</v>
      </c>
      <c r="AV94" s="16" t="str">
        <f t="shared" si="99"/>
        <v>-</v>
      </c>
      <c r="AW94" s="16" t="str">
        <f t="shared" si="80"/>
        <v>-</v>
      </c>
      <c r="AX94" s="13" t="str">
        <f t="shared" si="81"/>
        <v>-</v>
      </c>
      <c r="AY94" s="10" t="str">
        <f t="shared" si="82"/>
        <v>-</v>
      </c>
      <c r="AZ94" s="9" t="str">
        <f t="shared" si="83"/>
        <v>-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</row>
    <row r="95" spans="2:68" x14ac:dyDescent="0.3">
      <c r="B95" s="108" t="str">
        <f t="shared" si="67"/>
        <v/>
      </c>
      <c r="C95" s="108" t="str">
        <f t="shared" si="84"/>
        <v/>
      </c>
      <c r="D95" s="3"/>
      <c r="E95" s="3"/>
      <c r="F95" s="3"/>
      <c r="G95" s="20">
        <f>IFERROR(INDEX('Input - Supermarket'!F$2:F$200,MATCH('Calculations - Supermarket'!$C95,'Input - Supermarket'!$B$2:$B$200,0)),"")</f>
        <v>0</v>
      </c>
      <c r="H95" s="20">
        <f>IFERROR(INDEX('Input - Supermarket'!G$2:G$200,MATCH('Calculations - Supermarket'!$C95,'Input - Supermarket'!$B$2:$B$200,0)),"")</f>
        <v>0</v>
      </c>
      <c r="I95" s="21">
        <f>IFERROR(INDEX('Input - Supermarket'!H$2:H$200,MATCH('Calculations - Supermarket'!$C95,'Input - Supermarket'!$B$2:$B$200,0)),"")</f>
        <v>0</v>
      </c>
      <c r="J95" s="21">
        <f>IFERROR(INDEX('Input - Supermarket'!I$2:I$200,MATCH('Calculations - Supermarket'!$C95,'Input - Supermarket'!$B$2:$B$200,0)),"")</f>
        <v>0</v>
      </c>
      <c r="K95" s="20">
        <f>IFERROR(INDEX('Input - Supermarket'!J$2:J$200,MATCH('Calculations - Supermarket'!$C95,'Input - Supermarket'!$B$2:$B$200,0)),"")</f>
        <v>0</v>
      </c>
      <c r="L95" s="20">
        <f>IFERROR(INDEX('Input - Supermarket'!K$2:K$200,MATCH('Calculations - Supermarket'!$C95,'Input - Supermarket'!$B$2:$B$200,0)),"")</f>
        <v>0</v>
      </c>
      <c r="M95" s="21" t="str">
        <f t="shared" si="68"/>
        <v/>
      </c>
      <c r="N95" s="21" t="str">
        <f t="shared" si="85"/>
        <v/>
      </c>
      <c r="O95" s="21">
        <f t="shared" si="69"/>
        <v>0</v>
      </c>
      <c r="P95" s="9">
        <f t="shared" si="86"/>
        <v>0</v>
      </c>
      <c r="Q95" s="9">
        <f t="shared" si="87"/>
        <v>0</v>
      </c>
      <c r="R95" s="22" t="str">
        <f>IFERROR(INDEX(Supermarket!$Q$11:$Q$170,MATCH('Calculations - Supermarket'!$C95,Supermarket!$M$11:$M$170,0)),"")</f>
        <v/>
      </c>
      <c r="S95" s="22" t="str">
        <f>IFERROR(INDEX(Supermarket!$R$11:$R$170,MATCH('Calculations - Supermarket'!$C95,Supermarket!$M$11:$M$170,0)),"")</f>
        <v/>
      </c>
      <c r="T95" s="16" t="e">
        <f t="shared" si="88"/>
        <v>#VALUE!</v>
      </c>
      <c r="U95" s="16" t="e">
        <f t="shared" si="70"/>
        <v>#VALUE!</v>
      </c>
      <c r="V95" s="16" t="e">
        <f t="shared" si="71"/>
        <v>#VALUE!</v>
      </c>
      <c r="W95" s="10" t="str">
        <f t="shared" si="89"/>
        <v>-</v>
      </c>
      <c r="X95" s="10" t="str">
        <f t="shared" si="90"/>
        <v>-</v>
      </c>
      <c r="Y95" s="13" t="str">
        <f t="shared" si="72"/>
        <v>-</v>
      </c>
      <c r="Z95" s="9" t="str">
        <f t="shared" si="91"/>
        <v>-</v>
      </c>
      <c r="AA95" s="16" t="str">
        <f t="shared" si="73"/>
        <v>-</v>
      </c>
      <c r="AB95" s="16" t="str">
        <f t="shared" si="92"/>
        <v>-</v>
      </c>
      <c r="AC95" s="16" t="str">
        <f t="shared" si="93"/>
        <v>-</v>
      </c>
      <c r="AD95" s="16" t="str">
        <f t="shared" si="74"/>
        <v>-</v>
      </c>
      <c r="AE95" s="16"/>
      <c r="AF95" s="31" t="str">
        <f>IFERROR(INDEX(Supermarket!$P$11:$P$170,MATCH('Calculations - Supermarket'!C95,Supermarket!$M$11:$M$170,0)),"")</f>
        <v/>
      </c>
      <c r="AG95" s="23" t="str">
        <f t="shared" si="75"/>
        <v/>
      </c>
      <c r="AH95" s="23" t="str">
        <f t="shared" si="76"/>
        <v/>
      </c>
      <c r="AI95" s="9" t="str">
        <f t="shared" si="94"/>
        <v/>
      </c>
      <c r="AJ95" s="4" t="str">
        <f t="shared" si="95"/>
        <v/>
      </c>
      <c r="AK95" s="4"/>
      <c r="AL95" s="4"/>
      <c r="AM95" s="4"/>
      <c r="AN95" s="4"/>
      <c r="AO95" s="4"/>
      <c r="AP95" s="20" t="str">
        <f t="shared" si="96"/>
        <v>-</v>
      </c>
      <c r="AQ95" s="13" t="str">
        <f t="shared" si="77"/>
        <v>-</v>
      </c>
      <c r="AR95" s="13" t="str">
        <f t="shared" si="78"/>
        <v>-</v>
      </c>
      <c r="AS95" s="13" t="str">
        <f t="shared" si="97"/>
        <v>-</v>
      </c>
      <c r="AT95" s="16" t="str">
        <f t="shared" si="79"/>
        <v>-</v>
      </c>
      <c r="AU95" s="16" t="str">
        <f t="shared" si="98"/>
        <v>-</v>
      </c>
      <c r="AV95" s="16" t="str">
        <f t="shared" si="99"/>
        <v>-</v>
      </c>
      <c r="AW95" s="16" t="str">
        <f t="shared" si="80"/>
        <v>-</v>
      </c>
      <c r="AX95" s="13" t="str">
        <f t="shared" si="81"/>
        <v>-</v>
      </c>
      <c r="AY95" s="10" t="str">
        <f t="shared" si="82"/>
        <v>-</v>
      </c>
      <c r="AZ95" s="9" t="str">
        <f t="shared" si="83"/>
        <v>-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</row>
    <row r="96" spans="2:68" x14ac:dyDescent="0.3">
      <c r="B96" s="108" t="str">
        <f t="shared" si="67"/>
        <v/>
      </c>
      <c r="C96" s="108" t="str">
        <f t="shared" ref="C96:C127" si="100">IFERROR(D96&amp;E96&amp;F96,"")</f>
        <v/>
      </c>
      <c r="D96" s="3"/>
      <c r="E96" s="3"/>
      <c r="F96" s="3"/>
      <c r="G96" s="20">
        <f>IFERROR(INDEX('Input - Supermarket'!F$2:F$200,MATCH('Calculations - Supermarket'!$C96,'Input - Supermarket'!$B$2:$B$200,0)),"")</f>
        <v>0</v>
      </c>
      <c r="H96" s="20">
        <f>IFERROR(INDEX('Input - Supermarket'!G$2:G$200,MATCH('Calculations - Supermarket'!$C96,'Input - Supermarket'!$B$2:$B$200,0)),"")</f>
        <v>0</v>
      </c>
      <c r="I96" s="21">
        <f>IFERROR(INDEX('Input - Supermarket'!H$2:H$200,MATCH('Calculations - Supermarket'!$C96,'Input - Supermarket'!$B$2:$B$200,0)),"")</f>
        <v>0</v>
      </c>
      <c r="J96" s="21">
        <f>IFERROR(INDEX('Input - Supermarket'!I$2:I$200,MATCH('Calculations - Supermarket'!$C96,'Input - Supermarket'!$B$2:$B$200,0)),"")</f>
        <v>0</v>
      </c>
      <c r="K96" s="20">
        <f>IFERROR(INDEX('Input - Supermarket'!J$2:J$200,MATCH('Calculations - Supermarket'!$C96,'Input - Supermarket'!$B$2:$B$200,0)),"")</f>
        <v>0</v>
      </c>
      <c r="L96" s="20">
        <f>IFERROR(INDEX('Input - Supermarket'!K$2:K$200,MATCH('Calculations - Supermarket'!$C96,'Input - Supermarket'!$B$2:$B$200,0)),"")</f>
        <v>0</v>
      </c>
      <c r="M96" s="21" t="str">
        <f t="shared" si="68"/>
        <v/>
      </c>
      <c r="N96" s="21" t="str">
        <f t="shared" ref="N96:N127" si="101">IFERROR(K96/L96,"")</f>
        <v/>
      </c>
      <c r="O96" s="21">
        <f t="shared" si="69"/>
        <v>0</v>
      </c>
      <c r="P96" s="9">
        <f t="shared" ref="P96:P127" si="102">G96/SUM(G$32:G$229)</f>
        <v>0</v>
      </c>
      <c r="Q96" s="9">
        <f t="shared" ref="Q96:Q127" si="103">H96/SUM(H$32:H$229)</f>
        <v>0</v>
      </c>
      <c r="R96" s="22" t="str">
        <f>IFERROR(INDEX(Supermarket!$Q$11:$Q$170,MATCH('Calculations - Supermarket'!$C96,Supermarket!$M$11:$M$170,0)),"")</f>
        <v/>
      </c>
      <c r="S96" s="22" t="str">
        <f>IFERROR(INDEX(Supermarket!$R$11:$R$170,MATCH('Calculations - Supermarket'!$C96,Supermarket!$M$11:$M$170,0)),"")</f>
        <v/>
      </c>
      <c r="T96" s="16" t="e">
        <f t="shared" ref="T96:T127" si="104">R96*G96</f>
        <v>#VALUE!</v>
      </c>
      <c r="U96" s="16" t="e">
        <f t="shared" si="70"/>
        <v>#VALUE!</v>
      </c>
      <c r="V96" s="16" t="e">
        <f t="shared" si="71"/>
        <v>#VALUE!</v>
      </c>
      <c r="W96" s="10" t="str">
        <f t="shared" ref="W96:W127" si="105">IFERROR(V96/H96,"-")</f>
        <v>-</v>
      </c>
      <c r="X96" s="10" t="str">
        <f t="shared" ref="X96:X127" si="106">IFERROR((J96+M96)*H96*0.5,"-")</f>
        <v>-</v>
      </c>
      <c r="Y96" s="13" t="str">
        <f t="shared" si="72"/>
        <v>-</v>
      </c>
      <c r="Z96" s="9" t="str">
        <f t="shared" ref="Z96:Z127" si="107">IFERROR(Y96-P96,"-")</f>
        <v>-</v>
      </c>
      <c r="AA96" s="16" t="str">
        <f t="shared" si="73"/>
        <v>-</v>
      </c>
      <c r="AB96" s="16" t="str">
        <f t="shared" ref="AB96:AB127" si="108">IFERROR(AA96/M96,"-")</f>
        <v>-</v>
      </c>
      <c r="AC96" s="16" t="str">
        <f t="shared" ref="AC96:AC127" si="109">IFERROR(R96*AA96,"-")</f>
        <v>-</v>
      </c>
      <c r="AD96" s="16" t="str">
        <f t="shared" si="74"/>
        <v>-</v>
      </c>
      <c r="AE96" s="16"/>
      <c r="AF96" s="31" t="str">
        <f>IFERROR(INDEX(Supermarket!$P$11:$P$170,MATCH('Calculations - Supermarket'!C96,Supermarket!$M$11:$M$170,0)),"")</f>
        <v/>
      </c>
      <c r="AG96" s="23" t="str">
        <f t="shared" si="75"/>
        <v/>
      </c>
      <c r="AH96" s="23" t="str">
        <f t="shared" si="76"/>
        <v/>
      </c>
      <c r="AI96" s="9" t="str">
        <f t="shared" ref="AI96:AI127" si="110">IFERROR((AF96-M96)/M96,"")</f>
        <v/>
      </c>
      <c r="AJ96" s="4" t="str">
        <f t="shared" ref="AJ96:AJ127" si="111">IFERROR(MAX((1+AI96*O96/5)*H96,0),"")</f>
        <v/>
      </c>
      <c r="AK96" s="4"/>
      <c r="AL96" s="4"/>
      <c r="AM96" s="4"/>
      <c r="AN96" s="4"/>
      <c r="AO96" s="4"/>
      <c r="AP96" s="20" t="str">
        <f t="shared" ref="AP96:AP127" si="112">IFERROR(0.5*(J96+AF96)*AJ96,"-")</f>
        <v>-</v>
      </c>
      <c r="AQ96" s="13" t="str">
        <f t="shared" si="77"/>
        <v>-</v>
      </c>
      <c r="AR96" s="13" t="str">
        <f t="shared" si="78"/>
        <v>-</v>
      </c>
      <c r="AS96" s="13" t="str">
        <f t="shared" ref="AS96:AS127" si="113">IFERROR(AR96-P96,"-")</f>
        <v>-</v>
      </c>
      <c r="AT96" s="16" t="str">
        <f t="shared" si="79"/>
        <v>-</v>
      </c>
      <c r="AU96" s="16" t="str">
        <f t="shared" ref="AU96:AU127" si="114">IFERROR(AT96/AF96,"-")</f>
        <v>-</v>
      </c>
      <c r="AV96" s="16" t="str">
        <f t="shared" ref="AV96:AV127" si="115">IFERROR(AG96*AT96,"-")</f>
        <v>-</v>
      </c>
      <c r="AW96" s="16" t="str">
        <f t="shared" si="80"/>
        <v>-</v>
      </c>
      <c r="AX96" s="13" t="str">
        <f t="shared" si="81"/>
        <v>-</v>
      </c>
      <c r="AY96" s="10" t="str">
        <f t="shared" si="82"/>
        <v>-</v>
      </c>
      <c r="AZ96" s="9" t="str">
        <f t="shared" si="83"/>
        <v>-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</row>
    <row r="97" spans="2:68" x14ac:dyDescent="0.3">
      <c r="B97" s="108" t="str">
        <f t="shared" ref="B97:B160" si="116">IFERROR(D97&amp;E97,"")</f>
        <v/>
      </c>
      <c r="C97" s="108" t="str">
        <f t="shared" si="100"/>
        <v/>
      </c>
      <c r="D97" s="3"/>
      <c r="E97" s="3"/>
      <c r="F97" s="3"/>
      <c r="G97" s="20">
        <f>IFERROR(INDEX('Input - Supermarket'!F$2:F$200,MATCH('Calculations - Supermarket'!$C97,'Input - Supermarket'!$B$2:$B$200,0)),"")</f>
        <v>0</v>
      </c>
      <c r="H97" s="20">
        <f>IFERROR(INDEX('Input - Supermarket'!G$2:G$200,MATCH('Calculations - Supermarket'!$C97,'Input - Supermarket'!$B$2:$B$200,0)),"")</f>
        <v>0</v>
      </c>
      <c r="I97" s="21">
        <f>IFERROR(INDEX('Input - Supermarket'!H$2:H$200,MATCH('Calculations - Supermarket'!$C97,'Input - Supermarket'!$B$2:$B$200,0)),"")</f>
        <v>0</v>
      </c>
      <c r="J97" s="21">
        <f>IFERROR(INDEX('Input - Supermarket'!I$2:I$200,MATCH('Calculations - Supermarket'!$C97,'Input - Supermarket'!$B$2:$B$200,0)),"")</f>
        <v>0</v>
      </c>
      <c r="K97" s="20">
        <f>IFERROR(INDEX('Input - Supermarket'!J$2:J$200,MATCH('Calculations - Supermarket'!$C97,'Input - Supermarket'!$B$2:$B$200,0)),"")</f>
        <v>0</v>
      </c>
      <c r="L97" s="20">
        <f>IFERROR(INDEX('Input - Supermarket'!K$2:K$200,MATCH('Calculations - Supermarket'!$C97,'Input - Supermarket'!$B$2:$B$200,0)),"")</f>
        <v>0</v>
      </c>
      <c r="M97" s="21" t="str">
        <f t="shared" ref="M97:M160" si="117">IFERROR(G97/H97,"")</f>
        <v/>
      </c>
      <c r="N97" s="21" t="str">
        <f t="shared" si="101"/>
        <v/>
      </c>
      <c r="O97" s="21">
        <f t="shared" ref="O97:O160" si="118">IFERROR((M97/(M97-J97)*5),0)</f>
        <v>0</v>
      </c>
      <c r="P97" s="9">
        <f t="shared" si="102"/>
        <v>0</v>
      </c>
      <c r="Q97" s="9">
        <f t="shared" si="103"/>
        <v>0</v>
      </c>
      <c r="R97" s="22" t="str">
        <f>IFERROR(INDEX(Supermarket!$Q$11:$Q$170,MATCH('Calculations - Supermarket'!$C97,Supermarket!$M$11:$M$170,0)),"")</f>
        <v/>
      </c>
      <c r="S97" s="22" t="str">
        <f>IFERROR(INDEX(Supermarket!$R$11:$R$170,MATCH('Calculations - Supermarket'!$C97,Supermarket!$M$11:$M$170,0)),"")</f>
        <v/>
      </c>
      <c r="T97" s="16" t="e">
        <f t="shared" si="104"/>
        <v>#VALUE!</v>
      </c>
      <c r="U97" s="16" t="e">
        <f t="shared" ref="U97:U160" si="119">S97*T97</f>
        <v>#VALUE!</v>
      </c>
      <c r="V97" s="16" t="e">
        <f t="shared" ref="V97:V160" si="120">T97-U97</f>
        <v>#VALUE!</v>
      </c>
      <c r="W97" s="10" t="str">
        <f t="shared" si="105"/>
        <v>-</v>
      </c>
      <c r="X97" s="10" t="str">
        <f t="shared" si="106"/>
        <v>-</v>
      </c>
      <c r="Y97" s="13" t="str">
        <f t="shared" ref="Y97:Y160" si="121">IFERROR(X97/$X$30,"-")</f>
        <v>-</v>
      </c>
      <c r="Z97" s="9" t="str">
        <f t="shared" si="107"/>
        <v>-</v>
      </c>
      <c r="AA97" s="16" t="str">
        <f t="shared" ref="AA97:AA160" si="122">IFERROR(Y97*$G$30,"-")</f>
        <v>-</v>
      </c>
      <c r="AB97" s="16" t="str">
        <f t="shared" si="108"/>
        <v>-</v>
      </c>
      <c r="AC97" s="16" t="str">
        <f t="shared" si="109"/>
        <v>-</v>
      </c>
      <c r="AD97" s="16" t="str">
        <f t="shared" ref="AD97:AD160" si="123">IFERROR(AC97-(W97)*AB97,"-")</f>
        <v>-</v>
      </c>
      <c r="AE97" s="16"/>
      <c r="AF97" s="31" t="str">
        <f>IFERROR(INDEX(Supermarket!$P$11:$P$170,MATCH('Calculations - Supermarket'!C97,Supermarket!$M$11:$M$170,0)),"")</f>
        <v/>
      </c>
      <c r="AG97" s="23" t="str">
        <f t="shared" ref="AG97:AG160" si="124">R97</f>
        <v/>
      </c>
      <c r="AH97" s="23" t="str">
        <f t="shared" ref="AH97:AH160" si="125">S97</f>
        <v/>
      </c>
      <c r="AI97" s="9" t="str">
        <f t="shared" si="110"/>
        <v/>
      </c>
      <c r="AJ97" s="4" t="str">
        <f t="shared" si="111"/>
        <v/>
      </c>
      <c r="AK97" s="4"/>
      <c r="AL97" s="4"/>
      <c r="AM97" s="4"/>
      <c r="AN97" s="4"/>
      <c r="AO97" s="4"/>
      <c r="AP97" s="20" t="str">
        <f t="shared" si="112"/>
        <v>-</v>
      </c>
      <c r="AQ97" s="13" t="str">
        <f t="shared" ref="AQ97:AQ160" si="126">IFERROR(AP97/AP$30,"-")</f>
        <v>-</v>
      </c>
      <c r="AR97" s="13" t="str">
        <f t="shared" ref="AR97:AR160" si="127">IFERROR(AQ97*$P$30,"-")</f>
        <v>-</v>
      </c>
      <c r="AS97" s="13" t="str">
        <f t="shared" si="113"/>
        <v>-</v>
      </c>
      <c r="AT97" s="16" t="str">
        <f t="shared" ref="AT97:AT160" si="128">IFERROR(AR97*AO$32,"-")</f>
        <v>-</v>
      </c>
      <c r="AU97" s="16" t="str">
        <f t="shared" si="114"/>
        <v>-</v>
      </c>
      <c r="AV97" s="16" t="str">
        <f t="shared" si="115"/>
        <v>-</v>
      </c>
      <c r="AW97" s="16" t="str">
        <f t="shared" ref="AW97:AW160" si="129">IFERROR(AV97-(W97*AU97),"-")</f>
        <v>-</v>
      </c>
      <c r="AX97" s="13" t="str">
        <f t="shared" ref="AX97:AX160" si="130">IFERROR(AU97/SUMIFS($AU$32:$AU$229,$B$32:$B$229,$B97),"-")</f>
        <v>-</v>
      </c>
      <c r="AY97" s="10" t="str">
        <f t="shared" ref="AY97:AY160" si="131">IFERROR(AX97*INDEX($AU$4:$AU$24,MATCH($B97,$D$4:$D$24,0)),"-")</f>
        <v>-</v>
      </c>
      <c r="AZ97" s="9" t="str">
        <f t="shared" ref="AZ97:AZ160" si="132">IFERROR(AY97/SUM($AY$32:$AY$229),"-")</f>
        <v>-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</row>
    <row r="98" spans="2:68" x14ac:dyDescent="0.3">
      <c r="B98" s="108" t="str">
        <f t="shared" si="116"/>
        <v/>
      </c>
      <c r="C98" s="108" t="str">
        <f t="shared" si="100"/>
        <v/>
      </c>
      <c r="D98" s="3"/>
      <c r="E98" s="3"/>
      <c r="F98" s="3"/>
      <c r="G98" s="20">
        <f>IFERROR(INDEX('Input - Supermarket'!F$2:F$200,MATCH('Calculations - Supermarket'!$C98,'Input - Supermarket'!$B$2:$B$200,0)),"")</f>
        <v>0</v>
      </c>
      <c r="H98" s="20">
        <f>IFERROR(INDEX('Input - Supermarket'!G$2:G$200,MATCH('Calculations - Supermarket'!$C98,'Input - Supermarket'!$B$2:$B$200,0)),"")</f>
        <v>0</v>
      </c>
      <c r="I98" s="21">
        <f>IFERROR(INDEX('Input - Supermarket'!H$2:H$200,MATCH('Calculations - Supermarket'!$C98,'Input - Supermarket'!$B$2:$B$200,0)),"")</f>
        <v>0</v>
      </c>
      <c r="J98" s="21">
        <f>IFERROR(INDEX('Input - Supermarket'!I$2:I$200,MATCH('Calculations - Supermarket'!$C98,'Input - Supermarket'!$B$2:$B$200,0)),"")</f>
        <v>0</v>
      </c>
      <c r="K98" s="20">
        <f>IFERROR(INDEX('Input - Supermarket'!J$2:J$200,MATCH('Calculations - Supermarket'!$C98,'Input - Supermarket'!$B$2:$B$200,0)),"")</f>
        <v>0</v>
      </c>
      <c r="L98" s="20">
        <f>IFERROR(INDEX('Input - Supermarket'!K$2:K$200,MATCH('Calculations - Supermarket'!$C98,'Input - Supermarket'!$B$2:$B$200,0)),"")</f>
        <v>0</v>
      </c>
      <c r="M98" s="21" t="str">
        <f t="shared" si="117"/>
        <v/>
      </c>
      <c r="N98" s="21" t="str">
        <f t="shared" si="101"/>
        <v/>
      </c>
      <c r="O98" s="21">
        <f t="shared" si="118"/>
        <v>0</v>
      </c>
      <c r="P98" s="9">
        <f t="shared" si="102"/>
        <v>0</v>
      </c>
      <c r="Q98" s="9">
        <f t="shared" si="103"/>
        <v>0</v>
      </c>
      <c r="R98" s="22" t="str">
        <f>IFERROR(INDEX(Supermarket!$Q$11:$Q$170,MATCH('Calculations - Supermarket'!$C98,Supermarket!$M$11:$M$170,0)),"")</f>
        <v/>
      </c>
      <c r="S98" s="22" t="str">
        <f>IFERROR(INDEX(Supermarket!$R$11:$R$170,MATCH('Calculations - Supermarket'!$C98,Supermarket!$M$11:$M$170,0)),"")</f>
        <v/>
      </c>
      <c r="T98" s="16" t="e">
        <f t="shared" si="104"/>
        <v>#VALUE!</v>
      </c>
      <c r="U98" s="16" t="e">
        <f t="shared" si="119"/>
        <v>#VALUE!</v>
      </c>
      <c r="V98" s="16" t="e">
        <f t="shared" si="120"/>
        <v>#VALUE!</v>
      </c>
      <c r="W98" s="10" t="str">
        <f t="shared" si="105"/>
        <v>-</v>
      </c>
      <c r="X98" s="10" t="str">
        <f t="shared" si="106"/>
        <v>-</v>
      </c>
      <c r="Y98" s="13" t="str">
        <f t="shared" si="121"/>
        <v>-</v>
      </c>
      <c r="Z98" s="9" t="str">
        <f t="shared" si="107"/>
        <v>-</v>
      </c>
      <c r="AA98" s="16" t="str">
        <f t="shared" si="122"/>
        <v>-</v>
      </c>
      <c r="AB98" s="16" t="str">
        <f t="shared" si="108"/>
        <v>-</v>
      </c>
      <c r="AC98" s="16" t="str">
        <f t="shared" si="109"/>
        <v>-</v>
      </c>
      <c r="AD98" s="16" t="str">
        <f t="shared" si="123"/>
        <v>-</v>
      </c>
      <c r="AE98" s="16"/>
      <c r="AF98" s="31" t="str">
        <f>IFERROR(INDEX(Supermarket!$P$11:$P$170,MATCH('Calculations - Supermarket'!C98,Supermarket!$M$11:$M$170,0)),"")</f>
        <v/>
      </c>
      <c r="AG98" s="23" t="str">
        <f t="shared" si="124"/>
        <v/>
      </c>
      <c r="AH98" s="23" t="str">
        <f t="shared" si="125"/>
        <v/>
      </c>
      <c r="AI98" s="9" t="str">
        <f t="shared" si="110"/>
        <v/>
      </c>
      <c r="AJ98" s="4" t="str">
        <f t="shared" si="111"/>
        <v/>
      </c>
      <c r="AK98" s="4"/>
      <c r="AL98" s="4"/>
      <c r="AM98" s="4"/>
      <c r="AN98" s="4"/>
      <c r="AO98" s="4"/>
      <c r="AP98" s="20" t="str">
        <f t="shared" si="112"/>
        <v>-</v>
      </c>
      <c r="AQ98" s="13" t="str">
        <f t="shared" si="126"/>
        <v>-</v>
      </c>
      <c r="AR98" s="13" t="str">
        <f t="shared" si="127"/>
        <v>-</v>
      </c>
      <c r="AS98" s="13" t="str">
        <f t="shared" si="113"/>
        <v>-</v>
      </c>
      <c r="AT98" s="16" t="str">
        <f t="shared" si="128"/>
        <v>-</v>
      </c>
      <c r="AU98" s="16" t="str">
        <f t="shared" si="114"/>
        <v>-</v>
      </c>
      <c r="AV98" s="16" t="str">
        <f t="shared" si="115"/>
        <v>-</v>
      </c>
      <c r="AW98" s="16" t="str">
        <f t="shared" si="129"/>
        <v>-</v>
      </c>
      <c r="AX98" s="13" t="str">
        <f t="shared" si="130"/>
        <v>-</v>
      </c>
      <c r="AY98" s="10" t="str">
        <f t="shared" si="131"/>
        <v>-</v>
      </c>
      <c r="AZ98" s="9" t="str">
        <f t="shared" si="132"/>
        <v>-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</row>
    <row r="99" spans="2:68" x14ac:dyDescent="0.3">
      <c r="B99" s="108" t="str">
        <f t="shared" si="116"/>
        <v/>
      </c>
      <c r="C99" s="108" t="str">
        <f t="shared" si="100"/>
        <v/>
      </c>
      <c r="D99" s="3"/>
      <c r="E99" s="3"/>
      <c r="F99" s="3"/>
      <c r="G99" s="20">
        <f>IFERROR(INDEX('Input - Supermarket'!F$2:F$200,MATCH('Calculations - Supermarket'!$C99,'Input - Supermarket'!$B$2:$B$200,0)),"")</f>
        <v>0</v>
      </c>
      <c r="H99" s="20">
        <f>IFERROR(INDEX('Input - Supermarket'!G$2:G$200,MATCH('Calculations - Supermarket'!$C99,'Input - Supermarket'!$B$2:$B$200,0)),"")</f>
        <v>0</v>
      </c>
      <c r="I99" s="21">
        <f>IFERROR(INDEX('Input - Supermarket'!H$2:H$200,MATCH('Calculations - Supermarket'!$C99,'Input - Supermarket'!$B$2:$B$200,0)),"")</f>
        <v>0</v>
      </c>
      <c r="J99" s="21">
        <f>IFERROR(INDEX('Input - Supermarket'!I$2:I$200,MATCH('Calculations - Supermarket'!$C99,'Input - Supermarket'!$B$2:$B$200,0)),"")</f>
        <v>0</v>
      </c>
      <c r="K99" s="20">
        <f>IFERROR(INDEX('Input - Supermarket'!J$2:J$200,MATCH('Calculations - Supermarket'!$C99,'Input - Supermarket'!$B$2:$B$200,0)),"")</f>
        <v>0</v>
      </c>
      <c r="L99" s="20">
        <f>IFERROR(INDEX('Input - Supermarket'!K$2:K$200,MATCH('Calculations - Supermarket'!$C99,'Input - Supermarket'!$B$2:$B$200,0)),"")</f>
        <v>0</v>
      </c>
      <c r="M99" s="21" t="str">
        <f t="shared" si="117"/>
        <v/>
      </c>
      <c r="N99" s="21" t="str">
        <f t="shared" si="101"/>
        <v/>
      </c>
      <c r="O99" s="21">
        <f t="shared" si="118"/>
        <v>0</v>
      </c>
      <c r="P99" s="9">
        <f t="shared" si="102"/>
        <v>0</v>
      </c>
      <c r="Q99" s="9">
        <f t="shared" si="103"/>
        <v>0</v>
      </c>
      <c r="R99" s="22" t="str">
        <f>IFERROR(INDEX(Supermarket!$Q$11:$Q$170,MATCH('Calculations - Supermarket'!$C99,Supermarket!$M$11:$M$170,0)),"")</f>
        <v/>
      </c>
      <c r="S99" s="22" t="str">
        <f>IFERROR(INDEX(Supermarket!$R$11:$R$170,MATCH('Calculations - Supermarket'!$C99,Supermarket!$M$11:$M$170,0)),"")</f>
        <v/>
      </c>
      <c r="T99" s="16" t="e">
        <f t="shared" si="104"/>
        <v>#VALUE!</v>
      </c>
      <c r="U99" s="16" t="e">
        <f t="shared" si="119"/>
        <v>#VALUE!</v>
      </c>
      <c r="V99" s="16" t="e">
        <f t="shared" si="120"/>
        <v>#VALUE!</v>
      </c>
      <c r="W99" s="10" t="str">
        <f t="shared" si="105"/>
        <v>-</v>
      </c>
      <c r="X99" s="10" t="str">
        <f t="shared" si="106"/>
        <v>-</v>
      </c>
      <c r="Y99" s="13" t="str">
        <f t="shared" si="121"/>
        <v>-</v>
      </c>
      <c r="Z99" s="9" t="str">
        <f t="shared" si="107"/>
        <v>-</v>
      </c>
      <c r="AA99" s="16" t="str">
        <f t="shared" si="122"/>
        <v>-</v>
      </c>
      <c r="AB99" s="16" t="str">
        <f t="shared" si="108"/>
        <v>-</v>
      </c>
      <c r="AC99" s="16" t="str">
        <f t="shared" si="109"/>
        <v>-</v>
      </c>
      <c r="AD99" s="16" t="str">
        <f t="shared" si="123"/>
        <v>-</v>
      </c>
      <c r="AE99" s="16"/>
      <c r="AF99" s="31" t="str">
        <f>IFERROR(INDEX(Supermarket!$P$11:$P$170,MATCH('Calculations - Supermarket'!C99,Supermarket!$M$11:$M$170,0)),"")</f>
        <v/>
      </c>
      <c r="AG99" s="23" t="str">
        <f t="shared" si="124"/>
        <v/>
      </c>
      <c r="AH99" s="23" t="str">
        <f t="shared" si="125"/>
        <v/>
      </c>
      <c r="AI99" s="9" t="str">
        <f t="shared" si="110"/>
        <v/>
      </c>
      <c r="AJ99" s="4" t="str">
        <f t="shared" si="111"/>
        <v/>
      </c>
      <c r="AK99" s="4"/>
      <c r="AL99" s="4"/>
      <c r="AM99" s="4"/>
      <c r="AN99" s="4"/>
      <c r="AO99" s="4"/>
      <c r="AP99" s="20" t="str">
        <f t="shared" si="112"/>
        <v>-</v>
      </c>
      <c r="AQ99" s="13" t="str">
        <f t="shared" si="126"/>
        <v>-</v>
      </c>
      <c r="AR99" s="13" t="str">
        <f t="shared" si="127"/>
        <v>-</v>
      </c>
      <c r="AS99" s="13" t="str">
        <f t="shared" si="113"/>
        <v>-</v>
      </c>
      <c r="AT99" s="16" t="str">
        <f t="shared" si="128"/>
        <v>-</v>
      </c>
      <c r="AU99" s="16" t="str">
        <f t="shared" si="114"/>
        <v>-</v>
      </c>
      <c r="AV99" s="16" t="str">
        <f t="shared" si="115"/>
        <v>-</v>
      </c>
      <c r="AW99" s="16" t="str">
        <f t="shared" si="129"/>
        <v>-</v>
      </c>
      <c r="AX99" s="13" t="str">
        <f t="shared" si="130"/>
        <v>-</v>
      </c>
      <c r="AY99" s="10" t="str">
        <f t="shared" si="131"/>
        <v>-</v>
      </c>
      <c r="AZ99" s="9" t="str">
        <f t="shared" si="132"/>
        <v>-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</row>
    <row r="100" spans="2:68" x14ac:dyDescent="0.3">
      <c r="B100" s="108" t="str">
        <f t="shared" si="116"/>
        <v/>
      </c>
      <c r="C100" s="108" t="str">
        <f t="shared" si="100"/>
        <v/>
      </c>
      <c r="D100" s="3"/>
      <c r="E100" s="3"/>
      <c r="F100" s="3"/>
      <c r="G100" s="20">
        <f>IFERROR(INDEX('Input - Supermarket'!F$2:F$200,MATCH('Calculations - Supermarket'!$C100,'Input - Supermarket'!$B$2:$B$200,0)),"")</f>
        <v>0</v>
      </c>
      <c r="H100" s="20">
        <f>IFERROR(INDEX('Input - Supermarket'!G$2:G$200,MATCH('Calculations - Supermarket'!$C100,'Input - Supermarket'!$B$2:$B$200,0)),"")</f>
        <v>0</v>
      </c>
      <c r="I100" s="21">
        <f>IFERROR(INDEX('Input - Supermarket'!H$2:H$200,MATCH('Calculations - Supermarket'!$C100,'Input - Supermarket'!$B$2:$B$200,0)),"")</f>
        <v>0</v>
      </c>
      <c r="J100" s="21">
        <f>IFERROR(INDEX('Input - Supermarket'!I$2:I$200,MATCH('Calculations - Supermarket'!$C100,'Input - Supermarket'!$B$2:$B$200,0)),"")</f>
        <v>0</v>
      </c>
      <c r="K100" s="20">
        <f>IFERROR(INDEX('Input - Supermarket'!J$2:J$200,MATCH('Calculations - Supermarket'!$C100,'Input - Supermarket'!$B$2:$B$200,0)),"")</f>
        <v>0</v>
      </c>
      <c r="L100" s="20">
        <f>IFERROR(INDEX('Input - Supermarket'!K$2:K$200,MATCH('Calculations - Supermarket'!$C100,'Input - Supermarket'!$B$2:$B$200,0)),"")</f>
        <v>0</v>
      </c>
      <c r="M100" s="21" t="str">
        <f t="shared" si="117"/>
        <v/>
      </c>
      <c r="N100" s="21" t="str">
        <f t="shared" si="101"/>
        <v/>
      </c>
      <c r="O100" s="21">
        <f t="shared" si="118"/>
        <v>0</v>
      </c>
      <c r="P100" s="9">
        <f t="shared" si="102"/>
        <v>0</v>
      </c>
      <c r="Q100" s="9">
        <f t="shared" si="103"/>
        <v>0</v>
      </c>
      <c r="R100" s="22" t="str">
        <f>IFERROR(INDEX(Supermarket!$Q$11:$Q$170,MATCH('Calculations - Supermarket'!$C100,Supermarket!$M$11:$M$170,0)),"")</f>
        <v/>
      </c>
      <c r="S100" s="22" t="str">
        <f>IFERROR(INDEX(Supermarket!$R$11:$R$170,MATCH('Calculations - Supermarket'!$C100,Supermarket!$M$11:$M$170,0)),"")</f>
        <v/>
      </c>
      <c r="T100" s="16" t="e">
        <f t="shared" si="104"/>
        <v>#VALUE!</v>
      </c>
      <c r="U100" s="16" t="e">
        <f t="shared" si="119"/>
        <v>#VALUE!</v>
      </c>
      <c r="V100" s="16" t="e">
        <f t="shared" si="120"/>
        <v>#VALUE!</v>
      </c>
      <c r="W100" s="10" t="str">
        <f t="shared" si="105"/>
        <v>-</v>
      </c>
      <c r="X100" s="10" t="str">
        <f t="shared" si="106"/>
        <v>-</v>
      </c>
      <c r="Y100" s="13" t="str">
        <f t="shared" si="121"/>
        <v>-</v>
      </c>
      <c r="Z100" s="9" t="str">
        <f t="shared" si="107"/>
        <v>-</v>
      </c>
      <c r="AA100" s="16" t="str">
        <f t="shared" si="122"/>
        <v>-</v>
      </c>
      <c r="AB100" s="16" t="str">
        <f t="shared" si="108"/>
        <v>-</v>
      </c>
      <c r="AC100" s="16" t="str">
        <f t="shared" si="109"/>
        <v>-</v>
      </c>
      <c r="AD100" s="16" t="str">
        <f t="shared" si="123"/>
        <v>-</v>
      </c>
      <c r="AE100" s="16"/>
      <c r="AF100" s="31" t="str">
        <f>IFERROR(INDEX(Supermarket!$P$11:$P$170,MATCH('Calculations - Supermarket'!C100,Supermarket!$M$11:$M$170,0)),"")</f>
        <v/>
      </c>
      <c r="AG100" s="23" t="str">
        <f t="shared" si="124"/>
        <v/>
      </c>
      <c r="AH100" s="23" t="str">
        <f t="shared" si="125"/>
        <v/>
      </c>
      <c r="AI100" s="9" t="str">
        <f t="shared" si="110"/>
        <v/>
      </c>
      <c r="AJ100" s="4" t="str">
        <f t="shared" si="111"/>
        <v/>
      </c>
      <c r="AK100" s="4"/>
      <c r="AL100" s="4"/>
      <c r="AM100" s="4"/>
      <c r="AN100" s="4"/>
      <c r="AO100" s="4"/>
      <c r="AP100" s="20" t="str">
        <f t="shared" si="112"/>
        <v>-</v>
      </c>
      <c r="AQ100" s="13" t="str">
        <f t="shared" si="126"/>
        <v>-</v>
      </c>
      <c r="AR100" s="13" t="str">
        <f t="shared" si="127"/>
        <v>-</v>
      </c>
      <c r="AS100" s="13" t="str">
        <f t="shared" si="113"/>
        <v>-</v>
      </c>
      <c r="AT100" s="16" t="str">
        <f t="shared" si="128"/>
        <v>-</v>
      </c>
      <c r="AU100" s="16" t="str">
        <f t="shared" si="114"/>
        <v>-</v>
      </c>
      <c r="AV100" s="16" t="str">
        <f t="shared" si="115"/>
        <v>-</v>
      </c>
      <c r="AW100" s="16" t="str">
        <f t="shared" si="129"/>
        <v>-</v>
      </c>
      <c r="AX100" s="13" t="str">
        <f t="shared" si="130"/>
        <v>-</v>
      </c>
      <c r="AY100" s="10" t="str">
        <f t="shared" si="131"/>
        <v>-</v>
      </c>
      <c r="AZ100" s="9" t="str">
        <f t="shared" si="132"/>
        <v>-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</row>
    <row r="101" spans="2:68" x14ac:dyDescent="0.3">
      <c r="B101" s="108" t="str">
        <f t="shared" si="116"/>
        <v/>
      </c>
      <c r="C101" s="108" t="str">
        <f t="shared" si="100"/>
        <v/>
      </c>
      <c r="D101" s="3"/>
      <c r="E101" s="3"/>
      <c r="F101" s="3"/>
      <c r="G101" s="20">
        <f>IFERROR(INDEX('Input - Supermarket'!F$2:F$200,MATCH('Calculations - Supermarket'!$C101,'Input - Supermarket'!$B$2:$B$200,0)),"")</f>
        <v>0</v>
      </c>
      <c r="H101" s="20">
        <f>IFERROR(INDEX('Input - Supermarket'!G$2:G$200,MATCH('Calculations - Supermarket'!$C101,'Input - Supermarket'!$B$2:$B$200,0)),"")</f>
        <v>0</v>
      </c>
      <c r="I101" s="21">
        <f>IFERROR(INDEX('Input - Supermarket'!H$2:H$200,MATCH('Calculations - Supermarket'!$C101,'Input - Supermarket'!$B$2:$B$200,0)),"")</f>
        <v>0</v>
      </c>
      <c r="J101" s="21">
        <f>IFERROR(INDEX('Input - Supermarket'!I$2:I$200,MATCH('Calculations - Supermarket'!$C101,'Input - Supermarket'!$B$2:$B$200,0)),"")</f>
        <v>0</v>
      </c>
      <c r="K101" s="20">
        <f>IFERROR(INDEX('Input - Supermarket'!J$2:J$200,MATCH('Calculations - Supermarket'!$C101,'Input - Supermarket'!$B$2:$B$200,0)),"")</f>
        <v>0</v>
      </c>
      <c r="L101" s="20">
        <f>IFERROR(INDEX('Input - Supermarket'!K$2:K$200,MATCH('Calculations - Supermarket'!$C101,'Input - Supermarket'!$B$2:$B$200,0)),"")</f>
        <v>0</v>
      </c>
      <c r="M101" s="21" t="str">
        <f t="shared" si="117"/>
        <v/>
      </c>
      <c r="N101" s="21" t="str">
        <f t="shared" si="101"/>
        <v/>
      </c>
      <c r="O101" s="21">
        <f t="shared" si="118"/>
        <v>0</v>
      </c>
      <c r="P101" s="9">
        <f t="shared" si="102"/>
        <v>0</v>
      </c>
      <c r="Q101" s="9">
        <f t="shared" si="103"/>
        <v>0</v>
      </c>
      <c r="R101" s="22" t="str">
        <f>IFERROR(INDEX(Supermarket!$Q$11:$Q$170,MATCH('Calculations - Supermarket'!$C101,Supermarket!$M$11:$M$170,0)),"")</f>
        <v/>
      </c>
      <c r="S101" s="22" t="str">
        <f>IFERROR(INDEX(Supermarket!$R$11:$R$170,MATCH('Calculations - Supermarket'!$C101,Supermarket!$M$11:$M$170,0)),"")</f>
        <v/>
      </c>
      <c r="T101" s="16" t="e">
        <f t="shared" si="104"/>
        <v>#VALUE!</v>
      </c>
      <c r="U101" s="16" t="e">
        <f t="shared" si="119"/>
        <v>#VALUE!</v>
      </c>
      <c r="V101" s="16" t="e">
        <f t="shared" si="120"/>
        <v>#VALUE!</v>
      </c>
      <c r="W101" s="10" t="str">
        <f t="shared" si="105"/>
        <v>-</v>
      </c>
      <c r="X101" s="10" t="str">
        <f t="shared" si="106"/>
        <v>-</v>
      </c>
      <c r="Y101" s="13" t="str">
        <f t="shared" si="121"/>
        <v>-</v>
      </c>
      <c r="Z101" s="9" t="str">
        <f t="shared" si="107"/>
        <v>-</v>
      </c>
      <c r="AA101" s="16" t="str">
        <f t="shared" si="122"/>
        <v>-</v>
      </c>
      <c r="AB101" s="16" t="str">
        <f t="shared" si="108"/>
        <v>-</v>
      </c>
      <c r="AC101" s="16" t="str">
        <f t="shared" si="109"/>
        <v>-</v>
      </c>
      <c r="AD101" s="16" t="str">
        <f t="shared" si="123"/>
        <v>-</v>
      </c>
      <c r="AE101" s="16"/>
      <c r="AF101" s="31" t="str">
        <f>IFERROR(INDEX(Supermarket!$P$11:$P$170,MATCH('Calculations - Supermarket'!C101,Supermarket!$M$11:$M$170,0)),"")</f>
        <v/>
      </c>
      <c r="AG101" s="23" t="str">
        <f t="shared" si="124"/>
        <v/>
      </c>
      <c r="AH101" s="23" t="str">
        <f t="shared" si="125"/>
        <v/>
      </c>
      <c r="AI101" s="9" t="str">
        <f t="shared" si="110"/>
        <v/>
      </c>
      <c r="AJ101" s="4" t="str">
        <f t="shared" si="111"/>
        <v/>
      </c>
      <c r="AK101" s="4"/>
      <c r="AL101" s="4"/>
      <c r="AM101" s="4"/>
      <c r="AN101" s="4"/>
      <c r="AO101" s="4"/>
      <c r="AP101" s="20" t="str">
        <f t="shared" si="112"/>
        <v>-</v>
      </c>
      <c r="AQ101" s="13" t="str">
        <f t="shared" si="126"/>
        <v>-</v>
      </c>
      <c r="AR101" s="13" t="str">
        <f t="shared" si="127"/>
        <v>-</v>
      </c>
      <c r="AS101" s="13" t="str">
        <f t="shared" si="113"/>
        <v>-</v>
      </c>
      <c r="AT101" s="16" t="str">
        <f t="shared" si="128"/>
        <v>-</v>
      </c>
      <c r="AU101" s="16" t="str">
        <f t="shared" si="114"/>
        <v>-</v>
      </c>
      <c r="AV101" s="16" t="str">
        <f t="shared" si="115"/>
        <v>-</v>
      </c>
      <c r="AW101" s="16" t="str">
        <f t="shared" si="129"/>
        <v>-</v>
      </c>
      <c r="AX101" s="13" t="str">
        <f t="shared" si="130"/>
        <v>-</v>
      </c>
      <c r="AY101" s="10" t="str">
        <f t="shared" si="131"/>
        <v>-</v>
      </c>
      <c r="AZ101" s="9" t="str">
        <f t="shared" si="132"/>
        <v>-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</row>
    <row r="102" spans="2:68" x14ac:dyDescent="0.3">
      <c r="B102" s="108" t="str">
        <f t="shared" si="116"/>
        <v/>
      </c>
      <c r="C102" s="108" t="str">
        <f t="shared" si="100"/>
        <v/>
      </c>
      <c r="D102" s="3"/>
      <c r="E102" s="3"/>
      <c r="F102" s="3"/>
      <c r="G102" s="20">
        <f>IFERROR(INDEX('Input - Supermarket'!F$2:F$200,MATCH('Calculations - Supermarket'!$C102,'Input - Supermarket'!$B$2:$B$200,0)),"")</f>
        <v>0</v>
      </c>
      <c r="H102" s="20">
        <f>IFERROR(INDEX('Input - Supermarket'!G$2:G$200,MATCH('Calculations - Supermarket'!$C102,'Input - Supermarket'!$B$2:$B$200,0)),"")</f>
        <v>0</v>
      </c>
      <c r="I102" s="21">
        <f>IFERROR(INDEX('Input - Supermarket'!H$2:H$200,MATCH('Calculations - Supermarket'!$C102,'Input - Supermarket'!$B$2:$B$200,0)),"")</f>
        <v>0</v>
      </c>
      <c r="J102" s="21">
        <f>IFERROR(INDEX('Input - Supermarket'!I$2:I$200,MATCH('Calculations - Supermarket'!$C102,'Input - Supermarket'!$B$2:$B$200,0)),"")</f>
        <v>0</v>
      </c>
      <c r="K102" s="20">
        <f>IFERROR(INDEX('Input - Supermarket'!J$2:J$200,MATCH('Calculations - Supermarket'!$C102,'Input - Supermarket'!$B$2:$B$200,0)),"")</f>
        <v>0</v>
      </c>
      <c r="L102" s="20">
        <f>IFERROR(INDEX('Input - Supermarket'!K$2:K$200,MATCH('Calculations - Supermarket'!$C102,'Input - Supermarket'!$B$2:$B$200,0)),"")</f>
        <v>0</v>
      </c>
      <c r="M102" s="21" t="str">
        <f t="shared" si="117"/>
        <v/>
      </c>
      <c r="N102" s="21" t="str">
        <f t="shared" si="101"/>
        <v/>
      </c>
      <c r="O102" s="21">
        <f t="shared" si="118"/>
        <v>0</v>
      </c>
      <c r="P102" s="9">
        <f t="shared" si="102"/>
        <v>0</v>
      </c>
      <c r="Q102" s="9">
        <f t="shared" si="103"/>
        <v>0</v>
      </c>
      <c r="R102" s="22" t="str">
        <f>IFERROR(INDEX(Supermarket!$Q$11:$Q$170,MATCH('Calculations - Supermarket'!$C102,Supermarket!$M$11:$M$170,0)),"")</f>
        <v/>
      </c>
      <c r="S102" s="22" t="str">
        <f>IFERROR(INDEX(Supermarket!$R$11:$R$170,MATCH('Calculations - Supermarket'!$C102,Supermarket!$M$11:$M$170,0)),"")</f>
        <v/>
      </c>
      <c r="T102" s="16" t="e">
        <f t="shared" si="104"/>
        <v>#VALUE!</v>
      </c>
      <c r="U102" s="16" t="e">
        <f t="shared" si="119"/>
        <v>#VALUE!</v>
      </c>
      <c r="V102" s="16" t="e">
        <f t="shared" si="120"/>
        <v>#VALUE!</v>
      </c>
      <c r="W102" s="10" t="str">
        <f t="shared" si="105"/>
        <v>-</v>
      </c>
      <c r="X102" s="10" t="str">
        <f t="shared" si="106"/>
        <v>-</v>
      </c>
      <c r="Y102" s="13" t="str">
        <f t="shared" si="121"/>
        <v>-</v>
      </c>
      <c r="Z102" s="9" t="str">
        <f t="shared" si="107"/>
        <v>-</v>
      </c>
      <c r="AA102" s="16" t="str">
        <f t="shared" si="122"/>
        <v>-</v>
      </c>
      <c r="AB102" s="16" t="str">
        <f t="shared" si="108"/>
        <v>-</v>
      </c>
      <c r="AC102" s="16" t="str">
        <f t="shared" si="109"/>
        <v>-</v>
      </c>
      <c r="AD102" s="16" t="str">
        <f t="shared" si="123"/>
        <v>-</v>
      </c>
      <c r="AE102" s="16"/>
      <c r="AF102" s="31" t="str">
        <f>IFERROR(INDEX(Supermarket!$P$11:$P$170,MATCH('Calculations - Supermarket'!C102,Supermarket!$M$11:$M$170,0)),"")</f>
        <v/>
      </c>
      <c r="AG102" s="23" t="str">
        <f t="shared" si="124"/>
        <v/>
      </c>
      <c r="AH102" s="23" t="str">
        <f t="shared" si="125"/>
        <v/>
      </c>
      <c r="AI102" s="9" t="str">
        <f t="shared" si="110"/>
        <v/>
      </c>
      <c r="AJ102" s="4" t="str">
        <f t="shared" si="111"/>
        <v/>
      </c>
      <c r="AK102" s="4"/>
      <c r="AL102" s="4"/>
      <c r="AM102" s="4"/>
      <c r="AN102" s="4"/>
      <c r="AO102" s="4"/>
      <c r="AP102" s="20" t="str">
        <f t="shared" si="112"/>
        <v>-</v>
      </c>
      <c r="AQ102" s="13" t="str">
        <f t="shared" si="126"/>
        <v>-</v>
      </c>
      <c r="AR102" s="13" t="str">
        <f t="shared" si="127"/>
        <v>-</v>
      </c>
      <c r="AS102" s="13" t="str">
        <f t="shared" si="113"/>
        <v>-</v>
      </c>
      <c r="AT102" s="16" t="str">
        <f t="shared" si="128"/>
        <v>-</v>
      </c>
      <c r="AU102" s="16" t="str">
        <f t="shared" si="114"/>
        <v>-</v>
      </c>
      <c r="AV102" s="16" t="str">
        <f t="shared" si="115"/>
        <v>-</v>
      </c>
      <c r="AW102" s="16" t="str">
        <f t="shared" si="129"/>
        <v>-</v>
      </c>
      <c r="AX102" s="13" t="str">
        <f t="shared" si="130"/>
        <v>-</v>
      </c>
      <c r="AY102" s="10" t="str">
        <f t="shared" si="131"/>
        <v>-</v>
      </c>
      <c r="AZ102" s="9" t="str">
        <f t="shared" si="132"/>
        <v>-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</row>
    <row r="103" spans="2:68" x14ac:dyDescent="0.3">
      <c r="B103" s="108" t="str">
        <f t="shared" si="116"/>
        <v/>
      </c>
      <c r="C103" s="108" t="str">
        <f t="shared" si="100"/>
        <v/>
      </c>
      <c r="D103" s="3"/>
      <c r="E103" s="3"/>
      <c r="F103" s="3"/>
      <c r="G103" s="20">
        <f>IFERROR(INDEX('Input - Supermarket'!F$2:F$200,MATCH('Calculations - Supermarket'!$C103,'Input - Supermarket'!$B$2:$B$200,0)),"")</f>
        <v>0</v>
      </c>
      <c r="H103" s="20">
        <f>IFERROR(INDEX('Input - Supermarket'!G$2:G$200,MATCH('Calculations - Supermarket'!$C103,'Input - Supermarket'!$B$2:$B$200,0)),"")</f>
        <v>0</v>
      </c>
      <c r="I103" s="21">
        <f>IFERROR(INDEX('Input - Supermarket'!H$2:H$200,MATCH('Calculations - Supermarket'!$C103,'Input - Supermarket'!$B$2:$B$200,0)),"")</f>
        <v>0</v>
      </c>
      <c r="J103" s="21">
        <f>IFERROR(INDEX('Input - Supermarket'!I$2:I$200,MATCH('Calculations - Supermarket'!$C103,'Input - Supermarket'!$B$2:$B$200,0)),"")</f>
        <v>0</v>
      </c>
      <c r="K103" s="20">
        <f>IFERROR(INDEX('Input - Supermarket'!J$2:J$200,MATCH('Calculations - Supermarket'!$C103,'Input - Supermarket'!$B$2:$B$200,0)),"")</f>
        <v>0</v>
      </c>
      <c r="L103" s="20">
        <f>IFERROR(INDEX('Input - Supermarket'!K$2:K$200,MATCH('Calculations - Supermarket'!$C103,'Input - Supermarket'!$B$2:$B$200,0)),"")</f>
        <v>0</v>
      </c>
      <c r="M103" s="21" t="str">
        <f t="shared" si="117"/>
        <v/>
      </c>
      <c r="N103" s="21" t="str">
        <f t="shared" si="101"/>
        <v/>
      </c>
      <c r="O103" s="21">
        <f t="shared" si="118"/>
        <v>0</v>
      </c>
      <c r="P103" s="9">
        <f t="shared" si="102"/>
        <v>0</v>
      </c>
      <c r="Q103" s="9">
        <f t="shared" si="103"/>
        <v>0</v>
      </c>
      <c r="R103" s="22" t="str">
        <f>IFERROR(INDEX(Supermarket!$Q$11:$Q$170,MATCH('Calculations - Supermarket'!$C103,Supermarket!$M$11:$M$170,0)),"")</f>
        <v/>
      </c>
      <c r="S103" s="22" t="str">
        <f>IFERROR(INDEX(Supermarket!$R$11:$R$170,MATCH('Calculations - Supermarket'!$C103,Supermarket!$M$11:$M$170,0)),"")</f>
        <v/>
      </c>
      <c r="T103" s="16" t="e">
        <f t="shared" si="104"/>
        <v>#VALUE!</v>
      </c>
      <c r="U103" s="16" t="e">
        <f t="shared" si="119"/>
        <v>#VALUE!</v>
      </c>
      <c r="V103" s="16" t="e">
        <f t="shared" si="120"/>
        <v>#VALUE!</v>
      </c>
      <c r="W103" s="10" t="str">
        <f t="shared" si="105"/>
        <v>-</v>
      </c>
      <c r="X103" s="10" t="str">
        <f t="shared" si="106"/>
        <v>-</v>
      </c>
      <c r="Y103" s="13" t="str">
        <f t="shared" si="121"/>
        <v>-</v>
      </c>
      <c r="Z103" s="9" t="str">
        <f t="shared" si="107"/>
        <v>-</v>
      </c>
      <c r="AA103" s="16" t="str">
        <f t="shared" si="122"/>
        <v>-</v>
      </c>
      <c r="AB103" s="16" t="str">
        <f t="shared" si="108"/>
        <v>-</v>
      </c>
      <c r="AC103" s="16" t="str">
        <f t="shared" si="109"/>
        <v>-</v>
      </c>
      <c r="AD103" s="16" t="str">
        <f t="shared" si="123"/>
        <v>-</v>
      </c>
      <c r="AE103" s="16"/>
      <c r="AF103" s="31" t="str">
        <f>IFERROR(INDEX(Supermarket!$P$11:$P$170,MATCH('Calculations - Supermarket'!C103,Supermarket!$M$11:$M$170,0)),"")</f>
        <v/>
      </c>
      <c r="AG103" s="23" t="str">
        <f t="shared" si="124"/>
        <v/>
      </c>
      <c r="AH103" s="23" t="str">
        <f t="shared" si="125"/>
        <v/>
      </c>
      <c r="AI103" s="9" t="str">
        <f t="shared" si="110"/>
        <v/>
      </c>
      <c r="AJ103" s="4" t="str">
        <f t="shared" si="111"/>
        <v/>
      </c>
      <c r="AK103" s="4"/>
      <c r="AL103" s="4"/>
      <c r="AM103" s="4"/>
      <c r="AN103" s="4"/>
      <c r="AO103" s="4"/>
      <c r="AP103" s="20" t="str">
        <f t="shared" si="112"/>
        <v>-</v>
      </c>
      <c r="AQ103" s="13" t="str">
        <f t="shared" si="126"/>
        <v>-</v>
      </c>
      <c r="AR103" s="13" t="str">
        <f t="shared" si="127"/>
        <v>-</v>
      </c>
      <c r="AS103" s="13" t="str">
        <f t="shared" si="113"/>
        <v>-</v>
      </c>
      <c r="AT103" s="16" t="str">
        <f t="shared" si="128"/>
        <v>-</v>
      </c>
      <c r="AU103" s="16" t="str">
        <f t="shared" si="114"/>
        <v>-</v>
      </c>
      <c r="AV103" s="16" t="str">
        <f t="shared" si="115"/>
        <v>-</v>
      </c>
      <c r="AW103" s="16" t="str">
        <f t="shared" si="129"/>
        <v>-</v>
      </c>
      <c r="AX103" s="13" t="str">
        <f t="shared" si="130"/>
        <v>-</v>
      </c>
      <c r="AY103" s="10" t="str">
        <f t="shared" si="131"/>
        <v>-</v>
      </c>
      <c r="AZ103" s="9" t="str">
        <f t="shared" si="132"/>
        <v>-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</row>
    <row r="104" spans="2:68" x14ac:dyDescent="0.3">
      <c r="B104" s="108" t="str">
        <f t="shared" si="116"/>
        <v/>
      </c>
      <c r="C104" s="108" t="str">
        <f t="shared" si="100"/>
        <v/>
      </c>
      <c r="D104" s="3"/>
      <c r="E104" s="3"/>
      <c r="F104" s="3"/>
      <c r="G104" s="20">
        <f>IFERROR(INDEX('Input - Supermarket'!F$2:F$200,MATCH('Calculations - Supermarket'!$C104,'Input - Supermarket'!$B$2:$B$200,0)),"")</f>
        <v>0</v>
      </c>
      <c r="H104" s="20">
        <f>IFERROR(INDEX('Input - Supermarket'!G$2:G$200,MATCH('Calculations - Supermarket'!$C104,'Input - Supermarket'!$B$2:$B$200,0)),"")</f>
        <v>0</v>
      </c>
      <c r="I104" s="21">
        <f>IFERROR(INDEX('Input - Supermarket'!H$2:H$200,MATCH('Calculations - Supermarket'!$C104,'Input - Supermarket'!$B$2:$B$200,0)),"")</f>
        <v>0</v>
      </c>
      <c r="J104" s="21">
        <f>IFERROR(INDEX('Input - Supermarket'!I$2:I$200,MATCH('Calculations - Supermarket'!$C104,'Input - Supermarket'!$B$2:$B$200,0)),"")</f>
        <v>0</v>
      </c>
      <c r="K104" s="20">
        <f>IFERROR(INDEX('Input - Supermarket'!J$2:J$200,MATCH('Calculations - Supermarket'!$C104,'Input - Supermarket'!$B$2:$B$200,0)),"")</f>
        <v>0</v>
      </c>
      <c r="L104" s="20">
        <f>IFERROR(INDEX('Input - Supermarket'!K$2:K$200,MATCH('Calculations - Supermarket'!$C104,'Input - Supermarket'!$B$2:$B$200,0)),"")</f>
        <v>0</v>
      </c>
      <c r="M104" s="21" t="str">
        <f t="shared" si="117"/>
        <v/>
      </c>
      <c r="N104" s="21" t="str">
        <f t="shared" si="101"/>
        <v/>
      </c>
      <c r="O104" s="21">
        <f t="shared" si="118"/>
        <v>0</v>
      </c>
      <c r="P104" s="9">
        <f t="shared" si="102"/>
        <v>0</v>
      </c>
      <c r="Q104" s="9">
        <f t="shared" si="103"/>
        <v>0</v>
      </c>
      <c r="R104" s="22" t="str">
        <f>IFERROR(INDEX(Supermarket!$Q$11:$Q$170,MATCH('Calculations - Supermarket'!$C104,Supermarket!$M$11:$M$170,0)),"")</f>
        <v/>
      </c>
      <c r="S104" s="22" t="str">
        <f>IFERROR(INDEX(Supermarket!$R$11:$R$170,MATCH('Calculations - Supermarket'!$C104,Supermarket!$M$11:$M$170,0)),"")</f>
        <v/>
      </c>
      <c r="T104" s="16" t="e">
        <f t="shared" si="104"/>
        <v>#VALUE!</v>
      </c>
      <c r="U104" s="16" t="e">
        <f t="shared" si="119"/>
        <v>#VALUE!</v>
      </c>
      <c r="V104" s="16" t="e">
        <f t="shared" si="120"/>
        <v>#VALUE!</v>
      </c>
      <c r="W104" s="10" t="str">
        <f t="shared" si="105"/>
        <v>-</v>
      </c>
      <c r="X104" s="10" t="str">
        <f t="shared" si="106"/>
        <v>-</v>
      </c>
      <c r="Y104" s="13" t="str">
        <f t="shared" si="121"/>
        <v>-</v>
      </c>
      <c r="Z104" s="9" t="str">
        <f t="shared" si="107"/>
        <v>-</v>
      </c>
      <c r="AA104" s="16" t="str">
        <f t="shared" si="122"/>
        <v>-</v>
      </c>
      <c r="AB104" s="16" t="str">
        <f t="shared" si="108"/>
        <v>-</v>
      </c>
      <c r="AC104" s="16" t="str">
        <f t="shared" si="109"/>
        <v>-</v>
      </c>
      <c r="AD104" s="16" t="str">
        <f t="shared" si="123"/>
        <v>-</v>
      </c>
      <c r="AE104" s="16"/>
      <c r="AF104" s="31" t="str">
        <f>IFERROR(INDEX(Supermarket!$P$11:$P$170,MATCH('Calculations - Supermarket'!C104,Supermarket!$M$11:$M$170,0)),"")</f>
        <v/>
      </c>
      <c r="AG104" s="23" t="str">
        <f t="shared" si="124"/>
        <v/>
      </c>
      <c r="AH104" s="23" t="str">
        <f t="shared" si="125"/>
        <v/>
      </c>
      <c r="AI104" s="9" t="str">
        <f t="shared" si="110"/>
        <v/>
      </c>
      <c r="AJ104" s="4" t="str">
        <f t="shared" si="111"/>
        <v/>
      </c>
      <c r="AK104" s="4"/>
      <c r="AL104" s="4"/>
      <c r="AM104" s="4"/>
      <c r="AN104" s="4"/>
      <c r="AO104" s="4"/>
      <c r="AP104" s="20" t="str">
        <f t="shared" si="112"/>
        <v>-</v>
      </c>
      <c r="AQ104" s="13" t="str">
        <f t="shared" si="126"/>
        <v>-</v>
      </c>
      <c r="AR104" s="13" t="str">
        <f t="shared" si="127"/>
        <v>-</v>
      </c>
      <c r="AS104" s="13" t="str">
        <f t="shared" si="113"/>
        <v>-</v>
      </c>
      <c r="AT104" s="16" t="str">
        <f t="shared" si="128"/>
        <v>-</v>
      </c>
      <c r="AU104" s="16" t="str">
        <f t="shared" si="114"/>
        <v>-</v>
      </c>
      <c r="AV104" s="16" t="str">
        <f t="shared" si="115"/>
        <v>-</v>
      </c>
      <c r="AW104" s="16" t="str">
        <f t="shared" si="129"/>
        <v>-</v>
      </c>
      <c r="AX104" s="13" t="str">
        <f t="shared" si="130"/>
        <v>-</v>
      </c>
      <c r="AY104" s="10" t="str">
        <f t="shared" si="131"/>
        <v>-</v>
      </c>
      <c r="AZ104" s="9" t="str">
        <f t="shared" si="132"/>
        <v>-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</row>
    <row r="105" spans="2:68" x14ac:dyDescent="0.3">
      <c r="B105" s="108" t="str">
        <f t="shared" si="116"/>
        <v/>
      </c>
      <c r="C105" s="108" t="str">
        <f t="shared" si="100"/>
        <v/>
      </c>
      <c r="D105" s="3"/>
      <c r="E105" s="3"/>
      <c r="F105" s="3"/>
      <c r="G105" s="20">
        <f>IFERROR(INDEX('Input - Supermarket'!F$2:F$200,MATCH('Calculations - Supermarket'!$C105,'Input - Supermarket'!$B$2:$B$200,0)),"")</f>
        <v>0</v>
      </c>
      <c r="H105" s="20">
        <f>IFERROR(INDEX('Input - Supermarket'!G$2:G$200,MATCH('Calculations - Supermarket'!$C105,'Input - Supermarket'!$B$2:$B$200,0)),"")</f>
        <v>0</v>
      </c>
      <c r="I105" s="21">
        <f>IFERROR(INDEX('Input - Supermarket'!H$2:H$200,MATCH('Calculations - Supermarket'!$C105,'Input - Supermarket'!$B$2:$B$200,0)),"")</f>
        <v>0</v>
      </c>
      <c r="J105" s="21">
        <f>IFERROR(INDEX('Input - Supermarket'!I$2:I$200,MATCH('Calculations - Supermarket'!$C105,'Input - Supermarket'!$B$2:$B$200,0)),"")</f>
        <v>0</v>
      </c>
      <c r="K105" s="20">
        <f>IFERROR(INDEX('Input - Supermarket'!J$2:J$200,MATCH('Calculations - Supermarket'!$C105,'Input - Supermarket'!$B$2:$B$200,0)),"")</f>
        <v>0</v>
      </c>
      <c r="L105" s="20">
        <f>IFERROR(INDEX('Input - Supermarket'!K$2:K$200,MATCH('Calculations - Supermarket'!$C105,'Input - Supermarket'!$B$2:$B$200,0)),"")</f>
        <v>0</v>
      </c>
      <c r="M105" s="21" t="str">
        <f t="shared" si="117"/>
        <v/>
      </c>
      <c r="N105" s="21" t="str">
        <f t="shared" si="101"/>
        <v/>
      </c>
      <c r="O105" s="21">
        <f t="shared" si="118"/>
        <v>0</v>
      </c>
      <c r="P105" s="9">
        <f t="shared" si="102"/>
        <v>0</v>
      </c>
      <c r="Q105" s="9">
        <f t="shared" si="103"/>
        <v>0</v>
      </c>
      <c r="R105" s="22" t="str">
        <f>IFERROR(INDEX(Supermarket!$Q$11:$Q$170,MATCH('Calculations - Supermarket'!$C105,Supermarket!$M$11:$M$170,0)),"")</f>
        <v/>
      </c>
      <c r="S105" s="22" t="str">
        <f>IFERROR(INDEX(Supermarket!$R$11:$R$170,MATCH('Calculations - Supermarket'!$C105,Supermarket!$M$11:$M$170,0)),"")</f>
        <v/>
      </c>
      <c r="T105" s="16" t="e">
        <f t="shared" si="104"/>
        <v>#VALUE!</v>
      </c>
      <c r="U105" s="16" t="e">
        <f t="shared" si="119"/>
        <v>#VALUE!</v>
      </c>
      <c r="V105" s="16" t="e">
        <f t="shared" si="120"/>
        <v>#VALUE!</v>
      </c>
      <c r="W105" s="10" t="str">
        <f t="shared" si="105"/>
        <v>-</v>
      </c>
      <c r="X105" s="10" t="str">
        <f t="shared" si="106"/>
        <v>-</v>
      </c>
      <c r="Y105" s="13" t="str">
        <f t="shared" si="121"/>
        <v>-</v>
      </c>
      <c r="Z105" s="9" t="str">
        <f t="shared" si="107"/>
        <v>-</v>
      </c>
      <c r="AA105" s="16" t="str">
        <f t="shared" si="122"/>
        <v>-</v>
      </c>
      <c r="AB105" s="16" t="str">
        <f t="shared" si="108"/>
        <v>-</v>
      </c>
      <c r="AC105" s="16" t="str">
        <f t="shared" si="109"/>
        <v>-</v>
      </c>
      <c r="AD105" s="16" t="str">
        <f t="shared" si="123"/>
        <v>-</v>
      </c>
      <c r="AE105" s="16"/>
      <c r="AF105" s="31" t="str">
        <f>IFERROR(INDEX(Supermarket!$P$11:$P$170,MATCH('Calculations - Supermarket'!C105,Supermarket!$M$11:$M$170,0)),"")</f>
        <v/>
      </c>
      <c r="AG105" s="23" t="str">
        <f t="shared" si="124"/>
        <v/>
      </c>
      <c r="AH105" s="23" t="str">
        <f t="shared" si="125"/>
        <v/>
      </c>
      <c r="AI105" s="9" t="str">
        <f t="shared" si="110"/>
        <v/>
      </c>
      <c r="AJ105" s="4" t="str">
        <f t="shared" si="111"/>
        <v/>
      </c>
      <c r="AK105" s="4"/>
      <c r="AL105" s="4"/>
      <c r="AM105" s="4"/>
      <c r="AN105" s="4"/>
      <c r="AO105" s="4"/>
      <c r="AP105" s="20" t="str">
        <f t="shared" si="112"/>
        <v>-</v>
      </c>
      <c r="AQ105" s="13" t="str">
        <f t="shared" si="126"/>
        <v>-</v>
      </c>
      <c r="AR105" s="13" t="str">
        <f t="shared" si="127"/>
        <v>-</v>
      </c>
      <c r="AS105" s="13" t="str">
        <f t="shared" si="113"/>
        <v>-</v>
      </c>
      <c r="AT105" s="16" t="str">
        <f t="shared" si="128"/>
        <v>-</v>
      </c>
      <c r="AU105" s="16" t="str">
        <f t="shared" si="114"/>
        <v>-</v>
      </c>
      <c r="AV105" s="16" t="str">
        <f t="shared" si="115"/>
        <v>-</v>
      </c>
      <c r="AW105" s="16" t="str">
        <f t="shared" si="129"/>
        <v>-</v>
      </c>
      <c r="AX105" s="13" t="str">
        <f t="shared" si="130"/>
        <v>-</v>
      </c>
      <c r="AY105" s="10" t="str">
        <f t="shared" si="131"/>
        <v>-</v>
      </c>
      <c r="AZ105" s="9" t="str">
        <f t="shared" si="132"/>
        <v>-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</row>
    <row r="106" spans="2:68" x14ac:dyDescent="0.3">
      <c r="B106" s="108" t="str">
        <f t="shared" si="116"/>
        <v/>
      </c>
      <c r="C106" s="108" t="str">
        <f t="shared" si="100"/>
        <v/>
      </c>
      <c r="D106" s="3"/>
      <c r="E106" s="3"/>
      <c r="F106" s="3"/>
      <c r="G106" s="20">
        <f>IFERROR(INDEX('Input - Supermarket'!F$2:F$200,MATCH('Calculations - Supermarket'!$C106,'Input - Supermarket'!$B$2:$B$200,0)),"")</f>
        <v>0</v>
      </c>
      <c r="H106" s="20">
        <f>IFERROR(INDEX('Input - Supermarket'!G$2:G$200,MATCH('Calculations - Supermarket'!$C106,'Input - Supermarket'!$B$2:$B$200,0)),"")</f>
        <v>0</v>
      </c>
      <c r="I106" s="21">
        <f>IFERROR(INDEX('Input - Supermarket'!H$2:H$200,MATCH('Calculations - Supermarket'!$C106,'Input - Supermarket'!$B$2:$B$200,0)),"")</f>
        <v>0</v>
      </c>
      <c r="J106" s="21">
        <f>IFERROR(INDEX('Input - Supermarket'!I$2:I$200,MATCH('Calculations - Supermarket'!$C106,'Input - Supermarket'!$B$2:$B$200,0)),"")</f>
        <v>0</v>
      </c>
      <c r="K106" s="20">
        <f>IFERROR(INDEX('Input - Supermarket'!J$2:J$200,MATCH('Calculations - Supermarket'!$C106,'Input - Supermarket'!$B$2:$B$200,0)),"")</f>
        <v>0</v>
      </c>
      <c r="L106" s="20">
        <f>IFERROR(INDEX('Input - Supermarket'!K$2:K$200,MATCH('Calculations - Supermarket'!$C106,'Input - Supermarket'!$B$2:$B$200,0)),"")</f>
        <v>0</v>
      </c>
      <c r="M106" s="21" t="str">
        <f t="shared" si="117"/>
        <v/>
      </c>
      <c r="N106" s="21" t="str">
        <f t="shared" si="101"/>
        <v/>
      </c>
      <c r="O106" s="21">
        <f t="shared" si="118"/>
        <v>0</v>
      </c>
      <c r="P106" s="9">
        <f t="shared" si="102"/>
        <v>0</v>
      </c>
      <c r="Q106" s="9">
        <f t="shared" si="103"/>
        <v>0</v>
      </c>
      <c r="R106" s="22" t="str">
        <f>IFERROR(INDEX(Supermarket!$Q$11:$Q$170,MATCH('Calculations - Supermarket'!$C106,Supermarket!$M$11:$M$170,0)),"")</f>
        <v/>
      </c>
      <c r="S106" s="22" t="str">
        <f>IFERROR(INDEX(Supermarket!$R$11:$R$170,MATCH('Calculations - Supermarket'!$C106,Supermarket!$M$11:$M$170,0)),"")</f>
        <v/>
      </c>
      <c r="T106" s="16" t="e">
        <f t="shared" si="104"/>
        <v>#VALUE!</v>
      </c>
      <c r="U106" s="16" t="e">
        <f t="shared" si="119"/>
        <v>#VALUE!</v>
      </c>
      <c r="V106" s="16" t="e">
        <f t="shared" si="120"/>
        <v>#VALUE!</v>
      </c>
      <c r="W106" s="10" t="str">
        <f t="shared" si="105"/>
        <v>-</v>
      </c>
      <c r="X106" s="10" t="str">
        <f t="shared" si="106"/>
        <v>-</v>
      </c>
      <c r="Y106" s="13" t="str">
        <f t="shared" si="121"/>
        <v>-</v>
      </c>
      <c r="Z106" s="9" t="str">
        <f t="shared" si="107"/>
        <v>-</v>
      </c>
      <c r="AA106" s="16" t="str">
        <f t="shared" si="122"/>
        <v>-</v>
      </c>
      <c r="AB106" s="16" t="str">
        <f t="shared" si="108"/>
        <v>-</v>
      </c>
      <c r="AC106" s="16" t="str">
        <f t="shared" si="109"/>
        <v>-</v>
      </c>
      <c r="AD106" s="16" t="str">
        <f t="shared" si="123"/>
        <v>-</v>
      </c>
      <c r="AE106" s="16"/>
      <c r="AF106" s="31" t="str">
        <f>IFERROR(INDEX(Supermarket!$P$11:$P$170,MATCH('Calculations - Supermarket'!C106,Supermarket!$M$11:$M$170,0)),"")</f>
        <v/>
      </c>
      <c r="AG106" s="23" t="str">
        <f t="shared" si="124"/>
        <v/>
      </c>
      <c r="AH106" s="23" t="str">
        <f t="shared" si="125"/>
        <v/>
      </c>
      <c r="AI106" s="9" t="str">
        <f t="shared" si="110"/>
        <v/>
      </c>
      <c r="AJ106" s="4" t="str">
        <f t="shared" si="111"/>
        <v/>
      </c>
      <c r="AK106" s="4"/>
      <c r="AL106" s="4"/>
      <c r="AM106" s="4"/>
      <c r="AN106" s="4"/>
      <c r="AO106" s="4"/>
      <c r="AP106" s="20" t="str">
        <f t="shared" si="112"/>
        <v>-</v>
      </c>
      <c r="AQ106" s="13" t="str">
        <f t="shared" si="126"/>
        <v>-</v>
      </c>
      <c r="AR106" s="13" t="str">
        <f t="shared" si="127"/>
        <v>-</v>
      </c>
      <c r="AS106" s="13" t="str">
        <f t="shared" si="113"/>
        <v>-</v>
      </c>
      <c r="AT106" s="16" t="str">
        <f t="shared" si="128"/>
        <v>-</v>
      </c>
      <c r="AU106" s="16" t="str">
        <f t="shared" si="114"/>
        <v>-</v>
      </c>
      <c r="AV106" s="16" t="str">
        <f t="shared" si="115"/>
        <v>-</v>
      </c>
      <c r="AW106" s="16" t="str">
        <f t="shared" si="129"/>
        <v>-</v>
      </c>
      <c r="AX106" s="13" t="str">
        <f t="shared" si="130"/>
        <v>-</v>
      </c>
      <c r="AY106" s="10" t="str">
        <f t="shared" si="131"/>
        <v>-</v>
      </c>
      <c r="AZ106" s="9" t="str">
        <f t="shared" si="132"/>
        <v>-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</row>
    <row r="107" spans="2:68" x14ac:dyDescent="0.3">
      <c r="B107" s="108" t="str">
        <f t="shared" si="116"/>
        <v/>
      </c>
      <c r="C107" s="108" t="str">
        <f t="shared" si="100"/>
        <v/>
      </c>
      <c r="D107" s="3"/>
      <c r="E107" s="3"/>
      <c r="F107" s="3"/>
      <c r="G107" s="20">
        <f>IFERROR(INDEX('Input - Supermarket'!F$2:F$200,MATCH('Calculations - Supermarket'!$C107,'Input - Supermarket'!$B$2:$B$200,0)),"")</f>
        <v>0</v>
      </c>
      <c r="H107" s="20">
        <f>IFERROR(INDEX('Input - Supermarket'!G$2:G$200,MATCH('Calculations - Supermarket'!$C107,'Input - Supermarket'!$B$2:$B$200,0)),"")</f>
        <v>0</v>
      </c>
      <c r="I107" s="21">
        <f>IFERROR(INDEX('Input - Supermarket'!H$2:H$200,MATCH('Calculations - Supermarket'!$C107,'Input - Supermarket'!$B$2:$B$200,0)),"")</f>
        <v>0</v>
      </c>
      <c r="J107" s="21">
        <f>IFERROR(INDEX('Input - Supermarket'!I$2:I$200,MATCH('Calculations - Supermarket'!$C107,'Input - Supermarket'!$B$2:$B$200,0)),"")</f>
        <v>0</v>
      </c>
      <c r="K107" s="20">
        <f>IFERROR(INDEX('Input - Supermarket'!J$2:J$200,MATCH('Calculations - Supermarket'!$C107,'Input - Supermarket'!$B$2:$B$200,0)),"")</f>
        <v>0</v>
      </c>
      <c r="L107" s="20">
        <f>IFERROR(INDEX('Input - Supermarket'!K$2:K$200,MATCH('Calculations - Supermarket'!$C107,'Input - Supermarket'!$B$2:$B$200,0)),"")</f>
        <v>0</v>
      </c>
      <c r="M107" s="21" t="str">
        <f t="shared" si="117"/>
        <v/>
      </c>
      <c r="N107" s="21" t="str">
        <f t="shared" si="101"/>
        <v/>
      </c>
      <c r="O107" s="21">
        <f t="shared" si="118"/>
        <v>0</v>
      </c>
      <c r="P107" s="9">
        <f t="shared" si="102"/>
        <v>0</v>
      </c>
      <c r="Q107" s="9">
        <f t="shared" si="103"/>
        <v>0</v>
      </c>
      <c r="R107" s="22" t="str">
        <f>IFERROR(INDEX(Supermarket!$Q$11:$Q$170,MATCH('Calculations - Supermarket'!$C107,Supermarket!$M$11:$M$170,0)),"")</f>
        <v/>
      </c>
      <c r="S107" s="22" t="str">
        <f>IFERROR(INDEX(Supermarket!$R$11:$R$170,MATCH('Calculations - Supermarket'!$C107,Supermarket!$M$11:$M$170,0)),"")</f>
        <v/>
      </c>
      <c r="T107" s="16" t="e">
        <f t="shared" si="104"/>
        <v>#VALUE!</v>
      </c>
      <c r="U107" s="16" t="e">
        <f t="shared" si="119"/>
        <v>#VALUE!</v>
      </c>
      <c r="V107" s="16" t="e">
        <f t="shared" si="120"/>
        <v>#VALUE!</v>
      </c>
      <c r="W107" s="10" t="str">
        <f t="shared" si="105"/>
        <v>-</v>
      </c>
      <c r="X107" s="10" t="str">
        <f t="shared" si="106"/>
        <v>-</v>
      </c>
      <c r="Y107" s="13" t="str">
        <f t="shared" si="121"/>
        <v>-</v>
      </c>
      <c r="Z107" s="9" t="str">
        <f t="shared" si="107"/>
        <v>-</v>
      </c>
      <c r="AA107" s="16" t="str">
        <f t="shared" si="122"/>
        <v>-</v>
      </c>
      <c r="AB107" s="16" t="str">
        <f t="shared" si="108"/>
        <v>-</v>
      </c>
      <c r="AC107" s="16" t="str">
        <f t="shared" si="109"/>
        <v>-</v>
      </c>
      <c r="AD107" s="16" t="str">
        <f t="shared" si="123"/>
        <v>-</v>
      </c>
      <c r="AE107" s="16"/>
      <c r="AF107" s="31" t="str">
        <f>IFERROR(INDEX(Supermarket!$P$11:$P$170,MATCH('Calculations - Supermarket'!C107,Supermarket!$M$11:$M$170,0)),"")</f>
        <v/>
      </c>
      <c r="AG107" s="23" t="str">
        <f t="shared" si="124"/>
        <v/>
      </c>
      <c r="AH107" s="23" t="str">
        <f t="shared" si="125"/>
        <v/>
      </c>
      <c r="AI107" s="9" t="str">
        <f t="shared" si="110"/>
        <v/>
      </c>
      <c r="AJ107" s="4" t="str">
        <f t="shared" si="111"/>
        <v/>
      </c>
      <c r="AK107" s="4"/>
      <c r="AL107" s="4"/>
      <c r="AM107" s="4"/>
      <c r="AN107" s="4"/>
      <c r="AO107" s="4"/>
      <c r="AP107" s="20" t="str">
        <f t="shared" si="112"/>
        <v>-</v>
      </c>
      <c r="AQ107" s="13" t="str">
        <f t="shared" si="126"/>
        <v>-</v>
      </c>
      <c r="AR107" s="13" t="str">
        <f t="shared" si="127"/>
        <v>-</v>
      </c>
      <c r="AS107" s="13" t="str">
        <f t="shared" si="113"/>
        <v>-</v>
      </c>
      <c r="AT107" s="16" t="str">
        <f t="shared" si="128"/>
        <v>-</v>
      </c>
      <c r="AU107" s="16" t="str">
        <f t="shared" si="114"/>
        <v>-</v>
      </c>
      <c r="AV107" s="16" t="str">
        <f t="shared" si="115"/>
        <v>-</v>
      </c>
      <c r="AW107" s="16" t="str">
        <f t="shared" si="129"/>
        <v>-</v>
      </c>
      <c r="AX107" s="13" t="str">
        <f t="shared" si="130"/>
        <v>-</v>
      </c>
      <c r="AY107" s="10" t="str">
        <f t="shared" si="131"/>
        <v>-</v>
      </c>
      <c r="AZ107" s="9" t="str">
        <f t="shared" si="132"/>
        <v>-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</row>
    <row r="108" spans="2:68" x14ac:dyDescent="0.3">
      <c r="B108" s="108" t="str">
        <f t="shared" si="116"/>
        <v/>
      </c>
      <c r="C108" s="108" t="str">
        <f t="shared" si="100"/>
        <v/>
      </c>
      <c r="D108" s="3"/>
      <c r="E108" s="3"/>
      <c r="F108" s="3"/>
      <c r="G108" s="20">
        <f>IFERROR(INDEX('Input - Supermarket'!F$2:F$200,MATCH('Calculations - Supermarket'!$C108,'Input - Supermarket'!$B$2:$B$200,0)),"")</f>
        <v>0</v>
      </c>
      <c r="H108" s="20">
        <f>IFERROR(INDEX('Input - Supermarket'!G$2:G$200,MATCH('Calculations - Supermarket'!$C108,'Input - Supermarket'!$B$2:$B$200,0)),"")</f>
        <v>0</v>
      </c>
      <c r="I108" s="21">
        <f>IFERROR(INDEX('Input - Supermarket'!H$2:H$200,MATCH('Calculations - Supermarket'!$C108,'Input - Supermarket'!$B$2:$B$200,0)),"")</f>
        <v>0</v>
      </c>
      <c r="J108" s="21">
        <f>IFERROR(INDEX('Input - Supermarket'!I$2:I$200,MATCH('Calculations - Supermarket'!$C108,'Input - Supermarket'!$B$2:$B$200,0)),"")</f>
        <v>0</v>
      </c>
      <c r="K108" s="20">
        <f>IFERROR(INDEX('Input - Supermarket'!J$2:J$200,MATCH('Calculations - Supermarket'!$C108,'Input - Supermarket'!$B$2:$B$200,0)),"")</f>
        <v>0</v>
      </c>
      <c r="L108" s="20">
        <f>IFERROR(INDEX('Input - Supermarket'!K$2:K$200,MATCH('Calculations - Supermarket'!$C108,'Input - Supermarket'!$B$2:$B$200,0)),"")</f>
        <v>0</v>
      </c>
      <c r="M108" s="21" t="str">
        <f t="shared" si="117"/>
        <v/>
      </c>
      <c r="N108" s="21" t="str">
        <f t="shared" si="101"/>
        <v/>
      </c>
      <c r="O108" s="21">
        <f t="shared" si="118"/>
        <v>0</v>
      </c>
      <c r="P108" s="9">
        <f t="shared" si="102"/>
        <v>0</v>
      </c>
      <c r="Q108" s="9">
        <f t="shared" si="103"/>
        <v>0</v>
      </c>
      <c r="R108" s="22" t="str">
        <f>IFERROR(INDEX(Supermarket!$Q$11:$Q$170,MATCH('Calculations - Supermarket'!$C108,Supermarket!$M$11:$M$170,0)),"")</f>
        <v/>
      </c>
      <c r="S108" s="22" t="str">
        <f>IFERROR(INDEX(Supermarket!$R$11:$R$170,MATCH('Calculations - Supermarket'!$C108,Supermarket!$M$11:$M$170,0)),"")</f>
        <v/>
      </c>
      <c r="T108" s="16" t="e">
        <f t="shared" si="104"/>
        <v>#VALUE!</v>
      </c>
      <c r="U108" s="16" t="e">
        <f t="shared" si="119"/>
        <v>#VALUE!</v>
      </c>
      <c r="V108" s="16" t="e">
        <f t="shared" si="120"/>
        <v>#VALUE!</v>
      </c>
      <c r="W108" s="10" t="str">
        <f t="shared" si="105"/>
        <v>-</v>
      </c>
      <c r="X108" s="10" t="str">
        <f t="shared" si="106"/>
        <v>-</v>
      </c>
      <c r="Y108" s="13" t="str">
        <f t="shared" si="121"/>
        <v>-</v>
      </c>
      <c r="Z108" s="9" t="str">
        <f t="shared" si="107"/>
        <v>-</v>
      </c>
      <c r="AA108" s="16" t="str">
        <f t="shared" si="122"/>
        <v>-</v>
      </c>
      <c r="AB108" s="16" t="str">
        <f t="shared" si="108"/>
        <v>-</v>
      </c>
      <c r="AC108" s="16" t="str">
        <f t="shared" si="109"/>
        <v>-</v>
      </c>
      <c r="AD108" s="16" t="str">
        <f t="shared" si="123"/>
        <v>-</v>
      </c>
      <c r="AE108" s="16"/>
      <c r="AF108" s="31" t="str">
        <f>IFERROR(INDEX(Supermarket!$P$11:$P$170,MATCH('Calculations - Supermarket'!C108,Supermarket!$M$11:$M$170,0)),"")</f>
        <v/>
      </c>
      <c r="AG108" s="23" t="str">
        <f t="shared" si="124"/>
        <v/>
      </c>
      <c r="AH108" s="23" t="str">
        <f t="shared" si="125"/>
        <v/>
      </c>
      <c r="AI108" s="9" t="str">
        <f t="shared" si="110"/>
        <v/>
      </c>
      <c r="AJ108" s="4" t="str">
        <f t="shared" si="111"/>
        <v/>
      </c>
      <c r="AK108" s="4"/>
      <c r="AL108" s="4"/>
      <c r="AM108" s="4"/>
      <c r="AN108" s="4"/>
      <c r="AO108" s="4"/>
      <c r="AP108" s="20" t="str">
        <f t="shared" si="112"/>
        <v>-</v>
      </c>
      <c r="AQ108" s="13" t="str">
        <f t="shared" si="126"/>
        <v>-</v>
      </c>
      <c r="AR108" s="13" t="str">
        <f t="shared" si="127"/>
        <v>-</v>
      </c>
      <c r="AS108" s="13" t="str">
        <f t="shared" si="113"/>
        <v>-</v>
      </c>
      <c r="AT108" s="16" t="str">
        <f t="shared" si="128"/>
        <v>-</v>
      </c>
      <c r="AU108" s="16" t="str">
        <f t="shared" si="114"/>
        <v>-</v>
      </c>
      <c r="AV108" s="16" t="str">
        <f t="shared" si="115"/>
        <v>-</v>
      </c>
      <c r="AW108" s="16" t="str">
        <f t="shared" si="129"/>
        <v>-</v>
      </c>
      <c r="AX108" s="13" t="str">
        <f t="shared" si="130"/>
        <v>-</v>
      </c>
      <c r="AY108" s="10" t="str">
        <f t="shared" si="131"/>
        <v>-</v>
      </c>
      <c r="AZ108" s="9" t="str">
        <f t="shared" si="132"/>
        <v>-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</row>
    <row r="109" spans="2:68" x14ac:dyDescent="0.3">
      <c r="B109" s="108" t="str">
        <f t="shared" si="116"/>
        <v/>
      </c>
      <c r="C109" s="108" t="str">
        <f t="shared" si="100"/>
        <v/>
      </c>
      <c r="D109" s="3"/>
      <c r="E109" s="3"/>
      <c r="F109" s="3"/>
      <c r="G109" s="20">
        <f>IFERROR(INDEX('Input - Supermarket'!F$2:F$200,MATCH('Calculations - Supermarket'!$C109,'Input - Supermarket'!$B$2:$B$200,0)),"")</f>
        <v>0</v>
      </c>
      <c r="H109" s="20">
        <f>IFERROR(INDEX('Input - Supermarket'!G$2:G$200,MATCH('Calculations - Supermarket'!$C109,'Input - Supermarket'!$B$2:$B$200,0)),"")</f>
        <v>0</v>
      </c>
      <c r="I109" s="21">
        <f>IFERROR(INDEX('Input - Supermarket'!H$2:H$200,MATCH('Calculations - Supermarket'!$C109,'Input - Supermarket'!$B$2:$B$200,0)),"")</f>
        <v>0</v>
      </c>
      <c r="J109" s="21">
        <f>IFERROR(INDEX('Input - Supermarket'!I$2:I$200,MATCH('Calculations - Supermarket'!$C109,'Input - Supermarket'!$B$2:$B$200,0)),"")</f>
        <v>0</v>
      </c>
      <c r="K109" s="20">
        <f>IFERROR(INDEX('Input - Supermarket'!J$2:J$200,MATCH('Calculations - Supermarket'!$C109,'Input - Supermarket'!$B$2:$B$200,0)),"")</f>
        <v>0</v>
      </c>
      <c r="L109" s="20">
        <f>IFERROR(INDEX('Input - Supermarket'!K$2:K$200,MATCH('Calculations - Supermarket'!$C109,'Input - Supermarket'!$B$2:$B$200,0)),"")</f>
        <v>0</v>
      </c>
      <c r="M109" s="21" t="str">
        <f t="shared" si="117"/>
        <v/>
      </c>
      <c r="N109" s="21" t="str">
        <f t="shared" si="101"/>
        <v/>
      </c>
      <c r="O109" s="21">
        <f t="shared" si="118"/>
        <v>0</v>
      </c>
      <c r="P109" s="9">
        <f t="shared" si="102"/>
        <v>0</v>
      </c>
      <c r="Q109" s="9">
        <f t="shared" si="103"/>
        <v>0</v>
      </c>
      <c r="R109" s="22" t="str">
        <f>IFERROR(INDEX(Supermarket!$Q$11:$Q$170,MATCH('Calculations - Supermarket'!$C109,Supermarket!$M$11:$M$170,0)),"")</f>
        <v/>
      </c>
      <c r="S109" s="22" t="str">
        <f>IFERROR(INDEX(Supermarket!$R$11:$R$170,MATCH('Calculations - Supermarket'!$C109,Supermarket!$M$11:$M$170,0)),"")</f>
        <v/>
      </c>
      <c r="T109" s="16" t="e">
        <f t="shared" si="104"/>
        <v>#VALUE!</v>
      </c>
      <c r="U109" s="16" t="e">
        <f t="shared" si="119"/>
        <v>#VALUE!</v>
      </c>
      <c r="V109" s="16" t="e">
        <f t="shared" si="120"/>
        <v>#VALUE!</v>
      </c>
      <c r="W109" s="10" t="str">
        <f t="shared" si="105"/>
        <v>-</v>
      </c>
      <c r="X109" s="10" t="str">
        <f t="shared" si="106"/>
        <v>-</v>
      </c>
      <c r="Y109" s="13" t="str">
        <f t="shared" si="121"/>
        <v>-</v>
      </c>
      <c r="Z109" s="9" t="str">
        <f t="shared" si="107"/>
        <v>-</v>
      </c>
      <c r="AA109" s="16" t="str">
        <f t="shared" si="122"/>
        <v>-</v>
      </c>
      <c r="AB109" s="16" t="str">
        <f t="shared" si="108"/>
        <v>-</v>
      </c>
      <c r="AC109" s="16" t="str">
        <f t="shared" si="109"/>
        <v>-</v>
      </c>
      <c r="AD109" s="16" t="str">
        <f t="shared" si="123"/>
        <v>-</v>
      </c>
      <c r="AE109" s="16"/>
      <c r="AF109" s="31" t="str">
        <f>IFERROR(INDEX(Supermarket!$P$11:$P$170,MATCH('Calculations - Supermarket'!C109,Supermarket!$M$11:$M$170,0)),"")</f>
        <v/>
      </c>
      <c r="AG109" s="23" t="str">
        <f t="shared" si="124"/>
        <v/>
      </c>
      <c r="AH109" s="23" t="str">
        <f t="shared" si="125"/>
        <v/>
      </c>
      <c r="AI109" s="9" t="str">
        <f t="shared" si="110"/>
        <v/>
      </c>
      <c r="AJ109" s="4" t="str">
        <f t="shared" si="111"/>
        <v/>
      </c>
      <c r="AK109" s="4"/>
      <c r="AL109" s="4"/>
      <c r="AM109" s="4"/>
      <c r="AN109" s="4"/>
      <c r="AO109" s="4"/>
      <c r="AP109" s="20" t="str">
        <f t="shared" si="112"/>
        <v>-</v>
      </c>
      <c r="AQ109" s="13" t="str">
        <f t="shared" si="126"/>
        <v>-</v>
      </c>
      <c r="AR109" s="13" t="str">
        <f t="shared" si="127"/>
        <v>-</v>
      </c>
      <c r="AS109" s="13" t="str">
        <f t="shared" si="113"/>
        <v>-</v>
      </c>
      <c r="AT109" s="16" t="str">
        <f t="shared" si="128"/>
        <v>-</v>
      </c>
      <c r="AU109" s="16" t="str">
        <f t="shared" si="114"/>
        <v>-</v>
      </c>
      <c r="AV109" s="16" t="str">
        <f t="shared" si="115"/>
        <v>-</v>
      </c>
      <c r="AW109" s="16" t="str">
        <f t="shared" si="129"/>
        <v>-</v>
      </c>
      <c r="AX109" s="13" t="str">
        <f t="shared" si="130"/>
        <v>-</v>
      </c>
      <c r="AY109" s="10" t="str">
        <f t="shared" si="131"/>
        <v>-</v>
      </c>
      <c r="AZ109" s="9" t="str">
        <f t="shared" si="132"/>
        <v>-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</row>
    <row r="110" spans="2:68" x14ac:dyDescent="0.3">
      <c r="B110" s="108" t="str">
        <f t="shared" si="116"/>
        <v/>
      </c>
      <c r="C110" s="108" t="str">
        <f t="shared" si="100"/>
        <v/>
      </c>
      <c r="D110" s="3"/>
      <c r="E110" s="3"/>
      <c r="F110" s="3"/>
      <c r="G110" s="20">
        <f>IFERROR(INDEX('Input - Supermarket'!F$2:F$200,MATCH('Calculations - Supermarket'!$C110,'Input - Supermarket'!$B$2:$B$200,0)),"")</f>
        <v>0</v>
      </c>
      <c r="H110" s="20">
        <f>IFERROR(INDEX('Input - Supermarket'!G$2:G$200,MATCH('Calculations - Supermarket'!$C110,'Input - Supermarket'!$B$2:$B$200,0)),"")</f>
        <v>0</v>
      </c>
      <c r="I110" s="21">
        <f>IFERROR(INDEX('Input - Supermarket'!H$2:H$200,MATCH('Calculations - Supermarket'!$C110,'Input - Supermarket'!$B$2:$B$200,0)),"")</f>
        <v>0</v>
      </c>
      <c r="J110" s="21">
        <f>IFERROR(INDEX('Input - Supermarket'!I$2:I$200,MATCH('Calculations - Supermarket'!$C110,'Input - Supermarket'!$B$2:$B$200,0)),"")</f>
        <v>0</v>
      </c>
      <c r="K110" s="20">
        <f>IFERROR(INDEX('Input - Supermarket'!J$2:J$200,MATCH('Calculations - Supermarket'!$C110,'Input - Supermarket'!$B$2:$B$200,0)),"")</f>
        <v>0</v>
      </c>
      <c r="L110" s="20">
        <f>IFERROR(INDEX('Input - Supermarket'!K$2:K$200,MATCH('Calculations - Supermarket'!$C110,'Input - Supermarket'!$B$2:$B$200,0)),"")</f>
        <v>0</v>
      </c>
      <c r="M110" s="21" t="str">
        <f t="shared" si="117"/>
        <v/>
      </c>
      <c r="N110" s="21" t="str">
        <f t="shared" si="101"/>
        <v/>
      </c>
      <c r="O110" s="21">
        <f t="shared" si="118"/>
        <v>0</v>
      </c>
      <c r="P110" s="9">
        <f t="shared" si="102"/>
        <v>0</v>
      </c>
      <c r="Q110" s="9">
        <f t="shared" si="103"/>
        <v>0</v>
      </c>
      <c r="R110" s="22" t="str">
        <f>IFERROR(INDEX(Supermarket!$Q$11:$Q$170,MATCH('Calculations - Supermarket'!$C110,Supermarket!$M$11:$M$170,0)),"")</f>
        <v/>
      </c>
      <c r="S110" s="22" t="str">
        <f>IFERROR(INDEX(Supermarket!$R$11:$R$170,MATCH('Calculations - Supermarket'!$C110,Supermarket!$M$11:$M$170,0)),"")</f>
        <v/>
      </c>
      <c r="T110" s="16" t="e">
        <f t="shared" si="104"/>
        <v>#VALUE!</v>
      </c>
      <c r="U110" s="16" t="e">
        <f t="shared" si="119"/>
        <v>#VALUE!</v>
      </c>
      <c r="V110" s="16" t="e">
        <f t="shared" si="120"/>
        <v>#VALUE!</v>
      </c>
      <c r="W110" s="10" t="str">
        <f t="shared" si="105"/>
        <v>-</v>
      </c>
      <c r="X110" s="10" t="str">
        <f t="shared" si="106"/>
        <v>-</v>
      </c>
      <c r="Y110" s="13" t="str">
        <f t="shared" si="121"/>
        <v>-</v>
      </c>
      <c r="Z110" s="9" t="str">
        <f t="shared" si="107"/>
        <v>-</v>
      </c>
      <c r="AA110" s="16" t="str">
        <f t="shared" si="122"/>
        <v>-</v>
      </c>
      <c r="AB110" s="16" t="str">
        <f t="shared" si="108"/>
        <v>-</v>
      </c>
      <c r="AC110" s="16" t="str">
        <f t="shared" si="109"/>
        <v>-</v>
      </c>
      <c r="AD110" s="16" t="str">
        <f t="shared" si="123"/>
        <v>-</v>
      </c>
      <c r="AE110" s="16"/>
      <c r="AF110" s="31" t="str">
        <f>IFERROR(INDEX(Supermarket!$P$11:$P$170,MATCH('Calculations - Supermarket'!C110,Supermarket!$M$11:$M$170,0)),"")</f>
        <v/>
      </c>
      <c r="AG110" s="23" t="str">
        <f t="shared" si="124"/>
        <v/>
      </c>
      <c r="AH110" s="23" t="str">
        <f t="shared" si="125"/>
        <v/>
      </c>
      <c r="AI110" s="9" t="str">
        <f t="shared" si="110"/>
        <v/>
      </c>
      <c r="AJ110" s="4" t="str">
        <f t="shared" si="111"/>
        <v/>
      </c>
      <c r="AK110" s="4"/>
      <c r="AL110" s="4"/>
      <c r="AM110" s="4"/>
      <c r="AN110" s="4"/>
      <c r="AO110" s="4"/>
      <c r="AP110" s="20" t="str">
        <f t="shared" si="112"/>
        <v>-</v>
      </c>
      <c r="AQ110" s="13" t="str">
        <f t="shared" si="126"/>
        <v>-</v>
      </c>
      <c r="AR110" s="13" t="str">
        <f t="shared" si="127"/>
        <v>-</v>
      </c>
      <c r="AS110" s="13" t="str">
        <f t="shared" si="113"/>
        <v>-</v>
      </c>
      <c r="AT110" s="16" t="str">
        <f t="shared" si="128"/>
        <v>-</v>
      </c>
      <c r="AU110" s="16" t="str">
        <f t="shared" si="114"/>
        <v>-</v>
      </c>
      <c r="AV110" s="16" t="str">
        <f t="shared" si="115"/>
        <v>-</v>
      </c>
      <c r="AW110" s="16" t="str">
        <f t="shared" si="129"/>
        <v>-</v>
      </c>
      <c r="AX110" s="13" t="str">
        <f t="shared" si="130"/>
        <v>-</v>
      </c>
      <c r="AY110" s="10" t="str">
        <f t="shared" si="131"/>
        <v>-</v>
      </c>
      <c r="AZ110" s="9" t="str">
        <f t="shared" si="132"/>
        <v>-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</row>
    <row r="111" spans="2:68" x14ac:dyDescent="0.3">
      <c r="B111" s="108" t="str">
        <f t="shared" si="116"/>
        <v/>
      </c>
      <c r="C111" s="108" t="str">
        <f t="shared" si="100"/>
        <v/>
      </c>
      <c r="D111" s="3"/>
      <c r="E111" s="3"/>
      <c r="F111" s="3"/>
      <c r="G111" s="20">
        <f>IFERROR(INDEX('Input - Supermarket'!F$2:F$200,MATCH('Calculations - Supermarket'!$C111,'Input - Supermarket'!$B$2:$B$200,0)),"")</f>
        <v>0</v>
      </c>
      <c r="H111" s="20">
        <f>IFERROR(INDEX('Input - Supermarket'!G$2:G$200,MATCH('Calculations - Supermarket'!$C111,'Input - Supermarket'!$B$2:$B$200,0)),"")</f>
        <v>0</v>
      </c>
      <c r="I111" s="21">
        <f>IFERROR(INDEX('Input - Supermarket'!H$2:H$200,MATCH('Calculations - Supermarket'!$C111,'Input - Supermarket'!$B$2:$B$200,0)),"")</f>
        <v>0</v>
      </c>
      <c r="J111" s="21">
        <f>IFERROR(INDEX('Input - Supermarket'!I$2:I$200,MATCH('Calculations - Supermarket'!$C111,'Input - Supermarket'!$B$2:$B$200,0)),"")</f>
        <v>0</v>
      </c>
      <c r="K111" s="20">
        <f>IFERROR(INDEX('Input - Supermarket'!J$2:J$200,MATCH('Calculations - Supermarket'!$C111,'Input - Supermarket'!$B$2:$B$200,0)),"")</f>
        <v>0</v>
      </c>
      <c r="L111" s="20">
        <f>IFERROR(INDEX('Input - Supermarket'!K$2:K$200,MATCH('Calculations - Supermarket'!$C111,'Input - Supermarket'!$B$2:$B$200,0)),"")</f>
        <v>0</v>
      </c>
      <c r="M111" s="21" t="str">
        <f t="shared" si="117"/>
        <v/>
      </c>
      <c r="N111" s="21" t="str">
        <f t="shared" si="101"/>
        <v/>
      </c>
      <c r="O111" s="21">
        <f t="shared" si="118"/>
        <v>0</v>
      </c>
      <c r="P111" s="9">
        <f t="shared" si="102"/>
        <v>0</v>
      </c>
      <c r="Q111" s="9">
        <f t="shared" si="103"/>
        <v>0</v>
      </c>
      <c r="R111" s="22" t="str">
        <f>IFERROR(INDEX(Supermarket!$Q$11:$Q$170,MATCH('Calculations - Supermarket'!$C111,Supermarket!$M$11:$M$170,0)),"")</f>
        <v/>
      </c>
      <c r="S111" s="22" t="str">
        <f>IFERROR(INDEX(Supermarket!$R$11:$R$170,MATCH('Calculations - Supermarket'!$C111,Supermarket!$M$11:$M$170,0)),"")</f>
        <v/>
      </c>
      <c r="T111" s="16" t="e">
        <f t="shared" si="104"/>
        <v>#VALUE!</v>
      </c>
      <c r="U111" s="16" t="e">
        <f t="shared" si="119"/>
        <v>#VALUE!</v>
      </c>
      <c r="V111" s="16" t="e">
        <f t="shared" si="120"/>
        <v>#VALUE!</v>
      </c>
      <c r="W111" s="10" t="str">
        <f t="shared" si="105"/>
        <v>-</v>
      </c>
      <c r="X111" s="10" t="str">
        <f t="shared" si="106"/>
        <v>-</v>
      </c>
      <c r="Y111" s="13" t="str">
        <f t="shared" si="121"/>
        <v>-</v>
      </c>
      <c r="Z111" s="9" t="str">
        <f t="shared" si="107"/>
        <v>-</v>
      </c>
      <c r="AA111" s="16" t="str">
        <f t="shared" si="122"/>
        <v>-</v>
      </c>
      <c r="AB111" s="16" t="str">
        <f t="shared" si="108"/>
        <v>-</v>
      </c>
      <c r="AC111" s="16" t="str">
        <f t="shared" si="109"/>
        <v>-</v>
      </c>
      <c r="AD111" s="16" t="str">
        <f t="shared" si="123"/>
        <v>-</v>
      </c>
      <c r="AE111" s="16"/>
      <c r="AF111" s="31" t="str">
        <f>IFERROR(INDEX(Supermarket!$P$11:$P$170,MATCH('Calculations - Supermarket'!C111,Supermarket!$M$11:$M$170,0)),"")</f>
        <v/>
      </c>
      <c r="AG111" s="23" t="str">
        <f t="shared" si="124"/>
        <v/>
      </c>
      <c r="AH111" s="23" t="str">
        <f t="shared" si="125"/>
        <v/>
      </c>
      <c r="AI111" s="9" t="str">
        <f t="shared" si="110"/>
        <v/>
      </c>
      <c r="AJ111" s="4" t="str">
        <f t="shared" si="111"/>
        <v/>
      </c>
      <c r="AK111" s="4"/>
      <c r="AL111" s="4"/>
      <c r="AM111" s="4"/>
      <c r="AN111" s="4"/>
      <c r="AO111" s="4"/>
      <c r="AP111" s="20" t="str">
        <f t="shared" si="112"/>
        <v>-</v>
      </c>
      <c r="AQ111" s="13" t="str">
        <f t="shared" si="126"/>
        <v>-</v>
      </c>
      <c r="AR111" s="13" t="str">
        <f t="shared" si="127"/>
        <v>-</v>
      </c>
      <c r="AS111" s="13" t="str">
        <f t="shared" si="113"/>
        <v>-</v>
      </c>
      <c r="AT111" s="16" t="str">
        <f t="shared" si="128"/>
        <v>-</v>
      </c>
      <c r="AU111" s="16" t="str">
        <f t="shared" si="114"/>
        <v>-</v>
      </c>
      <c r="AV111" s="16" t="str">
        <f t="shared" si="115"/>
        <v>-</v>
      </c>
      <c r="AW111" s="16" t="str">
        <f t="shared" si="129"/>
        <v>-</v>
      </c>
      <c r="AX111" s="13" t="str">
        <f t="shared" si="130"/>
        <v>-</v>
      </c>
      <c r="AY111" s="10" t="str">
        <f t="shared" si="131"/>
        <v>-</v>
      </c>
      <c r="AZ111" s="9" t="str">
        <f t="shared" si="132"/>
        <v>-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</row>
    <row r="112" spans="2:68" x14ac:dyDescent="0.3">
      <c r="B112" s="108" t="str">
        <f t="shared" si="116"/>
        <v/>
      </c>
      <c r="C112" s="108" t="str">
        <f t="shared" si="100"/>
        <v/>
      </c>
      <c r="D112" s="3"/>
      <c r="E112" s="3"/>
      <c r="F112" s="3"/>
      <c r="G112" s="20">
        <f>IFERROR(INDEX('Input - Supermarket'!F$2:F$200,MATCH('Calculations - Supermarket'!$C112,'Input - Supermarket'!$B$2:$B$200,0)),"")</f>
        <v>0</v>
      </c>
      <c r="H112" s="20">
        <f>IFERROR(INDEX('Input - Supermarket'!G$2:G$200,MATCH('Calculations - Supermarket'!$C112,'Input - Supermarket'!$B$2:$B$200,0)),"")</f>
        <v>0</v>
      </c>
      <c r="I112" s="21">
        <f>IFERROR(INDEX('Input - Supermarket'!H$2:H$200,MATCH('Calculations - Supermarket'!$C112,'Input - Supermarket'!$B$2:$B$200,0)),"")</f>
        <v>0</v>
      </c>
      <c r="J112" s="21">
        <f>IFERROR(INDEX('Input - Supermarket'!I$2:I$200,MATCH('Calculations - Supermarket'!$C112,'Input - Supermarket'!$B$2:$B$200,0)),"")</f>
        <v>0</v>
      </c>
      <c r="K112" s="20">
        <f>IFERROR(INDEX('Input - Supermarket'!J$2:J$200,MATCH('Calculations - Supermarket'!$C112,'Input - Supermarket'!$B$2:$B$200,0)),"")</f>
        <v>0</v>
      </c>
      <c r="L112" s="20">
        <f>IFERROR(INDEX('Input - Supermarket'!K$2:K$200,MATCH('Calculations - Supermarket'!$C112,'Input - Supermarket'!$B$2:$B$200,0)),"")</f>
        <v>0</v>
      </c>
      <c r="M112" s="21" t="str">
        <f t="shared" si="117"/>
        <v/>
      </c>
      <c r="N112" s="21" t="str">
        <f t="shared" si="101"/>
        <v/>
      </c>
      <c r="O112" s="21">
        <f t="shared" si="118"/>
        <v>0</v>
      </c>
      <c r="P112" s="9">
        <f t="shared" si="102"/>
        <v>0</v>
      </c>
      <c r="Q112" s="9">
        <f t="shared" si="103"/>
        <v>0</v>
      </c>
      <c r="R112" s="22" t="str">
        <f>IFERROR(INDEX(Supermarket!$Q$11:$Q$170,MATCH('Calculations - Supermarket'!$C112,Supermarket!$M$11:$M$170,0)),"")</f>
        <v/>
      </c>
      <c r="S112" s="22" t="str">
        <f>IFERROR(INDEX(Supermarket!$R$11:$R$170,MATCH('Calculations - Supermarket'!$C112,Supermarket!$M$11:$M$170,0)),"")</f>
        <v/>
      </c>
      <c r="T112" s="16" t="e">
        <f t="shared" si="104"/>
        <v>#VALUE!</v>
      </c>
      <c r="U112" s="16" t="e">
        <f t="shared" si="119"/>
        <v>#VALUE!</v>
      </c>
      <c r="V112" s="16" t="e">
        <f t="shared" si="120"/>
        <v>#VALUE!</v>
      </c>
      <c r="W112" s="10" t="str">
        <f t="shared" si="105"/>
        <v>-</v>
      </c>
      <c r="X112" s="10" t="str">
        <f t="shared" si="106"/>
        <v>-</v>
      </c>
      <c r="Y112" s="13" t="str">
        <f t="shared" si="121"/>
        <v>-</v>
      </c>
      <c r="Z112" s="9" t="str">
        <f t="shared" si="107"/>
        <v>-</v>
      </c>
      <c r="AA112" s="16" t="str">
        <f t="shared" si="122"/>
        <v>-</v>
      </c>
      <c r="AB112" s="16" t="str">
        <f t="shared" si="108"/>
        <v>-</v>
      </c>
      <c r="AC112" s="16" t="str">
        <f t="shared" si="109"/>
        <v>-</v>
      </c>
      <c r="AD112" s="16" t="str">
        <f t="shared" si="123"/>
        <v>-</v>
      </c>
      <c r="AE112" s="16"/>
      <c r="AF112" s="31" t="str">
        <f>IFERROR(INDEX(Supermarket!$P$11:$P$170,MATCH('Calculations - Supermarket'!C112,Supermarket!$M$11:$M$170,0)),"")</f>
        <v/>
      </c>
      <c r="AG112" s="23" t="str">
        <f t="shared" si="124"/>
        <v/>
      </c>
      <c r="AH112" s="23" t="str">
        <f t="shared" si="125"/>
        <v/>
      </c>
      <c r="AI112" s="9" t="str">
        <f t="shared" si="110"/>
        <v/>
      </c>
      <c r="AJ112" s="4" t="str">
        <f t="shared" si="111"/>
        <v/>
      </c>
      <c r="AK112" s="4"/>
      <c r="AL112" s="4"/>
      <c r="AM112" s="4"/>
      <c r="AN112" s="4"/>
      <c r="AO112" s="4"/>
      <c r="AP112" s="20" t="str">
        <f t="shared" si="112"/>
        <v>-</v>
      </c>
      <c r="AQ112" s="13" t="str">
        <f t="shared" si="126"/>
        <v>-</v>
      </c>
      <c r="AR112" s="13" t="str">
        <f t="shared" si="127"/>
        <v>-</v>
      </c>
      <c r="AS112" s="13" t="str">
        <f t="shared" si="113"/>
        <v>-</v>
      </c>
      <c r="AT112" s="16" t="str">
        <f t="shared" si="128"/>
        <v>-</v>
      </c>
      <c r="AU112" s="16" t="str">
        <f t="shared" si="114"/>
        <v>-</v>
      </c>
      <c r="AV112" s="16" t="str">
        <f t="shared" si="115"/>
        <v>-</v>
      </c>
      <c r="AW112" s="16" t="str">
        <f t="shared" si="129"/>
        <v>-</v>
      </c>
      <c r="AX112" s="13" t="str">
        <f t="shared" si="130"/>
        <v>-</v>
      </c>
      <c r="AY112" s="10" t="str">
        <f t="shared" si="131"/>
        <v>-</v>
      </c>
      <c r="AZ112" s="9" t="str">
        <f t="shared" si="132"/>
        <v>-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</row>
    <row r="113" spans="2:68" x14ac:dyDescent="0.3">
      <c r="B113" s="108" t="str">
        <f t="shared" si="116"/>
        <v/>
      </c>
      <c r="C113" s="108" t="str">
        <f t="shared" si="100"/>
        <v/>
      </c>
      <c r="D113" s="3"/>
      <c r="E113" s="3"/>
      <c r="F113" s="3"/>
      <c r="G113" s="20">
        <f>IFERROR(INDEX('Input - Supermarket'!F$2:F$200,MATCH('Calculations - Supermarket'!$C113,'Input - Supermarket'!$B$2:$B$200,0)),"")</f>
        <v>0</v>
      </c>
      <c r="H113" s="20">
        <f>IFERROR(INDEX('Input - Supermarket'!G$2:G$200,MATCH('Calculations - Supermarket'!$C113,'Input - Supermarket'!$B$2:$B$200,0)),"")</f>
        <v>0</v>
      </c>
      <c r="I113" s="21">
        <f>IFERROR(INDEX('Input - Supermarket'!H$2:H$200,MATCH('Calculations - Supermarket'!$C113,'Input - Supermarket'!$B$2:$B$200,0)),"")</f>
        <v>0</v>
      </c>
      <c r="J113" s="21">
        <f>IFERROR(INDEX('Input - Supermarket'!I$2:I$200,MATCH('Calculations - Supermarket'!$C113,'Input - Supermarket'!$B$2:$B$200,0)),"")</f>
        <v>0</v>
      </c>
      <c r="K113" s="20">
        <f>IFERROR(INDEX('Input - Supermarket'!J$2:J$200,MATCH('Calculations - Supermarket'!$C113,'Input - Supermarket'!$B$2:$B$200,0)),"")</f>
        <v>0</v>
      </c>
      <c r="L113" s="20">
        <f>IFERROR(INDEX('Input - Supermarket'!K$2:K$200,MATCH('Calculations - Supermarket'!$C113,'Input - Supermarket'!$B$2:$B$200,0)),"")</f>
        <v>0</v>
      </c>
      <c r="M113" s="21" t="str">
        <f t="shared" si="117"/>
        <v/>
      </c>
      <c r="N113" s="21" t="str">
        <f t="shared" si="101"/>
        <v/>
      </c>
      <c r="O113" s="21">
        <f t="shared" si="118"/>
        <v>0</v>
      </c>
      <c r="P113" s="9">
        <f t="shared" si="102"/>
        <v>0</v>
      </c>
      <c r="Q113" s="9">
        <f t="shared" si="103"/>
        <v>0</v>
      </c>
      <c r="R113" s="22" t="str">
        <f>IFERROR(INDEX(Supermarket!$Q$11:$Q$170,MATCH('Calculations - Supermarket'!$C113,Supermarket!$M$11:$M$170,0)),"")</f>
        <v/>
      </c>
      <c r="S113" s="22" t="str">
        <f>IFERROR(INDEX(Supermarket!$R$11:$R$170,MATCH('Calculations - Supermarket'!$C113,Supermarket!$M$11:$M$170,0)),"")</f>
        <v/>
      </c>
      <c r="T113" s="16" t="e">
        <f t="shared" si="104"/>
        <v>#VALUE!</v>
      </c>
      <c r="U113" s="16" t="e">
        <f t="shared" si="119"/>
        <v>#VALUE!</v>
      </c>
      <c r="V113" s="16" t="e">
        <f t="shared" si="120"/>
        <v>#VALUE!</v>
      </c>
      <c r="W113" s="10" t="str">
        <f t="shared" si="105"/>
        <v>-</v>
      </c>
      <c r="X113" s="10" t="str">
        <f t="shared" si="106"/>
        <v>-</v>
      </c>
      <c r="Y113" s="13" t="str">
        <f t="shared" si="121"/>
        <v>-</v>
      </c>
      <c r="Z113" s="9" t="str">
        <f t="shared" si="107"/>
        <v>-</v>
      </c>
      <c r="AA113" s="16" t="str">
        <f t="shared" si="122"/>
        <v>-</v>
      </c>
      <c r="AB113" s="16" t="str">
        <f t="shared" si="108"/>
        <v>-</v>
      </c>
      <c r="AC113" s="16" t="str">
        <f t="shared" si="109"/>
        <v>-</v>
      </c>
      <c r="AD113" s="16" t="str">
        <f t="shared" si="123"/>
        <v>-</v>
      </c>
      <c r="AE113" s="16"/>
      <c r="AF113" s="31" t="str">
        <f>IFERROR(INDEX(Supermarket!$P$11:$P$170,MATCH('Calculations - Supermarket'!C113,Supermarket!$M$11:$M$170,0)),"")</f>
        <v/>
      </c>
      <c r="AG113" s="23" t="str">
        <f t="shared" si="124"/>
        <v/>
      </c>
      <c r="AH113" s="23" t="str">
        <f t="shared" si="125"/>
        <v/>
      </c>
      <c r="AI113" s="9" t="str">
        <f t="shared" si="110"/>
        <v/>
      </c>
      <c r="AJ113" s="4" t="str">
        <f t="shared" si="111"/>
        <v/>
      </c>
      <c r="AK113" s="4"/>
      <c r="AL113" s="4"/>
      <c r="AM113" s="4"/>
      <c r="AN113" s="4"/>
      <c r="AO113" s="4"/>
      <c r="AP113" s="20" t="str">
        <f t="shared" si="112"/>
        <v>-</v>
      </c>
      <c r="AQ113" s="13" t="str">
        <f t="shared" si="126"/>
        <v>-</v>
      </c>
      <c r="AR113" s="13" t="str">
        <f t="shared" si="127"/>
        <v>-</v>
      </c>
      <c r="AS113" s="13" t="str">
        <f t="shared" si="113"/>
        <v>-</v>
      </c>
      <c r="AT113" s="16" t="str">
        <f t="shared" si="128"/>
        <v>-</v>
      </c>
      <c r="AU113" s="16" t="str">
        <f t="shared" si="114"/>
        <v>-</v>
      </c>
      <c r="AV113" s="16" t="str">
        <f t="shared" si="115"/>
        <v>-</v>
      </c>
      <c r="AW113" s="16" t="str">
        <f t="shared" si="129"/>
        <v>-</v>
      </c>
      <c r="AX113" s="13" t="str">
        <f t="shared" si="130"/>
        <v>-</v>
      </c>
      <c r="AY113" s="10" t="str">
        <f t="shared" si="131"/>
        <v>-</v>
      </c>
      <c r="AZ113" s="9" t="str">
        <f t="shared" si="132"/>
        <v>-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</row>
    <row r="114" spans="2:68" x14ac:dyDescent="0.3">
      <c r="B114" s="108" t="str">
        <f t="shared" si="116"/>
        <v/>
      </c>
      <c r="C114" s="108" t="str">
        <f t="shared" si="100"/>
        <v/>
      </c>
      <c r="D114" s="3"/>
      <c r="E114" s="3"/>
      <c r="F114" s="3"/>
      <c r="G114" s="20">
        <f>IFERROR(INDEX('Input - Supermarket'!F$2:F$200,MATCH('Calculations - Supermarket'!$C114,'Input - Supermarket'!$B$2:$B$200,0)),"")</f>
        <v>0</v>
      </c>
      <c r="H114" s="20">
        <f>IFERROR(INDEX('Input - Supermarket'!G$2:G$200,MATCH('Calculations - Supermarket'!$C114,'Input - Supermarket'!$B$2:$B$200,0)),"")</f>
        <v>0</v>
      </c>
      <c r="I114" s="21">
        <f>IFERROR(INDEX('Input - Supermarket'!H$2:H$200,MATCH('Calculations - Supermarket'!$C114,'Input - Supermarket'!$B$2:$B$200,0)),"")</f>
        <v>0</v>
      </c>
      <c r="J114" s="21">
        <f>IFERROR(INDEX('Input - Supermarket'!I$2:I$200,MATCH('Calculations - Supermarket'!$C114,'Input - Supermarket'!$B$2:$B$200,0)),"")</f>
        <v>0</v>
      </c>
      <c r="K114" s="20">
        <f>IFERROR(INDEX('Input - Supermarket'!J$2:J$200,MATCH('Calculations - Supermarket'!$C114,'Input - Supermarket'!$B$2:$B$200,0)),"")</f>
        <v>0</v>
      </c>
      <c r="L114" s="20">
        <f>IFERROR(INDEX('Input - Supermarket'!K$2:K$200,MATCH('Calculations - Supermarket'!$C114,'Input - Supermarket'!$B$2:$B$200,0)),"")</f>
        <v>0</v>
      </c>
      <c r="M114" s="21" t="str">
        <f t="shared" si="117"/>
        <v/>
      </c>
      <c r="N114" s="21" t="str">
        <f t="shared" si="101"/>
        <v/>
      </c>
      <c r="O114" s="21">
        <f t="shared" si="118"/>
        <v>0</v>
      </c>
      <c r="P114" s="9">
        <f t="shared" si="102"/>
        <v>0</v>
      </c>
      <c r="Q114" s="9">
        <f t="shared" si="103"/>
        <v>0</v>
      </c>
      <c r="R114" s="22" t="str">
        <f>IFERROR(INDEX(Supermarket!$Q$11:$Q$170,MATCH('Calculations - Supermarket'!$C114,Supermarket!$M$11:$M$170,0)),"")</f>
        <v/>
      </c>
      <c r="S114" s="22" t="str">
        <f>IFERROR(INDEX(Supermarket!$R$11:$R$170,MATCH('Calculations - Supermarket'!$C114,Supermarket!$M$11:$M$170,0)),"")</f>
        <v/>
      </c>
      <c r="T114" s="16" t="e">
        <f t="shared" si="104"/>
        <v>#VALUE!</v>
      </c>
      <c r="U114" s="16" t="e">
        <f t="shared" si="119"/>
        <v>#VALUE!</v>
      </c>
      <c r="V114" s="16" t="e">
        <f t="shared" si="120"/>
        <v>#VALUE!</v>
      </c>
      <c r="W114" s="10" t="str">
        <f t="shared" si="105"/>
        <v>-</v>
      </c>
      <c r="X114" s="10" t="str">
        <f t="shared" si="106"/>
        <v>-</v>
      </c>
      <c r="Y114" s="13" t="str">
        <f t="shared" si="121"/>
        <v>-</v>
      </c>
      <c r="Z114" s="9" t="str">
        <f t="shared" si="107"/>
        <v>-</v>
      </c>
      <c r="AA114" s="16" t="str">
        <f t="shared" si="122"/>
        <v>-</v>
      </c>
      <c r="AB114" s="16" t="str">
        <f t="shared" si="108"/>
        <v>-</v>
      </c>
      <c r="AC114" s="16" t="str">
        <f t="shared" si="109"/>
        <v>-</v>
      </c>
      <c r="AD114" s="16" t="str">
        <f t="shared" si="123"/>
        <v>-</v>
      </c>
      <c r="AE114" s="16"/>
      <c r="AF114" s="31" t="str">
        <f>IFERROR(INDEX(Supermarket!$P$11:$P$170,MATCH('Calculations - Supermarket'!C114,Supermarket!$M$11:$M$170,0)),"")</f>
        <v/>
      </c>
      <c r="AG114" s="23" t="str">
        <f t="shared" si="124"/>
        <v/>
      </c>
      <c r="AH114" s="23" t="str">
        <f t="shared" si="125"/>
        <v/>
      </c>
      <c r="AI114" s="9" t="str">
        <f t="shared" si="110"/>
        <v/>
      </c>
      <c r="AJ114" s="4" t="str">
        <f t="shared" si="111"/>
        <v/>
      </c>
      <c r="AK114" s="4"/>
      <c r="AL114" s="4"/>
      <c r="AM114" s="4"/>
      <c r="AN114" s="4"/>
      <c r="AO114" s="4"/>
      <c r="AP114" s="20" t="str">
        <f t="shared" si="112"/>
        <v>-</v>
      </c>
      <c r="AQ114" s="13" t="str">
        <f t="shared" si="126"/>
        <v>-</v>
      </c>
      <c r="AR114" s="13" t="str">
        <f t="shared" si="127"/>
        <v>-</v>
      </c>
      <c r="AS114" s="13" t="str">
        <f t="shared" si="113"/>
        <v>-</v>
      </c>
      <c r="AT114" s="16" t="str">
        <f t="shared" si="128"/>
        <v>-</v>
      </c>
      <c r="AU114" s="16" t="str">
        <f t="shared" si="114"/>
        <v>-</v>
      </c>
      <c r="AV114" s="16" t="str">
        <f t="shared" si="115"/>
        <v>-</v>
      </c>
      <c r="AW114" s="16" t="str">
        <f t="shared" si="129"/>
        <v>-</v>
      </c>
      <c r="AX114" s="13" t="str">
        <f t="shared" si="130"/>
        <v>-</v>
      </c>
      <c r="AY114" s="10" t="str">
        <f t="shared" si="131"/>
        <v>-</v>
      </c>
      <c r="AZ114" s="9" t="str">
        <f t="shared" si="132"/>
        <v>-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</row>
    <row r="115" spans="2:68" x14ac:dyDescent="0.3">
      <c r="B115" s="108" t="str">
        <f t="shared" si="116"/>
        <v/>
      </c>
      <c r="C115" s="108" t="str">
        <f t="shared" si="100"/>
        <v/>
      </c>
      <c r="D115" s="3"/>
      <c r="E115" s="3"/>
      <c r="F115" s="3"/>
      <c r="G115" s="20">
        <f>IFERROR(INDEX('Input - Supermarket'!F$2:F$200,MATCH('Calculations - Supermarket'!$C115,'Input - Supermarket'!$B$2:$B$200,0)),"")</f>
        <v>0</v>
      </c>
      <c r="H115" s="20">
        <f>IFERROR(INDEX('Input - Supermarket'!G$2:G$200,MATCH('Calculations - Supermarket'!$C115,'Input - Supermarket'!$B$2:$B$200,0)),"")</f>
        <v>0</v>
      </c>
      <c r="I115" s="21">
        <f>IFERROR(INDEX('Input - Supermarket'!H$2:H$200,MATCH('Calculations - Supermarket'!$C115,'Input - Supermarket'!$B$2:$B$200,0)),"")</f>
        <v>0</v>
      </c>
      <c r="J115" s="21">
        <f>IFERROR(INDEX('Input - Supermarket'!I$2:I$200,MATCH('Calculations - Supermarket'!$C115,'Input - Supermarket'!$B$2:$B$200,0)),"")</f>
        <v>0</v>
      </c>
      <c r="K115" s="20">
        <f>IFERROR(INDEX('Input - Supermarket'!J$2:J$200,MATCH('Calculations - Supermarket'!$C115,'Input - Supermarket'!$B$2:$B$200,0)),"")</f>
        <v>0</v>
      </c>
      <c r="L115" s="20">
        <f>IFERROR(INDEX('Input - Supermarket'!K$2:K$200,MATCH('Calculations - Supermarket'!$C115,'Input - Supermarket'!$B$2:$B$200,0)),"")</f>
        <v>0</v>
      </c>
      <c r="M115" s="21" t="str">
        <f t="shared" si="117"/>
        <v/>
      </c>
      <c r="N115" s="21" t="str">
        <f t="shared" si="101"/>
        <v/>
      </c>
      <c r="O115" s="21">
        <f t="shared" si="118"/>
        <v>0</v>
      </c>
      <c r="P115" s="9">
        <f t="shared" si="102"/>
        <v>0</v>
      </c>
      <c r="Q115" s="9">
        <f t="shared" si="103"/>
        <v>0</v>
      </c>
      <c r="R115" s="22" t="str">
        <f>IFERROR(INDEX(Supermarket!$Q$11:$Q$170,MATCH('Calculations - Supermarket'!$C115,Supermarket!$M$11:$M$170,0)),"")</f>
        <v/>
      </c>
      <c r="S115" s="22" t="str">
        <f>IFERROR(INDEX(Supermarket!$R$11:$R$170,MATCH('Calculations - Supermarket'!$C115,Supermarket!$M$11:$M$170,0)),"")</f>
        <v/>
      </c>
      <c r="T115" s="16" t="e">
        <f t="shared" si="104"/>
        <v>#VALUE!</v>
      </c>
      <c r="U115" s="16" t="e">
        <f t="shared" si="119"/>
        <v>#VALUE!</v>
      </c>
      <c r="V115" s="16" t="e">
        <f t="shared" si="120"/>
        <v>#VALUE!</v>
      </c>
      <c r="W115" s="10" t="str">
        <f t="shared" si="105"/>
        <v>-</v>
      </c>
      <c r="X115" s="10" t="str">
        <f t="shared" si="106"/>
        <v>-</v>
      </c>
      <c r="Y115" s="13" t="str">
        <f t="shared" si="121"/>
        <v>-</v>
      </c>
      <c r="Z115" s="9" t="str">
        <f t="shared" si="107"/>
        <v>-</v>
      </c>
      <c r="AA115" s="16" t="str">
        <f t="shared" si="122"/>
        <v>-</v>
      </c>
      <c r="AB115" s="16" t="str">
        <f t="shared" si="108"/>
        <v>-</v>
      </c>
      <c r="AC115" s="16" t="str">
        <f t="shared" si="109"/>
        <v>-</v>
      </c>
      <c r="AD115" s="16" t="str">
        <f t="shared" si="123"/>
        <v>-</v>
      </c>
      <c r="AE115" s="16"/>
      <c r="AF115" s="31" t="str">
        <f>IFERROR(INDEX(Supermarket!$P$11:$P$170,MATCH('Calculations - Supermarket'!C115,Supermarket!$M$11:$M$170,0)),"")</f>
        <v/>
      </c>
      <c r="AG115" s="23" t="str">
        <f t="shared" si="124"/>
        <v/>
      </c>
      <c r="AH115" s="23" t="str">
        <f t="shared" si="125"/>
        <v/>
      </c>
      <c r="AI115" s="9" t="str">
        <f t="shared" si="110"/>
        <v/>
      </c>
      <c r="AJ115" s="4" t="str">
        <f t="shared" si="111"/>
        <v/>
      </c>
      <c r="AK115" s="4"/>
      <c r="AL115" s="4"/>
      <c r="AM115" s="4"/>
      <c r="AN115" s="4"/>
      <c r="AO115" s="4"/>
      <c r="AP115" s="20" t="str">
        <f t="shared" si="112"/>
        <v>-</v>
      </c>
      <c r="AQ115" s="13" t="str">
        <f t="shared" si="126"/>
        <v>-</v>
      </c>
      <c r="AR115" s="13" t="str">
        <f t="shared" si="127"/>
        <v>-</v>
      </c>
      <c r="AS115" s="13" t="str">
        <f t="shared" si="113"/>
        <v>-</v>
      </c>
      <c r="AT115" s="16" t="str">
        <f t="shared" si="128"/>
        <v>-</v>
      </c>
      <c r="AU115" s="16" t="str">
        <f t="shared" si="114"/>
        <v>-</v>
      </c>
      <c r="AV115" s="16" t="str">
        <f t="shared" si="115"/>
        <v>-</v>
      </c>
      <c r="AW115" s="16" t="str">
        <f t="shared" si="129"/>
        <v>-</v>
      </c>
      <c r="AX115" s="13" t="str">
        <f t="shared" si="130"/>
        <v>-</v>
      </c>
      <c r="AY115" s="10" t="str">
        <f t="shared" si="131"/>
        <v>-</v>
      </c>
      <c r="AZ115" s="9" t="str">
        <f t="shared" si="132"/>
        <v>-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</row>
    <row r="116" spans="2:68" x14ac:dyDescent="0.3">
      <c r="B116" s="108" t="str">
        <f t="shared" si="116"/>
        <v/>
      </c>
      <c r="C116" s="108" t="str">
        <f t="shared" si="100"/>
        <v/>
      </c>
      <c r="D116" s="3"/>
      <c r="E116" s="3"/>
      <c r="F116" s="3"/>
      <c r="G116" s="20">
        <f>IFERROR(INDEX('Input - Supermarket'!F$2:F$200,MATCH('Calculations - Supermarket'!$C116,'Input - Supermarket'!$B$2:$B$200,0)),"")</f>
        <v>0</v>
      </c>
      <c r="H116" s="20">
        <f>IFERROR(INDEX('Input - Supermarket'!G$2:G$200,MATCH('Calculations - Supermarket'!$C116,'Input - Supermarket'!$B$2:$B$200,0)),"")</f>
        <v>0</v>
      </c>
      <c r="I116" s="21">
        <f>IFERROR(INDEX('Input - Supermarket'!H$2:H$200,MATCH('Calculations - Supermarket'!$C116,'Input - Supermarket'!$B$2:$B$200,0)),"")</f>
        <v>0</v>
      </c>
      <c r="J116" s="21">
        <f>IFERROR(INDEX('Input - Supermarket'!I$2:I$200,MATCH('Calculations - Supermarket'!$C116,'Input - Supermarket'!$B$2:$B$200,0)),"")</f>
        <v>0</v>
      </c>
      <c r="K116" s="20">
        <f>IFERROR(INDEX('Input - Supermarket'!J$2:J$200,MATCH('Calculations - Supermarket'!$C116,'Input - Supermarket'!$B$2:$B$200,0)),"")</f>
        <v>0</v>
      </c>
      <c r="L116" s="20">
        <f>IFERROR(INDEX('Input - Supermarket'!K$2:K$200,MATCH('Calculations - Supermarket'!$C116,'Input - Supermarket'!$B$2:$B$200,0)),"")</f>
        <v>0</v>
      </c>
      <c r="M116" s="21" t="str">
        <f t="shared" si="117"/>
        <v/>
      </c>
      <c r="N116" s="21" t="str">
        <f t="shared" si="101"/>
        <v/>
      </c>
      <c r="O116" s="21">
        <f t="shared" si="118"/>
        <v>0</v>
      </c>
      <c r="P116" s="9">
        <f t="shared" si="102"/>
        <v>0</v>
      </c>
      <c r="Q116" s="9">
        <f t="shared" si="103"/>
        <v>0</v>
      </c>
      <c r="R116" s="22" t="str">
        <f>IFERROR(INDEX(Supermarket!$Q$11:$Q$170,MATCH('Calculations - Supermarket'!$C116,Supermarket!$M$11:$M$170,0)),"")</f>
        <v/>
      </c>
      <c r="S116" s="22" t="str">
        <f>IFERROR(INDEX(Supermarket!$R$11:$R$170,MATCH('Calculations - Supermarket'!$C116,Supermarket!$M$11:$M$170,0)),"")</f>
        <v/>
      </c>
      <c r="T116" s="16" t="e">
        <f t="shared" si="104"/>
        <v>#VALUE!</v>
      </c>
      <c r="U116" s="16" t="e">
        <f t="shared" si="119"/>
        <v>#VALUE!</v>
      </c>
      <c r="V116" s="16" t="e">
        <f t="shared" si="120"/>
        <v>#VALUE!</v>
      </c>
      <c r="W116" s="10" t="str">
        <f t="shared" si="105"/>
        <v>-</v>
      </c>
      <c r="X116" s="10" t="str">
        <f t="shared" si="106"/>
        <v>-</v>
      </c>
      <c r="Y116" s="13" t="str">
        <f t="shared" si="121"/>
        <v>-</v>
      </c>
      <c r="Z116" s="9" t="str">
        <f t="shared" si="107"/>
        <v>-</v>
      </c>
      <c r="AA116" s="16" t="str">
        <f t="shared" si="122"/>
        <v>-</v>
      </c>
      <c r="AB116" s="16" t="str">
        <f t="shared" si="108"/>
        <v>-</v>
      </c>
      <c r="AC116" s="16" t="str">
        <f t="shared" si="109"/>
        <v>-</v>
      </c>
      <c r="AD116" s="16" t="str">
        <f t="shared" si="123"/>
        <v>-</v>
      </c>
      <c r="AE116" s="16"/>
      <c r="AF116" s="31" t="str">
        <f>IFERROR(INDEX(Supermarket!$P$11:$P$170,MATCH('Calculations - Supermarket'!C116,Supermarket!$M$11:$M$170,0)),"")</f>
        <v/>
      </c>
      <c r="AG116" s="23" t="str">
        <f t="shared" si="124"/>
        <v/>
      </c>
      <c r="AH116" s="23" t="str">
        <f t="shared" si="125"/>
        <v/>
      </c>
      <c r="AI116" s="9" t="str">
        <f t="shared" si="110"/>
        <v/>
      </c>
      <c r="AJ116" s="4" t="str">
        <f t="shared" si="111"/>
        <v/>
      </c>
      <c r="AK116" s="4"/>
      <c r="AL116" s="4"/>
      <c r="AM116" s="4"/>
      <c r="AN116" s="4"/>
      <c r="AO116" s="4"/>
      <c r="AP116" s="20" t="str">
        <f t="shared" si="112"/>
        <v>-</v>
      </c>
      <c r="AQ116" s="13" t="str">
        <f t="shared" si="126"/>
        <v>-</v>
      </c>
      <c r="AR116" s="13" t="str">
        <f t="shared" si="127"/>
        <v>-</v>
      </c>
      <c r="AS116" s="13" t="str">
        <f t="shared" si="113"/>
        <v>-</v>
      </c>
      <c r="AT116" s="16" t="str">
        <f t="shared" si="128"/>
        <v>-</v>
      </c>
      <c r="AU116" s="16" t="str">
        <f t="shared" si="114"/>
        <v>-</v>
      </c>
      <c r="AV116" s="16" t="str">
        <f t="shared" si="115"/>
        <v>-</v>
      </c>
      <c r="AW116" s="16" t="str">
        <f t="shared" si="129"/>
        <v>-</v>
      </c>
      <c r="AX116" s="13" t="str">
        <f t="shared" si="130"/>
        <v>-</v>
      </c>
      <c r="AY116" s="10" t="str">
        <f t="shared" si="131"/>
        <v>-</v>
      </c>
      <c r="AZ116" s="9" t="str">
        <f t="shared" si="132"/>
        <v>-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</row>
    <row r="117" spans="2:68" x14ac:dyDescent="0.3">
      <c r="B117" s="108" t="str">
        <f t="shared" si="116"/>
        <v/>
      </c>
      <c r="C117" s="108" t="str">
        <f t="shared" si="100"/>
        <v/>
      </c>
      <c r="D117" s="3"/>
      <c r="E117" s="3"/>
      <c r="F117" s="3"/>
      <c r="G117" s="20">
        <f>IFERROR(INDEX('Input - Supermarket'!F$2:F$200,MATCH('Calculations - Supermarket'!$C117,'Input - Supermarket'!$B$2:$B$200,0)),"")</f>
        <v>0</v>
      </c>
      <c r="H117" s="20">
        <f>IFERROR(INDEX('Input - Supermarket'!G$2:G$200,MATCH('Calculations - Supermarket'!$C117,'Input - Supermarket'!$B$2:$B$200,0)),"")</f>
        <v>0</v>
      </c>
      <c r="I117" s="21">
        <f>IFERROR(INDEX('Input - Supermarket'!H$2:H$200,MATCH('Calculations - Supermarket'!$C117,'Input - Supermarket'!$B$2:$B$200,0)),"")</f>
        <v>0</v>
      </c>
      <c r="J117" s="21">
        <f>IFERROR(INDEX('Input - Supermarket'!I$2:I$200,MATCH('Calculations - Supermarket'!$C117,'Input - Supermarket'!$B$2:$B$200,0)),"")</f>
        <v>0</v>
      </c>
      <c r="K117" s="20">
        <f>IFERROR(INDEX('Input - Supermarket'!J$2:J$200,MATCH('Calculations - Supermarket'!$C117,'Input - Supermarket'!$B$2:$B$200,0)),"")</f>
        <v>0</v>
      </c>
      <c r="L117" s="20">
        <f>IFERROR(INDEX('Input - Supermarket'!K$2:K$200,MATCH('Calculations - Supermarket'!$C117,'Input - Supermarket'!$B$2:$B$200,0)),"")</f>
        <v>0</v>
      </c>
      <c r="M117" s="21" t="str">
        <f t="shared" si="117"/>
        <v/>
      </c>
      <c r="N117" s="21" t="str">
        <f t="shared" si="101"/>
        <v/>
      </c>
      <c r="O117" s="21">
        <f t="shared" si="118"/>
        <v>0</v>
      </c>
      <c r="P117" s="9">
        <f t="shared" si="102"/>
        <v>0</v>
      </c>
      <c r="Q117" s="9">
        <f t="shared" si="103"/>
        <v>0</v>
      </c>
      <c r="R117" s="22" t="str">
        <f>IFERROR(INDEX(Supermarket!$Q$11:$Q$170,MATCH('Calculations - Supermarket'!$C117,Supermarket!$M$11:$M$170,0)),"")</f>
        <v/>
      </c>
      <c r="S117" s="22" t="str">
        <f>IFERROR(INDEX(Supermarket!$R$11:$R$170,MATCH('Calculations - Supermarket'!$C117,Supermarket!$M$11:$M$170,0)),"")</f>
        <v/>
      </c>
      <c r="T117" s="16" t="e">
        <f t="shared" si="104"/>
        <v>#VALUE!</v>
      </c>
      <c r="U117" s="16" t="e">
        <f t="shared" si="119"/>
        <v>#VALUE!</v>
      </c>
      <c r="V117" s="16" t="e">
        <f t="shared" si="120"/>
        <v>#VALUE!</v>
      </c>
      <c r="W117" s="10" t="str">
        <f t="shared" si="105"/>
        <v>-</v>
      </c>
      <c r="X117" s="10" t="str">
        <f t="shared" si="106"/>
        <v>-</v>
      </c>
      <c r="Y117" s="13" t="str">
        <f t="shared" si="121"/>
        <v>-</v>
      </c>
      <c r="Z117" s="9" t="str">
        <f t="shared" si="107"/>
        <v>-</v>
      </c>
      <c r="AA117" s="16" t="str">
        <f t="shared" si="122"/>
        <v>-</v>
      </c>
      <c r="AB117" s="16" t="str">
        <f t="shared" si="108"/>
        <v>-</v>
      </c>
      <c r="AC117" s="16" t="str">
        <f t="shared" si="109"/>
        <v>-</v>
      </c>
      <c r="AD117" s="16" t="str">
        <f t="shared" si="123"/>
        <v>-</v>
      </c>
      <c r="AE117" s="16"/>
      <c r="AF117" s="31" t="str">
        <f>IFERROR(INDEX(Supermarket!$P$11:$P$170,MATCH('Calculations - Supermarket'!C117,Supermarket!$M$11:$M$170,0)),"")</f>
        <v/>
      </c>
      <c r="AG117" s="23" t="str">
        <f t="shared" si="124"/>
        <v/>
      </c>
      <c r="AH117" s="23" t="str">
        <f t="shared" si="125"/>
        <v/>
      </c>
      <c r="AI117" s="9" t="str">
        <f t="shared" si="110"/>
        <v/>
      </c>
      <c r="AJ117" s="4" t="str">
        <f t="shared" si="111"/>
        <v/>
      </c>
      <c r="AK117" s="4"/>
      <c r="AL117" s="4"/>
      <c r="AM117" s="4"/>
      <c r="AN117" s="4"/>
      <c r="AO117" s="4"/>
      <c r="AP117" s="20" t="str">
        <f t="shared" si="112"/>
        <v>-</v>
      </c>
      <c r="AQ117" s="13" t="str">
        <f t="shared" si="126"/>
        <v>-</v>
      </c>
      <c r="AR117" s="13" t="str">
        <f t="shared" si="127"/>
        <v>-</v>
      </c>
      <c r="AS117" s="13" t="str">
        <f t="shared" si="113"/>
        <v>-</v>
      </c>
      <c r="AT117" s="16" t="str">
        <f t="shared" si="128"/>
        <v>-</v>
      </c>
      <c r="AU117" s="16" t="str">
        <f t="shared" si="114"/>
        <v>-</v>
      </c>
      <c r="AV117" s="16" t="str">
        <f t="shared" si="115"/>
        <v>-</v>
      </c>
      <c r="AW117" s="16" t="str">
        <f t="shared" si="129"/>
        <v>-</v>
      </c>
      <c r="AX117" s="13" t="str">
        <f t="shared" si="130"/>
        <v>-</v>
      </c>
      <c r="AY117" s="10" t="str">
        <f t="shared" si="131"/>
        <v>-</v>
      </c>
      <c r="AZ117" s="9" t="str">
        <f t="shared" si="132"/>
        <v>-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</row>
    <row r="118" spans="2:68" x14ac:dyDescent="0.3">
      <c r="B118" s="108" t="str">
        <f t="shared" si="116"/>
        <v/>
      </c>
      <c r="C118" s="108" t="str">
        <f t="shared" si="100"/>
        <v/>
      </c>
      <c r="D118" s="3"/>
      <c r="E118" s="3"/>
      <c r="F118" s="3"/>
      <c r="G118" s="20">
        <f>IFERROR(INDEX('Input - Supermarket'!F$2:F$200,MATCH('Calculations - Supermarket'!$C118,'Input - Supermarket'!$B$2:$B$200,0)),"")</f>
        <v>0</v>
      </c>
      <c r="H118" s="20">
        <f>IFERROR(INDEX('Input - Supermarket'!G$2:G$200,MATCH('Calculations - Supermarket'!$C118,'Input - Supermarket'!$B$2:$B$200,0)),"")</f>
        <v>0</v>
      </c>
      <c r="I118" s="21">
        <f>IFERROR(INDEX('Input - Supermarket'!H$2:H$200,MATCH('Calculations - Supermarket'!$C118,'Input - Supermarket'!$B$2:$B$200,0)),"")</f>
        <v>0</v>
      </c>
      <c r="J118" s="21">
        <f>IFERROR(INDEX('Input - Supermarket'!I$2:I$200,MATCH('Calculations - Supermarket'!$C118,'Input - Supermarket'!$B$2:$B$200,0)),"")</f>
        <v>0</v>
      </c>
      <c r="K118" s="20">
        <f>IFERROR(INDEX('Input - Supermarket'!J$2:J$200,MATCH('Calculations - Supermarket'!$C118,'Input - Supermarket'!$B$2:$B$200,0)),"")</f>
        <v>0</v>
      </c>
      <c r="L118" s="20">
        <f>IFERROR(INDEX('Input - Supermarket'!K$2:K$200,MATCH('Calculations - Supermarket'!$C118,'Input - Supermarket'!$B$2:$B$200,0)),"")</f>
        <v>0</v>
      </c>
      <c r="M118" s="21" t="str">
        <f t="shared" si="117"/>
        <v/>
      </c>
      <c r="N118" s="21" t="str">
        <f t="shared" si="101"/>
        <v/>
      </c>
      <c r="O118" s="21">
        <f t="shared" si="118"/>
        <v>0</v>
      </c>
      <c r="P118" s="9">
        <f t="shared" si="102"/>
        <v>0</v>
      </c>
      <c r="Q118" s="9">
        <f t="shared" si="103"/>
        <v>0</v>
      </c>
      <c r="R118" s="22" t="str">
        <f>IFERROR(INDEX(Supermarket!$Q$11:$Q$170,MATCH('Calculations - Supermarket'!$C118,Supermarket!$M$11:$M$170,0)),"")</f>
        <v/>
      </c>
      <c r="S118" s="22" t="str">
        <f>IFERROR(INDEX(Supermarket!$R$11:$R$170,MATCH('Calculations - Supermarket'!$C118,Supermarket!$M$11:$M$170,0)),"")</f>
        <v/>
      </c>
      <c r="T118" s="16" t="e">
        <f t="shared" si="104"/>
        <v>#VALUE!</v>
      </c>
      <c r="U118" s="16" t="e">
        <f t="shared" si="119"/>
        <v>#VALUE!</v>
      </c>
      <c r="V118" s="16" t="e">
        <f t="shared" si="120"/>
        <v>#VALUE!</v>
      </c>
      <c r="W118" s="10" t="str">
        <f t="shared" si="105"/>
        <v>-</v>
      </c>
      <c r="X118" s="10" t="str">
        <f t="shared" si="106"/>
        <v>-</v>
      </c>
      <c r="Y118" s="13" t="str">
        <f t="shared" si="121"/>
        <v>-</v>
      </c>
      <c r="Z118" s="9" t="str">
        <f t="shared" si="107"/>
        <v>-</v>
      </c>
      <c r="AA118" s="16" t="str">
        <f t="shared" si="122"/>
        <v>-</v>
      </c>
      <c r="AB118" s="16" t="str">
        <f t="shared" si="108"/>
        <v>-</v>
      </c>
      <c r="AC118" s="16" t="str">
        <f t="shared" si="109"/>
        <v>-</v>
      </c>
      <c r="AD118" s="16" t="str">
        <f t="shared" si="123"/>
        <v>-</v>
      </c>
      <c r="AE118" s="16"/>
      <c r="AF118" s="31" t="str">
        <f>IFERROR(INDEX(Supermarket!$P$11:$P$170,MATCH('Calculations - Supermarket'!C118,Supermarket!$M$11:$M$170,0)),"")</f>
        <v/>
      </c>
      <c r="AG118" s="23" t="str">
        <f t="shared" si="124"/>
        <v/>
      </c>
      <c r="AH118" s="23" t="str">
        <f t="shared" si="125"/>
        <v/>
      </c>
      <c r="AI118" s="9" t="str">
        <f t="shared" si="110"/>
        <v/>
      </c>
      <c r="AJ118" s="4" t="str">
        <f t="shared" si="111"/>
        <v/>
      </c>
      <c r="AK118" s="4"/>
      <c r="AL118" s="4"/>
      <c r="AM118" s="4"/>
      <c r="AN118" s="4"/>
      <c r="AO118" s="4"/>
      <c r="AP118" s="20" t="str">
        <f t="shared" si="112"/>
        <v>-</v>
      </c>
      <c r="AQ118" s="13" t="str">
        <f t="shared" si="126"/>
        <v>-</v>
      </c>
      <c r="AR118" s="13" t="str">
        <f t="shared" si="127"/>
        <v>-</v>
      </c>
      <c r="AS118" s="13" t="str">
        <f t="shared" si="113"/>
        <v>-</v>
      </c>
      <c r="AT118" s="16" t="str">
        <f t="shared" si="128"/>
        <v>-</v>
      </c>
      <c r="AU118" s="16" t="str">
        <f t="shared" si="114"/>
        <v>-</v>
      </c>
      <c r="AV118" s="16" t="str">
        <f t="shared" si="115"/>
        <v>-</v>
      </c>
      <c r="AW118" s="16" t="str">
        <f t="shared" si="129"/>
        <v>-</v>
      </c>
      <c r="AX118" s="13" t="str">
        <f t="shared" si="130"/>
        <v>-</v>
      </c>
      <c r="AY118" s="10" t="str">
        <f t="shared" si="131"/>
        <v>-</v>
      </c>
      <c r="AZ118" s="9" t="str">
        <f t="shared" si="132"/>
        <v>-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</row>
    <row r="119" spans="2:68" x14ac:dyDescent="0.3">
      <c r="B119" s="108" t="str">
        <f t="shared" si="116"/>
        <v/>
      </c>
      <c r="C119" s="108" t="str">
        <f t="shared" si="100"/>
        <v/>
      </c>
      <c r="D119" s="3"/>
      <c r="E119" s="3"/>
      <c r="F119" s="3"/>
      <c r="G119" s="20">
        <f>IFERROR(INDEX('Input - Supermarket'!F$2:F$200,MATCH('Calculations - Supermarket'!$C119,'Input - Supermarket'!$B$2:$B$200,0)),"")</f>
        <v>0</v>
      </c>
      <c r="H119" s="20">
        <f>IFERROR(INDEX('Input - Supermarket'!G$2:G$200,MATCH('Calculations - Supermarket'!$C119,'Input - Supermarket'!$B$2:$B$200,0)),"")</f>
        <v>0</v>
      </c>
      <c r="I119" s="21">
        <f>IFERROR(INDEX('Input - Supermarket'!H$2:H$200,MATCH('Calculations - Supermarket'!$C119,'Input - Supermarket'!$B$2:$B$200,0)),"")</f>
        <v>0</v>
      </c>
      <c r="J119" s="21">
        <f>IFERROR(INDEX('Input - Supermarket'!I$2:I$200,MATCH('Calculations - Supermarket'!$C119,'Input - Supermarket'!$B$2:$B$200,0)),"")</f>
        <v>0</v>
      </c>
      <c r="K119" s="20">
        <f>IFERROR(INDEX('Input - Supermarket'!J$2:J$200,MATCH('Calculations - Supermarket'!$C119,'Input - Supermarket'!$B$2:$B$200,0)),"")</f>
        <v>0</v>
      </c>
      <c r="L119" s="20">
        <f>IFERROR(INDEX('Input - Supermarket'!K$2:K$200,MATCH('Calculations - Supermarket'!$C119,'Input - Supermarket'!$B$2:$B$200,0)),"")</f>
        <v>0</v>
      </c>
      <c r="M119" s="21" t="str">
        <f t="shared" si="117"/>
        <v/>
      </c>
      <c r="N119" s="21" t="str">
        <f t="shared" si="101"/>
        <v/>
      </c>
      <c r="O119" s="21">
        <f t="shared" si="118"/>
        <v>0</v>
      </c>
      <c r="P119" s="9">
        <f t="shared" si="102"/>
        <v>0</v>
      </c>
      <c r="Q119" s="9">
        <f t="shared" si="103"/>
        <v>0</v>
      </c>
      <c r="R119" s="22" t="str">
        <f>IFERROR(INDEX(Supermarket!$Q$11:$Q$170,MATCH('Calculations - Supermarket'!$C119,Supermarket!$M$11:$M$170,0)),"")</f>
        <v/>
      </c>
      <c r="S119" s="22" t="str">
        <f>IFERROR(INDEX(Supermarket!$R$11:$R$170,MATCH('Calculations - Supermarket'!$C119,Supermarket!$M$11:$M$170,0)),"")</f>
        <v/>
      </c>
      <c r="T119" s="16" t="e">
        <f t="shared" si="104"/>
        <v>#VALUE!</v>
      </c>
      <c r="U119" s="16" t="e">
        <f t="shared" si="119"/>
        <v>#VALUE!</v>
      </c>
      <c r="V119" s="16" t="e">
        <f t="shared" si="120"/>
        <v>#VALUE!</v>
      </c>
      <c r="W119" s="10" t="str">
        <f t="shared" si="105"/>
        <v>-</v>
      </c>
      <c r="X119" s="10" t="str">
        <f t="shared" si="106"/>
        <v>-</v>
      </c>
      <c r="Y119" s="13" t="str">
        <f t="shared" si="121"/>
        <v>-</v>
      </c>
      <c r="Z119" s="9" t="str">
        <f t="shared" si="107"/>
        <v>-</v>
      </c>
      <c r="AA119" s="16" t="str">
        <f t="shared" si="122"/>
        <v>-</v>
      </c>
      <c r="AB119" s="16" t="str">
        <f t="shared" si="108"/>
        <v>-</v>
      </c>
      <c r="AC119" s="16" t="str">
        <f t="shared" si="109"/>
        <v>-</v>
      </c>
      <c r="AD119" s="16" t="str">
        <f t="shared" si="123"/>
        <v>-</v>
      </c>
      <c r="AE119" s="16"/>
      <c r="AF119" s="31" t="str">
        <f>IFERROR(INDEX(Supermarket!$P$11:$P$170,MATCH('Calculations - Supermarket'!C119,Supermarket!$M$11:$M$170,0)),"")</f>
        <v/>
      </c>
      <c r="AG119" s="23" t="str">
        <f t="shared" si="124"/>
        <v/>
      </c>
      <c r="AH119" s="23" t="str">
        <f t="shared" si="125"/>
        <v/>
      </c>
      <c r="AI119" s="9" t="str">
        <f t="shared" si="110"/>
        <v/>
      </c>
      <c r="AJ119" s="4" t="str">
        <f t="shared" si="111"/>
        <v/>
      </c>
      <c r="AK119" s="4"/>
      <c r="AL119" s="4"/>
      <c r="AM119" s="4"/>
      <c r="AN119" s="4"/>
      <c r="AO119" s="4"/>
      <c r="AP119" s="20" t="str">
        <f t="shared" si="112"/>
        <v>-</v>
      </c>
      <c r="AQ119" s="13" t="str">
        <f t="shared" si="126"/>
        <v>-</v>
      </c>
      <c r="AR119" s="13" t="str">
        <f t="shared" si="127"/>
        <v>-</v>
      </c>
      <c r="AS119" s="13" t="str">
        <f t="shared" si="113"/>
        <v>-</v>
      </c>
      <c r="AT119" s="16" t="str">
        <f t="shared" si="128"/>
        <v>-</v>
      </c>
      <c r="AU119" s="16" t="str">
        <f t="shared" si="114"/>
        <v>-</v>
      </c>
      <c r="AV119" s="16" t="str">
        <f t="shared" si="115"/>
        <v>-</v>
      </c>
      <c r="AW119" s="16" t="str">
        <f t="shared" si="129"/>
        <v>-</v>
      </c>
      <c r="AX119" s="13" t="str">
        <f t="shared" si="130"/>
        <v>-</v>
      </c>
      <c r="AY119" s="10" t="str">
        <f t="shared" si="131"/>
        <v>-</v>
      </c>
      <c r="AZ119" s="9" t="str">
        <f t="shared" si="132"/>
        <v>-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</row>
    <row r="120" spans="2:68" x14ac:dyDescent="0.3">
      <c r="B120" s="108" t="str">
        <f t="shared" si="116"/>
        <v/>
      </c>
      <c r="C120" s="108" t="str">
        <f t="shared" si="100"/>
        <v/>
      </c>
      <c r="D120" s="3"/>
      <c r="E120" s="3"/>
      <c r="F120" s="3"/>
      <c r="G120" s="20">
        <f>IFERROR(INDEX('Input - Supermarket'!F$2:F$200,MATCH('Calculations - Supermarket'!$C120,'Input - Supermarket'!$B$2:$B$200,0)),"")</f>
        <v>0</v>
      </c>
      <c r="H120" s="20">
        <f>IFERROR(INDEX('Input - Supermarket'!G$2:G$200,MATCH('Calculations - Supermarket'!$C120,'Input - Supermarket'!$B$2:$B$200,0)),"")</f>
        <v>0</v>
      </c>
      <c r="I120" s="21">
        <f>IFERROR(INDEX('Input - Supermarket'!H$2:H$200,MATCH('Calculations - Supermarket'!$C120,'Input - Supermarket'!$B$2:$B$200,0)),"")</f>
        <v>0</v>
      </c>
      <c r="J120" s="21">
        <f>IFERROR(INDEX('Input - Supermarket'!I$2:I$200,MATCH('Calculations - Supermarket'!$C120,'Input - Supermarket'!$B$2:$B$200,0)),"")</f>
        <v>0</v>
      </c>
      <c r="K120" s="20">
        <f>IFERROR(INDEX('Input - Supermarket'!J$2:J$200,MATCH('Calculations - Supermarket'!$C120,'Input - Supermarket'!$B$2:$B$200,0)),"")</f>
        <v>0</v>
      </c>
      <c r="L120" s="20">
        <f>IFERROR(INDEX('Input - Supermarket'!K$2:K$200,MATCH('Calculations - Supermarket'!$C120,'Input - Supermarket'!$B$2:$B$200,0)),"")</f>
        <v>0</v>
      </c>
      <c r="M120" s="21" t="str">
        <f t="shared" si="117"/>
        <v/>
      </c>
      <c r="N120" s="21" t="str">
        <f t="shared" si="101"/>
        <v/>
      </c>
      <c r="O120" s="21">
        <f t="shared" si="118"/>
        <v>0</v>
      </c>
      <c r="P120" s="9">
        <f t="shared" si="102"/>
        <v>0</v>
      </c>
      <c r="Q120" s="9">
        <f t="shared" si="103"/>
        <v>0</v>
      </c>
      <c r="R120" s="22" t="str">
        <f>IFERROR(INDEX(Supermarket!$Q$11:$Q$170,MATCH('Calculations - Supermarket'!$C120,Supermarket!$M$11:$M$170,0)),"")</f>
        <v/>
      </c>
      <c r="S120" s="22" t="str">
        <f>IFERROR(INDEX(Supermarket!$R$11:$R$170,MATCH('Calculations - Supermarket'!$C120,Supermarket!$M$11:$M$170,0)),"")</f>
        <v/>
      </c>
      <c r="T120" s="16" t="e">
        <f t="shared" si="104"/>
        <v>#VALUE!</v>
      </c>
      <c r="U120" s="16" t="e">
        <f t="shared" si="119"/>
        <v>#VALUE!</v>
      </c>
      <c r="V120" s="16" t="e">
        <f t="shared" si="120"/>
        <v>#VALUE!</v>
      </c>
      <c r="W120" s="10" t="str">
        <f t="shared" si="105"/>
        <v>-</v>
      </c>
      <c r="X120" s="10" t="str">
        <f t="shared" si="106"/>
        <v>-</v>
      </c>
      <c r="Y120" s="13" t="str">
        <f t="shared" si="121"/>
        <v>-</v>
      </c>
      <c r="Z120" s="9" t="str">
        <f t="shared" si="107"/>
        <v>-</v>
      </c>
      <c r="AA120" s="16" t="str">
        <f t="shared" si="122"/>
        <v>-</v>
      </c>
      <c r="AB120" s="16" t="str">
        <f t="shared" si="108"/>
        <v>-</v>
      </c>
      <c r="AC120" s="16" t="str">
        <f t="shared" si="109"/>
        <v>-</v>
      </c>
      <c r="AD120" s="16" t="str">
        <f t="shared" si="123"/>
        <v>-</v>
      </c>
      <c r="AE120" s="16"/>
      <c r="AF120" s="31" t="str">
        <f>IFERROR(INDEX(Supermarket!$P$11:$P$170,MATCH('Calculations - Supermarket'!C120,Supermarket!$M$11:$M$170,0)),"")</f>
        <v/>
      </c>
      <c r="AG120" s="23" t="str">
        <f t="shared" si="124"/>
        <v/>
      </c>
      <c r="AH120" s="23" t="str">
        <f t="shared" si="125"/>
        <v/>
      </c>
      <c r="AI120" s="9" t="str">
        <f t="shared" si="110"/>
        <v/>
      </c>
      <c r="AJ120" s="4" t="str">
        <f t="shared" si="111"/>
        <v/>
      </c>
      <c r="AK120" s="4"/>
      <c r="AL120" s="4"/>
      <c r="AM120" s="4"/>
      <c r="AN120" s="4"/>
      <c r="AO120" s="4"/>
      <c r="AP120" s="20" t="str">
        <f t="shared" si="112"/>
        <v>-</v>
      </c>
      <c r="AQ120" s="13" t="str">
        <f t="shared" si="126"/>
        <v>-</v>
      </c>
      <c r="AR120" s="13" t="str">
        <f t="shared" si="127"/>
        <v>-</v>
      </c>
      <c r="AS120" s="13" t="str">
        <f t="shared" si="113"/>
        <v>-</v>
      </c>
      <c r="AT120" s="16" t="str">
        <f t="shared" si="128"/>
        <v>-</v>
      </c>
      <c r="AU120" s="16" t="str">
        <f t="shared" si="114"/>
        <v>-</v>
      </c>
      <c r="AV120" s="16" t="str">
        <f t="shared" si="115"/>
        <v>-</v>
      </c>
      <c r="AW120" s="16" t="str">
        <f t="shared" si="129"/>
        <v>-</v>
      </c>
      <c r="AX120" s="13" t="str">
        <f t="shared" si="130"/>
        <v>-</v>
      </c>
      <c r="AY120" s="10" t="str">
        <f t="shared" si="131"/>
        <v>-</v>
      </c>
      <c r="AZ120" s="9" t="str">
        <f t="shared" si="132"/>
        <v>-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</row>
    <row r="121" spans="2:68" x14ac:dyDescent="0.3">
      <c r="B121" s="108" t="str">
        <f t="shared" si="116"/>
        <v/>
      </c>
      <c r="C121" s="108" t="str">
        <f t="shared" si="100"/>
        <v/>
      </c>
      <c r="D121" s="3"/>
      <c r="E121" s="3"/>
      <c r="F121" s="3"/>
      <c r="G121" s="20">
        <f>IFERROR(INDEX('Input - Supermarket'!F$2:F$200,MATCH('Calculations - Supermarket'!$C121,'Input - Supermarket'!$B$2:$B$200,0)),"")</f>
        <v>0</v>
      </c>
      <c r="H121" s="20">
        <f>IFERROR(INDEX('Input - Supermarket'!G$2:G$200,MATCH('Calculations - Supermarket'!$C121,'Input - Supermarket'!$B$2:$B$200,0)),"")</f>
        <v>0</v>
      </c>
      <c r="I121" s="21">
        <f>IFERROR(INDEX('Input - Supermarket'!H$2:H$200,MATCH('Calculations - Supermarket'!$C121,'Input - Supermarket'!$B$2:$B$200,0)),"")</f>
        <v>0</v>
      </c>
      <c r="J121" s="21">
        <f>IFERROR(INDEX('Input - Supermarket'!I$2:I$200,MATCH('Calculations - Supermarket'!$C121,'Input - Supermarket'!$B$2:$B$200,0)),"")</f>
        <v>0</v>
      </c>
      <c r="K121" s="20">
        <f>IFERROR(INDEX('Input - Supermarket'!J$2:J$200,MATCH('Calculations - Supermarket'!$C121,'Input - Supermarket'!$B$2:$B$200,0)),"")</f>
        <v>0</v>
      </c>
      <c r="L121" s="20">
        <f>IFERROR(INDEX('Input - Supermarket'!K$2:K$200,MATCH('Calculations - Supermarket'!$C121,'Input - Supermarket'!$B$2:$B$200,0)),"")</f>
        <v>0</v>
      </c>
      <c r="M121" s="21" t="str">
        <f t="shared" si="117"/>
        <v/>
      </c>
      <c r="N121" s="21" t="str">
        <f t="shared" si="101"/>
        <v/>
      </c>
      <c r="O121" s="21">
        <f t="shared" si="118"/>
        <v>0</v>
      </c>
      <c r="P121" s="9">
        <f t="shared" si="102"/>
        <v>0</v>
      </c>
      <c r="Q121" s="9">
        <f t="shared" si="103"/>
        <v>0</v>
      </c>
      <c r="R121" s="22" t="str">
        <f>IFERROR(INDEX(Supermarket!$Q$11:$Q$170,MATCH('Calculations - Supermarket'!$C121,Supermarket!$M$11:$M$170,0)),"")</f>
        <v/>
      </c>
      <c r="S121" s="22" t="str">
        <f>IFERROR(INDEX(Supermarket!$R$11:$R$170,MATCH('Calculations - Supermarket'!$C121,Supermarket!$M$11:$M$170,0)),"")</f>
        <v/>
      </c>
      <c r="T121" s="16" t="e">
        <f t="shared" si="104"/>
        <v>#VALUE!</v>
      </c>
      <c r="U121" s="16" t="e">
        <f t="shared" si="119"/>
        <v>#VALUE!</v>
      </c>
      <c r="V121" s="16" t="e">
        <f t="shared" si="120"/>
        <v>#VALUE!</v>
      </c>
      <c r="W121" s="10" t="str">
        <f t="shared" si="105"/>
        <v>-</v>
      </c>
      <c r="X121" s="10" t="str">
        <f t="shared" si="106"/>
        <v>-</v>
      </c>
      <c r="Y121" s="13" t="str">
        <f t="shared" si="121"/>
        <v>-</v>
      </c>
      <c r="Z121" s="9" t="str">
        <f t="shared" si="107"/>
        <v>-</v>
      </c>
      <c r="AA121" s="16" t="str">
        <f t="shared" si="122"/>
        <v>-</v>
      </c>
      <c r="AB121" s="16" t="str">
        <f t="shared" si="108"/>
        <v>-</v>
      </c>
      <c r="AC121" s="16" t="str">
        <f t="shared" si="109"/>
        <v>-</v>
      </c>
      <c r="AD121" s="16" t="str">
        <f t="shared" si="123"/>
        <v>-</v>
      </c>
      <c r="AE121" s="16"/>
      <c r="AF121" s="31" t="str">
        <f>IFERROR(INDEX(Supermarket!$P$11:$P$170,MATCH('Calculations - Supermarket'!C121,Supermarket!$M$11:$M$170,0)),"")</f>
        <v/>
      </c>
      <c r="AG121" s="23" t="str">
        <f t="shared" si="124"/>
        <v/>
      </c>
      <c r="AH121" s="23" t="str">
        <f t="shared" si="125"/>
        <v/>
      </c>
      <c r="AI121" s="9" t="str">
        <f t="shared" si="110"/>
        <v/>
      </c>
      <c r="AJ121" s="4" t="str">
        <f t="shared" si="111"/>
        <v/>
      </c>
      <c r="AK121" s="4"/>
      <c r="AL121" s="4"/>
      <c r="AM121" s="4"/>
      <c r="AN121" s="4"/>
      <c r="AO121" s="4"/>
      <c r="AP121" s="20" t="str">
        <f t="shared" si="112"/>
        <v>-</v>
      </c>
      <c r="AQ121" s="13" t="str">
        <f t="shared" si="126"/>
        <v>-</v>
      </c>
      <c r="AR121" s="13" t="str">
        <f t="shared" si="127"/>
        <v>-</v>
      </c>
      <c r="AS121" s="13" t="str">
        <f t="shared" si="113"/>
        <v>-</v>
      </c>
      <c r="AT121" s="16" t="str">
        <f t="shared" si="128"/>
        <v>-</v>
      </c>
      <c r="AU121" s="16" t="str">
        <f t="shared" si="114"/>
        <v>-</v>
      </c>
      <c r="AV121" s="16" t="str">
        <f t="shared" si="115"/>
        <v>-</v>
      </c>
      <c r="AW121" s="16" t="str">
        <f t="shared" si="129"/>
        <v>-</v>
      </c>
      <c r="AX121" s="13" t="str">
        <f t="shared" si="130"/>
        <v>-</v>
      </c>
      <c r="AY121" s="10" t="str">
        <f t="shared" si="131"/>
        <v>-</v>
      </c>
      <c r="AZ121" s="9" t="str">
        <f t="shared" si="132"/>
        <v>-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</row>
    <row r="122" spans="2:68" x14ac:dyDescent="0.3">
      <c r="B122" s="108" t="str">
        <f t="shared" si="116"/>
        <v/>
      </c>
      <c r="C122" s="108" t="str">
        <f t="shared" si="100"/>
        <v/>
      </c>
      <c r="D122" s="3"/>
      <c r="E122" s="3"/>
      <c r="F122" s="3"/>
      <c r="G122" s="20">
        <f>IFERROR(INDEX('Input - Supermarket'!F$2:F$200,MATCH('Calculations - Supermarket'!$C122,'Input - Supermarket'!$B$2:$B$200,0)),"")</f>
        <v>0</v>
      </c>
      <c r="H122" s="20">
        <f>IFERROR(INDEX('Input - Supermarket'!G$2:G$200,MATCH('Calculations - Supermarket'!$C122,'Input - Supermarket'!$B$2:$B$200,0)),"")</f>
        <v>0</v>
      </c>
      <c r="I122" s="21">
        <f>IFERROR(INDEX('Input - Supermarket'!H$2:H$200,MATCH('Calculations - Supermarket'!$C122,'Input - Supermarket'!$B$2:$B$200,0)),"")</f>
        <v>0</v>
      </c>
      <c r="J122" s="21">
        <f>IFERROR(INDEX('Input - Supermarket'!I$2:I$200,MATCH('Calculations - Supermarket'!$C122,'Input - Supermarket'!$B$2:$B$200,0)),"")</f>
        <v>0</v>
      </c>
      <c r="K122" s="20">
        <f>IFERROR(INDEX('Input - Supermarket'!J$2:J$200,MATCH('Calculations - Supermarket'!$C122,'Input - Supermarket'!$B$2:$B$200,0)),"")</f>
        <v>0</v>
      </c>
      <c r="L122" s="20">
        <f>IFERROR(INDEX('Input - Supermarket'!K$2:K$200,MATCH('Calculations - Supermarket'!$C122,'Input - Supermarket'!$B$2:$B$200,0)),"")</f>
        <v>0</v>
      </c>
      <c r="M122" s="21" t="str">
        <f t="shared" si="117"/>
        <v/>
      </c>
      <c r="N122" s="21" t="str">
        <f t="shared" si="101"/>
        <v/>
      </c>
      <c r="O122" s="21">
        <f t="shared" si="118"/>
        <v>0</v>
      </c>
      <c r="P122" s="9">
        <f t="shared" si="102"/>
        <v>0</v>
      </c>
      <c r="Q122" s="9">
        <f t="shared" si="103"/>
        <v>0</v>
      </c>
      <c r="R122" s="22" t="str">
        <f>IFERROR(INDEX(Supermarket!$Q$11:$Q$170,MATCH('Calculations - Supermarket'!$C122,Supermarket!$M$11:$M$170,0)),"")</f>
        <v/>
      </c>
      <c r="S122" s="22" t="str">
        <f>IFERROR(INDEX(Supermarket!$R$11:$R$170,MATCH('Calculations - Supermarket'!$C122,Supermarket!$M$11:$M$170,0)),"")</f>
        <v/>
      </c>
      <c r="T122" s="16" t="e">
        <f t="shared" si="104"/>
        <v>#VALUE!</v>
      </c>
      <c r="U122" s="16" t="e">
        <f t="shared" si="119"/>
        <v>#VALUE!</v>
      </c>
      <c r="V122" s="16" t="e">
        <f t="shared" si="120"/>
        <v>#VALUE!</v>
      </c>
      <c r="W122" s="10" t="str">
        <f t="shared" si="105"/>
        <v>-</v>
      </c>
      <c r="X122" s="10" t="str">
        <f t="shared" si="106"/>
        <v>-</v>
      </c>
      <c r="Y122" s="13" t="str">
        <f t="shared" si="121"/>
        <v>-</v>
      </c>
      <c r="Z122" s="9" t="str">
        <f t="shared" si="107"/>
        <v>-</v>
      </c>
      <c r="AA122" s="16" t="str">
        <f t="shared" si="122"/>
        <v>-</v>
      </c>
      <c r="AB122" s="16" t="str">
        <f t="shared" si="108"/>
        <v>-</v>
      </c>
      <c r="AC122" s="16" t="str">
        <f t="shared" si="109"/>
        <v>-</v>
      </c>
      <c r="AD122" s="16" t="str">
        <f t="shared" si="123"/>
        <v>-</v>
      </c>
      <c r="AE122" s="16"/>
      <c r="AF122" s="31" t="str">
        <f>IFERROR(INDEX(Supermarket!$P$11:$P$170,MATCH('Calculations - Supermarket'!C122,Supermarket!$M$11:$M$170,0)),"")</f>
        <v/>
      </c>
      <c r="AG122" s="23" t="str">
        <f t="shared" si="124"/>
        <v/>
      </c>
      <c r="AH122" s="23" t="str">
        <f t="shared" si="125"/>
        <v/>
      </c>
      <c r="AI122" s="9" t="str">
        <f t="shared" si="110"/>
        <v/>
      </c>
      <c r="AJ122" s="4" t="str">
        <f t="shared" si="111"/>
        <v/>
      </c>
      <c r="AK122" s="4"/>
      <c r="AL122" s="4"/>
      <c r="AM122" s="4"/>
      <c r="AN122" s="4"/>
      <c r="AO122" s="4"/>
      <c r="AP122" s="20" t="str">
        <f t="shared" si="112"/>
        <v>-</v>
      </c>
      <c r="AQ122" s="13" t="str">
        <f t="shared" si="126"/>
        <v>-</v>
      </c>
      <c r="AR122" s="13" t="str">
        <f t="shared" si="127"/>
        <v>-</v>
      </c>
      <c r="AS122" s="13" t="str">
        <f t="shared" si="113"/>
        <v>-</v>
      </c>
      <c r="AT122" s="16" t="str">
        <f t="shared" si="128"/>
        <v>-</v>
      </c>
      <c r="AU122" s="16" t="str">
        <f t="shared" si="114"/>
        <v>-</v>
      </c>
      <c r="AV122" s="16" t="str">
        <f t="shared" si="115"/>
        <v>-</v>
      </c>
      <c r="AW122" s="16" t="str">
        <f t="shared" si="129"/>
        <v>-</v>
      </c>
      <c r="AX122" s="13" t="str">
        <f t="shared" si="130"/>
        <v>-</v>
      </c>
      <c r="AY122" s="10" t="str">
        <f t="shared" si="131"/>
        <v>-</v>
      </c>
      <c r="AZ122" s="9" t="str">
        <f t="shared" si="132"/>
        <v>-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</row>
    <row r="123" spans="2:68" x14ac:dyDescent="0.3">
      <c r="B123" s="108" t="str">
        <f t="shared" si="116"/>
        <v/>
      </c>
      <c r="C123" s="108" t="str">
        <f t="shared" si="100"/>
        <v/>
      </c>
      <c r="D123" s="3"/>
      <c r="E123" s="3"/>
      <c r="F123" s="3"/>
      <c r="G123" s="20">
        <f>IFERROR(INDEX('Input - Supermarket'!F$2:F$200,MATCH('Calculations - Supermarket'!$C123,'Input - Supermarket'!$B$2:$B$200,0)),"")</f>
        <v>0</v>
      </c>
      <c r="H123" s="20">
        <f>IFERROR(INDEX('Input - Supermarket'!G$2:G$200,MATCH('Calculations - Supermarket'!$C123,'Input - Supermarket'!$B$2:$B$200,0)),"")</f>
        <v>0</v>
      </c>
      <c r="I123" s="21">
        <f>IFERROR(INDEX('Input - Supermarket'!H$2:H$200,MATCH('Calculations - Supermarket'!$C123,'Input - Supermarket'!$B$2:$B$200,0)),"")</f>
        <v>0</v>
      </c>
      <c r="J123" s="21">
        <f>IFERROR(INDEX('Input - Supermarket'!I$2:I$200,MATCH('Calculations - Supermarket'!$C123,'Input - Supermarket'!$B$2:$B$200,0)),"")</f>
        <v>0</v>
      </c>
      <c r="K123" s="20">
        <f>IFERROR(INDEX('Input - Supermarket'!J$2:J$200,MATCH('Calculations - Supermarket'!$C123,'Input - Supermarket'!$B$2:$B$200,0)),"")</f>
        <v>0</v>
      </c>
      <c r="L123" s="20">
        <f>IFERROR(INDEX('Input - Supermarket'!K$2:K$200,MATCH('Calculations - Supermarket'!$C123,'Input - Supermarket'!$B$2:$B$200,0)),"")</f>
        <v>0</v>
      </c>
      <c r="M123" s="21" t="str">
        <f t="shared" si="117"/>
        <v/>
      </c>
      <c r="N123" s="21" t="str">
        <f t="shared" si="101"/>
        <v/>
      </c>
      <c r="O123" s="21">
        <f t="shared" si="118"/>
        <v>0</v>
      </c>
      <c r="P123" s="9">
        <f t="shared" si="102"/>
        <v>0</v>
      </c>
      <c r="Q123" s="9">
        <f t="shared" si="103"/>
        <v>0</v>
      </c>
      <c r="R123" s="22" t="str">
        <f>IFERROR(INDEX(Supermarket!$Q$11:$Q$170,MATCH('Calculations - Supermarket'!$C123,Supermarket!$M$11:$M$170,0)),"")</f>
        <v/>
      </c>
      <c r="S123" s="22" t="str">
        <f>IFERROR(INDEX(Supermarket!$R$11:$R$170,MATCH('Calculations - Supermarket'!$C123,Supermarket!$M$11:$M$170,0)),"")</f>
        <v/>
      </c>
      <c r="T123" s="16" t="e">
        <f t="shared" si="104"/>
        <v>#VALUE!</v>
      </c>
      <c r="U123" s="16" t="e">
        <f t="shared" si="119"/>
        <v>#VALUE!</v>
      </c>
      <c r="V123" s="16" t="e">
        <f t="shared" si="120"/>
        <v>#VALUE!</v>
      </c>
      <c r="W123" s="10" t="str">
        <f t="shared" si="105"/>
        <v>-</v>
      </c>
      <c r="X123" s="10" t="str">
        <f t="shared" si="106"/>
        <v>-</v>
      </c>
      <c r="Y123" s="13" t="str">
        <f t="shared" si="121"/>
        <v>-</v>
      </c>
      <c r="Z123" s="9" t="str">
        <f t="shared" si="107"/>
        <v>-</v>
      </c>
      <c r="AA123" s="16" t="str">
        <f t="shared" si="122"/>
        <v>-</v>
      </c>
      <c r="AB123" s="16" t="str">
        <f t="shared" si="108"/>
        <v>-</v>
      </c>
      <c r="AC123" s="16" t="str">
        <f t="shared" si="109"/>
        <v>-</v>
      </c>
      <c r="AD123" s="16" t="str">
        <f t="shared" si="123"/>
        <v>-</v>
      </c>
      <c r="AE123" s="16"/>
      <c r="AF123" s="31" t="str">
        <f>IFERROR(INDEX(Supermarket!$P$11:$P$170,MATCH('Calculations - Supermarket'!C123,Supermarket!$M$11:$M$170,0)),"")</f>
        <v/>
      </c>
      <c r="AG123" s="23" t="str">
        <f t="shared" si="124"/>
        <v/>
      </c>
      <c r="AH123" s="23" t="str">
        <f t="shared" si="125"/>
        <v/>
      </c>
      <c r="AI123" s="9" t="str">
        <f t="shared" si="110"/>
        <v/>
      </c>
      <c r="AJ123" s="4" t="str">
        <f t="shared" si="111"/>
        <v/>
      </c>
      <c r="AK123" s="4"/>
      <c r="AL123" s="4"/>
      <c r="AM123" s="4"/>
      <c r="AN123" s="4"/>
      <c r="AO123" s="4"/>
      <c r="AP123" s="20" t="str">
        <f t="shared" si="112"/>
        <v>-</v>
      </c>
      <c r="AQ123" s="13" t="str">
        <f t="shared" si="126"/>
        <v>-</v>
      </c>
      <c r="AR123" s="13" t="str">
        <f t="shared" si="127"/>
        <v>-</v>
      </c>
      <c r="AS123" s="13" t="str">
        <f t="shared" si="113"/>
        <v>-</v>
      </c>
      <c r="AT123" s="16" t="str">
        <f t="shared" si="128"/>
        <v>-</v>
      </c>
      <c r="AU123" s="16" t="str">
        <f t="shared" si="114"/>
        <v>-</v>
      </c>
      <c r="AV123" s="16" t="str">
        <f t="shared" si="115"/>
        <v>-</v>
      </c>
      <c r="AW123" s="16" t="str">
        <f t="shared" si="129"/>
        <v>-</v>
      </c>
      <c r="AX123" s="13" t="str">
        <f t="shared" si="130"/>
        <v>-</v>
      </c>
      <c r="AY123" s="10" t="str">
        <f t="shared" si="131"/>
        <v>-</v>
      </c>
      <c r="AZ123" s="9" t="str">
        <f t="shared" si="132"/>
        <v>-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</row>
    <row r="124" spans="2:68" x14ac:dyDescent="0.3">
      <c r="B124" s="108" t="str">
        <f t="shared" si="116"/>
        <v/>
      </c>
      <c r="C124" s="108" t="str">
        <f t="shared" si="100"/>
        <v/>
      </c>
      <c r="D124" s="3"/>
      <c r="E124" s="3"/>
      <c r="F124" s="3"/>
      <c r="G124" s="20">
        <f>IFERROR(INDEX('Input - Supermarket'!F$2:F$200,MATCH('Calculations - Supermarket'!$C124,'Input - Supermarket'!$B$2:$B$200,0)),"")</f>
        <v>0</v>
      </c>
      <c r="H124" s="20">
        <f>IFERROR(INDEX('Input - Supermarket'!G$2:G$200,MATCH('Calculations - Supermarket'!$C124,'Input - Supermarket'!$B$2:$B$200,0)),"")</f>
        <v>0</v>
      </c>
      <c r="I124" s="21">
        <f>IFERROR(INDEX('Input - Supermarket'!H$2:H$200,MATCH('Calculations - Supermarket'!$C124,'Input - Supermarket'!$B$2:$B$200,0)),"")</f>
        <v>0</v>
      </c>
      <c r="J124" s="21">
        <f>IFERROR(INDEX('Input - Supermarket'!I$2:I$200,MATCH('Calculations - Supermarket'!$C124,'Input - Supermarket'!$B$2:$B$200,0)),"")</f>
        <v>0</v>
      </c>
      <c r="K124" s="20">
        <f>IFERROR(INDEX('Input - Supermarket'!J$2:J$200,MATCH('Calculations - Supermarket'!$C124,'Input - Supermarket'!$B$2:$B$200,0)),"")</f>
        <v>0</v>
      </c>
      <c r="L124" s="20">
        <f>IFERROR(INDEX('Input - Supermarket'!K$2:K$200,MATCH('Calculations - Supermarket'!$C124,'Input - Supermarket'!$B$2:$B$200,0)),"")</f>
        <v>0</v>
      </c>
      <c r="M124" s="21" t="str">
        <f t="shared" si="117"/>
        <v/>
      </c>
      <c r="N124" s="21" t="str">
        <f t="shared" si="101"/>
        <v/>
      </c>
      <c r="O124" s="21">
        <f t="shared" si="118"/>
        <v>0</v>
      </c>
      <c r="P124" s="9">
        <f t="shared" si="102"/>
        <v>0</v>
      </c>
      <c r="Q124" s="9">
        <f t="shared" si="103"/>
        <v>0</v>
      </c>
      <c r="R124" s="22" t="str">
        <f>IFERROR(INDEX(Supermarket!$Q$11:$Q$170,MATCH('Calculations - Supermarket'!$C124,Supermarket!$M$11:$M$170,0)),"")</f>
        <v/>
      </c>
      <c r="S124" s="22" t="str">
        <f>IFERROR(INDEX(Supermarket!$R$11:$R$170,MATCH('Calculations - Supermarket'!$C124,Supermarket!$M$11:$M$170,0)),"")</f>
        <v/>
      </c>
      <c r="T124" s="16" t="e">
        <f t="shared" si="104"/>
        <v>#VALUE!</v>
      </c>
      <c r="U124" s="16" t="e">
        <f t="shared" si="119"/>
        <v>#VALUE!</v>
      </c>
      <c r="V124" s="16" t="e">
        <f t="shared" si="120"/>
        <v>#VALUE!</v>
      </c>
      <c r="W124" s="10" t="str">
        <f t="shared" si="105"/>
        <v>-</v>
      </c>
      <c r="X124" s="10" t="str">
        <f t="shared" si="106"/>
        <v>-</v>
      </c>
      <c r="Y124" s="13" t="str">
        <f t="shared" si="121"/>
        <v>-</v>
      </c>
      <c r="Z124" s="9" t="str">
        <f t="shared" si="107"/>
        <v>-</v>
      </c>
      <c r="AA124" s="16" t="str">
        <f t="shared" si="122"/>
        <v>-</v>
      </c>
      <c r="AB124" s="16" t="str">
        <f t="shared" si="108"/>
        <v>-</v>
      </c>
      <c r="AC124" s="16" t="str">
        <f t="shared" si="109"/>
        <v>-</v>
      </c>
      <c r="AD124" s="16" t="str">
        <f t="shared" si="123"/>
        <v>-</v>
      </c>
      <c r="AE124" s="16"/>
      <c r="AF124" s="31" t="str">
        <f>IFERROR(INDEX(Supermarket!$P$11:$P$170,MATCH('Calculations - Supermarket'!C124,Supermarket!$M$11:$M$170,0)),"")</f>
        <v/>
      </c>
      <c r="AG124" s="23" t="str">
        <f t="shared" si="124"/>
        <v/>
      </c>
      <c r="AH124" s="23" t="str">
        <f t="shared" si="125"/>
        <v/>
      </c>
      <c r="AI124" s="9" t="str">
        <f t="shared" si="110"/>
        <v/>
      </c>
      <c r="AJ124" s="4" t="str">
        <f t="shared" si="111"/>
        <v/>
      </c>
      <c r="AK124" s="4"/>
      <c r="AL124" s="4"/>
      <c r="AM124" s="4"/>
      <c r="AN124" s="4"/>
      <c r="AO124" s="4"/>
      <c r="AP124" s="20" t="str">
        <f t="shared" si="112"/>
        <v>-</v>
      </c>
      <c r="AQ124" s="13" t="str">
        <f t="shared" si="126"/>
        <v>-</v>
      </c>
      <c r="AR124" s="13" t="str">
        <f t="shared" si="127"/>
        <v>-</v>
      </c>
      <c r="AS124" s="13" t="str">
        <f t="shared" si="113"/>
        <v>-</v>
      </c>
      <c r="AT124" s="16" t="str">
        <f t="shared" si="128"/>
        <v>-</v>
      </c>
      <c r="AU124" s="16" t="str">
        <f t="shared" si="114"/>
        <v>-</v>
      </c>
      <c r="AV124" s="16" t="str">
        <f t="shared" si="115"/>
        <v>-</v>
      </c>
      <c r="AW124" s="16" t="str">
        <f t="shared" si="129"/>
        <v>-</v>
      </c>
      <c r="AX124" s="13" t="str">
        <f t="shared" si="130"/>
        <v>-</v>
      </c>
      <c r="AY124" s="10" t="str">
        <f t="shared" si="131"/>
        <v>-</v>
      </c>
      <c r="AZ124" s="9" t="str">
        <f t="shared" si="132"/>
        <v>-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</row>
    <row r="125" spans="2:68" x14ac:dyDescent="0.3">
      <c r="B125" s="108" t="str">
        <f t="shared" si="116"/>
        <v/>
      </c>
      <c r="C125" s="108" t="str">
        <f t="shared" si="100"/>
        <v/>
      </c>
      <c r="D125" s="3"/>
      <c r="E125" s="3"/>
      <c r="F125" s="3"/>
      <c r="G125" s="20">
        <f>IFERROR(INDEX('Input - Supermarket'!F$2:F$200,MATCH('Calculations - Supermarket'!$C125,'Input - Supermarket'!$B$2:$B$200,0)),"")</f>
        <v>0</v>
      </c>
      <c r="H125" s="20">
        <f>IFERROR(INDEX('Input - Supermarket'!G$2:G$200,MATCH('Calculations - Supermarket'!$C125,'Input - Supermarket'!$B$2:$B$200,0)),"")</f>
        <v>0</v>
      </c>
      <c r="I125" s="21">
        <f>IFERROR(INDEX('Input - Supermarket'!H$2:H$200,MATCH('Calculations - Supermarket'!$C125,'Input - Supermarket'!$B$2:$B$200,0)),"")</f>
        <v>0</v>
      </c>
      <c r="J125" s="21">
        <f>IFERROR(INDEX('Input - Supermarket'!I$2:I$200,MATCH('Calculations - Supermarket'!$C125,'Input - Supermarket'!$B$2:$B$200,0)),"")</f>
        <v>0</v>
      </c>
      <c r="K125" s="20">
        <f>IFERROR(INDEX('Input - Supermarket'!J$2:J$200,MATCH('Calculations - Supermarket'!$C125,'Input - Supermarket'!$B$2:$B$200,0)),"")</f>
        <v>0</v>
      </c>
      <c r="L125" s="20">
        <f>IFERROR(INDEX('Input - Supermarket'!K$2:K$200,MATCH('Calculations - Supermarket'!$C125,'Input - Supermarket'!$B$2:$B$200,0)),"")</f>
        <v>0</v>
      </c>
      <c r="M125" s="21" t="str">
        <f t="shared" si="117"/>
        <v/>
      </c>
      <c r="N125" s="21" t="str">
        <f t="shared" si="101"/>
        <v/>
      </c>
      <c r="O125" s="21">
        <f t="shared" si="118"/>
        <v>0</v>
      </c>
      <c r="P125" s="9">
        <f t="shared" si="102"/>
        <v>0</v>
      </c>
      <c r="Q125" s="9">
        <f t="shared" si="103"/>
        <v>0</v>
      </c>
      <c r="R125" s="22" t="str">
        <f>IFERROR(INDEX(Supermarket!$Q$11:$Q$170,MATCH('Calculations - Supermarket'!$C125,Supermarket!$M$11:$M$170,0)),"")</f>
        <v/>
      </c>
      <c r="S125" s="22" t="str">
        <f>IFERROR(INDEX(Supermarket!$R$11:$R$170,MATCH('Calculations - Supermarket'!$C125,Supermarket!$M$11:$M$170,0)),"")</f>
        <v/>
      </c>
      <c r="T125" s="16" t="e">
        <f t="shared" si="104"/>
        <v>#VALUE!</v>
      </c>
      <c r="U125" s="16" t="e">
        <f t="shared" si="119"/>
        <v>#VALUE!</v>
      </c>
      <c r="V125" s="16" t="e">
        <f t="shared" si="120"/>
        <v>#VALUE!</v>
      </c>
      <c r="W125" s="10" t="str">
        <f t="shared" si="105"/>
        <v>-</v>
      </c>
      <c r="X125" s="10" t="str">
        <f t="shared" si="106"/>
        <v>-</v>
      </c>
      <c r="Y125" s="13" t="str">
        <f t="shared" si="121"/>
        <v>-</v>
      </c>
      <c r="Z125" s="9" t="str">
        <f t="shared" si="107"/>
        <v>-</v>
      </c>
      <c r="AA125" s="16" t="str">
        <f t="shared" si="122"/>
        <v>-</v>
      </c>
      <c r="AB125" s="16" t="str">
        <f t="shared" si="108"/>
        <v>-</v>
      </c>
      <c r="AC125" s="16" t="str">
        <f t="shared" si="109"/>
        <v>-</v>
      </c>
      <c r="AD125" s="16" t="str">
        <f t="shared" si="123"/>
        <v>-</v>
      </c>
      <c r="AE125" s="16"/>
      <c r="AF125" s="31" t="str">
        <f>IFERROR(INDEX(Supermarket!$P$11:$P$170,MATCH('Calculations - Supermarket'!C125,Supermarket!$M$11:$M$170,0)),"")</f>
        <v/>
      </c>
      <c r="AG125" s="23" t="str">
        <f t="shared" si="124"/>
        <v/>
      </c>
      <c r="AH125" s="23" t="str">
        <f t="shared" si="125"/>
        <v/>
      </c>
      <c r="AI125" s="9" t="str">
        <f t="shared" si="110"/>
        <v/>
      </c>
      <c r="AJ125" s="4" t="str">
        <f t="shared" si="111"/>
        <v/>
      </c>
      <c r="AK125" s="4"/>
      <c r="AL125" s="4"/>
      <c r="AM125" s="4"/>
      <c r="AN125" s="4"/>
      <c r="AO125" s="4"/>
      <c r="AP125" s="20" t="str">
        <f t="shared" si="112"/>
        <v>-</v>
      </c>
      <c r="AQ125" s="13" t="str">
        <f t="shared" si="126"/>
        <v>-</v>
      </c>
      <c r="AR125" s="13" t="str">
        <f t="shared" si="127"/>
        <v>-</v>
      </c>
      <c r="AS125" s="13" t="str">
        <f t="shared" si="113"/>
        <v>-</v>
      </c>
      <c r="AT125" s="16" t="str">
        <f t="shared" si="128"/>
        <v>-</v>
      </c>
      <c r="AU125" s="16" t="str">
        <f t="shared" si="114"/>
        <v>-</v>
      </c>
      <c r="AV125" s="16" t="str">
        <f t="shared" si="115"/>
        <v>-</v>
      </c>
      <c r="AW125" s="16" t="str">
        <f t="shared" si="129"/>
        <v>-</v>
      </c>
      <c r="AX125" s="13" t="str">
        <f t="shared" si="130"/>
        <v>-</v>
      </c>
      <c r="AY125" s="10" t="str">
        <f t="shared" si="131"/>
        <v>-</v>
      </c>
      <c r="AZ125" s="9" t="str">
        <f t="shared" si="132"/>
        <v>-</v>
      </c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</row>
    <row r="126" spans="2:68" x14ac:dyDescent="0.3">
      <c r="B126" s="108" t="str">
        <f t="shared" si="116"/>
        <v/>
      </c>
      <c r="C126" s="108" t="str">
        <f t="shared" si="100"/>
        <v/>
      </c>
      <c r="D126" s="3"/>
      <c r="E126" s="3"/>
      <c r="F126" s="3"/>
      <c r="G126" s="20">
        <f>IFERROR(INDEX('Input - Supermarket'!F$2:F$200,MATCH('Calculations - Supermarket'!$C126,'Input - Supermarket'!$B$2:$B$200,0)),"")</f>
        <v>0</v>
      </c>
      <c r="H126" s="20">
        <f>IFERROR(INDEX('Input - Supermarket'!G$2:G$200,MATCH('Calculations - Supermarket'!$C126,'Input - Supermarket'!$B$2:$B$200,0)),"")</f>
        <v>0</v>
      </c>
      <c r="I126" s="21">
        <f>IFERROR(INDEX('Input - Supermarket'!H$2:H$200,MATCH('Calculations - Supermarket'!$C126,'Input - Supermarket'!$B$2:$B$200,0)),"")</f>
        <v>0</v>
      </c>
      <c r="J126" s="21">
        <f>IFERROR(INDEX('Input - Supermarket'!I$2:I$200,MATCH('Calculations - Supermarket'!$C126,'Input - Supermarket'!$B$2:$B$200,0)),"")</f>
        <v>0</v>
      </c>
      <c r="K126" s="20">
        <f>IFERROR(INDEX('Input - Supermarket'!J$2:J$200,MATCH('Calculations - Supermarket'!$C126,'Input - Supermarket'!$B$2:$B$200,0)),"")</f>
        <v>0</v>
      </c>
      <c r="L126" s="20">
        <f>IFERROR(INDEX('Input - Supermarket'!K$2:K$200,MATCH('Calculations - Supermarket'!$C126,'Input - Supermarket'!$B$2:$B$200,0)),"")</f>
        <v>0</v>
      </c>
      <c r="M126" s="21" t="str">
        <f t="shared" si="117"/>
        <v/>
      </c>
      <c r="N126" s="21" t="str">
        <f t="shared" si="101"/>
        <v/>
      </c>
      <c r="O126" s="21">
        <f t="shared" si="118"/>
        <v>0</v>
      </c>
      <c r="P126" s="9">
        <f t="shared" si="102"/>
        <v>0</v>
      </c>
      <c r="Q126" s="9">
        <f t="shared" si="103"/>
        <v>0</v>
      </c>
      <c r="R126" s="22" t="str">
        <f>IFERROR(INDEX(Supermarket!$Q$11:$Q$170,MATCH('Calculations - Supermarket'!$C126,Supermarket!$M$11:$M$170,0)),"")</f>
        <v/>
      </c>
      <c r="S126" s="22" t="str">
        <f>IFERROR(INDEX(Supermarket!$R$11:$R$170,MATCH('Calculations - Supermarket'!$C126,Supermarket!$M$11:$M$170,0)),"")</f>
        <v/>
      </c>
      <c r="T126" s="16" t="e">
        <f t="shared" si="104"/>
        <v>#VALUE!</v>
      </c>
      <c r="U126" s="16" t="e">
        <f t="shared" si="119"/>
        <v>#VALUE!</v>
      </c>
      <c r="V126" s="16" t="e">
        <f t="shared" si="120"/>
        <v>#VALUE!</v>
      </c>
      <c r="W126" s="10" t="str">
        <f t="shared" si="105"/>
        <v>-</v>
      </c>
      <c r="X126" s="10" t="str">
        <f t="shared" si="106"/>
        <v>-</v>
      </c>
      <c r="Y126" s="13" t="str">
        <f t="shared" si="121"/>
        <v>-</v>
      </c>
      <c r="Z126" s="9" t="str">
        <f t="shared" si="107"/>
        <v>-</v>
      </c>
      <c r="AA126" s="16" t="str">
        <f t="shared" si="122"/>
        <v>-</v>
      </c>
      <c r="AB126" s="16" t="str">
        <f t="shared" si="108"/>
        <v>-</v>
      </c>
      <c r="AC126" s="16" t="str">
        <f t="shared" si="109"/>
        <v>-</v>
      </c>
      <c r="AD126" s="16" t="str">
        <f t="shared" si="123"/>
        <v>-</v>
      </c>
      <c r="AE126" s="16"/>
      <c r="AF126" s="31" t="str">
        <f>IFERROR(INDEX(Supermarket!$P$11:$P$170,MATCH('Calculations - Supermarket'!C126,Supermarket!$M$11:$M$170,0)),"")</f>
        <v/>
      </c>
      <c r="AG126" s="23" t="str">
        <f t="shared" si="124"/>
        <v/>
      </c>
      <c r="AH126" s="23" t="str">
        <f t="shared" si="125"/>
        <v/>
      </c>
      <c r="AI126" s="9" t="str">
        <f t="shared" si="110"/>
        <v/>
      </c>
      <c r="AJ126" s="4" t="str">
        <f t="shared" si="111"/>
        <v/>
      </c>
      <c r="AK126" s="4"/>
      <c r="AL126" s="4"/>
      <c r="AM126" s="4"/>
      <c r="AN126" s="4"/>
      <c r="AO126" s="4"/>
      <c r="AP126" s="20" t="str">
        <f t="shared" si="112"/>
        <v>-</v>
      </c>
      <c r="AQ126" s="13" t="str">
        <f t="shared" si="126"/>
        <v>-</v>
      </c>
      <c r="AR126" s="13" t="str">
        <f t="shared" si="127"/>
        <v>-</v>
      </c>
      <c r="AS126" s="13" t="str">
        <f t="shared" si="113"/>
        <v>-</v>
      </c>
      <c r="AT126" s="16" t="str">
        <f t="shared" si="128"/>
        <v>-</v>
      </c>
      <c r="AU126" s="16" t="str">
        <f t="shared" si="114"/>
        <v>-</v>
      </c>
      <c r="AV126" s="16" t="str">
        <f t="shared" si="115"/>
        <v>-</v>
      </c>
      <c r="AW126" s="16" t="str">
        <f t="shared" si="129"/>
        <v>-</v>
      </c>
      <c r="AX126" s="13" t="str">
        <f t="shared" si="130"/>
        <v>-</v>
      </c>
      <c r="AY126" s="10" t="str">
        <f t="shared" si="131"/>
        <v>-</v>
      </c>
      <c r="AZ126" s="9" t="str">
        <f t="shared" si="132"/>
        <v>-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</row>
    <row r="127" spans="2:68" x14ac:dyDescent="0.3">
      <c r="B127" s="108" t="str">
        <f t="shared" si="116"/>
        <v/>
      </c>
      <c r="C127" s="108" t="str">
        <f t="shared" si="100"/>
        <v/>
      </c>
      <c r="D127" s="3"/>
      <c r="E127" s="3"/>
      <c r="F127" s="3"/>
      <c r="G127" s="20">
        <f>IFERROR(INDEX('Input - Supermarket'!F$2:F$200,MATCH('Calculations - Supermarket'!$C127,'Input - Supermarket'!$B$2:$B$200,0)),"")</f>
        <v>0</v>
      </c>
      <c r="H127" s="20">
        <f>IFERROR(INDEX('Input - Supermarket'!G$2:G$200,MATCH('Calculations - Supermarket'!$C127,'Input - Supermarket'!$B$2:$B$200,0)),"")</f>
        <v>0</v>
      </c>
      <c r="I127" s="21">
        <f>IFERROR(INDEX('Input - Supermarket'!H$2:H$200,MATCH('Calculations - Supermarket'!$C127,'Input - Supermarket'!$B$2:$B$200,0)),"")</f>
        <v>0</v>
      </c>
      <c r="J127" s="21">
        <f>IFERROR(INDEX('Input - Supermarket'!I$2:I$200,MATCH('Calculations - Supermarket'!$C127,'Input - Supermarket'!$B$2:$B$200,0)),"")</f>
        <v>0</v>
      </c>
      <c r="K127" s="20">
        <f>IFERROR(INDEX('Input - Supermarket'!J$2:J$200,MATCH('Calculations - Supermarket'!$C127,'Input - Supermarket'!$B$2:$B$200,0)),"")</f>
        <v>0</v>
      </c>
      <c r="L127" s="20">
        <f>IFERROR(INDEX('Input - Supermarket'!K$2:K$200,MATCH('Calculations - Supermarket'!$C127,'Input - Supermarket'!$B$2:$B$200,0)),"")</f>
        <v>0</v>
      </c>
      <c r="M127" s="21" t="str">
        <f t="shared" si="117"/>
        <v/>
      </c>
      <c r="N127" s="21" t="str">
        <f t="shared" si="101"/>
        <v/>
      </c>
      <c r="O127" s="21">
        <f t="shared" si="118"/>
        <v>0</v>
      </c>
      <c r="P127" s="9">
        <f t="shared" si="102"/>
        <v>0</v>
      </c>
      <c r="Q127" s="9">
        <f t="shared" si="103"/>
        <v>0</v>
      </c>
      <c r="R127" s="22" t="str">
        <f>IFERROR(INDEX(Supermarket!$Q$11:$Q$170,MATCH('Calculations - Supermarket'!$C127,Supermarket!$M$11:$M$170,0)),"")</f>
        <v/>
      </c>
      <c r="S127" s="22" t="str">
        <f>IFERROR(INDEX(Supermarket!$R$11:$R$170,MATCH('Calculations - Supermarket'!$C127,Supermarket!$M$11:$M$170,0)),"")</f>
        <v/>
      </c>
      <c r="T127" s="16" t="e">
        <f t="shared" si="104"/>
        <v>#VALUE!</v>
      </c>
      <c r="U127" s="16" t="e">
        <f t="shared" si="119"/>
        <v>#VALUE!</v>
      </c>
      <c r="V127" s="16" t="e">
        <f t="shared" si="120"/>
        <v>#VALUE!</v>
      </c>
      <c r="W127" s="10" t="str">
        <f t="shared" si="105"/>
        <v>-</v>
      </c>
      <c r="X127" s="10" t="str">
        <f t="shared" si="106"/>
        <v>-</v>
      </c>
      <c r="Y127" s="13" t="str">
        <f t="shared" si="121"/>
        <v>-</v>
      </c>
      <c r="Z127" s="9" t="str">
        <f t="shared" si="107"/>
        <v>-</v>
      </c>
      <c r="AA127" s="16" t="str">
        <f t="shared" si="122"/>
        <v>-</v>
      </c>
      <c r="AB127" s="16" t="str">
        <f t="shared" si="108"/>
        <v>-</v>
      </c>
      <c r="AC127" s="16" t="str">
        <f t="shared" si="109"/>
        <v>-</v>
      </c>
      <c r="AD127" s="16" t="str">
        <f t="shared" si="123"/>
        <v>-</v>
      </c>
      <c r="AE127" s="16"/>
      <c r="AF127" s="31" t="str">
        <f>IFERROR(INDEX(Supermarket!$P$11:$P$170,MATCH('Calculations - Supermarket'!C127,Supermarket!$M$11:$M$170,0)),"")</f>
        <v/>
      </c>
      <c r="AG127" s="23" t="str">
        <f t="shared" si="124"/>
        <v/>
      </c>
      <c r="AH127" s="23" t="str">
        <f t="shared" si="125"/>
        <v/>
      </c>
      <c r="AI127" s="9" t="str">
        <f t="shared" si="110"/>
        <v/>
      </c>
      <c r="AJ127" s="4" t="str">
        <f t="shared" si="111"/>
        <v/>
      </c>
      <c r="AK127" s="4"/>
      <c r="AL127" s="4"/>
      <c r="AM127" s="4"/>
      <c r="AN127" s="4"/>
      <c r="AO127" s="4"/>
      <c r="AP127" s="20" t="str">
        <f t="shared" si="112"/>
        <v>-</v>
      </c>
      <c r="AQ127" s="13" t="str">
        <f t="shared" si="126"/>
        <v>-</v>
      </c>
      <c r="AR127" s="13" t="str">
        <f t="shared" si="127"/>
        <v>-</v>
      </c>
      <c r="AS127" s="13" t="str">
        <f t="shared" si="113"/>
        <v>-</v>
      </c>
      <c r="AT127" s="16" t="str">
        <f t="shared" si="128"/>
        <v>-</v>
      </c>
      <c r="AU127" s="16" t="str">
        <f t="shared" si="114"/>
        <v>-</v>
      </c>
      <c r="AV127" s="16" t="str">
        <f t="shared" si="115"/>
        <v>-</v>
      </c>
      <c r="AW127" s="16" t="str">
        <f t="shared" si="129"/>
        <v>-</v>
      </c>
      <c r="AX127" s="13" t="str">
        <f t="shared" si="130"/>
        <v>-</v>
      </c>
      <c r="AY127" s="10" t="str">
        <f t="shared" si="131"/>
        <v>-</v>
      </c>
      <c r="AZ127" s="9" t="str">
        <f t="shared" si="132"/>
        <v>-</v>
      </c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</row>
    <row r="128" spans="2:68" x14ac:dyDescent="0.3">
      <c r="B128" s="108" t="str">
        <f t="shared" si="116"/>
        <v/>
      </c>
      <c r="C128" s="108" t="str">
        <f t="shared" ref="C128:C159" si="133">IFERROR(D128&amp;E128&amp;F128,"")</f>
        <v/>
      </c>
      <c r="D128" s="3"/>
      <c r="E128" s="3"/>
      <c r="F128" s="3"/>
      <c r="G128" s="20">
        <f>IFERROR(INDEX('Input - Supermarket'!F$2:F$200,MATCH('Calculations - Supermarket'!$C128,'Input - Supermarket'!$B$2:$B$200,0)),"")</f>
        <v>0</v>
      </c>
      <c r="H128" s="20">
        <f>IFERROR(INDEX('Input - Supermarket'!G$2:G$200,MATCH('Calculations - Supermarket'!$C128,'Input - Supermarket'!$B$2:$B$200,0)),"")</f>
        <v>0</v>
      </c>
      <c r="I128" s="21">
        <f>IFERROR(INDEX('Input - Supermarket'!H$2:H$200,MATCH('Calculations - Supermarket'!$C128,'Input - Supermarket'!$B$2:$B$200,0)),"")</f>
        <v>0</v>
      </c>
      <c r="J128" s="21">
        <f>IFERROR(INDEX('Input - Supermarket'!I$2:I$200,MATCH('Calculations - Supermarket'!$C128,'Input - Supermarket'!$B$2:$B$200,0)),"")</f>
        <v>0</v>
      </c>
      <c r="K128" s="20">
        <f>IFERROR(INDEX('Input - Supermarket'!J$2:J$200,MATCH('Calculations - Supermarket'!$C128,'Input - Supermarket'!$B$2:$B$200,0)),"")</f>
        <v>0</v>
      </c>
      <c r="L128" s="20">
        <f>IFERROR(INDEX('Input - Supermarket'!K$2:K$200,MATCH('Calculations - Supermarket'!$C128,'Input - Supermarket'!$B$2:$B$200,0)),"")</f>
        <v>0</v>
      </c>
      <c r="M128" s="21" t="str">
        <f t="shared" si="117"/>
        <v/>
      </c>
      <c r="N128" s="21" t="str">
        <f t="shared" ref="N128:N159" si="134">IFERROR(K128/L128,"")</f>
        <v/>
      </c>
      <c r="O128" s="21">
        <f t="shared" si="118"/>
        <v>0</v>
      </c>
      <c r="P128" s="9">
        <f t="shared" ref="P128:P159" si="135">G128/SUM(G$32:G$229)</f>
        <v>0</v>
      </c>
      <c r="Q128" s="9">
        <f t="shared" ref="Q128:Q159" si="136">H128/SUM(H$32:H$229)</f>
        <v>0</v>
      </c>
      <c r="R128" s="22" t="str">
        <f>IFERROR(INDEX(Supermarket!$Q$11:$Q$170,MATCH('Calculations - Supermarket'!$C128,Supermarket!$M$11:$M$170,0)),"")</f>
        <v/>
      </c>
      <c r="S128" s="22" t="str">
        <f>IFERROR(INDEX(Supermarket!$R$11:$R$170,MATCH('Calculations - Supermarket'!$C128,Supermarket!$M$11:$M$170,0)),"")</f>
        <v/>
      </c>
      <c r="T128" s="16" t="e">
        <f t="shared" ref="T128:T159" si="137">R128*G128</f>
        <v>#VALUE!</v>
      </c>
      <c r="U128" s="16" t="e">
        <f t="shared" si="119"/>
        <v>#VALUE!</v>
      </c>
      <c r="V128" s="16" t="e">
        <f t="shared" si="120"/>
        <v>#VALUE!</v>
      </c>
      <c r="W128" s="10" t="str">
        <f t="shared" ref="W128:W159" si="138">IFERROR(V128/H128,"-")</f>
        <v>-</v>
      </c>
      <c r="X128" s="10" t="str">
        <f t="shared" ref="X128:X159" si="139">IFERROR((J128+M128)*H128*0.5,"-")</f>
        <v>-</v>
      </c>
      <c r="Y128" s="13" t="str">
        <f t="shared" si="121"/>
        <v>-</v>
      </c>
      <c r="Z128" s="9" t="str">
        <f t="shared" ref="Z128:Z159" si="140">IFERROR(Y128-P128,"-")</f>
        <v>-</v>
      </c>
      <c r="AA128" s="16" t="str">
        <f t="shared" si="122"/>
        <v>-</v>
      </c>
      <c r="AB128" s="16" t="str">
        <f t="shared" ref="AB128:AB159" si="141">IFERROR(AA128/M128,"-")</f>
        <v>-</v>
      </c>
      <c r="AC128" s="16" t="str">
        <f t="shared" ref="AC128:AC159" si="142">IFERROR(R128*AA128,"-")</f>
        <v>-</v>
      </c>
      <c r="AD128" s="16" t="str">
        <f t="shared" si="123"/>
        <v>-</v>
      </c>
      <c r="AE128" s="16"/>
      <c r="AF128" s="31" t="str">
        <f>IFERROR(INDEX(Supermarket!$P$11:$P$170,MATCH('Calculations - Supermarket'!C128,Supermarket!$M$11:$M$170,0)),"")</f>
        <v/>
      </c>
      <c r="AG128" s="23" t="str">
        <f t="shared" si="124"/>
        <v/>
      </c>
      <c r="AH128" s="23" t="str">
        <f t="shared" si="125"/>
        <v/>
      </c>
      <c r="AI128" s="9" t="str">
        <f t="shared" ref="AI128:AI159" si="143">IFERROR((AF128-M128)/M128,"")</f>
        <v/>
      </c>
      <c r="AJ128" s="4" t="str">
        <f t="shared" ref="AJ128:AJ159" si="144">IFERROR(MAX((1+AI128*O128/5)*H128,0),"")</f>
        <v/>
      </c>
      <c r="AK128" s="4"/>
      <c r="AL128" s="4"/>
      <c r="AM128" s="4"/>
      <c r="AN128" s="4"/>
      <c r="AO128" s="4"/>
      <c r="AP128" s="20" t="str">
        <f t="shared" ref="AP128:AP159" si="145">IFERROR(0.5*(J128+AF128)*AJ128,"-")</f>
        <v>-</v>
      </c>
      <c r="AQ128" s="13" t="str">
        <f t="shared" si="126"/>
        <v>-</v>
      </c>
      <c r="AR128" s="13" t="str">
        <f t="shared" si="127"/>
        <v>-</v>
      </c>
      <c r="AS128" s="13" t="str">
        <f t="shared" ref="AS128:AS159" si="146">IFERROR(AR128-P128,"-")</f>
        <v>-</v>
      </c>
      <c r="AT128" s="16" t="str">
        <f t="shared" si="128"/>
        <v>-</v>
      </c>
      <c r="AU128" s="16" t="str">
        <f t="shared" ref="AU128:AU159" si="147">IFERROR(AT128/AF128,"-")</f>
        <v>-</v>
      </c>
      <c r="AV128" s="16" t="str">
        <f t="shared" ref="AV128:AV159" si="148">IFERROR(AG128*AT128,"-")</f>
        <v>-</v>
      </c>
      <c r="AW128" s="16" t="str">
        <f t="shared" si="129"/>
        <v>-</v>
      </c>
      <c r="AX128" s="13" t="str">
        <f t="shared" si="130"/>
        <v>-</v>
      </c>
      <c r="AY128" s="10" t="str">
        <f t="shared" si="131"/>
        <v>-</v>
      </c>
      <c r="AZ128" s="9" t="str">
        <f t="shared" si="132"/>
        <v>-</v>
      </c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</row>
    <row r="129" spans="2:68" x14ac:dyDescent="0.3">
      <c r="B129" s="108" t="str">
        <f t="shared" si="116"/>
        <v/>
      </c>
      <c r="C129" s="108" t="str">
        <f t="shared" si="133"/>
        <v/>
      </c>
      <c r="D129" s="3"/>
      <c r="E129" s="3"/>
      <c r="F129" s="3"/>
      <c r="G129" s="20">
        <f>IFERROR(INDEX('Input - Supermarket'!F$2:F$200,MATCH('Calculations - Supermarket'!$C129,'Input - Supermarket'!$B$2:$B$200,0)),"")</f>
        <v>0</v>
      </c>
      <c r="H129" s="20">
        <f>IFERROR(INDEX('Input - Supermarket'!G$2:G$200,MATCH('Calculations - Supermarket'!$C129,'Input - Supermarket'!$B$2:$B$200,0)),"")</f>
        <v>0</v>
      </c>
      <c r="I129" s="21">
        <f>IFERROR(INDEX('Input - Supermarket'!H$2:H$200,MATCH('Calculations - Supermarket'!$C129,'Input - Supermarket'!$B$2:$B$200,0)),"")</f>
        <v>0</v>
      </c>
      <c r="J129" s="21">
        <f>IFERROR(INDEX('Input - Supermarket'!I$2:I$200,MATCH('Calculations - Supermarket'!$C129,'Input - Supermarket'!$B$2:$B$200,0)),"")</f>
        <v>0</v>
      </c>
      <c r="K129" s="20">
        <f>IFERROR(INDEX('Input - Supermarket'!J$2:J$200,MATCH('Calculations - Supermarket'!$C129,'Input - Supermarket'!$B$2:$B$200,0)),"")</f>
        <v>0</v>
      </c>
      <c r="L129" s="20">
        <f>IFERROR(INDEX('Input - Supermarket'!K$2:K$200,MATCH('Calculations - Supermarket'!$C129,'Input - Supermarket'!$B$2:$B$200,0)),"")</f>
        <v>0</v>
      </c>
      <c r="M129" s="21" t="str">
        <f t="shared" si="117"/>
        <v/>
      </c>
      <c r="N129" s="21" t="str">
        <f t="shared" si="134"/>
        <v/>
      </c>
      <c r="O129" s="21">
        <f t="shared" si="118"/>
        <v>0</v>
      </c>
      <c r="P129" s="9">
        <f t="shared" si="135"/>
        <v>0</v>
      </c>
      <c r="Q129" s="9">
        <f t="shared" si="136"/>
        <v>0</v>
      </c>
      <c r="R129" s="22" t="str">
        <f>IFERROR(INDEX(Supermarket!$Q$11:$Q$170,MATCH('Calculations - Supermarket'!$C129,Supermarket!$M$11:$M$170,0)),"")</f>
        <v/>
      </c>
      <c r="S129" s="22" t="str">
        <f>IFERROR(INDEX(Supermarket!$R$11:$R$170,MATCH('Calculations - Supermarket'!$C129,Supermarket!$M$11:$M$170,0)),"")</f>
        <v/>
      </c>
      <c r="T129" s="16" t="e">
        <f t="shared" si="137"/>
        <v>#VALUE!</v>
      </c>
      <c r="U129" s="16" t="e">
        <f t="shared" si="119"/>
        <v>#VALUE!</v>
      </c>
      <c r="V129" s="16" t="e">
        <f t="shared" si="120"/>
        <v>#VALUE!</v>
      </c>
      <c r="W129" s="10" t="str">
        <f t="shared" si="138"/>
        <v>-</v>
      </c>
      <c r="X129" s="10" t="str">
        <f t="shared" si="139"/>
        <v>-</v>
      </c>
      <c r="Y129" s="13" t="str">
        <f t="shared" si="121"/>
        <v>-</v>
      </c>
      <c r="Z129" s="9" t="str">
        <f t="shared" si="140"/>
        <v>-</v>
      </c>
      <c r="AA129" s="16" t="str">
        <f t="shared" si="122"/>
        <v>-</v>
      </c>
      <c r="AB129" s="16" t="str">
        <f t="shared" si="141"/>
        <v>-</v>
      </c>
      <c r="AC129" s="16" t="str">
        <f t="shared" si="142"/>
        <v>-</v>
      </c>
      <c r="AD129" s="16" t="str">
        <f t="shared" si="123"/>
        <v>-</v>
      </c>
      <c r="AE129" s="16"/>
      <c r="AF129" s="31" t="str">
        <f>IFERROR(INDEX(Supermarket!$P$11:$P$170,MATCH('Calculations - Supermarket'!C129,Supermarket!$M$11:$M$170,0)),"")</f>
        <v/>
      </c>
      <c r="AG129" s="23" t="str">
        <f t="shared" si="124"/>
        <v/>
      </c>
      <c r="AH129" s="23" t="str">
        <f t="shared" si="125"/>
        <v/>
      </c>
      <c r="AI129" s="9" t="str">
        <f t="shared" si="143"/>
        <v/>
      </c>
      <c r="AJ129" s="4" t="str">
        <f t="shared" si="144"/>
        <v/>
      </c>
      <c r="AK129" s="4"/>
      <c r="AL129" s="4"/>
      <c r="AM129" s="4"/>
      <c r="AN129" s="4"/>
      <c r="AO129" s="4"/>
      <c r="AP129" s="20" t="str">
        <f t="shared" si="145"/>
        <v>-</v>
      </c>
      <c r="AQ129" s="13" t="str">
        <f t="shared" si="126"/>
        <v>-</v>
      </c>
      <c r="AR129" s="13" t="str">
        <f t="shared" si="127"/>
        <v>-</v>
      </c>
      <c r="AS129" s="13" t="str">
        <f t="shared" si="146"/>
        <v>-</v>
      </c>
      <c r="AT129" s="16" t="str">
        <f t="shared" si="128"/>
        <v>-</v>
      </c>
      <c r="AU129" s="16" t="str">
        <f t="shared" si="147"/>
        <v>-</v>
      </c>
      <c r="AV129" s="16" t="str">
        <f t="shared" si="148"/>
        <v>-</v>
      </c>
      <c r="AW129" s="16" t="str">
        <f t="shared" si="129"/>
        <v>-</v>
      </c>
      <c r="AX129" s="13" t="str">
        <f t="shared" si="130"/>
        <v>-</v>
      </c>
      <c r="AY129" s="10" t="str">
        <f t="shared" si="131"/>
        <v>-</v>
      </c>
      <c r="AZ129" s="9" t="str">
        <f t="shared" si="132"/>
        <v>-</v>
      </c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</row>
    <row r="130" spans="2:68" x14ac:dyDescent="0.3">
      <c r="B130" s="108" t="str">
        <f t="shared" si="116"/>
        <v/>
      </c>
      <c r="C130" s="108" t="str">
        <f t="shared" si="133"/>
        <v/>
      </c>
      <c r="D130" s="3"/>
      <c r="E130" s="3"/>
      <c r="F130" s="3"/>
      <c r="G130" s="20">
        <f>IFERROR(INDEX('Input - Supermarket'!F$2:F$200,MATCH('Calculations - Supermarket'!$C130,'Input - Supermarket'!$B$2:$B$200,0)),"")</f>
        <v>0</v>
      </c>
      <c r="H130" s="20">
        <f>IFERROR(INDEX('Input - Supermarket'!G$2:G$200,MATCH('Calculations - Supermarket'!$C130,'Input - Supermarket'!$B$2:$B$200,0)),"")</f>
        <v>0</v>
      </c>
      <c r="I130" s="21">
        <f>IFERROR(INDEX('Input - Supermarket'!H$2:H$200,MATCH('Calculations - Supermarket'!$C130,'Input - Supermarket'!$B$2:$B$200,0)),"")</f>
        <v>0</v>
      </c>
      <c r="J130" s="21">
        <f>IFERROR(INDEX('Input - Supermarket'!I$2:I$200,MATCH('Calculations - Supermarket'!$C130,'Input - Supermarket'!$B$2:$B$200,0)),"")</f>
        <v>0</v>
      </c>
      <c r="K130" s="20">
        <f>IFERROR(INDEX('Input - Supermarket'!J$2:J$200,MATCH('Calculations - Supermarket'!$C130,'Input - Supermarket'!$B$2:$B$200,0)),"")</f>
        <v>0</v>
      </c>
      <c r="L130" s="20">
        <f>IFERROR(INDEX('Input - Supermarket'!K$2:K$200,MATCH('Calculations - Supermarket'!$C130,'Input - Supermarket'!$B$2:$B$200,0)),"")</f>
        <v>0</v>
      </c>
      <c r="M130" s="21" t="str">
        <f t="shared" si="117"/>
        <v/>
      </c>
      <c r="N130" s="21" t="str">
        <f t="shared" si="134"/>
        <v/>
      </c>
      <c r="O130" s="21">
        <f t="shared" si="118"/>
        <v>0</v>
      </c>
      <c r="P130" s="9">
        <f t="shared" si="135"/>
        <v>0</v>
      </c>
      <c r="Q130" s="9">
        <f t="shared" si="136"/>
        <v>0</v>
      </c>
      <c r="R130" s="22" t="str">
        <f>IFERROR(INDEX(Supermarket!$Q$11:$Q$170,MATCH('Calculations - Supermarket'!$C130,Supermarket!$M$11:$M$170,0)),"")</f>
        <v/>
      </c>
      <c r="S130" s="22" t="str">
        <f>IFERROR(INDEX(Supermarket!$R$11:$R$170,MATCH('Calculations - Supermarket'!$C130,Supermarket!$M$11:$M$170,0)),"")</f>
        <v/>
      </c>
      <c r="T130" s="16" t="e">
        <f t="shared" si="137"/>
        <v>#VALUE!</v>
      </c>
      <c r="U130" s="16" t="e">
        <f t="shared" si="119"/>
        <v>#VALUE!</v>
      </c>
      <c r="V130" s="16" t="e">
        <f t="shared" si="120"/>
        <v>#VALUE!</v>
      </c>
      <c r="W130" s="10" t="str">
        <f t="shared" si="138"/>
        <v>-</v>
      </c>
      <c r="X130" s="10" t="str">
        <f t="shared" si="139"/>
        <v>-</v>
      </c>
      <c r="Y130" s="13" t="str">
        <f t="shared" si="121"/>
        <v>-</v>
      </c>
      <c r="Z130" s="9" t="str">
        <f t="shared" si="140"/>
        <v>-</v>
      </c>
      <c r="AA130" s="16" t="str">
        <f t="shared" si="122"/>
        <v>-</v>
      </c>
      <c r="AB130" s="16" t="str">
        <f t="shared" si="141"/>
        <v>-</v>
      </c>
      <c r="AC130" s="16" t="str">
        <f t="shared" si="142"/>
        <v>-</v>
      </c>
      <c r="AD130" s="16" t="str">
        <f t="shared" si="123"/>
        <v>-</v>
      </c>
      <c r="AE130" s="16"/>
      <c r="AF130" s="31" t="str">
        <f>IFERROR(INDEX(Supermarket!$P$11:$P$170,MATCH('Calculations - Supermarket'!C130,Supermarket!$M$11:$M$170,0)),"")</f>
        <v/>
      </c>
      <c r="AG130" s="23" t="str">
        <f t="shared" si="124"/>
        <v/>
      </c>
      <c r="AH130" s="23" t="str">
        <f t="shared" si="125"/>
        <v/>
      </c>
      <c r="AI130" s="9" t="str">
        <f t="shared" si="143"/>
        <v/>
      </c>
      <c r="AJ130" s="4" t="str">
        <f t="shared" si="144"/>
        <v/>
      </c>
      <c r="AK130" s="4"/>
      <c r="AL130" s="4"/>
      <c r="AM130" s="4"/>
      <c r="AN130" s="4"/>
      <c r="AO130" s="4"/>
      <c r="AP130" s="20" t="str">
        <f t="shared" si="145"/>
        <v>-</v>
      </c>
      <c r="AQ130" s="13" t="str">
        <f t="shared" si="126"/>
        <v>-</v>
      </c>
      <c r="AR130" s="13" t="str">
        <f t="shared" si="127"/>
        <v>-</v>
      </c>
      <c r="AS130" s="13" t="str">
        <f t="shared" si="146"/>
        <v>-</v>
      </c>
      <c r="AT130" s="16" t="str">
        <f t="shared" si="128"/>
        <v>-</v>
      </c>
      <c r="AU130" s="16" t="str">
        <f t="shared" si="147"/>
        <v>-</v>
      </c>
      <c r="AV130" s="16" t="str">
        <f t="shared" si="148"/>
        <v>-</v>
      </c>
      <c r="AW130" s="16" t="str">
        <f t="shared" si="129"/>
        <v>-</v>
      </c>
      <c r="AX130" s="13" t="str">
        <f t="shared" si="130"/>
        <v>-</v>
      </c>
      <c r="AY130" s="10" t="str">
        <f t="shared" si="131"/>
        <v>-</v>
      </c>
      <c r="AZ130" s="9" t="str">
        <f t="shared" si="132"/>
        <v>-</v>
      </c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</row>
    <row r="131" spans="2:68" x14ac:dyDescent="0.3">
      <c r="B131" s="108" t="str">
        <f t="shared" si="116"/>
        <v/>
      </c>
      <c r="C131" s="108" t="str">
        <f t="shared" si="133"/>
        <v/>
      </c>
      <c r="D131" s="3"/>
      <c r="E131" s="3"/>
      <c r="F131" s="3"/>
      <c r="G131" s="20">
        <f>IFERROR(INDEX('Input - Supermarket'!F$2:F$200,MATCH('Calculations - Supermarket'!$C131,'Input - Supermarket'!$B$2:$B$200,0)),"")</f>
        <v>0</v>
      </c>
      <c r="H131" s="20">
        <f>IFERROR(INDEX('Input - Supermarket'!G$2:G$200,MATCH('Calculations - Supermarket'!$C131,'Input - Supermarket'!$B$2:$B$200,0)),"")</f>
        <v>0</v>
      </c>
      <c r="I131" s="21">
        <f>IFERROR(INDEX('Input - Supermarket'!H$2:H$200,MATCH('Calculations - Supermarket'!$C131,'Input - Supermarket'!$B$2:$B$200,0)),"")</f>
        <v>0</v>
      </c>
      <c r="J131" s="21">
        <f>IFERROR(INDEX('Input - Supermarket'!I$2:I$200,MATCH('Calculations - Supermarket'!$C131,'Input - Supermarket'!$B$2:$B$200,0)),"")</f>
        <v>0</v>
      </c>
      <c r="K131" s="20">
        <f>IFERROR(INDEX('Input - Supermarket'!J$2:J$200,MATCH('Calculations - Supermarket'!$C131,'Input - Supermarket'!$B$2:$B$200,0)),"")</f>
        <v>0</v>
      </c>
      <c r="L131" s="20">
        <f>IFERROR(INDEX('Input - Supermarket'!K$2:K$200,MATCH('Calculations - Supermarket'!$C131,'Input - Supermarket'!$B$2:$B$200,0)),"")</f>
        <v>0</v>
      </c>
      <c r="M131" s="21" t="str">
        <f t="shared" si="117"/>
        <v/>
      </c>
      <c r="N131" s="21" t="str">
        <f t="shared" si="134"/>
        <v/>
      </c>
      <c r="O131" s="21">
        <f t="shared" si="118"/>
        <v>0</v>
      </c>
      <c r="P131" s="9">
        <f t="shared" si="135"/>
        <v>0</v>
      </c>
      <c r="Q131" s="9">
        <f t="shared" si="136"/>
        <v>0</v>
      </c>
      <c r="R131" s="22" t="str">
        <f>IFERROR(INDEX(Supermarket!$Q$11:$Q$170,MATCH('Calculations - Supermarket'!$C131,Supermarket!$M$11:$M$170,0)),"")</f>
        <v/>
      </c>
      <c r="S131" s="22" t="str">
        <f>IFERROR(INDEX(Supermarket!$R$11:$R$170,MATCH('Calculations - Supermarket'!$C131,Supermarket!$M$11:$M$170,0)),"")</f>
        <v/>
      </c>
      <c r="T131" s="16" t="e">
        <f t="shared" si="137"/>
        <v>#VALUE!</v>
      </c>
      <c r="U131" s="16" t="e">
        <f t="shared" si="119"/>
        <v>#VALUE!</v>
      </c>
      <c r="V131" s="16" t="e">
        <f t="shared" si="120"/>
        <v>#VALUE!</v>
      </c>
      <c r="W131" s="10" t="str">
        <f t="shared" si="138"/>
        <v>-</v>
      </c>
      <c r="X131" s="10" t="str">
        <f t="shared" si="139"/>
        <v>-</v>
      </c>
      <c r="Y131" s="13" t="str">
        <f t="shared" si="121"/>
        <v>-</v>
      </c>
      <c r="Z131" s="9" t="str">
        <f t="shared" si="140"/>
        <v>-</v>
      </c>
      <c r="AA131" s="16" t="str">
        <f t="shared" si="122"/>
        <v>-</v>
      </c>
      <c r="AB131" s="16" t="str">
        <f t="shared" si="141"/>
        <v>-</v>
      </c>
      <c r="AC131" s="16" t="str">
        <f t="shared" si="142"/>
        <v>-</v>
      </c>
      <c r="AD131" s="16" t="str">
        <f t="shared" si="123"/>
        <v>-</v>
      </c>
      <c r="AE131" s="16"/>
      <c r="AF131" s="31" t="str">
        <f>IFERROR(INDEX(Supermarket!$P$11:$P$170,MATCH('Calculations - Supermarket'!C131,Supermarket!$M$11:$M$170,0)),"")</f>
        <v/>
      </c>
      <c r="AG131" s="23" t="str">
        <f t="shared" si="124"/>
        <v/>
      </c>
      <c r="AH131" s="23" t="str">
        <f t="shared" si="125"/>
        <v/>
      </c>
      <c r="AI131" s="9" t="str">
        <f t="shared" si="143"/>
        <v/>
      </c>
      <c r="AJ131" s="4" t="str">
        <f t="shared" si="144"/>
        <v/>
      </c>
      <c r="AK131" s="4"/>
      <c r="AL131" s="4"/>
      <c r="AM131" s="4"/>
      <c r="AN131" s="4"/>
      <c r="AO131" s="4"/>
      <c r="AP131" s="20" t="str">
        <f t="shared" si="145"/>
        <v>-</v>
      </c>
      <c r="AQ131" s="13" t="str">
        <f t="shared" si="126"/>
        <v>-</v>
      </c>
      <c r="AR131" s="13" t="str">
        <f t="shared" si="127"/>
        <v>-</v>
      </c>
      <c r="AS131" s="13" t="str">
        <f t="shared" si="146"/>
        <v>-</v>
      </c>
      <c r="AT131" s="16" t="str">
        <f t="shared" si="128"/>
        <v>-</v>
      </c>
      <c r="AU131" s="16" t="str">
        <f t="shared" si="147"/>
        <v>-</v>
      </c>
      <c r="AV131" s="16" t="str">
        <f t="shared" si="148"/>
        <v>-</v>
      </c>
      <c r="AW131" s="16" t="str">
        <f t="shared" si="129"/>
        <v>-</v>
      </c>
      <c r="AX131" s="13" t="str">
        <f t="shared" si="130"/>
        <v>-</v>
      </c>
      <c r="AY131" s="10" t="str">
        <f t="shared" si="131"/>
        <v>-</v>
      </c>
      <c r="AZ131" s="9" t="str">
        <f t="shared" si="132"/>
        <v>-</v>
      </c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</row>
    <row r="132" spans="2:68" x14ac:dyDescent="0.3">
      <c r="B132" s="108" t="str">
        <f t="shared" si="116"/>
        <v/>
      </c>
      <c r="C132" s="108" t="str">
        <f t="shared" si="133"/>
        <v/>
      </c>
      <c r="D132" s="3"/>
      <c r="E132" s="3"/>
      <c r="F132" s="3"/>
      <c r="G132" s="20">
        <f>IFERROR(INDEX('Input - Supermarket'!F$2:F$200,MATCH('Calculations - Supermarket'!$C132,'Input - Supermarket'!$B$2:$B$200,0)),"")</f>
        <v>0</v>
      </c>
      <c r="H132" s="20">
        <f>IFERROR(INDEX('Input - Supermarket'!G$2:G$200,MATCH('Calculations - Supermarket'!$C132,'Input - Supermarket'!$B$2:$B$200,0)),"")</f>
        <v>0</v>
      </c>
      <c r="I132" s="21">
        <f>IFERROR(INDEX('Input - Supermarket'!H$2:H$200,MATCH('Calculations - Supermarket'!$C132,'Input - Supermarket'!$B$2:$B$200,0)),"")</f>
        <v>0</v>
      </c>
      <c r="J132" s="21">
        <f>IFERROR(INDEX('Input - Supermarket'!I$2:I$200,MATCH('Calculations - Supermarket'!$C132,'Input - Supermarket'!$B$2:$B$200,0)),"")</f>
        <v>0</v>
      </c>
      <c r="K132" s="20">
        <f>IFERROR(INDEX('Input - Supermarket'!J$2:J$200,MATCH('Calculations - Supermarket'!$C132,'Input - Supermarket'!$B$2:$B$200,0)),"")</f>
        <v>0</v>
      </c>
      <c r="L132" s="20">
        <f>IFERROR(INDEX('Input - Supermarket'!K$2:K$200,MATCH('Calculations - Supermarket'!$C132,'Input - Supermarket'!$B$2:$B$200,0)),"")</f>
        <v>0</v>
      </c>
      <c r="M132" s="21" t="str">
        <f t="shared" si="117"/>
        <v/>
      </c>
      <c r="N132" s="21" t="str">
        <f t="shared" si="134"/>
        <v/>
      </c>
      <c r="O132" s="21">
        <f t="shared" si="118"/>
        <v>0</v>
      </c>
      <c r="P132" s="9">
        <f t="shared" si="135"/>
        <v>0</v>
      </c>
      <c r="Q132" s="9">
        <f t="shared" si="136"/>
        <v>0</v>
      </c>
      <c r="R132" s="22" t="str">
        <f>IFERROR(INDEX(Supermarket!$Q$11:$Q$170,MATCH('Calculations - Supermarket'!$C132,Supermarket!$M$11:$M$170,0)),"")</f>
        <v/>
      </c>
      <c r="S132" s="22" t="str">
        <f>IFERROR(INDEX(Supermarket!$R$11:$R$170,MATCH('Calculations - Supermarket'!$C132,Supermarket!$M$11:$M$170,0)),"")</f>
        <v/>
      </c>
      <c r="T132" s="16" t="e">
        <f t="shared" si="137"/>
        <v>#VALUE!</v>
      </c>
      <c r="U132" s="16" t="e">
        <f t="shared" si="119"/>
        <v>#VALUE!</v>
      </c>
      <c r="V132" s="16" t="e">
        <f t="shared" si="120"/>
        <v>#VALUE!</v>
      </c>
      <c r="W132" s="10" t="str">
        <f t="shared" si="138"/>
        <v>-</v>
      </c>
      <c r="X132" s="10" t="str">
        <f t="shared" si="139"/>
        <v>-</v>
      </c>
      <c r="Y132" s="13" t="str">
        <f t="shared" si="121"/>
        <v>-</v>
      </c>
      <c r="Z132" s="9" t="str">
        <f t="shared" si="140"/>
        <v>-</v>
      </c>
      <c r="AA132" s="16" t="str">
        <f t="shared" si="122"/>
        <v>-</v>
      </c>
      <c r="AB132" s="16" t="str">
        <f t="shared" si="141"/>
        <v>-</v>
      </c>
      <c r="AC132" s="16" t="str">
        <f t="shared" si="142"/>
        <v>-</v>
      </c>
      <c r="AD132" s="16" t="str">
        <f t="shared" si="123"/>
        <v>-</v>
      </c>
      <c r="AE132" s="16"/>
      <c r="AF132" s="31" t="str">
        <f>IFERROR(INDEX(Supermarket!$P$11:$P$170,MATCH('Calculations - Supermarket'!C132,Supermarket!$M$11:$M$170,0)),"")</f>
        <v/>
      </c>
      <c r="AG132" s="23" t="str">
        <f t="shared" si="124"/>
        <v/>
      </c>
      <c r="AH132" s="23" t="str">
        <f t="shared" si="125"/>
        <v/>
      </c>
      <c r="AI132" s="9" t="str">
        <f t="shared" si="143"/>
        <v/>
      </c>
      <c r="AJ132" s="4" t="str">
        <f t="shared" si="144"/>
        <v/>
      </c>
      <c r="AK132" s="4"/>
      <c r="AL132" s="4"/>
      <c r="AM132" s="4"/>
      <c r="AN132" s="4"/>
      <c r="AO132" s="4"/>
      <c r="AP132" s="20" t="str">
        <f t="shared" si="145"/>
        <v>-</v>
      </c>
      <c r="AQ132" s="13" t="str">
        <f t="shared" si="126"/>
        <v>-</v>
      </c>
      <c r="AR132" s="13" t="str">
        <f t="shared" si="127"/>
        <v>-</v>
      </c>
      <c r="AS132" s="13" t="str">
        <f t="shared" si="146"/>
        <v>-</v>
      </c>
      <c r="AT132" s="16" t="str">
        <f t="shared" si="128"/>
        <v>-</v>
      </c>
      <c r="AU132" s="16" t="str">
        <f t="shared" si="147"/>
        <v>-</v>
      </c>
      <c r="AV132" s="16" t="str">
        <f t="shared" si="148"/>
        <v>-</v>
      </c>
      <c r="AW132" s="16" t="str">
        <f t="shared" si="129"/>
        <v>-</v>
      </c>
      <c r="AX132" s="13" t="str">
        <f t="shared" si="130"/>
        <v>-</v>
      </c>
      <c r="AY132" s="10" t="str">
        <f t="shared" si="131"/>
        <v>-</v>
      </c>
      <c r="AZ132" s="9" t="str">
        <f t="shared" si="132"/>
        <v>-</v>
      </c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</row>
    <row r="133" spans="2:68" x14ac:dyDescent="0.3">
      <c r="B133" s="108" t="str">
        <f t="shared" si="116"/>
        <v/>
      </c>
      <c r="C133" s="108" t="str">
        <f t="shared" si="133"/>
        <v/>
      </c>
      <c r="D133" s="3"/>
      <c r="E133" s="3"/>
      <c r="F133" s="3"/>
      <c r="G133" s="20">
        <f>IFERROR(INDEX('Input - Supermarket'!F$2:F$200,MATCH('Calculations - Supermarket'!$C133,'Input - Supermarket'!$B$2:$B$200,0)),"")</f>
        <v>0</v>
      </c>
      <c r="H133" s="20">
        <f>IFERROR(INDEX('Input - Supermarket'!G$2:G$200,MATCH('Calculations - Supermarket'!$C133,'Input - Supermarket'!$B$2:$B$200,0)),"")</f>
        <v>0</v>
      </c>
      <c r="I133" s="21">
        <f>IFERROR(INDEX('Input - Supermarket'!H$2:H$200,MATCH('Calculations - Supermarket'!$C133,'Input - Supermarket'!$B$2:$B$200,0)),"")</f>
        <v>0</v>
      </c>
      <c r="J133" s="21">
        <f>IFERROR(INDEX('Input - Supermarket'!I$2:I$200,MATCH('Calculations - Supermarket'!$C133,'Input - Supermarket'!$B$2:$B$200,0)),"")</f>
        <v>0</v>
      </c>
      <c r="K133" s="20">
        <f>IFERROR(INDEX('Input - Supermarket'!J$2:J$200,MATCH('Calculations - Supermarket'!$C133,'Input - Supermarket'!$B$2:$B$200,0)),"")</f>
        <v>0</v>
      </c>
      <c r="L133" s="20">
        <f>IFERROR(INDEX('Input - Supermarket'!K$2:K$200,MATCH('Calculations - Supermarket'!$C133,'Input - Supermarket'!$B$2:$B$200,0)),"")</f>
        <v>0</v>
      </c>
      <c r="M133" s="21" t="str">
        <f t="shared" si="117"/>
        <v/>
      </c>
      <c r="N133" s="21" t="str">
        <f t="shared" si="134"/>
        <v/>
      </c>
      <c r="O133" s="21">
        <f t="shared" si="118"/>
        <v>0</v>
      </c>
      <c r="P133" s="9">
        <f t="shared" si="135"/>
        <v>0</v>
      </c>
      <c r="Q133" s="9">
        <f t="shared" si="136"/>
        <v>0</v>
      </c>
      <c r="R133" s="22" t="str">
        <f>IFERROR(INDEX(Supermarket!$Q$11:$Q$170,MATCH('Calculations - Supermarket'!$C133,Supermarket!$M$11:$M$170,0)),"")</f>
        <v/>
      </c>
      <c r="S133" s="22" t="str">
        <f>IFERROR(INDEX(Supermarket!$R$11:$R$170,MATCH('Calculations - Supermarket'!$C133,Supermarket!$M$11:$M$170,0)),"")</f>
        <v/>
      </c>
      <c r="T133" s="16" t="e">
        <f t="shared" si="137"/>
        <v>#VALUE!</v>
      </c>
      <c r="U133" s="16" t="e">
        <f t="shared" si="119"/>
        <v>#VALUE!</v>
      </c>
      <c r="V133" s="16" t="e">
        <f t="shared" si="120"/>
        <v>#VALUE!</v>
      </c>
      <c r="W133" s="10" t="str">
        <f t="shared" si="138"/>
        <v>-</v>
      </c>
      <c r="X133" s="10" t="str">
        <f t="shared" si="139"/>
        <v>-</v>
      </c>
      <c r="Y133" s="13" t="str">
        <f t="shared" si="121"/>
        <v>-</v>
      </c>
      <c r="Z133" s="9" t="str">
        <f t="shared" si="140"/>
        <v>-</v>
      </c>
      <c r="AA133" s="16" t="str">
        <f t="shared" si="122"/>
        <v>-</v>
      </c>
      <c r="AB133" s="16" t="str">
        <f t="shared" si="141"/>
        <v>-</v>
      </c>
      <c r="AC133" s="16" t="str">
        <f t="shared" si="142"/>
        <v>-</v>
      </c>
      <c r="AD133" s="16" t="str">
        <f t="shared" si="123"/>
        <v>-</v>
      </c>
      <c r="AE133" s="16"/>
      <c r="AF133" s="31" t="str">
        <f>IFERROR(INDEX(Supermarket!$P$11:$P$170,MATCH('Calculations - Supermarket'!C133,Supermarket!$M$11:$M$170,0)),"")</f>
        <v/>
      </c>
      <c r="AG133" s="23" t="str">
        <f t="shared" si="124"/>
        <v/>
      </c>
      <c r="AH133" s="23" t="str">
        <f t="shared" si="125"/>
        <v/>
      </c>
      <c r="AI133" s="9" t="str">
        <f t="shared" si="143"/>
        <v/>
      </c>
      <c r="AJ133" s="4" t="str">
        <f t="shared" si="144"/>
        <v/>
      </c>
      <c r="AK133" s="4"/>
      <c r="AL133" s="4"/>
      <c r="AM133" s="4"/>
      <c r="AN133" s="4"/>
      <c r="AO133" s="4"/>
      <c r="AP133" s="20" t="str">
        <f t="shared" si="145"/>
        <v>-</v>
      </c>
      <c r="AQ133" s="13" t="str">
        <f t="shared" si="126"/>
        <v>-</v>
      </c>
      <c r="AR133" s="13" t="str">
        <f t="shared" si="127"/>
        <v>-</v>
      </c>
      <c r="AS133" s="13" t="str">
        <f t="shared" si="146"/>
        <v>-</v>
      </c>
      <c r="AT133" s="16" t="str">
        <f t="shared" si="128"/>
        <v>-</v>
      </c>
      <c r="AU133" s="16" t="str">
        <f t="shared" si="147"/>
        <v>-</v>
      </c>
      <c r="AV133" s="16" t="str">
        <f t="shared" si="148"/>
        <v>-</v>
      </c>
      <c r="AW133" s="16" t="str">
        <f t="shared" si="129"/>
        <v>-</v>
      </c>
      <c r="AX133" s="13" t="str">
        <f t="shared" si="130"/>
        <v>-</v>
      </c>
      <c r="AY133" s="10" t="str">
        <f t="shared" si="131"/>
        <v>-</v>
      </c>
      <c r="AZ133" s="9" t="str">
        <f t="shared" si="132"/>
        <v>-</v>
      </c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</row>
    <row r="134" spans="2:68" x14ac:dyDescent="0.3">
      <c r="B134" s="108" t="str">
        <f t="shared" si="116"/>
        <v/>
      </c>
      <c r="C134" s="108" t="str">
        <f t="shared" si="133"/>
        <v/>
      </c>
      <c r="D134" s="3"/>
      <c r="E134" s="3"/>
      <c r="F134" s="3"/>
      <c r="G134" s="20">
        <f>IFERROR(INDEX('Input - Supermarket'!F$2:F$200,MATCH('Calculations - Supermarket'!$C134,'Input - Supermarket'!$B$2:$B$200,0)),"")</f>
        <v>0</v>
      </c>
      <c r="H134" s="20">
        <f>IFERROR(INDEX('Input - Supermarket'!G$2:G$200,MATCH('Calculations - Supermarket'!$C134,'Input - Supermarket'!$B$2:$B$200,0)),"")</f>
        <v>0</v>
      </c>
      <c r="I134" s="21">
        <f>IFERROR(INDEX('Input - Supermarket'!H$2:H$200,MATCH('Calculations - Supermarket'!$C134,'Input - Supermarket'!$B$2:$B$200,0)),"")</f>
        <v>0</v>
      </c>
      <c r="J134" s="21">
        <f>IFERROR(INDEX('Input - Supermarket'!I$2:I$200,MATCH('Calculations - Supermarket'!$C134,'Input - Supermarket'!$B$2:$B$200,0)),"")</f>
        <v>0</v>
      </c>
      <c r="K134" s="20">
        <f>IFERROR(INDEX('Input - Supermarket'!J$2:J$200,MATCH('Calculations - Supermarket'!$C134,'Input - Supermarket'!$B$2:$B$200,0)),"")</f>
        <v>0</v>
      </c>
      <c r="L134" s="20">
        <f>IFERROR(INDEX('Input - Supermarket'!K$2:K$200,MATCH('Calculations - Supermarket'!$C134,'Input - Supermarket'!$B$2:$B$200,0)),"")</f>
        <v>0</v>
      </c>
      <c r="M134" s="21" t="str">
        <f t="shared" si="117"/>
        <v/>
      </c>
      <c r="N134" s="21" t="str">
        <f t="shared" si="134"/>
        <v/>
      </c>
      <c r="O134" s="21">
        <f t="shared" si="118"/>
        <v>0</v>
      </c>
      <c r="P134" s="9">
        <f t="shared" si="135"/>
        <v>0</v>
      </c>
      <c r="Q134" s="9">
        <f t="shared" si="136"/>
        <v>0</v>
      </c>
      <c r="R134" s="22" t="str">
        <f>IFERROR(INDEX(Supermarket!$Q$11:$Q$170,MATCH('Calculations - Supermarket'!$C134,Supermarket!$M$11:$M$170,0)),"")</f>
        <v/>
      </c>
      <c r="S134" s="22" t="str">
        <f>IFERROR(INDEX(Supermarket!$R$11:$R$170,MATCH('Calculations - Supermarket'!$C134,Supermarket!$M$11:$M$170,0)),"")</f>
        <v/>
      </c>
      <c r="T134" s="16" t="e">
        <f t="shared" si="137"/>
        <v>#VALUE!</v>
      </c>
      <c r="U134" s="16" t="e">
        <f t="shared" si="119"/>
        <v>#VALUE!</v>
      </c>
      <c r="V134" s="16" t="e">
        <f t="shared" si="120"/>
        <v>#VALUE!</v>
      </c>
      <c r="W134" s="10" t="str">
        <f t="shared" si="138"/>
        <v>-</v>
      </c>
      <c r="X134" s="10" t="str">
        <f t="shared" si="139"/>
        <v>-</v>
      </c>
      <c r="Y134" s="13" t="str">
        <f t="shared" si="121"/>
        <v>-</v>
      </c>
      <c r="Z134" s="9" t="str">
        <f t="shared" si="140"/>
        <v>-</v>
      </c>
      <c r="AA134" s="16" t="str">
        <f t="shared" si="122"/>
        <v>-</v>
      </c>
      <c r="AB134" s="16" t="str">
        <f t="shared" si="141"/>
        <v>-</v>
      </c>
      <c r="AC134" s="16" t="str">
        <f t="shared" si="142"/>
        <v>-</v>
      </c>
      <c r="AD134" s="16" t="str">
        <f t="shared" si="123"/>
        <v>-</v>
      </c>
      <c r="AE134" s="16"/>
      <c r="AF134" s="31" t="str">
        <f>IFERROR(INDEX(Supermarket!$P$11:$P$170,MATCH('Calculations - Supermarket'!C134,Supermarket!$M$11:$M$170,0)),"")</f>
        <v/>
      </c>
      <c r="AG134" s="23" t="str">
        <f t="shared" si="124"/>
        <v/>
      </c>
      <c r="AH134" s="23" t="str">
        <f t="shared" si="125"/>
        <v/>
      </c>
      <c r="AI134" s="9" t="str">
        <f t="shared" si="143"/>
        <v/>
      </c>
      <c r="AJ134" s="4" t="str">
        <f t="shared" si="144"/>
        <v/>
      </c>
      <c r="AK134" s="4"/>
      <c r="AL134" s="4"/>
      <c r="AM134" s="4"/>
      <c r="AN134" s="4"/>
      <c r="AO134" s="4"/>
      <c r="AP134" s="20" t="str">
        <f t="shared" si="145"/>
        <v>-</v>
      </c>
      <c r="AQ134" s="13" t="str">
        <f t="shared" si="126"/>
        <v>-</v>
      </c>
      <c r="AR134" s="13" t="str">
        <f t="shared" si="127"/>
        <v>-</v>
      </c>
      <c r="AS134" s="13" t="str">
        <f t="shared" si="146"/>
        <v>-</v>
      </c>
      <c r="AT134" s="16" t="str">
        <f t="shared" si="128"/>
        <v>-</v>
      </c>
      <c r="AU134" s="16" t="str">
        <f t="shared" si="147"/>
        <v>-</v>
      </c>
      <c r="AV134" s="16" t="str">
        <f t="shared" si="148"/>
        <v>-</v>
      </c>
      <c r="AW134" s="16" t="str">
        <f t="shared" si="129"/>
        <v>-</v>
      </c>
      <c r="AX134" s="13" t="str">
        <f t="shared" si="130"/>
        <v>-</v>
      </c>
      <c r="AY134" s="10" t="str">
        <f t="shared" si="131"/>
        <v>-</v>
      </c>
      <c r="AZ134" s="9" t="str">
        <f t="shared" si="132"/>
        <v>-</v>
      </c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</row>
    <row r="135" spans="2:68" x14ac:dyDescent="0.3">
      <c r="B135" s="108" t="str">
        <f t="shared" si="116"/>
        <v/>
      </c>
      <c r="C135" s="108" t="str">
        <f t="shared" si="133"/>
        <v/>
      </c>
      <c r="D135" s="3"/>
      <c r="E135" s="3"/>
      <c r="F135" s="3"/>
      <c r="G135" s="20">
        <f>IFERROR(INDEX('Input - Supermarket'!F$2:F$200,MATCH('Calculations - Supermarket'!$C135,'Input - Supermarket'!$B$2:$B$200,0)),"")</f>
        <v>0</v>
      </c>
      <c r="H135" s="20">
        <f>IFERROR(INDEX('Input - Supermarket'!G$2:G$200,MATCH('Calculations - Supermarket'!$C135,'Input - Supermarket'!$B$2:$B$200,0)),"")</f>
        <v>0</v>
      </c>
      <c r="I135" s="21">
        <f>IFERROR(INDEX('Input - Supermarket'!H$2:H$200,MATCH('Calculations - Supermarket'!$C135,'Input - Supermarket'!$B$2:$B$200,0)),"")</f>
        <v>0</v>
      </c>
      <c r="J135" s="21">
        <f>IFERROR(INDEX('Input - Supermarket'!I$2:I$200,MATCH('Calculations - Supermarket'!$C135,'Input - Supermarket'!$B$2:$B$200,0)),"")</f>
        <v>0</v>
      </c>
      <c r="K135" s="20">
        <f>IFERROR(INDEX('Input - Supermarket'!J$2:J$200,MATCH('Calculations - Supermarket'!$C135,'Input - Supermarket'!$B$2:$B$200,0)),"")</f>
        <v>0</v>
      </c>
      <c r="L135" s="20">
        <f>IFERROR(INDEX('Input - Supermarket'!K$2:K$200,MATCH('Calculations - Supermarket'!$C135,'Input - Supermarket'!$B$2:$B$200,0)),"")</f>
        <v>0</v>
      </c>
      <c r="M135" s="21" t="str">
        <f t="shared" si="117"/>
        <v/>
      </c>
      <c r="N135" s="21" t="str">
        <f t="shared" si="134"/>
        <v/>
      </c>
      <c r="O135" s="21">
        <f t="shared" si="118"/>
        <v>0</v>
      </c>
      <c r="P135" s="9">
        <f t="shared" si="135"/>
        <v>0</v>
      </c>
      <c r="Q135" s="9">
        <f t="shared" si="136"/>
        <v>0</v>
      </c>
      <c r="R135" s="22" t="str">
        <f>IFERROR(INDEX(Supermarket!$Q$11:$Q$170,MATCH('Calculations - Supermarket'!$C135,Supermarket!$M$11:$M$170,0)),"")</f>
        <v/>
      </c>
      <c r="S135" s="22" t="str">
        <f>IFERROR(INDEX(Supermarket!$R$11:$R$170,MATCH('Calculations - Supermarket'!$C135,Supermarket!$M$11:$M$170,0)),"")</f>
        <v/>
      </c>
      <c r="T135" s="16" t="e">
        <f t="shared" si="137"/>
        <v>#VALUE!</v>
      </c>
      <c r="U135" s="16" t="e">
        <f t="shared" si="119"/>
        <v>#VALUE!</v>
      </c>
      <c r="V135" s="16" t="e">
        <f t="shared" si="120"/>
        <v>#VALUE!</v>
      </c>
      <c r="W135" s="10" t="str">
        <f t="shared" si="138"/>
        <v>-</v>
      </c>
      <c r="X135" s="10" t="str">
        <f t="shared" si="139"/>
        <v>-</v>
      </c>
      <c r="Y135" s="13" t="str">
        <f t="shared" si="121"/>
        <v>-</v>
      </c>
      <c r="Z135" s="9" t="str">
        <f t="shared" si="140"/>
        <v>-</v>
      </c>
      <c r="AA135" s="16" t="str">
        <f t="shared" si="122"/>
        <v>-</v>
      </c>
      <c r="AB135" s="16" t="str">
        <f t="shared" si="141"/>
        <v>-</v>
      </c>
      <c r="AC135" s="16" t="str">
        <f t="shared" si="142"/>
        <v>-</v>
      </c>
      <c r="AD135" s="16" t="str">
        <f t="shared" si="123"/>
        <v>-</v>
      </c>
      <c r="AE135" s="16"/>
      <c r="AF135" s="31" t="str">
        <f>IFERROR(INDEX(Supermarket!$P$11:$P$170,MATCH('Calculations - Supermarket'!C135,Supermarket!$M$11:$M$170,0)),"")</f>
        <v/>
      </c>
      <c r="AG135" s="23" t="str">
        <f t="shared" si="124"/>
        <v/>
      </c>
      <c r="AH135" s="23" t="str">
        <f t="shared" si="125"/>
        <v/>
      </c>
      <c r="AI135" s="9" t="str">
        <f t="shared" si="143"/>
        <v/>
      </c>
      <c r="AJ135" s="4" t="str">
        <f t="shared" si="144"/>
        <v/>
      </c>
      <c r="AK135" s="4"/>
      <c r="AL135" s="4"/>
      <c r="AM135" s="4"/>
      <c r="AN135" s="4"/>
      <c r="AO135" s="4"/>
      <c r="AP135" s="20" t="str">
        <f t="shared" si="145"/>
        <v>-</v>
      </c>
      <c r="AQ135" s="13" t="str">
        <f t="shared" si="126"/>
        <v>-</v>
      </c>
      <c r="AR135" s="13" t="str">
        <f t="shared" si="127"/>
        <v>-</v>
      </c>
      <c r="AS135" s="13" t="str">
        <f t="shared" si="146"/>
        <v>-</v>
      </c>
      <c r="AT135" s="16" t="str">
        <f t="shared" si="128"/>
        <v>-</v>
      </c>
      <c r="AU135" s="16" t="str">
        <f t="shared" si="147"/>
        <v>-</v>
      </c>
      <c r="AV135" s="16" t="str">
        <f t="shared" si="148"/>
        <v>-</v>
      </c>
      <c r="AW135" s="16" t="str">
        <f t="shared" si="129"/>
        <v>-</v>
      </c>
      <c r="AX135" s="13" t="str">
        <f t="shared" si="130"/>
        <v>-</v>
      </c>
      <c r="AY135" s="10" t="str">
        <f t="shared" si="131"/>
        <v>-</v>
      </c>
      <c r="AZ135" s="9" t="str">
        <f t="shared" si="132"/>
        <v>-</v>
      </c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</row>
    <row r="136" spans="2:68" x14ac:dyDescent="0.3">
      <c r="B136" s="108" t="str">
        <f t="shared" si="116"/>
        <v/>
      </c>
      <c r="C136" s="108" t="str">
        <f t="shared" si="133"/>
        <v/>
      </c>
      <c r="D136" s="3"/>
      <c r="E136" s="3"/>
      <c r="F136" s="3"/>
      <c r="G136" s="20">
        <f>IFERROR(INDEX('Input - Supermarket'!F$2:F$200,MATCH('Calculations - Supermarket'!$C136,'Input - Supermarket'!$B$2:$B$200,0)),"")</f>
        <v>0</v>
      </c>
      <c r="H136" s="20">
        <f>IFERROR(INDEX('Input - Supermarket'!G$2:G$200,MATCH('Calculations - Supermarket'!$C136,'Input - Supermarket'!$B$2:$B$200,0)),"")</f>
        <v>0</v>
      </c>
      <c r="I136" s="21">
        <f>IFERROR(INDEX('Input - Supermarket'!H$2:H$200,MATCH('Calculations - Supermarket'!$C136,'Input - Supermarket'!$B$2:$B$200,0)),"")</f>
        <v>0</v>
      </c>
      <c r="J136" s="21">
        <f>IFERROR(INDEX('Input - Supermarket'!I$2:I$200,MATCH('Calculations - Supermarket'!$C136,'Input - Supermarket'!$B$2:$B$200,0)),"")</f>
        <v>0</v>
      </c>
      <c r="K136" s="20">
        <f>IFERROR(INDEX('Input - Supermarket'!J$2:J$200,MATCH('Calculations - Supermarket'!$C136,'Input - Supermarket'!$B$2:$B$200,0)),"")</f>
        <v>0</v>
      </c>
      <c r="L136" s="20">
        <f>IFERROR(INDEX('Input - Supermarket'!K$2:K$200,MATCH('Calculations - Supermarket'!$C136,'Input - Supermarket'!$B$2:$B$200,0)),"")</f>
        <v>0</v>
      </c>
      <c r="M136" s="21" t="str">
        <f t="shared" si="117"/>
        <v/>
      </c>
      <c r="N136" s="21" t="str">
        <f t="shared" si="134"/>
        <v/>
      </c>
      <c r="O136" s="21">
        <f t="shared" si="118"/>
        <v>0</v>
      </c>
      <c r="P136" s="9">
        <f t="shared" si="135"/>
        <v>0</v>
      </c>
      <c r="Q136" s="9">
        <f t="shared" si="136"/>
        <v>0</v>
      </c>
      <c r="R136" s="22" t="str">
        <f>IFERROR(INDEX(Supermarket!$Q$11:$Q$170,MATCH('Calculations - Supermarket'!$C136,Supermarket!$M$11:$M$170,0)),"")</f>
        <v/>
      </c>
      <c r="S136" s="22" t="str">
        <f>IFERROR(INDEX(Supermarket!$R$11:$R$170,MATCH('Calculations - Supermarket'!$C136,Supermarket!$M$11:$M$170,0)),"")</f>
        <v/>
      </c>
      <c r="T136" s="16" t="e">
        <f t="shared" si="137"/>
        <v>#VALUE!</v>
      </c>
      <c r="U136" s="16" t="e">
        <f t="shared" si="119"/>
        <v>#VALUE!</v>
      </c>
      <c r="V136" s="16" t="e">
        <f t="shared" si="120"/>
        <v>#VALUE!</v>
      </c>
      <c r="W136" s="10" t="str">
        <f t="shared" si="138"/>
        <v>-</v>
      </c>
      <c r="X136" s="10" t="str">
        <f t="shared" si="139"/>
        <v>-</v>
      </c>
      <c r="Y136" s="13" t="str">
        <f t="shared" si="121"/>
        <v>-</v>
      </c>
      <c r="Z136" s="9" t="str">
        <f t="shared" si="140"/>
        <v>-</v>
      </c>
      <c r="AA136" s="16" t="str">
        <f t="shared" si="122"/>
        <v>-</v>
      </c>
      <c r="AB136" s="16" t="str">
        <f t="shared" si="141"/>
        <v>-</v>
      </c>
      <c r="AC136" s="16" t="str">
        <f t="shared" si="142"/>
        <v>-</v>
      </c>
      <c r="AD136" s="16" t="str">
        <f t="shared" si="123"/>
        <v>-</v>
      </c>
      <c r="AE136" s="16"/>
      <c r="AF136" s="31" t="str">
        <f>IFERROR(INDEX(Supermarket!$P$11:$P$170,MATCH('Calculations - Supermarket'!C136,Supermarket!$M$11:$M$170,0)),"")</f>
        <v/>
      </c>
      <c r="AG136" s="23" t="str">
        <f t="shared" si="124"/>
        <v/>
      </c>
      <c r="AH136" s="23" t="str">
        <f t="shared" si="125"/>
        <v/>
      </c>
      <c r="AI136" s="9" t="str">
        <f t="shared" si="143"/>
        <v/>
      </c>
      <c r="AJ136" s="4" t="str">
        <f t="shared" si="144"/>
        <v/>
      </c>
      <c r="AK136" s="4"/>
      <c r="AL136" s="4"/>
      <c r="AM136" s="4"/>
      <c r="AN136" s="4"/>
      <c r="AO136" s="4"/>
      <c r="AP136" s="20" t="str">
        <f t="shared" si="145"/>
        <v>-</v>
      </c>
      <c r="AQ136" s="13" t="str">
        <f t="shared" si="126"/>
        <v>-</v>
      </c>
      <c r="AR136" s="13" t="str">
        <f t="shared" si="127"/>
        <v>-</v>
      </c>
      <c r="AS136" s="13" t="str">
        <f t="shared" si="146"/>
        <v>-</v>
      </c>
      <c r="AT136" s="16" t="str">
        <f t="shared" si="128"/>
        <v>-</v>
      </c>
      <c r="AU136" s="16" t="str">
        <f t="shared" si="147"/>
        <v>-</v>
      </c>
      <c r="AV136" s="16" t="str">
        <f t="shared" si="148"/>
        <v>-</v>
      </c>
      <c r="AW136" s="16" t="str">
        <f t="shared" si="129"/>
        <v>-</v>
      </c>
      <c r="AX136" s="13" t="str">
        <f t="shared" si="130"/>
        <v>-</v>
      </c>
      <c r="AY136" s="10" t="str">
        <f t="shared" si="131"/>
        <v>-</v>
      </c>
      <c r="AZ136" s="9" t="str">
        <f t="shared" si="132"/>
        <v>-</v>
      </c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</row>
    <row r="137" spans="2:68" x14ac:dyDescent="0.3">
      <c r="B137" s="108" t="str">
        <f t="shared" si="116"/>
        <v/>
      </c>
      <c r="C137" s="108" t="str">
        <f t="shared" si="133"/>
        <v/>
      </c>
      <c r="D137" s="3"/>
      <c r="E137" s="3"/>
      <c r="F137" s="3"/>
      <c r="G137" s="20">
        <f>IFERROR(INDEX('Input - Supermarket'!F$2:F$200,MATCH('Calculations - Supermarket'!$C137,'Input - Supermarket'!$B$2:$B$200,0)),"")</f>
        <v>0</v>
      </c>
      <c r="H137" s="20">
        <f>IFERROR(INDEX('Input - Supermarket'!G$2:G$200,MATCH('Calculations - Supermarket'!$C137,'Input - Supermarket'!$B$2:$B$200,0)),"")</f>
        <v>0</v>
      </c>
      <c r="I137" s="21">
        <f>IFERROR(INDEX('Input - Supermarket'!H$2:H$200,MATCH('Calculations - Supermarket'!$C137,'Input - Supermarket'!$B$2:$B$200,0)),"")</f>
        <v>0</v>
      </c>
      <c r="J137" s="21">
        <f>IFERROR(INDEX('Input - Supermarket'!I$2:I$200,MATCH('Calculations - Supermarket'!$C137,'Input - Supermarket'!$B$2:$B$200,0)),"")</f>
        <v>0</v>
      </c>
      <c r="K137" s="20">
        <f>IFERROR(INDEX('Input - Supermarket'!J$2:J$200,MATCH('Calculations - Supermarket'!$C137,'Input - Supermarket'!$B$2:$B$200,0)),"")</f>
        <v>0</v>
      </c>
      <c r="L137" s="20">
        <f>IFERROR(INDEX('Input - Supermarket'!K$2:K$200,MATCH('Calculations - Supermarket'!$C137,'Input - Supermarket'!$B$2:$B$200,0)),"")</f>
        <v>0</v>
      </c>
      <c r="M137" s="21" t="str">
        <f t="shared" si="117"/>
        <v/>
      </c>
      <c r="N137" s="21" t="str">
        <f t="shared" si="134"/>
        <v/>
      </c>
      <c r="O137" s="21">
        <f t="shared" si="118"/>
        <v>0</v>
      </c>
      <c r="P137" s="9">
        <f t="shared" si="135"/>
        <v>0</v>
      </c>
      <c r="Q137" s="9">
        <f t="shared" si="136"/>
        <v>0</v>
      </c>
      <c r="R137" s="22" t="str">
        <f>IFERROR(INDEX(Supermarket!$Q$11:$Q$170,MATCH('Calculations - Supermarket'!$C137,Supermarket!$M$11:$M$170,0)),"")</f>
        <v/>
      </c>
      <c r="S137" s="22" t="str">
        <f>IFERROR(INDEX(Supermarket!$R$11:$R$170,MATCH('Calculations - Supermarket'!$C137,Supermarket!$M$11:$M$170,0)),"")</f>
        <v/>
      </c>
      <c r="T137" s="16" t="e">
        <f t="shared" si="137"/>
        <v>#VALUE!</v>
      </c>
      <c r="U137" s="16" t="e">
        <f t="shared" si="119"/>
        <v>#VALUE!</v>
      </c>
      <c r="V137" s="16" t="e">
        <f t="shared" si="120"/>
        <v>#VALUE!</v>
      </c>
      <c r="W137" s="10" t="str">
        <f t="shared" si="138"/>
        <v>-</v>
      </c>
      <c r="X137" s="10" t="str">
        <f t="shared" si="139"/>
        <v>-</v>
      </c>
      <c r="Y137" s="13" t="str">
        <f t="shared" si="121"/>
        <v>-</v>
      </c>
      <c r="Z137" s="9" t="str">
        <f t="shared" si="140"/>
        <v>-</v>
      </c>
      <c r="AA137" s="16" t="str">
        <f t="shared" si="122"/>
        <v>-</v>
      </c>
      <c r="AB137" s="16" t="str">
        <f t="shared" si="141"/>
        <v>-</v>
      </c>
      <c r="AC137" s="16" t="str">
        <f t="shared" si="142"/>
        <v>-</v>
      </c>
      <c r="AD137" s="16" t="str">
        <f t="shared" si="123"/>
        <v>-</v>
      </c>
      <c r="AE137" s="16"/>
      <c r="AF137" s="31" t="str">
        <f>IFERROR(INDEX(Supermarket!$P$11:$P$170,MATCH('Calculations - Supermarket'!C137,Supermarket!$M$11:$M$170,0)),"")</f>
        <v/>
      </c>
      <c r="AG137" s="23" t="str">
        <f t="shared" si="124"/>
        <v/>
      </c>
      <c r="AH137" s="23" t="str">
        <f t="shared" si="125"/>
        <v/>
      </c>
      <c r="AI137" s="9" t="str">
        <f t="shared" si="143"/>
        <v/>
      </c>
      <c r="AJ137" s="4" t="str">
        <f t="shared" si="144"/>
        <v/>
      </c>
      <c r="AK137" s="4"/>
      <c r="AL137" s="4"/>
      <c r="AM137" s="4"/>
      <c r="AN137" s="4"/>
      <c r="AO137" s="4"/>
      <c r="AP137" s="20" t="str">
        <f t="shared" si="145"/>
        <v>-</v>
      </c>
      <c r="AQ137" s="13" t="str">
        <f t="shared" si="126"/>
        <v>-</v>
      </c>
      <c r="AR137" s="13" t="str">
        <f t="shared" si="127"/>
        <v>-</v>
      </c>
      <c r="AS137" s="13" t="str">
        <f t="shared" si="146"/>
        <v>-</v>
      </c>
      <c r="AT137" s="16" t="str">
        <f t="shared" si="128"/>
        <v>-</v>
      </c>
      <c r="AU137" s="16" t="str">
        <f t="shared" si="147"/>
        <v>-</v>
      </c>
      <c r="AV137" s="16" t="str">
        <f t="shared" si="148"/>
        <v>-</v>
      </c>
      <c r="AW137" s="16" t="str">
        <f t="shared" si="129"/>
        <v>-</v>
      </c>
      <c r="AX137" s="13" t="str">
        <f t="shared" si="130"/>
        <v>-</v>
      </c>
      <c r="AY137" s="10" t="str">
        <f t="shared" si="131"/>
        <v>-</v>
      </c>
      <c r="AZ137" s="9" t="str">
        <f t="shared" si="132"/>
        <v>-</v>
      </c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</row>
    <row r="138" spans="2:68" x14ac:dyDescent="0.3">
      <c r="B138" s="108" t="str">
        <f t="shared" si="116"/>
        <v/>
      </c>
      <c r="C138" s="108" t="str">
        <f t="shared" si="133"/>
        <v/>
      </c>
      <c r="D138" s="3"/>
      <c r="E138" s="3"/>
      <c r="F138" s="3"/>
      <c r="G138" s="20">
        <f>IFERROR(INDEX('Input - Supermarket'!F$2:F$200,MATCH('Calculations - Supermarket'!$C138,'Input - Supermarket'!$B$2:$B$200,0)),"")</f>
        <v>0</v>
      </c>
      <c r="H138" s="20">
        <f>IFERROR(INDEX('Input - Supermarket'!G$2:G$200,MATCH('Calculations - Supermarket'!$C138,'Input - Supermarket'!$B$2:$B$200,0)),"")</f>
        <v>0</v>
      </c>
      <c r="I138" s="21">
        <f>IFERROR(INDEX('Input - Supermarket'!H$2:H$200,MATCH('Calculations - Supermarket'!$C138,'Input - Supermarket'!$B$2:$B$200,0)),"")</f>
        <v>0</v>
      </c>
      <c r="J138" s="21">
        <f>IFERROR(INDEX('Input - Supermarket'!I$2:I$200,MATCH('Calculations - Supermarket'!$C138,'Input - Supermarket'!$B$2:$B$200,0)),"")</f>
        <v>0</v>
      </c>
      <c r="K138" s="20">
        <f>IFERROR(INDEX('Input - Supermarket'!J$2:J$200,MATCH('Calculations - Supermarket'!$C138,'Input - Supermarket'!$B$2:$B$200,0)),"")</f>
        <v>0</v>
      </c>
      <c r="L138" s="20">
        <f>IFERROR(INDEX('Input - Supermarket'!K$2:K$200,MATCH('Calculations - Supermarket'!$C138,'Input - Supermarket'!$B$2:$B$200,0)),"")</f>
        <v>0</v>
      </c>
      <c r="M138" s="21" t="str">
        <f t="shared" si="117"/>
        <v/>
      </c>
      <c r="N138" s="21" t="str">
        <f t="shared" si="134"/>
        <v/>
      </c>
      <c r="O138" s="21">
        <f t="shared" si="118"/>
        <v>0</v>
      </c>
      <c r="P138" s="9">
        <f t="shared" si="135"/>
        <v>0</v>
      </c>
      <c r="Q138" s="9">
        <f t="shared" si="136"/>
        <v>0</v>
      </c>
      <c r="R138" s="22" t="str">
        <f>IFERROR(INDEX(Supermarket!$Q$11:$Q$170,MATCH('Calculations - Supermarket'!$C138,Supermarket!$M$11:$M$170,0)),"")</f>
        <v/>
      </c>
      <c r="S138" s="22" t="str">
        <f>IFERROR(INDEX(Supermarket!$R$11:$R$170,MATCH('Calculations - Supermarket'!$C138,Supermarket!$M$11:$M$170,0)),"")</f>
        <v/>
      </c>
      <c r="T138" s="16" t="e">
        <f t="shared" si="137"/>
        <v>#VALUE!</v>
      </c>
      <c r="U138" s="16" t="e">
        <f t="shared" si="119"/>
        <v>#VALUE!</v>
      </c>
      <c r="V138" s="16" t="e">
        <f t="shared" si="120"/>
        <v>#VALUE!</v>
      </c>
      <c r="W138" s="10" t="str">
        <f t="shared" si="138"/>
        <v>-</v>
      </c>
      <c r="X138" s="10" t="str">
        <f t="shared" si="139"/>
        <v>-</v>
      </c>
      <c r="Y138" s="13" t="str">
        <f t="shared" si="121"/>
        <v>-</v>
      </c>
      <c r="Z138" s="9" t="str">
        <f t="shared" si="140"/>
        <v>-</v>
      </c>
      <c r="AA138" s="16" t="str">
        <f t="shared" si="122"/>
        <v>-</v>
      </c>
      <c r="AB138" s="16" t="str">
        <f t="shared" si="141"/>
        <v>-</v>
      </c>
      <c r="AC138" s="16" t="str">
        <f t="shared" si="142"/>
        <v>-</v>
      </c>
      <c r="AD138" s="16" t="str">
        <f t="shared" si="123"/>
        <v>-</v>
      </c>
      <c r="AE138" s="16"/>
      <c r="AF138" s="31" t="str">
        <f>IFERROR(INDEX(Supermarket!$P$11:$P$170,MATCH('Calculations - Supermarket'!C138,Supermarket!$M$11:$M$170,0)),"")</f>
        <v/>
      </c>
      <c r="AG138" s="23" t="str">
        <f t="shared" si="124"/>
        <v/>
      </c>
      <c r="AH138" s="23" t="str">
        <f t="shared" si="125"/>
        <v/>
      </c>
      <c r="AI138" s="9" t="str">
        <f t="shared" si="143"/>
        <v/>
      </c>
      <c r="AJ138" s="4" t="str">
        <f t="shared" si="144"/>
        <v/>
      </c>
      <c r="AK138" s="4"/>
      <c r="AL138" s="4"/>
      <c r="AM138" s="4"/>
      <c r="AN138" s="4"/>
      <c r="AO138" s="4"/>
      <c r="AP138" s="20" t="str">
        <f t="shared" si="145"/>
        <v>-</v>
      </c>
      <c r="AQ138" s="13" t="str">
        <f t="shared" si="126"/>
        <v>-</v>
      </c>
      <c r="AR138" s="13" t="str">
        <f t="shared" si="127"/>
        <v>-</v>
      </c>
      <c r="AS138" s="13" t="str">
        <f t="shared" si="146"/>
        <v>-</v>
      </c>
      <c r="AT138" s="16" t="str">
        <f t="shared" si="128"/>
        <v>-</v>
      </c>
      <c r="AU138" s="16" t="str">
        <f t="shared" si="147"/>
        <v>-</v>
      </c>
      <c r="AV138" s="16" t="str">
        <f t="shared" si="148"/>
        <v>-</v>
      </c>
      <c r="AW138" s="16" t="str">
        <f t="shared" si="129"/>
        <v>-</v>
      </c>
      <c r="AX138" s="13" t="str">
        <f t="shared" si="130"/>
        <v>-</v>
      </c>
      <c r="AY138" s="10" t="str">
        <f t="shared" si="131"/>
        <v>-</v>
      </c>
      <c r="AZ138" s="9" t="str">
        <f t="shared" si="132"/>
        <v>-</v>
      </c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</row>
    <row r="139" spans="2:68" x14ac:dyDescent="0.3">
      <c r="B139" s="108" t="str">
        <f t="shared" si="116"/>
        <v/>
      </c>
      <c r="C139" s="108" t="str">
        <f t="shared" si="133"/>
        <v/>
      </c>
      <c r="D139" s="3"/>
      <c r="E139" s="3"/>
      <c r="F139" s="3"/>
      <c r="G139" s="20">
        <f>IFERROR(INDEX('Input - Supermarket'!F$2:F$200,MATCH('Calculations - Supermarket'!$C139,'Input - Supermarket'!$B$2:$B$200,0)),"")</f>
        <v>0</v>
      </c>
      <c r="H139" s="20">
        <f>IFERROR(INDEX('Input - Supermarket'!G$2:G$200,MATCH('Calculations - Supermarket'!$C139,'Input - Supermarket'!$B$2:$B$200,0)),"")</f>
        <v>0</v>
      </c>
      <c r="I139" s="21">
        <f>IFERROR(INDEX('Input - Supermarket'!H$2:H$200,MATCH('Calculations - Supermarket'!$C139,'Input - Supermarket'!$B$2:$B$200,0)),"")</f>
        <v>0</v>
      </c>
      <c r="J139" s="21">
        <f>IFERROR(INDEX('Input - Supermarket'!I$2:I$200,MATCH('Calculations - Supermarket'!$C139,'Input - Supermarket'!$B$2:$B$200,0)),"")</f>
        <v>0</v>
      </c>
      <c r="K139" s="20">
        <f>IFERROR(INDEX('Input - Supermarket'!J$2:J$200,MATCH('Calculations - Supermarket'!$C139,'Input - Supermarket'!$B$2:$B$200,0)),"")</f>
        <v>0</v>
      </c>
      <c r="L139" s="20">
        <f>IFERROR(INDEX('Input - Supermarket'!K$2:K$200,MATCH('Calculations - Supermarket'!$C139,'Input - Supermarket'!$B$2:$B$200,0)),"")</f>
        <v>0</v>
      </c>
      <c r="M139" s="21" t="str">
        <f t="shared" si="117"/>
        <v/>
      </c>
      <c r="N139" s="21" t="str">
        <f t="shared" si="134"/>
        <v/>
      </c>
      <c r="O139" s="21">
        <f t="shared" si="118"/>
        <v>0</v>
      </c>
      <c r="P139" s="9">
        <f t="shared" si="135"/>
        <v>0</v>
      </c>
      <c r="Q139" s="9">
        <f t="shared" si="136"/>
        <v>0</v>
      </c>
      <c r="R139" s="22" t="str">
        <f>IFERROR(INDEX(Supermarket!$Q$11:$Q$170,MATCH('Calculations - Supermarket'!$C139,Supermarket!$M$11:$M$170,0)),"")</f>
        <v/>
      </c>
      <c r="S139" s="22" t="str">
        <f>IFERROR(INDEX(Supermarket!$R$11:$R$170,MATCH('Calculations - Supermarket'!$C139,Supermarket!$M$11:$M$170,0)),"")</f>
        <v/>
      </c>
      <c r="T139" s="16" t="e">
        <f t="shared" si="137"/>
        <v>#VALUE!</v>
      </c>
      <c r="U139" s="16" t="e">
        <f t="shared" si="119"/>
        <v>#VALUE!</v>
      </c>
      <c r="V139" s="16" t="e">
        <f t="shared" si="120"/>
        <v>#VALUE!</v>
      </c>
      <c r="W139" s="10" t="str">
        <f t="shared" si="138"/>
        <v>-</v>
      </c>
      <c r="X139" s="10" t="str">
        <f t="shared" si="139"/>
        <v>-</v>
      </c>
      <c r="Y139" s="13" t="str">
        <f t="shared" si="121"/>
        <v>-</v>
      </c>
      <c r="Z139" s="9" t="str">
        <f t="shared" si="140"/>
        <v>-</v>
      </c>
      <c r="AA139" s="16" t="str">
        <f t="shared" si="122"/>
        <v>-</v>
      </c>
      <c r="AB139" s="16" t="str">
        <f t="shared" si="141"/>
        <v>-</v>
      </c>
      <c r="AC139" s="16" t="str">
        <f t="shared" si="142"/>
        <v>-</v>
      </c>
      <c r="AD139" s="16" t="str">
        <f t="shared" si="123"/>
        <v>-</v>
      </c>
      <c r="AE139" s="16"/>
      <c r="AF139" s="31" t="str">
        <f>IFERROR(INDEX(Supermarket!$P$11:$P$170,MATCH('Calculations - Supermarket'!C139,Supermarket!$M$11:$M$170,0)),"")</f>
        <v/>
      </c>
      <c r="AG139" s="23" t="str">
        <f t="shared" si="124"/>
        <v/>
      </c>
      <c r="AH139" s="23" t="str">
        <f t="shared" si="125"/>
        <v/>
      </c>
      <c r="AI139" s="9" t="str">
        <f t="shared" si="143"/>
        <v/>
      </c>
      <c r="AJ139" s="4" t="str">
        <f t="shared" si="144"/>
        <v/>
      </c>
      <c r="AK139" s="4"/>
      <c r="AL139" s="4"/>
      <c r="AM139" s="4"/>
      <c r="AN139" s="4"/>
      <c r="AO139" s="4"/>
      <c r="AP139" s="20" t="str">
        <f t="shared" si="145"/>
        <v>-</v>
      </c>
      <c r="AQ139" s="13" t="str">
        <f t="shared" si="126"/>
        <v>-</v>
      </c>
      <c r="AR139" s="13" t="str">
        <f t="shared" si="127"/>
        <v>-</v>
      </c>
      <c r="AS139" s="13" t="str">
        <f t="shared" si="146"/>
        <v>-</v>
      </c>
      <c r="AT139" s="16" t="str">
        <f t="shared" si="128"/>
        <v>-</v>
      </c>
      <c r="AU139" s="16" t="str">
        <f t="shared" si="147"/>
        <v>-</v>
      </c>
      <c r="AV139" s="16" t="str">
        <f t="shared" si="148"/>
        <v>-</v>
      </c>
      <c r="AW139" s="16" t="str">
        <f t="shared" si="129"/>
        <v>-</v>
      </c>
      <c r="AX139" s="13" t="str">
        <f t="shared" si="130"/>
        <v>-</v>
      </c>
      <c r="AY139" s="10" t="str">
        <f t="shared" si="131"/>
        <v>-</v>
      </c>
      <c r="AZ139" s="9" t="str">
        <f t="shared" si="132"/>
        <v>-</v>
      </c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</row>
    <row r="140" spans="2:68" x14ac:dyDescent="0.3">
      <c r="B140" s="108" t="str">
        <f t="shared" si="116"/>
        <v/>
      </c>
      <c r="C140" s="108" t="str">
        <f t="shared" si="133"/>
        <v/>
      </c>
      <c r="D140" s="3"/>
      <c r="E140" s="3"/>
      <c r="F140" s="3"/>
      <c r="G140" s="20">
        <f>IFERROR(INDEX('Input - Supermarket'!F$2:F$200,MATCH('Calculations - Supermarket'!$C140,'Input - Supermarket'!$B$2:$B$200,0)),"")</f>
        <v>0</v>
      </c>
      <c r="H140" s="20">
        <f>IFERROR(INDEX('Input - Supermarket'!G$2:G$200,MATCH('Calculations - Supermarket'!$C140,'Input - Supermarket'!$B$2:$B$200,0)),"")</f>
        <v>0</v>
      </c>
      <c r="I140" s="21">
        <f>IFERROR(INDEX('Input - Supermarket'!H$2:H$200,MATCH('Calculations - Supermarket'!$C140,'Input - Supermarket'!$B$2:$B$200,0)),"")</f>
        <v>0</v>
      </c>
      <c r="J140" s="21">
        <f>IFERROR(INDEX('Input - Supermarket'!I$2:I$200,MATCH('Calculations - Supermarket'!$C140,'Input - Supermarket'!$B$2:$B$200,0)),"")</f>
        <v>0</v>
      </c>
      <c r="K140" s="20">
        <f>IFERROR(INDEX('Input - Supermarket'!J$2:J$200,MATCH('Calculations - Supermarket'!$C140,'Input - Supermarket'!$B$2:$B$200,0)),"")</f>
        <v>0</v>
      </c>
      <c r="L140" s="20">
        <f>IFERROR(INDEX('Input - Supermarket'!K$2:K$200,MATCH('Calculations - Supermarket'!$C140,'Input - Supermarket'!$B$2:$B$200,0)),"")</f>
        <v>0</v>
      </c>
      <c r="M140" s="21" t="str">
        <f t="shared" si="117"/>
        <v/>
      </c>
      <c r="N140" s="21" t="str">
        <f t="shared" si="134"/>
        <v/>
      </c>
      <c r="O140" s="21">
        <f t="shared" si="118"/>
        <v>0</v>
      </c>
      <c r="P140" s="9">
        <f t="shared" si="135"/>
        <v>0</v>
      </c>
      <c r="Q140" s="9">
        <f t="shared" si="136"/>
        <v>0</v>
      </c>
      <c r="R140" s="22" t="str">
        <f>IFERROR(INDEX(Supermarket!$Q$11:$Q$170,MATCH('Calculations - Supermarket'!$C140,Supermarket!$M$11:$M$170,0)),"")</f>
        <v/>
      </c>
      <c r="S140" s="22" t="str">
        <f>IFERROR(INDEX(Supermarket!$R$11:$R$170,MATCH('Calculations - Supermarket'!$C140,Supermarket!$M$11:$M$170,0)),"")</f>
        <v/>
      </c>
      <c r="T140" s="16" t="e">
        <f t="shared" si="137"/>
        <v>#VALUE!</v>
      </c>
      <c r="U140" s="16" t="e">
        <f t="shared" si="119"/>
        <v>#VALUE!</v>
      </c>
      <c r="V140" s="16" t="e">
        <f t="shared" si="120"/>
        <v>#VALUE!</v>
      </c>
      <c r="W140" s="10" t="str">
        <f t="shared" si="138"/>
        <v>-</v>
      </c>
      <c r="X140" s="10" t="str">
        <f t="shared" si="139"/>
        <v>-</v>
      </c>
      <c r="Y140" s="13" t="str">
        <f t="shared" si="121"/>
        <v>-</v>
      </c>
      <c r="Z140" s="9" t="str">
        <f t="shared" si="140"/>
        <v>-</v>
      </c>
      <c r="AA140" s="16" t="str">
        <f t="shared" si="122"/>
        <v>-</v>
      </c>
      <c r="AB140" s="16" t="str">
        <f t="shared" si="141"/>
        <v>-</v>
      </c>
      <c r="AC140" s="16" t="str">
        <f t="shared" si="142"/>
        <v>-</v>
      </c>
      <c r="AD140" s="16" t="str">
        <f t="shared" si="123"/>
        <v>-</v>
      </c>
      <c r="AE140" s="16"/>
      <c r="AF140" s="31" t="str">
        <f>IFERROR(INDEX(Supermarket!$P$11:$P$170,MATCH('Calculations - Supermarket'!C140,Supermarket!$M$11:$M$170,0)),"")</f>
        <v/>
      </c>
      <c r="AG140" s="23" t="str">
        <f t="shared" si="124"/>
        <v/>
      </c>
      <c r="AH140" s="23" t="str">
        <f t="shared" si="125"/>
        <v/>
      </c>
      <c r="AI140" s="9" t="str">
        <f t="shared" si="143"/>
        <v/>
      </c>
      <c r="AJ140" s="4" t="str">
        <f t="shared" si="144"/>
        <v/>
      </c>
      <c r="AK140" s="4"/>
      <c r="AL140" s="4"/>
      <c r="AM140" s="4"/>
      <c r="AN140" s="4"/>
      <c r="AO140" s="4"/>
      <c r="AP140" s="20" t="str">
        <f t="shared" si="145"/>
        <v>-</v>
      </c>
      <c r="AQ140" s="13" t="str">
        <f t="shared" si="126"/>
        <v>-</v>
      </c>
      <c r="AR140" s="13" t="str">
        <f t="shared" si="127"/>
        <v>-</v>
      </c>
      <c r="AS140" s="13" t="str">
        <f t="shared" si="146"/>
        <v>-</v>
      </c>
      <c r="AT140" s="16" t="str">
        <f t="shared" si="128"/>
        <v>-</v>
      </c>
      <c r="AU140" s="16" t="str">
        <f t="shared" si="147"/>
        <v>-</v>
      </c>
      <c r="AV140" s="16" t="str">
        <f t="shared" si="148"/>
        <v>-</v>
      </c>
      <c r="AW140" s="16" t="str">
        <f t="shared" si="129"/>
        <v>-</v>
      </c>
      <c r="AX140" s="13" t="str">
        <f t="shared" si="130"/>
        <v>-</v>
      </c>
      <c r="AY140" s="10" t="str">
        <f t="shared" si="131"/>
        <v>-</v>
      </c>
      <c r="AZ140" s="9" t="str">
        <f t="shared" si="132"/>
        <v>-</v>
      </c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</row>
    <row r="141" spans="2:68" x14ac:dyDescent="0.3">
      <c r="B141" s="108" t="str">
        <f t="shared" si="116"/>
        <v/>
      </c>
      <c r="C141" s="108" t="str">
        <f t="shared" si="133"/>
        <v/>
      </c>
      <c r="D141" s="3"/>
      <c r="E141" s="3"/>
      <c r="F141" s="3"/>
      <c r="G141" s="20">
        <f>IFERROR(INDEX('Input - Supermarket'!F$2:F$200,MATCH('Calculations - Supermarket'!$C141,'Input - Supermarket'!$B$2:$B$200,0)),"")</f>
        <v>0</v>
      </c>
      <c r="H141" s="20">
        <f>IFERROR(INDEX('Input - Supermarket'!G$2:G$200,MATCH('Calculations - Supermarket'!$C141,'Input - Supermarket'!$B$2:$B$200,0)),"")</f>
        <v>0</v>
      </c>
      <c r="I141" s="21">
        <f>IFERROR(INDEX('Input - Supermarket'!H$2:H$200,MATCH('Calculations - Supermarket'!$C141,'Input - Supermarket'!$B$2:$B$200,0)),"")</f>
        <v>0</v>
      </c>
      <c r="J141" s="21">
        <f>IFERROR(INDEX('Input - Supermarket'!I$2:I$200,MATCH('Calculations - Supermarket'!$C141,'Input - Supermarket'!$B$2:$B$200,0)),"")</f>
        <v>0</v>
      </c>
      <c r="K141" s="20">
        <f>IFERROR(INDEX('Input - Supermarket'!J$2:J$200,MATCH('Calculations - Supermarket'!$C141,'Input - Supermarket'!$B$2:$B$200,0)),"")</f>
        <v>0</v>
      </c>
      <c r="L141" s="20">
        <f>IFERROR(INDEX('Input - Supermarket'!K$2:K$200,MATCH('Calculations - Supermarket'!$C141,'Input - Supermarket'!$B$2:$B$200,0)),"")</f>
        <v>0</v>
      </c>
      <c r="M141" s="21" t="str">
        <f t="shared" si="117"/>
        <v/>
      </c>
      <c r="N141" s="21" t="str">
        <f t="shared" si="134"/>
        <v/>
      </c>
      <c r="O141" s="21">
        <f t="shared" si="118"/>
        <v>0</v>
      </c>
      <c r="P141" s="9">
        <f t="shared" si="135"/>
        <v>0</v>
      </c>
      <c r="Q141" s="9">
        <f t="shared" si="136"/>
        <v>0</v>
      </c>
      <c r="R141" s="22" t="str">
        <f>IFERROR(INDEX(Supermarket!$Q$11:$Q$170,MATCH('Calculations - Supermarket'!$C141,Supermarket!$M$11:$M$170,0)),"")</f>
        <v/>
      </c>
      <c r="S141" s="22" t="str">
        <f>IFERROR(INDEX(Supermarket!$R$11:$R$170,MATCH('Calculations - Supermarket'!$C141,Supermarket!$M$11:$M$170,0)),"")</f>
        <v/>
      </c>
      <c r="T141" s="16" t="e">
        <f t="shared" si="137"/>
        <v>#VALUE!</v>
      </c>
      <c r="U141" s="16" t="e">
        <f t="shared" si="119"/>
        <v>#VALUE!</v>
      </c>
      <c r="V141" s="16" t="e">
        <f t="shared" si="120"/>
        <v>#VALUE!</v>
      </c>
      <c r="W141" s="10" t="str">
        <f t="shared" si="138"/>
        <v>-</v>
      </c>
      <c r="X141" s="10" t="str">
        <f t="shared" si="139"/>
        <v>-</v>
      </c>
      <c r="Y141" s="13" t="str">
        <f t="shared" si="121"/>
        <v>-</v>
      </c>
      <c r="Z141" s="9" t="str">
        <f t="shared" si="140"/>
        <v>-</v>
      </c>
      <c r="AA141" s="16" t="str">
        <f t="shared" si="122"/>
        <v>-</v>
      </c>
      <c r="AB141" s="16" t="str">
        <f t="shared" si="141"/>
        <v>-</v>
      </c>
      <c r="AC141" s="16" t="str">
        <f t="shared" si="142"/>
        <v>-</v>
      </c>
      <c r="AD141" s="16" t="str">
        <f t="shared" si="123"/>
        <v>-</v>
      </c>
      <c r="AE141" s="16"/>
      <c r="AF141" s="31" t="str">
        <f>IFERROR(INDEX(Supermarket!$P$11:$P$170,MATCH('Calculations - Supermarket'!C141,Supermarket!$M$11:$M$170,0)),"")</f>
        <v/>
      </c>
      <c r="AG141" s="23" t="str">
        <f t="shared" si="124"/>
        <v/>
      </c>
      <c r="AH141" s="23" t="str">
        <f t="shared" si="125"/>
        <v/>
      </c>
      <c r="AI141" s="9" t="str">
        <f t="shared" si="143"/>
        <v/>
      </c>
      <c r="AJ141" s="4" t="str">
        <f t="shared" si="144"/>
        <v/>
      </c>
      <c r="AK141" s="4"/>
      <c r="AL141" s="4"/>
      <c r="AM141" s="4"/>
      <c r="AN141" s="4"/>
      <c r="AO141" s="4"/>
      <c r="AP141" s="20" t="str">
        <f t="shared" si="145"/>
        <v>-</v>
      </c>
      <c r="AQ141" s="13" t="str">
        <f t="shared" si="126"/>
        <v>-</v>
      </c>
      <c r="AR141" s="13" t="str">
        <f t="shared" si="127"/>
        <v>-</v>
      </c>
      <c r="AS141" s="13" t="str">
        <f t="shared" si="146"/>
        <v>-</v>
      </c>
      <c r="AT141" s="16" t="str">
        <f t="shared" si="128"/>
        <v>-</v>
      </c>
      <c r="AU141" s="16" t="str">
        <f t="shared" si="147"/>
        <v>-</v>
      </c>
      <c r="AV141" s="16" t="str">
        <f t="shared" si="148"/>
        <v>-</v>
      </c>
      <c r="AW141" s="16" t="str">
        <f t="shared" si="129"/>
        <v>-</v>
      </c>
      <c r="AX141" s="13" t="str">
        <f t="shared" si="130"/>
        <v>-</v>
      </c>
      <c r="AY141" s="10" t="str">
        <f t="shared" si="131"/>
        <v>-</v>
      </c>
      <c r="AZ141" s="9" t="str">
        <f t="shared" si="132"/>
        <v>-</v>
      </c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</row>
    <row r="142" spans="2:68" x14ac:dyDescent="0.3">
      <c r="B142" s="108" t="str">
        <f t="shared" si="116"/>
        <v/>
      </c>
      <c r="C142" s="108" t="str">
        <f t="shared" si="133"/>
        <v/>
      </c>
      <c r="D142" s="3"/>
      <c r="E142" s="3"/>
      <c r="F142" s="3"/>
      <c r="G142" s="20">
        <f>IFERROR(INDEX('Input - Supermarket'!F$2:F$200,MATCH('Calculations - Supermarket'!$C142,'Input - Supermarket'!$B$2:$B$200,0)),"")</f>
        <v>0</v>
      </c>
      <c r="H142" s="20">
        <f>IFERROR(INDEX('Input - Supermarket'!G$2:G$200,MATCH('Calculations - Supermarket'!$C142,'Input - Supermarket'!$B$2:$B$200,0)),"")</f>
        <v>0</v>
      </c>
      <c r="I142" s="21">
        <f>IFERROR(INDEX('Input - Supermarket'!H$2:H$200,MATCH('Calculations - Supermarket'!$C142,'Input - Supermarket'!$B$2:$B$200,0)),"")</f>
        <v>0</v>
      </c>
      <c r="J142" s="21">
        <f>IFERROR(INDEX('Input - Supermarket'!I$2:I$200,MATCH('Calculations - Supermarket'!$C142,'Input - Supermarket'!$B$2:$B$200,0)),"")</f>
        <v>0</v>
      </c>
      <c r="K142" s="20">
        <f>IFERROR(INDEX('Input - Supermarket'!J$2:J$200,MATCH('Calculations - Supermarket'!$C142,'Input - Supermarket'!$B$2:$B$200,0)),"")</f>
        <v>0</v>
      </c>
      <c r="L142" s="20">
        <f>IFERROR(INDEX('Input - Supermarket'!K$2:K$200,MATCH('Calculations - Supermarket'!$C142,'Input - Supermarket'!$B$2:$B$200,0)),"")</f>
        <v>0</v>
      </c>
      <c r="M142" s="21" t="str">
        <f t="shared" si="117"/>
        <v/>
      </c>
      <c r="N142" s="21" t="str">
        <f t="shared" si="134"/>
        <v/>
      </c>
      <c r="O142" s="21">
        <f t="shared" si="118"/>
        <v>0</v>
      </c>
      <c r="P142" s="9">
        <f t="shared" si="135"/>
        <v>0</v>
      </c>
      <c r="Q142" s="9">
        <f t="shared" si="136"/>
        <v>0</v>
      </c>
      <c r="R142" s="22" t="str">
        <f>IFERROR(INDEX(Supermarket!$Q$11:$Q$170,MATCH('Calculations - Supermarket'!$C142,Supermarket!$M$11:$M$170,0)),"")</f>
        <v/>
      </c>
      <c r="S142" s="22" t="str">
        <f>IFERROR(INDEX(Supermarket!$R$11:$R$170,MATCH('Calculations - Supermarket'!$C142,Supermarket!$M$11:$M$170,0)),"")</f>
        <v/>
      </c>
      <c r="T142" s="16" t="e">
        <f t="shared" si="137"/>
        <v>#VALUE!</v>
      </c>
      <c r="U142" s="16" t="e">
        <f t="shared" si="119"/>
        <v>#VALUE!</v>
      </c>
      <c r="V142" s="16" t="e">
        <f t="shared" si="120"/>
        <v>#VALUE!</v>
      </c>
      <c r="W142" s="10" t="str">
        <f t="shared" si="138"/>
        <v>-</v>
      </c>
      <c r="X142" s="10" t="str">
        <f t="shared" si="139"/>
        <v>-</v>
      </c>
      <c r="Y142" s="13" t="str">
        <f t="shared" si="121"/>
        <v>-</v>
      </c>
      <c r="Z142" s="9" t="str">
        <f t="shared" si="140"/>
        <v>-</v>
      </c>
      <c r="AA142" s="16" t="str">
        <f t="shared" si="122"/>
        <v>-</v>
      </c>
      <c r="AB142" s="16" t="str">
        <f t="shared" si="141"/>
        <v>-</v>
      </c>
      <c r="AC142" s="16" t="str">
        <f t="shared" si="142"/>
        <v>-</v>
      </c>
      <c r="AD142" s="16" t="str">
        <f t="shared" si="123"/>
        <v>-</v>
      </c>
      <c r="AE142" s="16"/>
      <c r="AF142" s="31" t="str">
        <f>IFERROR(INDEX(Supermarket!$P$11:$P$170,MATCH('Calculations - Supermarket'!C142,Supermarket!$M$11:$M$170,0)),"")</f>
        <v/>
      </c>
      <c r="AG142" s="23" t="str">
        <f t="shared" si="124"/>
        <v/>
      </c>
      <c r="AH142" s="23" t="str">
        <f t="shared" si="125"/>
        <v/>
      </c>
      <c r="AI142" s="9" t="str">
        <f t="shared" si="143"/>
        <v/>
      </c>
      <c r="AJ142" s="4" t="str">
        <f t="shared" si="144"/>
        <v/>
      </c>
      <c r="AK142" s="4"/>
      <c r="AL142" s="4"/>
      <c r="AM142" s="4"/>
      <c r="AN142" s="4"/>
      <c r="AO142" s="4"/>
      <c r="AP142" s="20" t="str">
        <f t="shared" si="145"/>
        <v>-</v>
      </c>
      <c r="AQ142" s="13" t="str">
        <f t="shared" si="126"/>
        <v>-</v>
      </c>
      <c r="AR142" s="13" t="str">
        <f t="shared" si="127"/>
        <v>-</v>
      </c>
      <c r="AS142" s="13" t="str">
        <f t="shared" si="146"/>
        <v>-</v>
      </c>
      <c r="AT142" s="16" t="str">
        <f t="shared" si="128"/>
        <v>-</v>
      </c>
      <c r="AU142" s="16" t="str">
        <f t="shared" si="147"/>
        <v>-</v>
      </c>
      <c r="AV142" s="16" t="str">
        <f t="shared" si="148"/>
        <v>-</v>
      </c>
      <c r="AW142" s="16" t="str">
        <f t="shared" si="129"/>
        <v>-</v>
      </c>
      <c r="AX142" s="13" t="str">
        <f t="shared" si="130"/>
        <v>-</v>
      </c>
      <c r="AY142" s="10" t="str">
        <f t="shared" si="131"/>
        <v>-</v>
      </c>
      <c r="AZ142" s="9" t="str">
        <f t="shared" si="132"/>
        <v>-</v>
      </c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</row>
    <row r="143" spans="2:68" x14ac:dyDescent="0.3">
      <c r="B143" s="108" t="str">
        <f t="shared" si="116"/>
        <v/>
      </c>
      <c r="C143" s="108" t="str">
        <f t="shared" si="133"/>
        <v/>
      </c>
      <c r="D143" s="3"/>
      <c r="E143" s="3"/>
      <c r="F143" s="3"/>
      <c r="G143" s="20">
        <f>IFERROR(INDEX('Input - Supermarket'!F$2:F$200,MATCH('Calculations - Supermarket'!$C143,'Input - Supermarket'!$B$2:$B$200,0)),"")</f>
        <v>0</v>
      </c>
      <c r="H143" s="20">
        <f>IFERROR(INDEX('Input - Supermarket'!G$2:G$200,MATCH('Calculations - Supermarket'!$C143,'Input - Supermarket'!$B$2:$B$200,0)),"")</f>
        <v>0</v>
      </c>
      <c r="I143" s="21">
        <f>IFERROR(INDEX('Input - Supermarket'!H$2:H$200,MATCH('Calculations - Supermarket'!$C143,'Input - Supermarket'!$B$2:$B$200,0)),"")</f>
        <v>0</v>
      </c>
      <c r="J143" s="21">
        <f>IFERROR(INDEX('Input - Supermarket'!I$2:I$200,MATCH('Calculations - Supermarket'!$C143,'Input - Supermarket'!$B$2:$B$200,0)),"")</f>
        <v>0</v>
      </c>
      <c r="K143" s="20">
        <f>IFERROR(INDEX('Input - Supermarket'!J$2:J$200,MATCH('Calculations - Supermarket'!$C143,'Input - Supermarket'!$B$2:$B$200,0)),"")</f>
        <v>0</v>
      </c>
      <c r="L143" s="20">
        <f>IFERROR(INDEX('Input - Supermarket'!K$2:K$200,MATCH('Calculations - Supermarket'!$C143,'Input - Supermarket'!$B$2:$B$200,0)),"")</f>
        <v>0</v>
      </c>
      <c r="M143" s="21" t="str">
        <f t="shared" si="117"/>
        <v/>
      </c>
      <c r="N143" s="21" t="str">
        <f t="shared" si="134"/>
        <v/>
      </c>
      <c r="O143" s="21">
        <f t="shared" si="118"/>
        <v>0</v>
      </c>
      <c r="P143" s="9">
        <f t="shared" si="135"/>
        <v>0</v>
      </c>
      <c r="Q143" s="9">
        <f t="shared" si="136"/>
        <v>0</v>
      </c>
      <c r="R143" s="22" t="str">
        <f>IFERROR(INDEX(Supermarket!$Q$11:$Q$170,MATCH('Calculations - Supermarket'!$C143,Supermarket!$M$11:$M$170,0)),"")</f>
        <v/>
      </c>
      <c r="S143" s="22" t="str">
        <f>IFERROR(INDEX(Supermarket!$R$11:$R$170,MATCH('Calculations - Supermarket'!$C143,Supermarket!$M$11:$M$170,0)),"")</f>
        <v/>
      </c>
      <c r="T143" s="16" t="e">
        <f t="shared" si="137"/>
        <v>#VALUE!</v>
      </c>
      <c r="U143" s="16" t="e">
        <f t="shared" si="119"/>
        <v>#VALUE!</v>
      </c>
      <c r="V143" s="16" t="e">
        <f t="shared" si="120"/>
        <v>#VALUE!</v>
      </c>
      <c r="W143" s="10" t="str">
        <f t="shared" si="138"/>
        <v>-</v>
      </c>
      <c r="X143" s="10" t="str">
        <f t="shared" si="139"/>
        <v>-</v>
      </c>
      <c r="Y143" s="13" t="str">
        <f t="shared" si="121"/>
        <v>-</v>
      </c>
      <c r="Z143" s="9" t="str">
        <f t="shared" si="140"/>
        <v>-</v>
      </c>
      <c r="AA143" s="16" t="str">
        <f t="shared" si="122"/>
        <v>-</v>
      </c>
      <c r="AB143" s="16" t="str">
        <f t="shared" si="141"/>
        <v>-</v>
      </c>
      <c r="AC143" s="16" t="str">
        <f t="shared" si="142"/>
        <v>-</v>
      </c>
      <c r="AD143" s="16" t="str">
        <f t="shared" si="123"/>
        <v>-</v>
      </c>
      <c r="AE143" s="16"/>
      <c r="AF143" s="31" t="str">
        <f>IFERROR(INDEX(Supermarket!$P$11:$P$170,MATCH('Calculations - Supermarket'!C143,Supermarket!$M$11:$M$170,0)),"")</f>
        <v/>
      </c>
      <c r="AG143" s="23" t="str">
        <f t="shared" si="124"/>
        <v/>
      </c>
      <c r="AH143" s="23" t="str">
        <f t="shared" si="125"/>
        <v/>
      </c>
      <c r="AI143" s="9" t="str">
        <f t="shared" si="143"/>
        <v/>
      </c>
      <c r="AJ143" s="4" t="str">
        <f t="shared" si="144"/>
        <v/>
      </c>
      <c r="AK143" s="4"/>
      <c r="AL143" s="4"/>
      <c r="AM143" s="4"/>
      <c r="AN143" s="4"/>
      <c r="AO143" s="4"/>
      <c r="AP143" s="20" t="str">
        <f t="shared" si="145"/>
        <v>-</v>
      </c>
      <c r="AQ143" s="13" t="str">
        <f t="shared" si="126"/>
        <v>-</v>
      </c>
      <c r="AR143" s="13" t="str">
        <f t="shared" si="127"/>
        <v>-</v>
      </c>
      <c r="AS143" s="13" t="str">
        <f t="shared" si="146"/>
        <v>-</v>
      </c>
      <c r="AT143" s="16" t="str">
        <f t="shared" si="128"/>
        <v>-</v>
      </c>
      <c r="AU143" s="16" t="str">
        <f t="shared" si="147"/>
        <v>-</v>
      </c>
      <c r="AV143" s="16" t="str">
        <f t="shared" si="148"/>
        <v>-</v>
      </c>
      <c r="AW143" s="16" t="str">
        <f t="shared" si="129"/>
        <v>-</v>
      </c>
      <c r="AX143" s="13" t="str">
        <f t="shared" si="130"/>
        <v>-</v>
      </c>
      <c r="AY143" s="10" t="str">
        <f t="shared" si="131"/>
        <v>-</v>
      </c>
      <c r="AZ143" s="9" t="str">
        <f t="shared" si="132"/>
        <v>-</v>
      </c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</row>
    <row r="144" spans="2:68" x14ac:dyDescent="0.3">
      <c r="B144" s="108" t="str">
        <f t="shared" si="116"/>
        <v/>
      </c>
      <c r="C144" s="108" t="str">
        <f t="shared" si="133"/>
        <v/>
      </c>
      <c r="D144" s="3"/>
      <c r="E144" s="3"/>
      <c r="F144" s="3"/>
      <c r="G144" s="20">
        <f>IFERROR(INDEX('Input - Supermarket'!F$2:F$200,MATCH('Calculations - Supermarket'!$C144,'Input - Supermarket'!$B$2:$B$200,0)),"")</f>
        <v>0</v>
      </c>
      <c r="H144" s="20">
        <f>IFERROR(INDEX('Input - Supermarket'!G$2:G$200,MATCH('Calculations - Supermarket'!$C144,'Input - Supermarket'!$B$2:$B$200,0)),"")</f>
        <v>0</v>
      </c>
      <c r="I144" s="21">
        <f>IFERROR(INDEX('Input - Supermarket'!H$2:H$200,MATCH('Calculations - Supermarket'!$C144,'Input - Supermarket'!$B$2:$B$200,0)),"")</f>
        <v>0</v>
      </c>
      <c r="J144" s="21">
        <f>IFERROR(INDEX('Input - Supermarket'!I$2:I$200,MATCH('Calculations - Supermarket'!$C144,'Input - Supermarket'!$B$2:$B$200,0)),"")</f>
        <v>0</v>
      </c>
      <c r="K144" s="20">
        <f>IFERROR(INDEX('Input - Supermarket'!J$2:J$200,MATCH('Calculations - Supermarket'!$C144,'Input - Supermarket'!$B$2:$B$200,0)),"")</f>
        <v>0</v>
      </c>
      <c r="L144" s="20">
        <f>IFERROR(INDEX('Input - Supermarket'!K$2:K$200,MATCH('Calculations - Supermarket'!$C144,'Input - Supermarket'!$B$2:$B$200,0)),"")</f>
        <v>0</v>
      </c>
      <c r="M144" s="21" t="str">
        <f t="shared" si="117"/>
        <v/>
      </c>
      <c r="N144" s="21" t="str">
        <f t="shared" si="134"/>
        <v/>
      </c>
      <c r="O144" s="21">
        <f t="shared" si="118"/>
        <v>0</v>
      </c>
      <c r="P144" s="9">
        <f t="shared" si="135"/>
        <v>0</v>
      </c>
      <c r="Q144" s="9">
        <f t="shared" si="136"/>
        <v>0</v>
      </c>
      <c r="R144" s="22" t="str">
        <f>IFERROR(INDEX(Supermarket!$Q$11:$Q$170,MATCH('Calculations - Supermarket'!$C144,Supermarket!$M$11:$M$170,0)),"")</f>
        <v/>
      </c>
      <c r="S144" s="22" t="str">
        <f>IFERROR(INDEX(Supermarket!$R$11:$R$170,MATCH('Calculations - Supermarket'!$C144,Supermarket!$M$11:$M$170,0)),"")</f>
        <v/>
      </c>
      <c r="T144" s="16" t="e">
        <f t="shared" si="137"/>
        <v>#VALUE!</v>
      </c>
      <c r="U144" s="16" t="e">
        <f t="shared" si="119"/>
        <v>#VALUE!</v>
      </c>
      <c r="V144" s="16" t="e">
        <f t="shared" si="120"/>
        <v>#VALUE!</v>
      </c>
      <c r="W144" s="10" t="str">
        <f t="shared" si="138"/>
        <v>-</v>
      </c>
      <c r="X144" s="10" t="str">
        <f t="shared" si="139"/>
        <v>-</v>
      </c>
      <c r="Y144" s="13" t="str">
        <f t="shared" si="121"/>
        <v>-</v>
      </c>
      <c r="Z144" s="9" t="str">
        <f t="shared" si="140"/>
        <v>-</v>
      </c>
      <c r="AA144" s="16" t="str">
        <f t="shared" si="122"/>
        <v>-</v>
      </c>
      <c r="AB144" s="16" t="str">
        <f t="shared" si="141"/>
        <v>-</v>
      </c>
      <c r="AC144" s="16" t="str">
        <f t="shared" si="142"/>
        <v>-</v>
      </c>
      <c r="AD144" s="16" t="str">
        <f t="shared" si="123"/>
        <v>-</v>
      </c>
      <c r="AE144" s="16"/>
      <c r="AF144" s="31" t="str">
        <f>IFERROR(INDEX(Supermarket!$P$11:$P$170,MATCH('Calculations - Supermarket'!C144,Supermarket!$M$11:$M$170,0)),"")</f>
        <v/>
      </c>
      <c r="AG144" s="23" t="str">
        <f t="shared" si="124"/>
        <v/>
      </c>
      <c r="AH144" s="23" t="str">
        <f t="shared" si="125"/>
        <v/>
      </c>
      <c r="AI144" s="9" t="str">
        <f t="shared" si="143"/>
        <v/>
      </c>
      <c r="AJ144" s="4" t="str">
        <f t="shared" si="144"/>
        <v/>
      </c>
      <c r="AK144" s="4"/>
      <c r="AL144" s="4"/>
      <c r="AM144" s="4"/>
      <c r="AN144" s="4"/>
      <c r="AO144" s="4"/>
      <c r="AP144" s="20" t="str">
        <f t="shared" si="145"/>
        <v>-</v>
      </c>
      <c r="AQ144" s="13" t="str">
        <f t="shared" si="126"/>
        <v>-</v>
      </c>
      <c r="AR144" s="13" t="str">
        <f t="shared" si="127"/>
        <v>-</v>
      </c>
      <c r="AS144" s="13" t="str">
        <f t="shared" si="146"/>
        <v>-</v>
      </c>
      <c r="AT144" s="16" t="str">
        <f t="shared" si="128"/>
        <v>-</v>
      </c>
      <c r="AU144" s="16" t="str">
        <f t="shared" si="147"/>
        <v>-</v>
      </c>
      <c r="AV144" s="16" t="str">
        <f t="shared" si="148"/>
        <v>-</v>
      </c>
      <c r="AW144" s="16" t="str">
        <f t="shared" si="129"/>
        <v>-</v>
      </c>
      <c r="AX144" s="13" t="str">
        <f t="shared" si="130"/>
        <v>-</v>
      </c>
      <c r="AY144" s="10" t="str">
        <f t="shared" si="131"/>
        <v>-</v>
      </c>
      <c r="AZ144" s="9" t="str">
        <f t="shared" si="132"/>
        <v>-</v>
      </c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</row>
    <row r="145" spans="2:68" x14ac:dyDescent="0.3">
      <c r="B145" s="108" t="str">
        <f t="shared" si="116"/>
        <v/>
      </c>
      <c r="C145" s="108" t="str">
        <f t="shared" si="133"/>
        <v/>
      </c>
      <c r="D145" s="3"/>
      <c r="E145" s="3"/>
      <c r="F145" s="3"/>
      <c r="G145" s="20">
        <f>IFERROR(INDEX('Input - Supermarket'!F$2:F$200,MATCH('Calculations - Supermarket'!$C145,'Input - Supermarket'!$B$2:$B$200,0)),"")</f>
        <v>0</v>
      </c>
      <c r="H145" s="20">
        <f>IFERROR(INDEX('Input - Supermarket'!G$2:G$200,MATCH('Calculations - Supermarket'!$C145,'Input - Supermarket'!$B$2:$B$200,0)),"")</f>
        <v>0</v>
      </c>
      <c r="I145" s="21">
        <f>IFERROR(INDEX('Input - Supermarket'!H$2:H$200,MATCH('Calculations - Supermarket'!$C145,'Input - Supermarket'!$B$2:$B$200,0)),"")</f>
        <v>0</v>
      </c>
      <c r="J145" s="21">
        <f>IFERROR(INDEX('Input - Supermarket'!I$2:I$200,MATCH('Calculations - Supermarket'!$C145,'Input - Supermarket'!$B$2:$B$200,0)),"")</f>
        <v>0</v>
      </c>
      <c r="K145" s="20">
        <f>IFERROR(INDEX('Input - Supermarket'!J$2:J$200,MATCH('Calculations - Supermarket'!$C145,'Input - Supermarket'!$B$2:$B$200,0)),"")</f>
        <v>0</v>
      </c>
      <c r="L145" s="20">
        <f>IFERROR(INDEX('Input - Supermarket'!K$2:K$200,MATCH('Calculations - Supermarket'!$C145,'Input - Supermarket'!$B$2:$B$200,0)),"")</f>
        <v>0</v>
      </c>
      <c r="M145" s="21" t="str">
        <f t="shared" si="117"/>
        <v/>
      </c>
      <c r="N145" s="21" t="str">
        <f t="shared" si="134"/>
        <v/>
      </c>
      <c r="O145" s="21">
        <f t="shared" si="118"/>
        <v>0</v>
      </c>
      <c r="P145" s="9">
        <f t="shared" si="135"/>
        <v>0</v>
      </c>
      <c r="Q145" s="9">
        <f t="shared" si="136"/>
        <v>0</v>
      </c>
      <c r="R145" s="22" t="str">
        <f>IFERROR(INDEX(Supermarket!$Q$11:$Q$170,MATCH('Calculations - Supermarket'!$C145,Supermarket!$M$11:$M$170,0)),"")</f>
        <v/>
      </c>
      <c r="S145" s="22" t="str">
        <f>IFERROR(INDEX(Supermarket!$R$11:$R$170,MATCH('Calculations - Supermarket'!$C145,Supermarket!$M$11:$M$170,0)),"")</f>
        <v/>
      </c>
      <c r="T145" s="16" t="e">
        <f t="shared" si="137"/>
        <v>#VALUE!</v>
      </c>
      <c r="U145" s="16" t="e">
        <f t="shared" si="119"/>
        <v>#VALUE!</v>
      </c>
      <c r="V145" s="16" t="e">
        <f t="shared" si="120"/>
        <v>#VALUE!</v>
      </c>
      <c r="W145" s="10" t="str">
        <f t="shared" si="138"/>
        <v>-</v>
      </c>
      <c r="X145" s="10" t="str">
        <f t="shared" si="139"/>
        <v>-</v>
      </c>
      <c r="Y145" s="13" t="str">
        <f t="shared" si="121"/>
        <v>-</v>
      </c>
      <c r="Z145" s="9" t="str">
        <f t="shared" si="140"/>
        <v>-</v>
      </c>
      <c r="AA145" s="16" t="str">
        <f t="shared" si="122"/>
        <v>-</v>
      </c>
      <c r="AB145" s="16" t="str">
        <f t="shared" si="141"/>
        <v>-</v>
      </c>
      <c r="AC145" s="16" t="str">
        <f t="shared" si="142"/>
        <v>-</v>
      </c>
      <c r="AD145" s="16" t="str">
        <f t="shared" si="123"/>
        <v>-</v>
      </c>
      <c r="AE145" s="16"/>
      <c r="AF145" s="31" t="str">
        <f>IFERROR(INDEX(Supermarket!$P$11:$P$170,MATCH('Calculations - Supermarket'!C145,Supermarket!$M$11:$M$170,0)),"")</f>
        <v/>
      </c>
      <c r="AG145" s="23" t="str">
        <f t="shared" si="124"/>
        <v/>
      </c>
      <c r="AH145" s="23" t="str">
        <f t="shared" si="125"/>
        <v/>
      </c>
      <c r="AI145" s="9" t="str">
        <f t="shared" si="143"/>
        <v/>
      </c>
      <c r="AJ145" s="4" t="str">
        <f t="shared" si="144"/>
        <v/>
      </c>
      <c r="AK145" s="4"/>
      <c r="AL145" s="4"/>
      <c r="AM145" s="4"/>
      <c r="AN145" s="4"/>
      <c r="AO145" s="4"/>
      <c r="AP145" s="20" t="str">
        <f t="shared" si="145"/>
        <v>-</v>
      </c>
      <c r="AQ145" s="13" t="str">
        <f t="shared" si="126"/>
        <v>-</v>
      </c>
      <c r="AR145" s="13" t="str">
        <f t="shared" si="127"/>
        <v>-</v>
      </c>
      <c r="AS145" s="13" t="str">
        <f t="shared" si="146"/>
        <v>-</v>
      </c>
      <c r="AT145" s="16" t="str">
        <f t="shared" si="128"/>
        <v>-</v>
      </c>
      <c r="AU145" s="16" t="str">
        <f t="shared" si="147"/>
        <v>-</v>
      </c>
      <c r="AV145" s="16" t="str">
        <f t="shared" si="148"/>
        <v>-</v>
      </c>
      <c r="AW145" s="16" t="str">
        <f t="shared" si="129"/>
        <v>-</v>
      </c>
      <c r="AX145" s="13" t="str">
        <f t="shared" si="130"/>
        <v>-</v>
      </c>
      <c r="AY145" s="10" t="str">
        <f t="shared" si="131"/>
        <v>-</v>
      </c>
      <c r="AZ145" s="9" t="str">
        <f t="shared" si="132"/>
        <v>-</v>
      </c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</row>
    <row r="146" spans="2:68" x14ac:dyDescent="0.3">
      <c r="B146" s="108" t="str">
        <f t="shared" si="116"/>
        <v/>
      </c>
      <c r="C146" s="108" t="str">
        <f t="shared" si="133"/>
        <v/>
      </c>
      <c r="D146" s="3"/>
      <c r="E146" s="3"/>
      <c r="F146" s="3"/>
      <c r="G146" s="20">
        <f>IFERROR(INDEX('Input - Supermarket'!F$2:F$200,MATCH('Calculations - Supermarket'!$C146,'Input - Supermarket'!$B$2:$B$200,0)),"")</f>
        <v>0</v>
      </c>
      <c r="H146" s="20">
        <f>IFERROR(INDEX('Input - Supermarket'!G$2:G$200,MATCH('Calculations - Supermarket'!$C146,'Input - Supermarket'!$B$2:$B$200,0)),"")</f>
        <v>0</v>
      </c>
      <c r="I146" s="21">
        <f>IFERROR(INDEX('Input - Supermarket'!H$2:H$200,MATCH('Calculations - Supermarket'!$C146,'Input - Supermarket'!$B$2:$B$200,0)),"")</f>
        <v>0</v>
      </c>
      <c r="J146" s="21">
        <f>IFERROR(INDEX('Input - Supermarket'!I$2:I$200,MATCH('Calculations - Supermarket'!$C146,'Input - Supermarket'!$B$2:$B$200,0)),"")</f>
        <v>0</v>
      </c>
      <c r="K146" s="20">
        <f>IFERROR(INDEX('Input - Supermarket'!J$2:J$200,MATCH('Calculations - Supermarket'!$C146,'Input - Supermarket'!$B$2:$B$200,0)),"")</f>
        <v>0</v>
      </c>
      <c r="L146" s="20">
        <f>IFERROR(INDEX('Input - Supermarket'!K$2:K$200,MATCH('Calculations - Supermarket'!$C146,'Input - Supermarket'!$B$2:$B$200,0)),"")</f>
        <v>0</v>
      </c>
      <c r="M146" s="21" t="str">
        <f t="shared" si="117"/>
        <v/>
      </c>
      <c r="N146" s="21" t="str">
        <f t="shared" si="134"/>
        <v/>
      </c>
      <c r="O146" s="21">
        <f t="shared" si="118"/>
        <v>0</v>
      </c>
      <c r="P146" s="9">
        <f t="shared" si="135"/>
        <v>0</v>
      </c>
      <c r="Q146" s="9">
        <f t="shared" si="136"/>
        <v>0</v>
      </c>
      <c r="R146" s="22" t="str">
        <f>IFERROR(INDEX(Supermarket!$Q$11:$Q$170,MATCH('Calculations - Supermarket'!$C146,Supermarket!$M$11:$M$170,0)),"")</f>
        <v/>
      </c>
      <c r="S146" s="22" t="str">
        <f>IFERROR(INDEX(Supermarket!$R$11:$R$170,MATCH('Calculations - Supermarket'!$C146,Supermarket!$M$11:$M$170,0)),"")</f>
        <v/>
      </c>
      <c r="T146" s="16" t="e">
        <f t="shared" si="137"/>
        <v>#VALUE!</v>
      </c>
      <c r="U146" s="16" t="e">
        <f t="shared" si="119"/>
        <v>#VALUE!</v>
      </c>
      <c r="V146" s="16" t="e">
        <f t="shared" si="120"/>
        <v>#VALUE!</v>
      </c>
      <c r="W146" s="10" t="str">
        <f t="shared" si="138"/>
        <v>-</v>
      </c>
      <c r="X146" s="10" t="str">
        <f t="shared" si="139"/>
        <v>-</v>
      </c>
      <c r="Y146" s="13" t="str">
        <f t="shared" si="121"/>
        <v>-</v>
      </c>
      <c r="Z146" s="9" t="str">
        <f t="shared" si="140"/>
        <v>-</v>
      </c>
      <c r="AA146" s="16" t="str">
        <f t="shared" si="122"/>
        <v>-</v>
      </c>
      <c r="AB146" s="16" t="str">
        <f t="shared" si="141"/>
        <v>-</v>
      </c>
      <c r="AC146" s="16" t="str">
        <f t="shared" si="142"/>
        <v>-</v>
      </c>
      <c r="AD146" s="16" t="str">
        <f t="shared" si="123"/>
        <v>-</v>
      </c>
      <c r="AE146" s="16"/>
      <c r="AF146" s="31" t="str">
        <f>IFERROR(INDEX(Supermarket!$P$11:$P$170,MATCH('Calculations - Supermarket'!C146,Supermarket!$M$11:$M$170,0)),"")</f>
        <v/>
      </c>
      <c r="AG146" s="23" t="str">
        <f t="shared" si="124"/>
        <v/>
      </c>
      <c r="AH146" s="23" t="str">
        <f t="shared" si="125"/>
        <v/>
      </c>
      <c r="AI146" s="9" t="str">
        <f t="shared" si="143"/>
        <v/>
      </c>
      <c r="AJ146" s="4" t="str">
        <f t="shared" si="144"/>
        <v/>
      </c>
      <c r="AK146" s="4"/>
      <c r="AL146" s="4"/>
      <c r="AM146" s="4"/>
      <c r="AN146" s="4"/>
      <c r="AO146" s="4"/>
      <c r="AP146" s="20" t="str">
        <f t="shared" si="145"/>
        <v>-</v>
      </c>
      <c r="AQ146" s="13" t="str">
        <f t="shared" si="126"/>
        <v>-</v>
      </c>
      <c r="AR146" s="13" t="str">
        <f t="shared" si="127"/>
        <v>-</v>
      </c>
      <c r="AS146" s="13" t="str">
        <f t="shared" si="146"/>
        <v>-</v>
      </c>
      <c r="AT146" s="16" t="str">
        <f t="shared" si="128"/>
        <v>-</v>
      </c>
      <c r="AU146" s="16" t="str">
        <f t="shared" si="147"/>
        <v>-</v>
      </c>
      <c r="AV146" s="16" t="str">
        <f t="shared" si="148"/>
        <v>-</v>
      </c>
      <c r="AW146" s="16" t="str">
        <f t="shared" si="129"/>
        <v>-</v>
      </c>
      <c r="AX146" s="13" t="str">
        <f t="shared" si="130"/>
        <v>-</v>
      </c>
      <c r="AY146" s="10" t="str">
        <f t="shared" si="131"/>
        <v>-</v>
      </c>
      <c r="AZ146" s="9" t="str">
        <f t="shared" si="132"/>
        <v>-</v>
      </c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</row>
    <row r="147" spans="2:68" x14ac:dyDescent="0.3">
      <c r="B147" s="108" t="str">
        <f t="shared" si="116"/>
        <v/>
      </c>
      <c r="C147" s="108" t="str">
        <f t="shared" si="133"/>
        <v/>
      </c>
      <c r="D147" s="3"/>
      <c r="E147" s="3"/>
      <c r="F147" s="3"/>
      <c r="G147" s="20">
        <f>IFERROR(INDEX('Input - Supermarket'!F$2:F$200,MATCH('Calculations - Supermarket'!$C147,'Input - Supermarket'!$B$2:$B$200,0)),"")</f>
        <v>0</v>
      </c>
      <c r="H147" s="20">
        <f>IFERROR(INDEX('Input - Supermarket'!G$2:G$200,MATCH('Calculations - Supermarket'!$C147,'Input - Supermarket'!$B$2:$B$200,0)),"")</f>
        <v>0</v>
      </c>
      <c r="I147" s="21">
        <f>IFERROR(INDEX('Input - Supermarket'!H$2:H$200,MATCH('Calculations - Supermarket'!$C147,'Input - Supermarket'!$B$2:$B$200,0)),"")</f>
        <v>0</v>
      </c>
      <c r="J147" s="21">
        <f>IFERROR(INDEX('Input - Supermarket'!I$2:I$200,MATCH('Calculations - Supermarket'!$C147,'Input - Supermarket'!$B$2:$B$200,0)),"")</f>
        <v>0</v>
      </c>
      <c r="K147" s="20">
        <f>IFERROR(INDEX('Input - Supermarket'!J$2:J$200,MATCH('Calculations - Supermarket'!$C147,'Input - Supermarket'!$B$2:$B$200,0)),"")</f>
        <v>0</v>
      </c>
      <c r="L147" s="20">
        <f>IFERROR(INDEX('Input - Supermarket'!K$2:K$200,MATCH('Calculations - Supermarket'!$C147,'Input - Supermarket'!$B$2:$B$200,0)),"")</f>
        <v>0</v>
      </c>
      <c r="M147" s="21" t="str">
        <f t="shared" si="117"/>
        <v/>
      </c>
      <c r="N147" s="21" t="str">
        <f t="shared" si="134"/>
        <v/>
      </c>
      <c r="O147" s="21">
        <f t="shared" si="118"/>
        <v>0</v>
      </c>
      <c r="P147" s="9">
        <f t="shared" si="135"/>
        <v>0</v>
      </c>
      <c r="Q147" s="9">
        <f t="shared" si="136"/>
        <v>0</v>
      </c>
      <c r="R147" s="22" t="str">
        <f>IFERROR(INDEX(Supermarket!$Q$11:$Q$170,MATCH('Calculations - Supermarket'!$C147,Supermarket!$M$11:$M$170,0)),"")</f>
        <v/>
      </c>
      <c r="S147" s="22" t="str">
        <f>IFERROR(INDEX(Supermarket!$R$11:$R$170,MATCH('Calculations - Supermarket'!$C147,Supermarket!$M$11:$M$170,0)),"")</f>
        <v/>
      </c>
      <c r="T147" s="16" t="e">
        <f t="shared" si="137"/>
        <v>#VALUE!</v>
      </c>
      <c r="U147" s="16" t="e">
        <f t="shared" si="119"/>
        <v>#VALUE!</v>
      </c>
      <c r="V147" s="16" t="e">
        <f t="shared" si="120"/>
        <v>#VALUE!</v>
      </c>
      <c r="W147" s="10" t="str">
        <f t="shared" si="138"/>
        <v>-</v>
      </c>
      <c r="X147" s="10" t="str">
        <f t="shared" si="139"/>
        <v>-</v>
      </c>
      <c r="Y147" s="13" t="str">
        <f t="shared" si="121"/>
        <v>-</v>
      </c>
      <c r="Z147" s="9" t="str">
        <f t="shared" si="140"/>
        <v>-</v>
      </c>
      <c r="AA147" s="16" t="str">
        <f t="shared" si="122"/>
        <v>-</v>
      </c>
      <c r="AB147" s="16" t="str">
        <f t="shared" si="141"/>
        <v>-</v>
      </c>
      <c r="AC147" s="16" t="str">
        <f t="shared" si="142"/>
        <v>-</v>
      </c>
      <c r="AD147" s="16" t="str">
        <f t="shared" si="123"/>
        <v>-</v>
      </c>
      <c r="AE147" s="16"/>
      <c r="AF147" s="31" t="str">
        <f>IFERROR(INDEX(Supermarket!$P$11:$P$170,MATCH('Calculations - Supermarket'!C147,Supermarket!$M$11:$M$170,0)),"")</f>
        <v/>
      </c>
      <c r="AG147" s="23" t="str">
        <f t="shared" si="124"/>
        <v/>
      </c>
      <c r="AH147" s="23" t="str">
        <f t="shared" si="125"/>
        <v/>
      </c>
      <c r="AI147" s="9" t="str">
        <f t="shared" si="143"/>
        <v/>
      </c>
      <c r="AJ147" s="4" t="str">
        <f t="shared" si="144"/>
        <v/>
      </c>
      <c r="AK147" s="4"/>
      <c r="AL147" s="4"/>
      <c r="AM147" s="4"/>
      <c r="AN147" s="4"/>
      <c r="AO147" s="4"/>
      <c r="AP147" s="20" t="str">
        <f t="shared" si="145"/>
        <v>-</v>
      </c>
      <c r="AQ147" s="13" t="str">
        <f t="shared" si="126"/>
        <v>-</v>
      </c>
      <c r="AR147" s="13" t="str">
        <f t="shared" si="127"/>
        <v>-</v>
      </c>
      <c r="AS147" s="13" t="str">
        <f t="shared" si="146"/>
        <v>-</v>
      </c>
      <c r="AT147" s="16" t="str">
        <f t="shared" si="128"/>
        <v>-</v>
      </c>
      <c r="AU147" s="16" t="str">
        <f t="shared" si="147"/>
        <v>-</v>
      </c>
      <c r="AV147" s="16" t="str">
        <f t="shared" si="148"/>
        <v>-</v>
      </c>
      <c r="AW147" s="16" t="str">
        <f t="shared" si="129"/>
        <v>-</v>
      </c>
      <c r="AX147" s="13" t="str">
        <f t="shared" si="130"/>
        <v>-</v>
      </c>
      <c r="AY147" s="10" t="str">
        <f t="shared" si="131"/>
        <v>-</v>
      </c>
      <c r="AZ147" s="9" t="str">
        <f t="shared" si="132"/>
        <v>-</v>
      </c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</row>
    <row r="148" spans="2:68" x14ac:dyDescent="0.3">
      <c r="B148" s="108" t="str">
        <f t="shared" si="116"/>
        <v/>
      </c>
      <c r="C148" s="108" t="str">
        <f t="shared" si="133"/>
        <v/>
      </c>
      <c r="D148" s="3"/>
      <c r="E148" s="3"/>
      <c r="F148" s="3"/>
      <c r="G148" s="20">
        <f>IFERROR(INDEX('Input - Supermarket'!F$2:F$200,MATCH('Calculations - Supermarket'!$C148,'Input - Supermarket'!$B$2:$B$200,0)),"")</f>
        <v>0</v>
      </c>
      <c r="H148" s="20">
        <f>IFERROR(INDEX('Input - Supermarket'!G$2:G$200,MATCH('Calculations - Supermarket'!$C148,'Input - Supermarket'!$B$2:$B$200,0)),"")</f>
        <v>0</v>
      </c>
      <c r="I148" s="21">
        <f>IFERROR(INDEX('Input - Supermarket'!H$2:H$200,MATCH('Calculations - Supermarket'!$C148,'Input - Supermarket'!$B$2:$B$200,0)),"")</f>
        <v>0</v>
      </c>
      <c r="J148" s="21">
        <f>IFERROR(INDEX('Input - Supermarket'!I$2:I$200,MATCH('Calculations - Supermarket'!$C148,'Input - Supermarket'!$B$2:$B$200,0)),"")</f>
        <v>0</v>
      </c>
      <c r="K148" s="20">
        <f>IFERROR(INDEX('Input - Supermarket'!J$2:J$200,MATCH('Calculations - Supermarket'!$C148,'Input - Supermarket'!$B$2:$B$200,0)),"")</f>
        <v>0</v>
      </c>
      <c r="L148" s="20">
        <f>IFERROR(INDEX('Input - Supermarket'!K$2:K$200,MATCH('Calculations - Supermarket'!$C148,'Input - Supermarket'!$B$2:$B$200,0)),"")</f>
        <v>0</v>
      </c>
      <c r="M148" s="21" t="str">
        <f t="shared" si="117"/>
        <v/>
      </c>
      <c r="N148" s="21" t="str">
        <f t="shared" si="134"/>
        <v/>
      </c>
      <c r="O148" s="21">
        <f t="shared" si="118"/>
        <v>0</v>
      </c>
      <c r="P148" s="9">
        <f t="shared" si="135"/>
        <v>0</v>
      </c>
      <c r="Q148" s="9">
        <f t="shared" si="136"/>
        <v>0</v>
      </c>
      <c r="R148" s="22" t="str">
        <f>IFERROR(INDEX(Supermarket!$Q$11:$Q$170,MATCH('Calculations - Supermarket'!$C148,Supermarket!$M$11:$M$170,0)),"")</f>
        <v/>
      </c>
      <c r="S148" s="22" t="str">
        <f>IFERROR(INDEX(Supermarket!$R$11:$R$170,MATCH('Calculations - Supermarket'!$C148,Supermarket!$M$11:$M$170,0)),"")</f>
        <v/>
      </c>
      <c r="T148" s="16" t="e">
        <f t="shared" si="137"/>
        <v>#VALUE!</v>
      </c>
      <c r="U148" s="16" t="e">
        <f t="shared" si="119"/>
        <v>#VALUE!</v>
      </c>
      <c r="V148" s="16" t="e">
        <f t="shared" si="120"/>
        <v>#VALUE!</v>
      </c>
      <c r="W148" s="10" t="str">
        <f t="shared" si="138"/>
        <v>-</v>
      </c>
      <c r="X148" s="10" t="str">
        <f t="shared" si="139"/>
        <v>-</v>
      </c>
      <c r="Y148" s="13" t="str">
        <f t="shared" si="121"/>
        <v>-</v>
      </c>
      <c r="Z148" s="9" t="str">
        <f t="shared" si="140"/>
        <v>-</v>
      </c>
      <c r="AA148" s="16" t="str">
        <f t="shared" si="122"/>
        <v>-</v>
      </c>
      <c r="AB148" s="16" t="str">
        <f t="shared" si="141"/>
        <v>-</v>
      </c>
      <c r="AC148" s="16" t="str">
        <f t="shared" si="142"/>
        <v>-</v>
      </c>
      <c r="AD148" s="16" t="str">
        <f t="shared" si="123"/>
        <v>-</v>
      </c>
      <c r="AE148" s="16"/>
      <c r="AF148" s="31" t="str">
        <f>IFERROR(INDEX(Supermarket!$P$11:$P$170,MATCH('Calculations - Supermarket'!C148,Supermarket!$M$11:$M$170,0)),"")</f>
        <v/>
      </c>
      <c r="AG148" s="23" t="str">
        <f t="shared" si="124"/>
        <v/>
      </c>
      <c r="AH148" s="23" t="str">
        <f t="shared" si="125"/>
        <v/>
      </c>
      <c r="AI148" s="9" t="str">
        <f t="shared" si="143"/>
        <v/>
      </c>
      <c r="AJ148" s="4" t="str">
        <f t="shared" si="144"/>
        <v/>
      </c>
      <c r="AK148" s="4"/>
      <c r="AL148" s="4"/>
      <c r="AM148" s="4"/>
      <c r="AN148" s="4"/>
      <c r="AO148" s="4"/>
      <c r="AP148" s="20" t="str">
        <f t="shared" si="145"/>
        <v>-</v>
      </c>
      <c r="AQ148" s="13" t="str">
        <f t="shared" si="126"/>
        <v>-</v>
      </c>
      <c r="AR148" s="13" t="str">
        <f t="shared" si="127"/>
        <v>-</v>
      </c>
      <c r="AS148" s="13" t="str">
        <f t="shared" si="146"/>
        <v>-</v>
      </c>
      <c r="AT148" s="16" t="str">
        <f t="shared" si="128"/>
        <v>-</v>
      </c>
      <c r="AU148" s="16" t="str">
        <f t="shared" si="147"/>
        <v>-</v>
      </c>
      <c r="AV148" s="16" t="str">
        <f t="shared" si="148"/>
        <v>-</v>
      </c>
      <c r="AW148" s="16" t="str">
        <f t="shared" si="129"/>
        <v>-</v>
      </c>
      <c r="AX148" s="13" t="str">
        <f t="shared" si="130"/>
        <v>-</v>
      </c>
      <c r="AY148" s="10" t="str">
        <f t="shared" si="131"/>
        <v>-</v>
      </c>
      <c r="AZ148" s="9" t="str">
        <f t="shared" si="132"/>
        <v>-</v>
      </c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</row>
    <row r="149" spans="2:68" x14ac:dyDescent="0.3">
      <c r="B149" s="108" t="str">
        <f t="shared" si="116"/>
        <v/>
      </c>
      <c r="C149" s="108" t="str">
        <f t="shared" si="133"/>
        <v/>
      </c>
      <c r="D149" s="3"/>
      <c r="E149" s="3"/>
      <c r="F149" s="3"/>
      <c r="G149" s="20">
        <f>IFERROR(INDEX('Input - Supermarket'!F$2:F$200,MATCH('Calculations - Supermarket'!$C149,'Input - Supermarket'!$B$2:$B$200,0)),"")</f>
        <v>0</v>
      </c>
      <c r="H149" s="20">
        <f>IFERROR(INDEX('Input - Supermarket'!G$2:G$200,MATCH('Calculations - Supermarket'!$C149,'Input - Supermarket'!$B$2:$B$200,0)),"")</f>
        <v>0</v>
      </c>
      <c r="I149" s="21">
        <f>IFERROR(INDEX('Input - Supermarket'!H$2:H$200,MATCH('Calculations - Supermarket'!$C149,'Input - Supermarket'!$B$2:$B$200,0)),"")</f>
        <v>0</v>
      </c>
      <c r="J149" s="21">
        <f>IFERROR(INDEX('Input - Supermarket'!I$2:I$200,MATCH('Calculations - Supermarket'!$C149,'Input - Supermarket'!$B$2:$B$200,0)),"")</f>
        <v>0</v>
      </c>
      <c r="K149" s="20">
        <f>IFERROR(INDEX('Input - Supermarket'!J$2:J$200,MATCH('Calculations - Supermarket'!$C149,'Input - Supermarket'!$B$2:$B$200,0)),"")</f>
        <v>0</v>
      </c>
      <c r="L149" s="20">
        <f>IFERROR(INDEX('Input - Supermarket'!K$2:K$200,MATCH('Calculations - Supermarket'!$C149,'Input - Supermarket'!$B$2:$B$200,0)),"")</f>
        <v>0</v>
      </c>
      <c r="M149" s="21" t="str">
        <f t="shared" si="117"/>
        <v/>
      </c>
      <c r="N149" s="21" t="str">
        <f t="shared" si="134"/>
        <v/>
      </c>
      <c r="O149" s="21">
        <f t="shared" si="118"/>
        <v>0</v>
      </c>
      <c r="P149" s="9">
        <f t="shared" si="135"/>
        <v>0</v>
      </c>
      <c r="Q149" s="9">
        <f t="shared" si="136"/>
        <v>0</v>
      </c>
      <c r="R149" s="22" t="str">
        <f>IFERROR(INDEX(Supermarket!$Q$11:$Q$170,MATCH('Calculations - Supermarket'!$C149,Supermarket!$M$11:$M$170,0)),"")</f>
        <v/>
      </c>
      <c r="S149" s="22" t="str">
        <f>IFERROR(INDEX(Supermarket!$R$11:$R$170,MATCH('Calculations - Supermarket'!$C149,Supermarket!$M$11:$M$170,0)),"")</f>
        <v/>
      </c>
      <c r="T149" s="16" t="e">
        <f t="shared" si="137"/>
        <v>#VALUE!</v>
      </c>
      <c r="U149" s="16" t="e">
        <f t="shared" si="119"/>
        <v>#VALUE!</v>
      </c>
      <c r="V149" s="16" t="e">
        <f t="shared" si="120"/>
        <v>#VALUE!</v>
      </c>
      <c r="W149" s="10" t="str">
        <f t="shared" si="138"/>
        <v>-</v>
      </c>
      <c r="X149" s="10" t="str">
        <f t="shared" si="139"/>
        <v>-</v>
      </c>
      <c r="Y149" s="13" t="str">
        <f t="shared" si="121"/>
        <v>-</v>
      </c>
      <c r="Z149" s="9" t="str">
        <f t="shared" si="140"/>
        <v>-</v>
      </c>
      <c r="AA149" s="16" t="str">
        <f t="shared" si="122"/>
        <v>-</v>
      </c>
      <c r="AB149" s="16" t="str">
        <f t="shared" si="141"/>
        <v>-</v>
      </c>
      <c r="AC149" s="16" t="str">
        <f t="shared" si="142"/>
        <v>-</v>
      </c>
      <c r="AD149" s="16" t="str">
        <f t="shared" si="123"/>
        <v>-</v>
      </c>
      <c r="AE149" s="16"/>
      <c r="AF149" s="31" t="str">
        <f>IFERROR(INDEX(Supermarket!$P$11:$P$170,MATCH('Calculations - Supermarket'!C149,Supermarket!$M$11:$M$170,0)),"")</f>
        <v/>
      </c>
      <c r="AG149" s="23" t="str">
        <f t="shared" si="124"/>
        <v/>
      </c>
      <c r="AH149" s="23" t="str">
        <f t="shared" si="125"/>
        <v/>
      </c>
      <c r="AI149" s="9" t="str">
        <f t="shared" si="143"/>
        <v/>
      </c>
      <c r="AJ149" s="4" t="str">
        <f t="shared" si="144"/>
        <v/>
      </c>
      <c r="AK149" s="4"/>
      <c r="AL149" s="4"/>
      <c r="AM149" s="4"/>
      <c r="AN149" s="4"/>
      <c r="AO149" s="4"/>
      <c r="AP149" s="20" t="str">
        <f t="shared" si="145"/>
        <v>-</v>
      </c>
      <c r="AQ149" s="13" t="str">
        <f t="shared" si="126"/>
        <v>-</v>
      </c>
      <c r="AR149" s="13" t="str">
        <f t="shared" si="127"/>
        <v>-</v>
      </c>
      <c r="AS149" s="13" t="str">
        <f t="shared" si="146"/>
        <v>-</v>
      </c>
      <c r="AT149" s="16" t="str">
        <f t="shared" si="128"/>
        <v>-</v>
      </c>
      <c r="AU149" s="16" t="str">
        <f t="shared" si="147"/>
        <v>-</v>
      </c>
      <c r="AV149" s="16" t="str">
        <f t="shared" si="148"/>
        <v>-</v>
      </c>
      <c r="AW149" s="16" t="str">
        <f t="shared" si="129"/>
        <v>-</v>
      </c>
      <c r="AX149" s="13" t="str">
        <f t="shared" si="130"/>
        <v>-</v>
      </c>
      <c r="AY149" s="10" t="str">
        <f t="shared" si="131"/>
        <v>-</v>
      </c>
      <c r="AZ149" s="9" t="str">
        <f t="shared" si="132"/>
        <v>-</v>
      </c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</row>
    <row r="150" spans="2:68" x14ac:dyDescent="0.3">
      <c r="B150" s="108" t="str">
        <f t="shared" si="116"/>
        <v/>
      </c>
      <c r="C150" s="108" t="str">
        <f t="shared" si="133"/>
        <v/>
      </c>
      <c r="D150" s="3"/>
      <c r="E150" s="3"/>
      <c r="F150" s="3"/>
      <c r="G150" s="20">
        <f>IFERROR(INDEX('Input - Supermarket'!F$2:F$200,MATCH('Calculations - Supermarket'!$C150,'Input - Supermarket'!$B$2:$B$200,0)),"")</f>
        <v>0</v>
      </c>
      <c r="H150" s="20">
        <f>IFERROR(INDEX('Input - Supermarket'!G$2:G$200,MATCH('Calculations - Supermarket'!$C150,'Input - Supermarket'!$B$2:$B$200,0)),"")</f>
        <v>0</v>
      </c>
      <c r="I150" s="21">
        <f>IFERROR(INDEX('Input - Supermarket'!H$2:H$200,MATCH('Calculations - Supermarket'!$C150,'Input - Supermarket'!$B$2:$B$200,0)),"")</f>
        <v>0</v>
      </c>
      <c r="J150" s="21">
        <f>IFERROR(INDEX('Input - Supermarket'!I$2:I$200,MATCH('Calculations - Supermarket'!$C150,'Input - Supermarket'!$B$2:$B$200,0)),"")</f>
        <v>0</v>
      </c>
      <c r="K150" s="20">
        <f>IFERROR(INDEX('Input - Supermarket'!J$2:J$200,MATCH('Calculations - Supermarket'!$C150,'Input - Supermarket'!$B$2:$B$200,0)),"")</f>
        <v>0</v>
      </c>
      <c r="L150" s="20">
        <f>IFERROR(INDEX('Input - Supermarket'!K$2:K$200,MATCH('Calculations - Supermarket'!$C150,'Input - Supermarket'!$B$2:$B$200,0)),"")</f>
        <v>0</v>
      </c>
      <c r="M150" s="21" t="str">
        <f t="shared" si="117"/>
        <v/>
      </c>
      <c r="N150" s="21" t="str">
        <f t="shared" si="134"/>
        <v/>
      </c>
      <c r="O150" s="21">
        <f t="shared" si="118"/>
        <v>0</v>
      </c>
      <c r="P150" s="9">
        <f t="shared" si="135"/>
        <v>0</v>
      </c>
      <c r="Q150" s="9">
        <f t="shared" si="136"/>
        <v>0</v>
      </c>
      <c r="R150" s="22" t="str">
        <f>IFERROR(INDEX(Supermarket!$Q$11:$Q$170,MATCH('Calculations - Supermarket'!$C150,Supermarket!$M$11:$M$170,0)),"")</f>
        <v/>
      </c>
      <c r="S150" s="22" t="str">
        <f>IFERROR(INDEX(Supermarket!$R$11:$R$170,MATCH('Calculations - Supermarket'!$C150,Supermarket!$M$11:$M$170,0)),"")</f>
        <v/>
      </c>
      <c r="T150" s="16" t="e">
        <f t="shared" si="137"/>
        <v>#VALUE!</v>
      </c>
      <c r="U150" s="16" t="e">
        <f t="shared" si="119"/>
        <v>#VALUE!</v>
      </c>
      <c r="V150" s="16" t="e">
        <f t="shared" si="120"/>
        <v>#VALUE!</v>
      </c>
      <c r="W150" s="10" t="str">
        <f t="shared" si="138"/>
        <v>-</v>
      </c>
      <c r="X150" s="10" t="str">
        <f t="shared" si="139"/>
        <v>-</v>
      </c>
      <c r="Y150" s="13" t="str">
        <f t="shared" si="121"/>
        <v>-</v>
      </c>
      <c r="Z150" s="9" t="str">
        <f t="shared" si="140"/>
        <v>-</v>
      </c>
      <c r="AA150" s="16" t="str">
        <f t="shared" si="122"/>
        <v>-</v>
      </c>
      <c r="AB150" s="16" t="str">
        <f t="shared" si="141"/>
        <v>-</v>
      </c>
      <c r="AC150" s="16" t="str">
        <f t="shared" si="142"/>
        <v>-</v>
      </c>
      <c r="AD150" s="16" t="str">
        <f t="shared" si="123"/>
        <v>-</v>
      </c>
      <c r="AE150" s="16"/>
      <c r="AF150" s="31" t="str">
        <f>IFERROR(INDEX(Supermarket!$P$11:$P$170,MATCH('Calculations - Supermarket'!C150,Supermarket!$M$11:$M$170,0)),"")</f>
        <v/>
      </c>
      <c r="AG150" s="23" t="str">
        <f t="shared" si="124"/>
        <v/>
      </c>
      <c r="AH150" s="23" t="str">
        <f t="shared" si="125"/>
        <v/>
      </c>
      <c r="AI150" s="9" t="str">
        <f t="shared" si="143"/>
        <v/>
      </c>
      <c r="AJ150" s="4" t="str">
        <f t="shared" si="144"/>
        <v/>
      </c>
      <c r="AK150" s="4"/>
      <c r="AL150" s="4"/>
      <c r="AM150" s="4"/>
      <c r="AN150" s="4"/>
      <c r="AO150" s="4"/>
      <c r="AP150" s="20" t="str">
        <f t="shared" si="145"/>
        <v>-</v>
      </c>
      <c r="AQ150" s="13" t="str">
        <f t="shared" si="126"/>
        <v>-</v>
      </c>
      <c r="AR150" s="13" t="str">
        <f t="shared" si="127"/>
        <v>-</v>
      </c>
      <c r="AS150" s="13" t="str">
        <f t="shared" si="146"/>
        <v>-</v>
      </c>
      <c r="AT150" s="16" t="str">
        <f t="shared" si="128"/>
        <v>-</v>
      </c>
      <c r="AU150" s="16" t="str">
        <f t="shared" si="147"/>
        <v>-</v>
      </c>
      <c r="AV150" s="16" t="str">
        <f t="shared" si="148"/>
        <v>-</v>
      </c>
      <c r="AW150" s="16" t="str">
        <f t="shared" si="129"/>
        <v>-</v>
      </c>
      <c r="AX150" s="13" t="str">
        <f t="shared" si="130"/>
        <v>-</v>
      </c>
      <c r="AY150" s="10" t="str">
        <f t="shared" si="131"/>
        <v>-</v>
      </c>
      <c r="AZ150" s="9" t="str">
        <f t="shared" si="132"/>
        <v>-</v>
      </c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</row>
    <row r="151" spans="2:68" x14ac:dyDescent="0.3">
      <c r="B151" s="108" t="str">
        <f t="shared" si="116"/>
        <v/>
      </c>
      <c r="C151" s="108" t="str">
        <f t="shared" si="133"/>
        <v/>
      </c>
      <c r="D151" s="3"/>
      <c r="E151" s="3"/>
      <c r="F151" s="3"/>
      <c r="G151" s="20">
        <f>IFERROR(INDEX('Input - Supermarket'!F$2:F$200,MATCH('Calculations - Supermarket'!$C151,'Input - Supermarket'!$B$2:$B$200,0)),"")</f>
        <v>0</v>
      </c>
      <c r="H151" s="20">
        <f>IFERROR(INDEX('Input - Supermarket'!G$2:G$200,MATCH('Calculations - Supermarket'!$C151,'Input - Supermarket'!$B$2:$B$200,0)),"")</f>
        <v>0</v>
      </c>
      <c r="I151" s="21">
        <f>IFERROR(INDEX('Input - Supermarket'!H$2:H$200,MATCH('Calculations - Supermarket'!$C151,'Input - Supermarket'!$B$2:$B$200,0)),"")</f>
        <v>0</v>
      </c>
      <c r="J151" s="21">
        <f>IFERROR(INDEX('Input - Supermarket'!I$2:I$200,MATCH('Calculations - Supermarket'!$C151,'Input - Supermarket'!$B$2:$B$200,0)),"")</f>
        <v>0</v>
      </c>
      <c r="K151" s="20">
        <f>IFERROR(INDEX('Input - Supermarket'!J$2:J$200,MATCH('Calculations - Supermarket'!$C151,'Input - Supermarket'!$B$2:$B$200,0)),"")</f>
        <v>0</v>
      </c>
      <c r="L151" s="20">
        <f>IFERROR(INDEX('Input - Supermarket'!K$2:K$200,MATCH('Calculations - Supermarket'!$C151,'Input - Supermarket'!$B$2:$B$200,0)),"")</f>
        <v>0</v>
      </c>
      <c r="M151" s="21" t="str">
        <f t="shared" si="117"/>
        <v/>
      </c>
      <c r="N151" s="21" t="str">
        <f t="shared" si="134"/>
        <v/>
      </c>
      <c r="O151" s="21">
        <f t="shared" si="118"/>
        <v>0</v>
      </c>
      <c r="P151" s="9">
        <f t="shared" si="135"/>
        <v>0</v>
      </c>
      <c r="Q151" s="9">
        <f t="shared" si="136"/>
        <v>0</v>
      </c>
      <c r="R151" s="22" t="str">
        <f>IFERROR(INDEX(Supermarket!$Q$11:$Q$170,MATCH('Calculations - Supermarket'!$C151,Supermarket!$M$11:$M$170,0)),"")</f>
        <v/>
      </c>
      <c r="S151" s="22" t="str">
        <f>IFERROR(INDEX(Supermarket!$R$11:$R$170,MATCH('Calculations - Supermarket'!$C151,Supermarket!$M$11:$M$170,0)),"")</f>
        <v/>
      </c>
      <c r="T151" s="16" t="e">
        <f t="shared" si="137"/>
        <v>#VALUE!</v>
      </c>
      <c r="U151" s="16" t="e">
        <f t="shared" si="119"/>
        <v>#VALUE!</v>
      </c>
      <c r="V151" s="16" t="e">
        <f t="shared" si="120"/>
        <v>#VALUE!</v>
      </c>
      <c r="W151" s="10" t="str">
        <f t="shared" si="138"/>
        <v>-</v>
      </c>
      <c r="X151" s="10" t="str">
        <f t="shared" si="139"/>
        <v>-</v>
      </c>
      <c r="Y151" s="13" t="str">
        <f t="shared" si="121"/>
        <v>-</v>
      </c>
      <c r="Z151" s="9" t="str">
        <f t="shared" si="140"/>
        <v>-</v>
      </c>
      <c r="AA151" s="16" t="str">
        <f t="shared" si="122"/>
        <v>-</v>
      </c>
      <c r="AB151" s="16" t="str">
        <f t="shared" si="141"/>
        <v>-</v>
      </c>
      <c r="AC151" s="16" t="str">
        <f t="shared" si="142"/>
        <v>-</v>
      </c>
      <c r="AD151" s="16" t="str">
        <f t="shared" si="123"/>
        <v>-</v>
      </c>
      <c r="AE151" s="16"/>
      <c r="AF151" s="31" t="str">
        <f>IFERROR(INDEX(Supermarket!$P$11:$P$170,MATCH('Calculations - Supermarket'!C151,Supermarket!$M$11:$M$170,0)),"")</f>
        <v/>
      </c>
      <c r="AG151" s="23" t="str">
        <f t="shared" si="124"/>
        <v/>
      </c>
      <c r="AH151" s="23" t="str">
        <f t="shared" si="125"/>
        <v/>
      </c>
      <c r="AI151" s="9" t="str">
        <f t="shared" si="143"/>
        <v/>
      </c>
      <c r="AJ151" s="4" t="str">
        <f t="shared" si="144"/>
        <v/>
      </c>
      <c r="AK151" s="4"/>
      <c r="AL151" s="4"/>
      <c r="AM151" s="4"/>
      <c r="AN151" s="4"/>
      <c r="AO151" s="4"/>
      <c r="AP151" s="20" t="str">
        <f t="shared" si="145"/>
        <v>-</v>
      </c>
      <c r="AQ151" s="13" t="str">
        <f t="shared" si="126"/>
        <v>-</v>
      </c>
      <c r="AR151" s="13" t="str">
        <f t="shared" si="127"/>
        <v>-</v>
      </c>
      <c r="AS151" s="13" t="str">
        <f t="shared" si="146"/>
        <v>-</v>
      </c>
      <c r="AT151" s="16" t="str">
        <f t="shared" si="128"/>
        <v>-</v>
      </c>
      <c r="AU151" s="16" t="str">
        <f t="shared" si="147"/>
        <v>-</v>
      </c>
      <c r="AV151" s="16" t="str">
        <f t="shared" si="148"/>
        <v>-</v>
      </c>
      <c r="AW151" s="16" t="str">
        <f t="shared" si="129"/>
        <v>-</v>
      </c>
      <c r="AX151" s="13" t="str">
        <f t="shared" si="130"/>
        <v>-</v>
      </c>
      <c r="AY151" s="10" t="str">
        <f t="shared" si="131"/>
        <v>-</v>
      </c>
      <c r="AZ151" s="9" t="str">
        <f t="shared" si="132"/>
        <v>-</v>
      </c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</row>
    <row r="152" spans="2:68" x14ac:dyDescent="0.3">
      <c r="B152" s="108" t="str">
        <f t="shared" si="116"/>
        <v/>
      </c>
      <c r="C152" s="108" t="str">
        <f t="shared" si="133"/>
        <v/>
      </c>
      <c r="D152" s="3"/>
      <c r="E152" s="3"/>
      <c r="F152" s="3"/>
      <c r="G152" s="20">
        <f>IFERROR(INDEX('Input - Supermarket'!F$2:F$200,MATCH('Calculations - Supermarket'!$C152,'Input - Supermarket'!$B$2:$B$200,0)),"")</f>
        <v>0</v>
      </c>
      <c r="H152" s="20">
        <f>IFERROR(INDEX('Input - Supermarket'!G$2:G$200,MATCH('Calculations - Supermarket'!$C152,'Input - Supermarket'!$B$2:$B$200,0)),"")</f>
        <v>0</v>
      </c>
      <c r="I152" s="21">
        <f>IFERROR(INDEX('Input - Supermarket'!H$2:H$200,MATCH('Calculations - Supermarket'!$C152,'Input - Supermarket'!$B$2:$B$200,0)),"")</f>
        <v>0</v>
      </c>
      <c r="J152" s="21">
        <f>IFERROR(INDEX('Input - Supermarket'!I$2:I$200,MATCH('Calculations - Supermarket'!$C152,'Input - Supermarket'!$B$2:$B$200,0)),"")</f>
        <v>0</v>
      </c>
      <c r="K152" s="20">
        <f>IFERROR(INDEX('Input - Supermarket'!J$2:J$200,MATCH('Calculations - Supermarket'!$C152,'Input - Supermarket'!$B$2:$B$200,0)),"")</f>
        <v>0</v>
      </c>
      <c r="L152" s="20">
        <f>IFERROR(INDEX('Input - Supermarket'!K$2:K$200,MATCH('Calculations - Supermarket'!$C152,'Input - Supermarket'!$B$2:$B$200,0)),"")</f>
        <v>0</v>
      </c>
      <c r="M152" s="21" t="str">
        <f t="shared" si="117"/>
        <v/>
      </c>
      <c r="N152" s="21" t="str">
        <f t="shared" si="134"/>
        <v/>
      </c>
      <c r="O152" s="21">
        <f t="shared" si="118"/>
        <v>0</v>
      </c>
      <c r="P152" s="9">
        <f t="shared" si="135"/>
        <v>0</v>
      </c>
      <c r="Q152" s="9">
        <f t="shared" si="136"/>
        <v>0</v>
      </c>
      <c r="R152" s="22" t="str">
        <f>IFERROR(INDEX(Supermarket!$Q$11:$Q$170,MATCH('Calculations - Supermarket'!$C152,Supermarket!$M$11:$M$170,0)),"")</f>
        <v/>
      </c>
      <c r="S152" s="22" t="str">
        <f>IFERROR(INDEX(Supermarket!$R$11:$R$170,MATCH('Calculations - Supermarket'!$C152,Supermarket!$M$11:$M$170,0)),"")</f>
        <v/>
      </c>
      <c r="T152" s="16" t="e">
        <f t="shared" si="137"/>
        <v>#VALUE!</v>
      </c>
      <c r="U152" s="16" t="e">
        <f t="shared" si="119"/>
        <v>#VALUE!</v>
      </c>
      <c r="V152" s="16" t="e">
        <f t="shared" si="120"/>
        <v>#VALUE!</v>
      </c>
      <c r="W152" s="10" t="str">
        <f t="shared" si="138"/>
        <v>-</v>
      </c>
      <c r="X152" s="10" t="str">
        <f t="shared" si="139"/>
        <v>-</v>
      </c>
      <c r="Y152" s="13" t="str">
        <f t="shared" si="121"/>
        <v>-</v>
      </c>
      <c r="Z152" s="9" t="str">
        <f t="shared" si="140"/>
        <v>-</v>
      </c>
      <c r="AA152" s="16" t="str">
        <f t="shared" si="122"/>
        <v>-</v>
      </c>
      <c r="AB152" s="16" t="str">
        <f t="shared" si="141"/>
        <v>-</v>
      </c>
      <c r="AC152" s="16" t="str">
        <f t="shared" si="142"/>
        <v>-</v>
      </c>
      <c r="AD152" s="16" t="str">
        <f t="shared" si="123"/>
        <v>-</v>
      </c>
      <c r="AE152" s="16"/>
      <c r="AF152" s="31" t="str">
        <f>IFERROR(INDEX(Supermarket!$P$11:$P$170,MATCH('Calculations - Supermarket'!C152,Supermarket!$M$11:$M$170,0)),"")</f>
        <v/>
      </c>
      <c r="AG152" s="23" t="str">
        <f t="shared" si="124"/>
        <v/>
      </c>
      <c r="AH152" s="23" t="str">
        <f t="shared" si="125"/>
        <v/>
      </c>
      <c r="AI152" s="9" t="str">
        <f t="shared" si="143"/>
        <v/>
      </c>
      <c r="AJ152" s="4" t="str">
        <f t="shared" si="144"/>
        <v/>
      </c>
      <c r="AK152" s="4"/>
      <c r="AL152" s="4"/>
      <c r="AM152" s="4"/>
      <c r="AN152" s="4"/>
      <c r="AO152" s="4"/>
      <c r="AP152" s="20" t="str">
        <f t="shared" si="145"/>
        <v>-</v>
      </c>
      <c r="AQ152" s="13" t="str">
        <f t="shared" si="126"/>
        <v>-</v>
      </c>
      <c r="AR152" s="13" t="str">
        <f t="shared" si="127"/>
        <v>-</v>
      </c>
      <c r="AS152" s="13" t="str">
        <f t="shared" si="146"/>
        <v>-</v>
      </c>
      <c r="AT152" s="16" t="str">
        <f t="shared" si="128"/>
        <v>-</v>
      </c>
      <c r="AU152" s="16" t="str">
        <f t="shared" si="147"/>
        <v>-</v>
      </c>
      <c r="AV152" s="16" t="str">
        <f t="shared" si="148"/>
        <v>-</v>
      </c>
      <c r="AW152" s="16" t="str">
        <f t="shared" si="129"/>
        <v>-</v>
      </c>
      <c r="AX152" s="13" t="str">
        <f t="shared" si="130"/>
        <v>-</v>
      </c>
      <c r="AY152" s="10" t="str">
        <f t="shared" si="131"/>
        <v>-</v>
      </c>
      <c r="AZ152" s="9" t="str">
        <f t="shared" si="132"/>
        <v>-</v>
      </c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</row>
    <row r="153" spans="2:68" x14ac:dyDescent="0.3">
      <c r="B153" s="108" t="str">
        <f t="shared" si="116"/>
        <v/>
      </c>
      <c r="C153" s="108" t="str">
        <f t="shared" si="133"/>
        <v/>
      </c>
      <c r="D153" s="3"/>
      <c r="E153" s="3"/>
      <c r="F153" s="3"/>
      <c r="G153" s="20">
        <f>IFERROR(INDEX('Input - Supermarket'!F$2:F$200,MATCH('Calculations - Supermarket'!$C153,'Input - Supermarket'!$B$2:$B$200,0)),"")</f>
        <v>0</v>
      </c>
      <c r="H153" s="20">
        <f>IFERROR(INDEX('Input - Supermarket'!G$2:G$200,MATCH('Calculations - Supermarket'!$C153,'Input - Supermarket'!$B$2:$B$200,0)),"")</f>
        <v>0</v>
      </c>
      <c r="I153" s="21">
        <f>IFERROR(INDEX('Input - Supermarket'!H$2:H$200,MATCH('Calculations - Supermarket'!$C153,'Input - Supermarket'!$B$2:$B$200,0)),"")</f>
        <v>0</v>
      </c>
      <c r="J153" s="21">
        <f>IFERROR(INDEX('Input - Supermarket'!I$2:I$200,MATCH('Calculations - Supermarket'!$C153,'Input - Supermarket'!$B$2:$B$200,0)),"")</f>
        <v>0</v>
      </c>
      <c r="K153" s="20">
        <f>IFERROR(INDEX('Input - Supermarket'!J$2:J$200,MATCH('Calculations - Supermarket'!$C153,'Input - Supermarket'!$B$2:$B$200,0)),"")</f>
        <v>0</v>
      </c>
      <c r="L153" s="20">
        <f>IFERROR(INDEX('Input - Supermarket'!K$2:K$200,MATCH('Calculations - Supermarket'!$C153,'Input - Supermarket'!$B$2:$B$200,0)),"")</f>
        <v>0</v>
      </c>
      <c r="M153" s="21" t="str">
        <f t="shared" si="117"/>
        <v/>
      </c>
      <c r="N153" s="21" t="str">
        <f t="shared" si="134"/>
        <v/>
      </c>
      <c r="O153" s="21">
        <f t="shared" si="118"/>
        <v>0</v>
      </c>
      <c r="P153" s="9">
        <f t="shared" si="135"/>
        <v>0</v>
      </c>
      <c r="Q153" s="9">
        <f t="shared" si="136"/>
        <v>0</v>
      </c>
      <c r="R153" s="22" t="str">
        <f>IFERROR(INDEX(Supermarket!$Q$11:$Q$170,MATCH('Calculations - Supermarket'!$C153,Supermarket!$M$11:$M$170,0)),"")</f>
        <v/>
      </c>
      <c r="S153" s="22" t="str">
        <f>IFERROR(INDEX(Supermarket!$R$11:$R$170,MATCH('Calculations - Supermarket'!$C153,Supermarket!$M$11:$M$170,0)),"")</f>
        <v/>
      </c>
      <c r="T153" s="16" t="e">
        <f t="shared" si="137"/>
        <v>#VALUE!</v>
      </c>
      <c r="U153" s="16" t="e">
        <f t="shared" si="119"/>
        <v>#VALUE!</v>
      </c>
      <c r="V153" s="16" t="e">
        <f t="shared" si="120"/>
        <v>#VALUE!</v>
      </c>
      <c r="W153" s="10" t="str">
        <f t="shared" si="138"/>
        <v>-</v>
      </c>
      <c r="X153" s="10" t="str">
        <f t="shared" si="139"/>
        <v>-</v>
      </c>
      <c r="Y153" s="13" t="str">
        <f t="shared" si="121"/>
        <v>-</v>
      </c>
      <c r="Z153" s="9" t="str">
        <f t="shared" si="140"/>
        <v>-</v>
      </c>
      <c r="AA153" s="16" t="str">
        <f t="shared" si="122"/>
        <v>-</v>
      </c>
      <c r="AB153" s="16" t="str">
        <f t="shared" si="141"/>
        <v>-</v>
      </c>
      <c r="AC153" s="16" t="str">
        <f t="shared" si="142"/>
        <v>-</v>
      </c>
      <c r="AD153" s="16" t="str">
        <f t="shared" si="123"/>
        <v>-</v>
      </c>
      <c r="AE153" s="16"/>
      <c r="AF153" s="31" t="str">
        <f>IFERROR(INDEX(Supermarket!$P$11:$P$170,MATCH('Calculations - Supermarket'!C153,Supermarket!$M$11:$M$170,0)),"")</f>
        <v/>
      </c>
      <c r="AG153" s="23" t="str">
        <f t="shared" si="124"/>
        <v/>
      </c>
      <c r="AH153" s="23" t="str">
        <f t="shared" si="125"/>
        <v/>
      </c>
      <c r="AI153" s="9" t="str">
        <f t="shared" si="143"/>
        <v/>
      </c>
      <c r="AJ153" s="4" t="str">
        <f t="shared" si="144"/>
        <v/>
      </c>
      <c r="AK153" s="4"/>
      <c r="AL153" s="4"/>
      <c r="AM153" s="4"/>
      <c r="AN153" s="4"/>
      <c r="AO153" s="4"/>
      <c r="AP153" s="20" t="str">
        <f t="shared" si="145"/>
        <v>-</v>
      </c>
      <c r="AQ153" s="13" t="str">
        <f t="shared" si="126"/>
        <v>-</v>
      </c>
      <c r="AR153" s="13" t="str">
        <f t="shared" si="127"/>
        <v>-</v>
      </c>
      <c r="AS153" s="13" t="str">
        <f t="shared" si="146"/>
        <v>-</v>
      </c>
      <c r="AT153" s="16" t="str">
        <f t="shared" si="128"/>
        <v>-</v>
      </c>
      <c r="AU153" s="16" t="str">
        <f t="shared" si="147"/>
        <v>-</v>
      </c>
      <c r="AV153" s="16" t="str">
        <f t="shared" si="148"/>
        <v>-</v>
      </c>
      <c r="AW153" s="16" t="str">
        <f t="shared" si="129"/>
        <v>-</v>
      </c>
      <c r="AX153" s="13" t="str">
        <f t="shared" si="130"/>
        <v>-</v>
      </c>
      <c r="AY153" s="10" t="str">
        <f t="shared" si="131"/>
        <v>-</v>
      </c>
      <c r="AZ153" s="9" t="str">
        <f t="shared" si="132"/>
        <v>-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</row>
    <row r="154" spans="2:68" x14ac:dyDescent="0.3">
      <c r="B154" s="108" t="str">
        <f t="shared" si="116"/>
        <v/>
      </c>
      <c r="C154" s="108" t="str">
        <f t="shared" si="133"/>
        <v/>
      </c>
      <c r="D154" s="3"/>
      <c r="E154" s="3"/>
      <c r="F154" s="3"/>
      <c r="G154" s="20">
        <f>IFERROR(INDEX('Input - Supermarket'!F$2:F$200,MATCH('Calculations - Supermarket'!$C154,'Input - Supermarket'!$B$2:$B$200,0)),"")</f>
        <v>0</v>
      </c>
      <c r="H154" s="20">
        <f>IFERROR(INDEX('Input - Supermarket'!G$2:G$200,MATCH('Calculations - Supermarket'!$C154,'Input - Supermarket'!$B$2:$B$200,0)),"")</f>
        <v>0</v>
      </c>
      <c r="I154" s="21">
        <f>IFERROR(INDEX('Input - Supermarket'!H$2:H$200,MATCH('Calculations - Supermarket'!$C154,'Input - Supermarket'!$B$2:$B$200,0)),"")</f>
        <v>0</v>
      </c>
      <c r="J154" s="21">
        <f>IFERROR(INDEX('Input - Supermarket'!I$2:I$200,MATCH('Calculations - Supermarket'!$C154,'Input - Supermarket'!$B$2:$B$200,0)),"")</f>
        <v>0</v>
      </c>
      <c r="K154" s="20">
        <f>IFERROR(INDEX('Input - Supermarket'!J$2:J$200,MATCH('Calculations - Supermarket'!$C154,'Input - Supermarket'!$B$2:$B$200,0)),"")</f>
        <v>0</v>
      </c>
      <c r="L154" s="20">
        <f>IFERROR(INDEX('Input - Supermarket'!K$2:K$200,MATCH('Calculations - Supermarket'!$C154,'Input - Supermarket'!$B$2:$B$200,0)),"")</f>
        <v>0</v>
      </c>
      <c r="M154" s="21" t="str">
        <f t="shared" si="117"/>
        <v/>
      </c>
      <c r="N154" s="21" t="str">
        <f t="shared" si="134"/>
        <v/>
      </c>
      <c r="O154" s="21">
        <f t="shared" si="118"/>
        <v>0</v>
      </c>
      <c r="P154" s="9">
        <f t="shared" si="135"/>
        <v>0</v>
      </c>
      <c r="Q154" s="9">
        <f t="shared" si="136"/>
        <v>0</v>
      </c>
      <c r="R154" s="22" t="str">
        <f>IFERROR(INDEX(Supermarket!$Q$11:$Q$170,MATCH('Calculations - Supermarket'!$C154,Supermarket!$M$11:$M$170,0)),"")</f>
        <v/>
      </c>
      <c r="S154" s="22" t="str">
        <f>IFERROR(INDEX(Supermarket!$R$11:$R$170,MATCH('Calculations - Supermarket'!$C154,Supermarket!$M$11:$M$170,0)),"")</f>
        <v/>
      </c>
      <c r="T154" s="16" t="e">
        <f t="shared" si="137"/>
        <v>#VALUE!</v>
      </c>
      <c r="U154" s="16" t="e">
        <f t="shared" si="119"/>
        <v>#VALUE!</v>
      </c>
      <c r="V154" s="16" t="e">
        <f t="shared" si="120"/>
        <v>#VALUE!</v>
      </c>
      <c r="W154" s="10" t="str">
        <f t="shared" si="138"/>
        <v>-</v>
      </c>
      <c r="X154" s="10" t="str">
        <f t="shared" si="139"/>
        <v>-</v>
      </c>
      <c r="Y154" s="13" t="str">
        <f t="shared" si="121"/>
        <v>-</v>
      </c>
      <c r="Z154" s="9" t="str">
        <f t="shared" si="140"/>
        <v>-</v>
      </c>
      <c r="AA154" s="16" t="str">
        <f t="shared" si="122"/>
        <v>-</v>
      </c>
      <c r="AB154" s="16" t="str">
        <f t="shared" si="141"/>
        <v>-</v>
      </c>
      <c r="AC154" s="16" t="str">
        <f t="shared" si="142"/>
        <v>-</v>
      </c>
      <c r="AD154" s="16" t="str">
        <f t="shared" si="123"/>
        <v>-</v>
      </c>
      <c r="AE154" s="16"/>
      <c r="AF154" s="31" t="str">
        <f>IFERROR(INDEX(Supermarket!$P$11:$P$170,MATCH('Calculations - Supermarket'!C154,Supermarket!$M$11:$M$170,0)),"")</f>
        <v/>
      </c>
      <c r="AG154" s="23" t="str">
        <f t="shared" si="124"/>
        <v/>
      </c>
      <c r="AH154" s="23" t="str">
        <f t="shared" si="125"/>
        <v/>
      </c>
      <c r="AI154" s="9" t="str">
        <f t="shared" si="143"/>
        <v/>
      </c>
      <c r="AJ154" s="4" t="str">
        <f t="shared" si="144"/>
        <v/>
      </c>
      <c r="AK154" s="4"/>
      <c r="AL154" s="4"/>
      <c r="AM154" s="4"/>
      <c r="AN154" s="4"/>
      <c r="AO154" s="4"/>
      <c r="AP154" s="20" t="str">
        <f t="shared" si="145"/>
        <v>-</v>
      </c>
      <c r="AQ154" s="13" t="str">
        <f t="shared" si="126"/>
        <v>-</v>
      </c>
      <c r="AR154" s="13" t="str">
        <f t="shared" si="127"/>
        <v>-</v>
      </c>
      <c r="AS154" s="13" t="str">
        <f t="shared" si="146"/>
        <v>-</v>
      </c>
      <c r="AT154" s="16" t="str">
        <f t="shared" si="128"/>
        <v>-</v>
      </c>
      <c r="AU154" s="16" t="str">
        <f t="shared" si="147"/>
        <v>-</v>
      </c>
      <c r="AV154" s="16" t="str">
        <f t="shared" si="148"/>
        <v>-</v>
      </c>
      <c r="AW154" s="16" t="str">
        <f t="shared" si="129"/>
        <v>-</v>
      </c>
      <c r="AX154" s="13" t="str">
        <f t="shared" si="130"/>
        <v>-</v>
      </c>
      <c r="AY154" s="10" t="str">
        <f t="shared" si="131"/>
        <v>-</v>
      </c>
      <c r="AZ154" s="9" t="str">
        <f t="shared" si="132"/>
        <v>-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</row>
    <row r="155" spans="2:68" x14ac:dyDescent="0.3">
      <c r="B155" s="108" t="str">
        <f t="shared" si="116"/>
        <v/>
      </c>
      <c r="C155" s="108" t="str">
        <f t="shared" si="133"/>
        <v/>
      </c>
      <c r="D155" s="3"/>
      <c r="E155" s="3"/>
      <c r="F155" s="3"/>
      <c r="G155" s="20">
        <f>IFERROR(INDEX('Input - Supermarket'!F$2:F$200,MATCH('Calculations - Supermarket'!$C155,'Input - Supermarket'!$B$2:$B$200,0)),"")</f>
        <v>0</v>
      </c>
      <c r="H155" s="20">
        <f>IFERROR(INDEX('Input - Supermarket'!G$2:G$200,MATCH('Calculations - Supermarket'!$C155,'Input - Supermarket'!$B$2:$B$200,0)),"")</f>
        <v>0</v>
      </c>
      <c r="I155" s="21">
        <f>IFERROR(INDEX('Input - Supermarket'!H$2:H$200,MATCH('Calculations - Supermarket'!$C155,'Input - Supermarket'!$B$2:$B$200,0)),"")</f>
        <v>0</v>
      </c>
      <c r="J155" s="21">
        <f>IFERROR(INDEX('Input - Supermarket'!I$2:I$200,MATCH('Calculations - Supermarket'!$C155,'Input - Supermarket'!$B$2:$B$200,0)),"")</f>
        <v>0</v>
      </c>
      <c r="K155" s="20">
        <f>IFERROR(INDEX('Input - Supermarket'!J$2:J$200,MATCH('Calculations - Supermarket'!$C155,'Input - Supermarket'!$B$2:$B$200,0)),"")</f>
        <v>0</v>
      </c>
      <c r="L155" s="20">
        <f>IFERROR(INDEX('Input - Supermarket'!K$2:K$200,MATCH('Calculations - Supermarket'!$C155,'Input - Supermarket'!$B$2:$B$200,0)),"")</f>
        <v>0</v>
      </c>
      <c r="M155" s="21" t="str">
        <f t="shared" si="117"/>
        <v/>
      </c>
      <c r="N155" s="21" t="str">
        <f t="shared" si="134"/>
        <v/>
      </c>
      <c r="O155" s="21">
        <f t="shared" si="118"/>
        <v>0</v>
      </c>
      <c r="P155" s="9">
        <f t="shared" si="135"/>
        <v>0</v>
      </c>
      <c r="Q155" s="9">
        <f t="shared" si="136"/>
        <v>0</v>
      </c>
      <c r="R155" s="22" t="str">
        <f>IFERROR(INDEX(Supermarket!$Q$11:$Q$170,MATCH('Calculations - Supermarket'!$C155,Supermarket!$M$11:$M$170,0)),"")</f>
        <v/>
      </c>
      <c r="S155" s="22" t="str">
        <f>IFERROR(INDEX(Supermarket!$R$11:$R$170,MATCH('Calculations - Supermarket'!$C155,Supermarket!$M$11:$M$170,0)),"")</f>
        <v/>
      </c>
      <c r="T155" s="16" t="e">
        <f t="shared" si="137"/>
        <v>#VALUE!</v>
      </c>
      <c r="U155" s="16" t="e">
        <f t="shared" si="119"/>
        <v>#VALUE!</v>
      </c>
      <c r="V155" s="16" t="e">
        <f t="shared" si="120"/>
        <v>#VALUE!</v>
      </c>
      <c r="W155" s="10" t="str">
        <f t="shared" si="138"/>
        <v>-</v>
      </c>
      <c r="X155" s="10" t="str">
        <f t="shared" si="139"/>
        <v>-</v>
      </c>
      <c r="Y155" s="13" t="str">
        <f t="shared" si="121"/>
        <v>-</v>
      </c>
      <c r="Z155" s="9" t="str">
        <f t="shared" si="140"/>
        <v>-</v>
      </c>
      <c r="AA155" s="16" t="str">
        <f t="shared" si="122"/>
        <v>-</v>
      </c>
      <c r="AB155" s="16" t="str">
        <f t="shared" si="141"/>
        <v>-</v>
      </c>
      <c r="AC155" s="16" t="str">
        <f t="shared" si="142"/>
        <v>-</v>
      </c>
      <c r="AD155" s="16" t="str">
        <f t="shared" si="123"/>
        <v>-</v>
      </c>
      <c r="AE155" s="16"/>
      <c r="AF155" s="31" t="str">
        <f>IFERROR(INDEX(Supermarket!$P$11:$P$170,MATCH('Calculations - Supermarket'!C155,Supermarket!$M$11:$M$170,0)),"")</f>
        <v/>
      </c>
      <c r="AG155" s="23" t="str">
        <f t="shared" si="124"/>
        <v/>
      </c>
      <c r="AH155" s="23" t="str">
        <f t="shared" si="125"/>
        <v/>
      </c>
      <c r="AI155" s="9" t="str">
        <f t="shared" si="143"/>
        <v/>
      </c>
      <c r="AJ155" s="4" t="str">
        <f t="shared" si="144"/>
        <v/>
      </c>
      <c r="AK155" s="4"/>
      <c r="AL155" s="4"/>
      <c r="AM155" s="4"/>
      <c r="AN155" s="4"/>
      <c r="AO155" s="4"/>
      <c r="AP155" s="20" t="str">
        <f t="shared" si="145"/>
        <v>-</v>
      </c>
      <c r="AQ155" s="13" t="str">
        <f t="shared" si="126"/>
        <v>-</v>
      </c>
      <c r="AR155" s="13" t="str">
        <f t="shared" si="127"/>
        <v>-</v>
      </c>
      <c r="AS155" s="13" t="str">
        <f t="shared" si="146"/>
        <v>-</v>
      </c>
      <c r="AT155" s="16" t="str">
        <f t="shared" si="128"/>
        <v>-</v>
      </c>
      <c r="AU155" s="16" t="str">
        <f t="shared" si="147"/>
        <v>-</v>
      </c>
      <c r="AV155" s="16" t="str">
        <f t="shared" si="148"/>
        <v>-</v>
      </c>
      <c r="AW155" s="16" t="str">
        <f t="shared" si="129"/>
        <v>-</v>
      </c>
      <c r="AX155" s="13" t="str">
        <f t="shared" si="130"/>
        <v>-</v>
      </c>
      <c r="AY155" s="10" t="str">
        <f t="shared" si="131"/>
        <v>-</v>
      </c>
      <c r="AZ155" s="9" t="str">
        <f t="shared" si="132"/>
        <v>-</v>
      </c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</row>
    <row r="156" spans="2:68" x14ac:dyDescent="0.3">
      <c r="B156" s="108" t="str">
        <f t="shared" si="116"/>
        <v/>
      </c>
      <c r="C156" s="108" t="str">
        <f t="shared" si="133"/>
        <v/>
      </c>
      <c r="D156" s="3"/>
      <c r="E156" s="3"/>
      <c r="F156" s="3"/>
      <c r="G156" s="20">
        <f>IFERROR(INDEX('Input - Supermarket'!F$2:F$200,MATCH('Calculations - Supermarket'!$C156,'Input - Supermarket'!$B$2:$B$200,0)),"")</f>
        <v>0</v>
      </c>
      <c r="H156" s="20">
        <f>IFERROR(INDEX('Input - Supermarket'!G$2:G$200,MATCH('Calculations - Supermarket'!$C156,'Input - Supermarket'!$B$2:$B$200,0)),"")</f>
        <v>0</v>
      </c>
      <c r="I156" s="21">
        <f>IFERROR(INDEX('Input - Supermarket'!H$2:H$200,MATCH('Calculations - Supermarket'!$C156,'Input - Supermarket'!$B$2:$B$200,0)),"")</f>
        <v>0</v>
      </c>
      <c r="J156" s="21">
        <f>IFERROR(INDEX('Input - Supermarket'!I$2:I$200,MATCH('Calculations - Supermarket'!$C156,'Input - Supermarket'!$B$2:$B$200,0)),"")</f>
        <v>0</v>
      </c>
      <c r="K156" s="20">
        <f>IFERROR(INDEX('Input - Supermarket'!J$2:J$200,MATCH('Calculations - Supermarket'!$C156,'Input - Supermarket'!$B$2:$B$200,0)),"")</f>
        <v>0</v>
      </c>
      <c r="L156" s="20">
        <f>IFERROR(INDEX('Input - Supermarket'!K$2:K$200,MATCH('Calculations - Supermarket'!$C156,'Input - Supermarket'!$B$2:$B$200,0)),"")</f>
        <v>0</v>
      </c>
      <c r="M156" s="21" t="str">
        <f t="shared" si="117"/>
        <v/>
      </c>
      <c r="N156" s="21" t="str">
        <f t="shared" si="134"/>
        <v/>
      </c>
      <c r="O156" s="21">
        <f t="shared" si="118"/>
        <v>0</v>
      </c>
      <c r="P156" s="9">
        <f t="shared" si="135"/>
        <v>0</v>
      </c>
      <c r="Q156" s="9">
        <f t="shared" si="136"/>
        <v>0</v>
      </c>
      <c r="R156" s="22" t="str">
        <f>IFERROR(INDEX(Supermarket!$Q$11:$Q$170,MATCH('Calculations - Supermarket'!$C156,Supermarket!$M$11:$M$170,0)),"")</f>
        <v/>
      </c>
      <c r="S156" s="22" t="str">
        <f>IFERROR(INDEX(Supermarket!$R$11:$R$170,MATCH('Calculations - Supermarket'!$C156,Supermarket!$M$11:$M$170,0)),"")</f>
        <v/>
      </c>
      <c r="T156" s="16" t="e">
        <f t="shared" si="137"/>
        <v>#VALUE!</v>
      </c>
      <c r="U156" s="16" t="e">
        <f t="shared" si="119"/>
        <v>#VALUE!</v>
      </c>
      <c r="V156" s="16" t="e">
        <f t="shared" si="120"/>
        <v>#VALUE!</v>
      </c>
      <c r="W156" s="10" t="str">
        <f t="shared" si="138"/>
        <v>-</v>
      </c>
      <c r="X156" s="10" t="str">
        <f t="shared" si="139"/>
        <v>-</v>
      </c>
      <c r="Y156" s="13" t="str">
        <f t="shared" si="121"/>
        <v>-</v>
      </c>
      <c r="Z156" s="9" t="str">
        <f t="shared" si="140"/>
        <v>-</v>
      </c>
      <c r="AA156" s="16" t="str">
        <f t="shared" si="122"/>
        <v>-</v>
      </c>
      <c r="AB156" s="16" t="str">
        <f t="shared" si="141"/>
        <v>-</v>
      </c>
      <c r="AC156" s="16" t="str">
        <f t="shared" si="142"/>
        <v>-</v>
      </c>
      <c r="AD156" s="16" t="str">
        <f t="shared" si="123"/>
        <v>-</v>
      </c>
      <c r="AE156" s="16"/>
      <c r="AF156" s="31" t="str">
        <f>IFERROR(INDEX(Supermarket!$P$11:$P$170,MATCH('Calculations - Supermarket'!C156,Supermarket!$M$11:$M$170,0)),"")</f>
        <v/>
      </c>
      <c r="AG156" s="23" t="str">
        <f t="shared" si="124"/>
        <v/>
      </c>
      <c r="AH156" s="23" t="str">
        <f t="shared" si="125"/>
        <v/>
      </c>
      <c r="AI156" s="9" t="str">
        <f t="shared" si="143"/>
        <v/>
      </c>
      <c r="AJ156" s="4" t="str">
        <f t="shared" si="144"/>
        <v/>
      </c>
      <c r="AK156" s="4"/>
      <c r="AL156" s="4"/>
      <c r="AM156" s="4"/>
      <c r="AN156" s="4"/>
      <c r="AO156" s="4"/>
      <c r="AP156" s="20" t="str">
        <f t="shared" si="145"/>
        <v>-</v>
      </c>
      <c r="AQ156" s="13" t="str">
        <f t="shared" si="126"/>
        <v>-</v>
      </c>
      <c r="AR156" s="13" t="str">
        <f t="shared" si="127"/>
        <v>-</v>
      </c>
      <c r="AS156" s="13" t="str">
        <f t="shared" si="146"/>
        <v>-</v>
      </c>
      <c r="AT156" s="16" t="str">
        <f t="shared" si="128"/>
        <v>-</v>
      </c>
      <c r="AU156" s="16" t="str">
        <f t="shared" si="147"/>
        <v>-</v>
      </c>
      <c r="AV156" s="16" t="str">
        <f t="shared" si="148"/>
        <v>-</v>
      </c>
      <c r="AW156" s="16" t="str">
        <f t="shared" si="129"/>
        <v>-</v>
      </c>
      <c r="AX156" s="13" t="str">
        <f t="shared" si="130"/>
        <v>-</v>
      </c>
      <c r="AY156" s="10" t="str">
        <f t="shared" si="131"/>
        <v>-</v>
      </c>
      <c r="AZ156" s="9" t="str">
        <f t="shared" si="132"/>
        <v>-</v>
      </c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</row>
    <row r="157" spans="2:68" x14ac:dyDescent="0.3">
      <c r="B157" s="108" t="str">
        <f t="shared" si="116"/>
        <v/>
      </c>
      <c r="C157" s="108" t="str">
        <f t="shared" si="133"/>
        <v/>
      </c>
      <c r="D157" s="3"/>
      <c r="E157" s="3"/>
      <c r="F157" s="3"/>
      <c r="G157" s="20">
        <f>IFERROR(INDEX('Input - Supermarket'!F$2:F$200,MATCH('Calculations - Supermarket'!$C157,'Input - Supermarket'!$B$2:$B$200,0)),"")</f>
        <v>0</v>
      </c>
      <c r="H157" s="20">
        <f>IFERROR(INDEX('Input - Supermarket'!G$2:G$200,MATCH('Calculations - Supermarket'!$C157,'Input - Supermarket'!$B$2:$B$200,0)),"")</f>
        <v>0</v>
      </c>
      <c r="I157" s="21">
        <f>IFERROR(INDEX('Input - Supermarket'!H$2:H$200,MATCH('Calculations - Supermarket'!$C157,'Input - Supermarket'!$B$2:$B$200,0)),"")</f>
        <v>0</v>
      </c>
      <c r="J157" s="21">
        <f>IFERROR(INDEX('Input - Supermarket'!I$2:I$200,MATCH('Calculations - Supermarket'!$C157,'Input - Supermarket'!$B$2:$B$200,0)),"")</f>
        <v>0</v>
      </c>
      <c r="K157" s="20">
        <f>IFERROR(INDEX('Input - Supermarket'!J$2:J$200,MATCH('Calculations - Supermarket'!$C157,'Input - Supermarket'!$B$2:$B$200,0)),"")</f>
        <v>0</v>
      </c>
      <c r="L157" s="20">
        <f>IFERROR(INDEX('Input - Supermarket'!K$2:K$200,MATCH('Calculations - Supermarket'!$C157,'Input - Supermarket'!$B$2:$B$200,0)),"")</f>
        <v>0</v>
      </c>
      <c r="M157" s="21" t="str">
        <f t="shared" si="117"/>
        <v/>
      </c>
      <c r="N157" s="21" t="str">
        <f t="shared" si="134"/>
        <v/>
      </c>
      <c r="O157" s="21">
        <f t="shared" si="118"/>
        <v>0</v>
      </c>
      <c r="P157" s="9">
        <f t="shared" si="135"/>
        <v>0</v>
      </c>
      <c r="Q157" s="9">
        <f t="shared" si="136"/>
        <v>0</v>
      </c>
      <c r="R157" s="22" t="str">
        <f>IFERROR(INDEX(Supermarket!$Q$11:$Q$170,MATCH('Calculations - Supermarket'!$C157,Supermarket!$M$11:$M$170,0)),"")</f>
        <v/>
      </c>
      <c r="S157" s="22" t="str">
        <f>IFERROR(INDEX(Supermarket!$R$11:$R$170,MATCH('Calculations - Supermarket'!$C157,Supermarket!$M$11:$M$170,0)),"")</f>
        <v/>
      </c>
      <c r="T157" s="16" t="e">
        <f t="shared" si="137"/>
        <v>#VALUE!</v>
      </c>
      <c r="U157" s="16" t="e">
        <f t="shared" si="119"/>
        <v>#VALUE!</v>
      </c>
      <c r="V157" s="16" t="e">
        <f t="shared" si="120"/>
        <v>#VALUE!</v>
      </c>
      <c r="W157" s="10" t="str">
        <f t="shared" si="138"/>
        <v>-</v>
      </c>
      <c r="X157" s="10" t="str">
        <f t="shared" si="139"/>
        <v>-</v>
      </c>
      <c r="Y157" s="13" t="str">
        <f t="shared" si="121"/>
        <v>-</v>
      </c>
      <c r="Z157" s="9" t="str">
        <f t="shared" si="140"/>
        <v>-</v>
      </c>
      <c r="AA157" s="16" t="str">
        <f t="shared" si="122"/>
        <v>-</v>
      </c>
      <c r="AB157" s="16" t="str">
        <f t="shared" si="141"/>
        <v>-</v>
      </c>
      <c r="AC157" s="16" t="str">
        <f t="shared" si="142"/>
        <v>-</v>
      </c>
      <c r="AD157" s="16" t="str">
        <f t="shared" si="123"/>
        <v>-</v>
      </c>
      <c r="AE157" s="16"/>
      <c r="AF157" s="31" t="str">
        <f>IFERROR(INDEX(Supermarket!$P$11:$P$170,MATCH('Calculations - Supermarket'!C157,Supermarket!$M$11:$M$170,0)),"")</f>
        <v/>
      </c>
      <c r="AG157" s="23" t="str">
        <f t="shared" si="124"/>
        <v/>
      </c>
      <c r="AH157" s="23" t="str">
        <f t="shared" si="125"/>
        <v/>
      </c>
      <c r="AI157" s="9" t="str">
        <f t="shared" si="143"/>
        <v/>
      </c>
      <c r="AJ157" s="4" t="str">
        <f t="shared" si="144"/>
        <v/>
      </c>
      <c r="AK157" s="4"/>
      <c r="AL157" s="4"/>
      <c r="AM157" s="4"/>
      <c r="AN157" s="4"/>
      <c r="AO157" s="4"/>
      <c r="AP157" s="20" t="str">
        <f t="shared" si="145"/>
        <v>-</v>
      </c>
      <c r="AQ157" s="13" t="str">
        <f t="shared" si="126"/>
        <v>-</v>
      </c>
      <c r="AR157" s="13" t="str">
        <f t="shared" si="127"/>
        <v>-</v>
      </c>
      <c r="AS157" s="13" t="str">
        <f t="shared" si="146"/>
        <v>-</v>
      </c>
      <c r="AT157" s="16" t="str">
        <f t="shared" si="128"/>
        <v>-</v>
      </c>
      <c r="AU157" s="16" t="str">
        <f t="shared" si="147"/>
        <v>-</v>
      </c>
      <c r="AV157" s="16" t="str">
        <f t="shared" si="148"/>
        <v>-</v>
      </c>
      <c r="AW157" s="16" t="str">
        <f t="shared" si="129"/>
        <v>-</v>
      </c>
      <c r="AX157" s="13" t="str">
        <f t="shared" si="130"/>
        <v>-</v>
      </c>
      <c r="AY157" s="10" t="str">
        <f t="shared" si="131"/>
        <v>-</v>
      </c>
      <c r="AZ157" s="9" t="str">
        <f t="shared" si="132"/>
        <v>-</v>
      </c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</row>
    <row r="158" spans="2:68" x14ac:dyDescent="0.3">
      <c r="B158" s="108" t="str">
        <f t="shared" si="116"/>
        <v/>
      </c>
      <c r="C158" s="108" t="str">
        <f t="shared" si="133"/>
        <v/>
      </c>
      <c r="D158" s="3"/>
      <c r="E158" s="3"/>
      <c r="F158" s="3"/>
      <c r="G158" s="20">
        <f>IFERROR(INDEX('Input - Supermarket'!F$2:F$200,MATCH('Calculations - Supermarket'!$C158,'Input - Supermarket'!$B$2:$B$200,0)),"")</f>
        <v>0</v>
      </c>
      <c r="H158" s="20">
        <f>IFERROR(INDEX('Input - Supermarket'!G$2:G$200,MATCH('Calculations - Supermarket'!$C158,'Input - Supermarket'!$B$2:$B$200,0)),"")</f>
        <v>0</v>
      </c>
      <c r="I158" s="21">
        <f>IFERROR(INDEX('Input - Supermarket'!H$2:H$200,MATCH('Calculations - Supermarket'!$C158,'Input - Supermarket'!$B$2:$B$200,0)),"")</f>
        <v>0</v>
      </c>
      <c r="J158" s="21">
        <f>IFERROR(INDEX('Input - Supermarket'!I$2:I$200,MATCH('Calculations - Supermarket'!$C158,'Input - Supermarket'!$B$2:$B$200,0)),"")</f>
        <v>0</v>
      </c>
      <c r="K158" s="20">
        <f>IFERROR(INDEX('Input - Supermarket'!J$2:J$200,MATCH('Calculations - Supermarket'!$C158,'Input - Supermarket'!$B$2:$B$200,0)),"")</f>
        <v>0</v>
      </c>
      <c r="L158" s="20">
        <f>IFERROR(INDEX('Input - Supermarket'!K$2:K$200,MATCH('Calculations - Supermarket'!$C158,'Input - Supermarket'!$B$2:$B$200,0)),"")</f>
        <v>0</v>
      </c>
      <c r="M158" s="21" t="str">
        <f t="shared" si="117"/>
        <v/>
      </c>
      <c r="N158" s="21" t="str">
        <f t="shared" si="134"/>
        <v/>
      </c>
      <c r="O158" s="21">
        <f t="shared" si="118"/>
        <v>0</v>
      </c>
      <c r="P158" s="9">
        <f t="shared" si="135"/>
        <v>0</v>
      </c>
      <c r="Q158" s="9">
        <f t="shared" si="136"/>
        <v>0</v>
      </c>
      <c r="R158" s="22" t="str">
        <f>IFERROR(INDEX(Supermarket!$Q$11:$Q$170,MATCH('Calculations - Supermarket'!$C158,Supermarket!$M$11:$M$170,0)),"")</f>
        <v/>
      </c>
      <c r="S158" s="22" t="str">
        <f>IFERROR(INDEX(Supermarket!$R$11:$R$170,MATCH('Calculations - Supermarket'!$C158,Supermarket!$M$11:$M$170,0)),"")</f>
        <v/>
      </c>
      <c r="T158" s="16" t="e">
        <f t="shared" si="137"/>
        <v>#VALUE!</v>
      </c>
      <c r="U158" s="16" t="e">
        <f t="shared" si="119"/>
        <v>#VALUE!</v>
      </c>
      <c r="V158" s="16" t="e">
        <f t="shared" si="120"/>
        <v>#VALUE!</v>
      </c>
      <c r="W158" s="10" t="str">
        <f t="shared" si="138"/>
        <v>-</v>
      </c>
      <c r="X158" s="10" t="str">
        <f t="shared" si="139"/>
        <v>-</v>
      </c>
      <c r="Y158" s="13" t="str">
        <f t="shared" si="121"/>
        <v>-</v>
      </c>
      <c r="Z158" s="9" t="str">
        <f t="shared" si="140"/>
        <v>-</v>
      </c>
      <c r="AA158" s="16" t="str">
        <f t="shared" si="122"/>
        <v>-</v>
      </c>
      <c r="AB158" s="16" t="str">
        <f t="shared" si="141"/>
        <v>-</v>
      </c>
      <c r="AC158" s="16" t="str">
        <f t="shared" si="142"/>
        <v>-</v>
      </c>
      <c r="AD158" s="16" t="str">
        <f t="shared" si="123"/>
        <v>-</v>
      </c>
      <c r="AE158" s="16"/>
      <c r="AF158" s="31" t="str">
        <f>IFERROR(INDEX(Supermarket!$P$11:$P$170,MATCH('Calculations - Supermarket'!C158,Supermarket!$M$11:$M$170,0)),"")</f>
        <v/>
      </c>
      <c r="AG158" s="23" t="str">
        <f t="shared" si="124"/>
        <v/>
      </c>
      <c r="AH158" s="23" t="str">
        <f t="shared" si="125"/>
        <v/>
      </c>
      <c r="AI158" s="9" t="str">
        <f t="shared" si="143"/>
        <v/>
      </c>
      <c r="AJ158" s="4" t="str">
        <f t="shared" si="144"/>
        <v/>
      </c>
      <c r="AK158" s="4"/>
      <c r="AL158" s="4"/>
      <c r="AM158" s="4"/>
      <c r="AN158" s="4"/>
      <c r="AO158" s="4"/>
      <c r="AP158" s="20" t="str">
        <f t="shared" si="145"/>
        <v>-</v>
      </c>
      <c r="AQ158" s="13" t="str">
        <f t="shared" si="126"/>
        <v>-</v>
      </c>
      <c r="AR158" s="13" t="str">
        <f t="shared" si="127"/>
        <v>-</v>
      </c>
      <c r="AS158" s="13" t="str">
        <f t="shared" si="146"/>
        <v>-</v>
      </c>
      <c r="AT158" s="16" t="str">
        <f t="shared" si="128"/>
        <v>-</v>
      </c>
      <c r="AU158" s="16" t="str">
        <f t="shared" si="147"/>
        <v>-</v>
      </c>
      <c r="AV158" s="16" t="str">
        <f t="shared" si="148"/>
        <v>-</v>
      </c>
      <c r="AW158" s="16" t="str">
        <f t="shared" si="129"/>
        <v>-</v>
      </c>
      <c r="AX158" s="13" t="str">
        <f t="shared" si="130"/>
        <v>-</v>
      </c>
      <c r="AY158" s="10" t="str">
        <f t="shared" si="131"/>
        <v>-</v>
      </c>
      <c r="AZ158" s="9" t="str">
        <f t="shared" si="132"/>
        <v>-</v>
      </c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</row>
    <row r="159" spans="2:68" x14ac:dyDescent="0.3">
      <c r="B159" s="108" t="str">
        <f t="shared" si="116"/>
        <v/>
      </c>
      <c r="C159" s="108" t="str">
        <f t="shared" si="133"/>
        <v/>
      </c>
      <c r="D159" s="3"/>
      <c r="E159" s="3"/>
      <c r="F159" s="3"/>
      <c r="G159" s="20">
        <f>IFERROR(INDEX('Input - Supermarket'!F$2:F$200,MATCH('Calculations - Supermarket'!$C159,'Input - Supermarket'!$B$2:$B$200,0)),"")</f>
        <v>0</v>
      </c>
      <c r="H159" s="20">
        <f>IFERROR(INDEX('Input - Supermarket'!G$2:G$200,MATCH('Calculations - Supermarket'!$C159,'Input - Supermarket'!$B$2:$B$200,0)),"")</f>
        <v>0</v>
      </c>
      <c r="I159" s="21">
        <f>IFERROR(INDEX('Input - Supermarket'!H$2:H$200,MATCH('Calculations - Supermarket'!$C159,'Input - Supermarket'!$B$2:$B$200,0)),"")</f>
        <v>0</v>
      </c>
      <c r="J159" s="21">
        <f>IFERROR(INDEX('Input - Supermarket'!I$2:I$200,MATCH('Calculations - Supermarket'!$C159,'Input - Supermarket'!$B$2:$B$200,0)),"")</f>
        <v>0</v>
      </c>
      <c r="K159" s="20">
        <f>IFERROR(INDEX('Input - Supermarket'!J$2:J$200,MATCH('Calculations - Supermarket'!$C159,'Input - Supermarket'!$B$2:$B$200,0)),"")</f>
        <v>0</v>
      </c>
      <c r="L159" s="20">
        <f>IFERROR(INDEX('Input - Supermarket'!K$2:K$200,MATCH('Calculations - Supermarket'!$C159,'Input - Supermarket'!$B$2:$B$200,0)),"")</f>
        <v>0</v>
      </c>
      <c r="M159" s="21" t="str">
        <f t="shared" si="117"/>
        <v/>
      </c>
      <c r="N159" s="21" t="str">
        <f t="shared" si="134"/>
        <v/>
      </c>
      <c r="O159" s="21">
        <f t="shared" si="118"/>
        <v>0</v>
      </c>
      <c r="P159" s="9">
        <f t="shared" si="135"/>
        <v>0</v>
      </c>
      <c r="Q159" s="9">
        <f t="shared" si="136"/>
        <v>0</v>
      </c>
      <c r="R159" s="22" t="str">
        <f>IFERROR(INDEX(Supermarket!$Q$11:$Q$170,MATCH('Calculations - Supermarket'!$C159,Supermarket!$M$11:$M$170,0)),"")</f>
        <v/>
      </c>
      <c r="S159" s="22" t="str">
        <f>IFERROR(INDEX(Supermarket!$R$11:$R$170,MATCH('Calculations - Supermarket'!$C159,Supermarket!$M$11:$M$170,0)),"")</f>
        <v/>
      </c>
      <c r="T159" s="16" t="e">
        <f t="shared" si="137"/>
        <v>#VALUE!</v>
      </c>
      <c r="U159" s="16" t="e">
        <f t="shared" si="119"/>
        <v>#VALUE!</v>
      </c>
      <c r="V159" s="16" t="e">
        <f t="shared" si="120"/>
        <v>#VALUE!</v>
      </c>
      <c r="W159" s="10" t="str">
        <f t="shared" si="138"/>
        <v>-</v>
      </c>
      <c r="X159" s="10" t="str">
        <f t="shared" si="139"/>
        <v>-</v>
      </c>
      <c r="Y159" s="13" t="str">
        <f t="shared" si="121"/>
        <v>-</v>
      </c>
      <c r="Z159" s="9" t="str">
        <f t="shared" si="140"/>
        <v>-</v>
      </c>
      <c r="AA159" s="16" t="str">
        <f t="shared" si="122"/>
        <v>-</v>
      </c>
      <c r="AB159" s="16" t="str">
        <f t="shared" si="141"/>
        <v>-</v>
      </c>
      <c r="AC159" s="16" t="str">
        <f t="shared" si="142"/>
        <v>-</v>
      </c>
      <c r="AD159" s="16" t="str">
        <f t="shared" si="123"/>
        <v>-</v>
      </c>
      <c r="AE159" s="16"/>
      <c r="AF159" s="31" t="str">
        <f>IFERROR(INDEX(Supermarket!$P$11:$P$170,MATCH('Calculations - Supermarket'!C159,Supermarket!$M$11:$M$170,0)),"")</f>
        <v/>
      </c>
      <c r="AG159" s="23" t="str">
        <f t="shared" si="124"/>
        <v/>
      </c>
      <c r="AH159" s="23" t="str">
        <f t="shared" si="125"/>
        <v/>
      </c>
      <c r="AI159" s="9" t="str">
        <f t="shared" si="143"/>
        <v/>
      </c>
      <c r="AJ159" s="4" t="str">
        <f t="shared" si="144"/>
        <v/>
      </c>
      <c r="AK159" s="4"/>
      <c r="AL159" s="4"/>
      <c r="AM159" s="4"/>
      <c r="AN159" s="4"/>
      <c r="AO159" s="4"/>
      <c r="AP159" s="20" t="str">
        <f t="shared" si="145"/>
        <v>-</v>
      </c>
      <c r="AQ159" s="13" t="str">
        <f t="shared" si="126"/>
        <v>-</v>
      </c>
      <c r="AR159" s="13" t="str">
        <f t="shared" si="127"/>
        <v>-</v>
      </c>
      <c r="AS159" s="13" t="str">
        <f t="shared" si="146"/>
        <v>-</v>
      </c>
      <c r="AT159" s="16" t="str">
        <f t="shared" si="128"/>
        <v>-</v>
      </c>
      <c r="AU159" s="16" t="str">
        <f t="shared" si="147"/>
        <v>-</v>
      </c>
      <c r="AV159" s="16" t="str">
        <f t="shared" si="148"/>
        <v>-</v>
      </c>
      <c r="AW159" s="16" t="str">
        <f t="shared" si="129"/>
        <v>-</v>
      </c>
      <c r="AX159" s="13" t="str">
        <f t="shared" si="130"/>
        <v>-</v>
      </c>
      <c r="AY159" s="10" t="str">
        <f t="shared" si="131"/>
        <v>-</v>
      </c>
      <c r="AZ159" s="9" t="str">
        <f t="shared" si="132"/>
        <v>-</v>
      </c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</row>
    <row r="160" spans="2:68" x14ac:dyDescent="0.3">
      <c r="B160" s="108" t="str">
        <f t="shared" si="116"/>
        <v/>
      </c>
      <c r="C160" s="108" t="str">
        <f t="shared" ref="C160:C191" si="149">IFERROR(D160&amp;E160&amp;F160,"")</f>
        <v/>
      </c>
      <c r="D160" s="3"/>
      <c r="E160" s="3"/>
      <c r="F160" s="3"/>
      <c r="G160" s="20">
        <f>IFERROR(INDEX('Input - Supermarket'!F$2:F$200,MATCH('Calculations - Supermarket'!$C160,'Input - Supermarket'!$B$2:$B$200,0)),"")</f>
        <v>0</v>
      </c>
      <c r="H160" s="20">
        <f>IFERROR(INDEX('Input - Supermarket'!G$2:G$200,MATCH('Calculations - Supermarket'!$C160,'Input - Supermarket'!$B$2:$B$200,0)),"")</f>
        <v>0</v>
      </c>
      <c r="I160" s="21">
        <f>IFERROR(INDEX('Input - Supermarket'!H$2:H$200,MATCH('Calculations - Supermarket'!$C160,'Input - Supermarket'!$B$2:$B$200,0)),"")</f>
        <v>0</v>
      </c>
      <c r="J160" s="21">
        <f>IFERROR(INDEX('Input - Supermarket'!I$2:I$200,MATCH('Calculations - Supermarket'!$C160,'Input - Supermarket'!$B$2:$B$200,0)),"")</f>
        <v>0</v>
      </c>
      <c r="K160" s="20">
        <f>IFERROR(INDEX('Input - Supermarket'!J$2:J$200,MATCH('Calculations - Supermarket'!$C160,'Input - Supermarket'!$B$2:$B$200,0)),"")</f>
        <v>0</v>
      </c>
      <c r="L160" s="20">
        <f>IFERROR(INDEX('Input - Supermarket'!K$2:K$200,MATCH('Calculations - Supermarket'!$C160,'Input - Supermarket'!$B$2:$B$200,0)),"")</f>
        <v>0</v>
      </c>
      <c r="M160" s="21" t="str">
        <f t="shared" si="117"/>
        <v/>
      </c>
      <c r="N160" s="21" t="str">
        <f t="shared" ref="N160:N191" si="150">IFERROR(K160/L160,"")</f>
        <v/>
      </c>
      <c r="O160" s="21">
        <f t="shared" si="118"/>
        <v>0</v>
      </c>
      <c r="P160" s="9">
        <f t="shared" ref="P160:P191" si="151">G160/SUM(G$32:G$229)</f>
        <v>0</v>
      </c>
      <c r="Q160" s="9">
        <f t="shared" ref="Q160:Q191" si="152">H160/SUM(H$32:H$229)</f>
        <v>0</v>
      </c>
      <c r="R160" s="22" t="str">
        <f>IFERROR(INDEX(Supermarket!$Q$11:$Q$170,MATCH('Calculations - Supermarket'!$C160,Supermarket!$M$11:$M$170,0)),"")</f>
        <v/>
      </c>
      <c r="S160" s="22" t="str">
        <f>IFERROR(INDEX(Supermarket!$R$11:$R$170,MATCH('Calculations - Supermarket'!$C160,Supermarket!$M$11:$M$170,0)),"")</f>
        <v/>
      </c>
      <c r="T160" s="16" t="e">
        <f t="shared" ref="T160:T191" si="153">R160*G160</f>
        <v>#VALUE!</v>
      </c>
      <c r="U160" s="16" t="e">
        <f t="shared" si="119"/>
        <v>#VALUE!</v>
      </c>
      <c r="V160" s="16" t="e">
        <f t="shared" si="120"/>
        <v>#VALUE!</v>
      </c>
      <c r="W160" s="10" t="str">
        <f t="shared" ref="W160:W191" si="154">IFERROR(V160/H160,"-")</f>
        <v>-</v>
      </c>
      <c r="X160" s="10" t="str">
        <f t="shared" ref="X160:X191" si="155">IFERROR((J160+M160)*H160*0.5,"-")</f>
        <v>-</v>
      </c>
      <c r="Y160" s="13" t="str">
        <f t="shared" si="121"/>
        <v>-</v>
      </c>
      <c r="Z160" s="9" t="str">
        <f t="shared" ref="Z160:Z191" si="156">IFERROR(Y160-P160,"-")</f>
        <v>-</v>
      </c>
      <c r="AA160" s="16" t="str">
        <f t="shared" si="122"/>
        <v>-</v>
      </c>
      <c r="AB160" s="16" t="str">
        <f t="shared" ref="AB160:AB191" si="157">IFERROR(AA160/M160,"-")</f>
        <v>-</v>
      </c>
      <c r="AC160" s="16" t="str">
        <f t="shared" ref="AC160:AC191" si="158">IFERROR(R160*AA160,"-")</f>
        <v>-</v>
      </c>
      <c r="AD160" s="16" t="str">
        <f t="shared" si="123"/>
        <v>-</v>
      </c>
      <c r="AE160" s="16"/>
      <c r="AF160" s="31" t="str">
        <f>IFERROR(INDEX(Supermarket!$P$11:$P$170,MATCH('Calculations - Supermarket'!C160,Supermarket!$M$11:$M$170,0)),"")</f>
        <v/>
      </c>
      <c r="AG160" s="23" t="str">
        <f t="shared" si="124"/>
        <v/>
      </c>
      <c r="AH160" s="23" t="str">
        <f t="shared" si="125"/>
        <v/>
      </c>
      <c r="AI160" s="9" t="str">
        <f t="shared" ref="AI160:AI191" si="159">IFERROR((AF160-M160)/M160,"")</f>
        <v/>
      </c>
      <c r="AJ160" s="4" t="str">
        <f t="shared" ref="AJ160:AJ191" si="160">IFERROR(MAX((1+AI160*O160/5)*H160,0),"")</f>
        <v/>
      </c>
      <c r="AK160" s="4"/>
      <c r="AL160" s="4"/>
      <c r="AM160" s="4"/>
      <c r="AN160" s="4"/>
      <c r="AO160" s="4"/>
      <c r="AP160" s="20" t="str">
        <f t="shared" ref="AP160:AP191" si="161">IFERROR(0.5*(J160+AF160)*AJ160,"-")</f>
        <v>-</v>
      </c>
      <c r="AQ160" s="13" t="str">
        <f t="shared" si="126"/>
        <v>-</v>
      </c>
      <c r="AR160" s="13" t="str">
        <f t="shared" si="127"/>
        <v>-</v>
      </c>
      <c r="AS160" s="13" t="str">
        <f t="shared" ref="AS160:AS191" si="162">IFERROR(AR160-P160,"-")</f>
        <v>-</v>
      </c>
      <c r="AT160" s="16" t="str">
        <f t="shared" si="128"/>
        <v>-</v>
      </c>
      <c r="AU160" s="16" t="str">
        <f t="shared" ref="AU160:AU191" si="163">IFERROR(AT160/AF160,"-")</f>
        <v>-</v>
      </c>
      <c r="AV160" s="16" t="str">
        <f t="shared" ref="AV160:AV191" si="164">IFERROR(AG160*AT160,"-")</f>
        <v>-</v>
      </c>
      <c r="AW160" s="16" t="str">
        <f t="shared" si="129"/>
        <v>-</v>
      </c>
      <c r="AX160" s="13" t="str">
        <f t="shared" si="130"/>
        <v>-</v>
      </c>
      <c r="AY160" s="10" t="str">
        <f t="shared" si="131"/>
        <v>-</v>
      </c>
      <c r="AZ160" s="9" t="str">
        <f t="shared" si="132"/>
        <v>-</v>
      </c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</row>
    <row r="161" spans="2:68" x14ac:dyDescent="0.3">
      <c r="B161" s="108" t="str">
        <f t="shared" ref="B161:B224" si="165">IFERROR(D161&amp;E161,"")</f>
        <v/>
      </c>
      <c r="C161" s="108" t="str">
        <f t="shared" si="149"/>
        <v/>
      </c>
      <c r="D161" s="3"/>
      <c r="E161" s="3"/>
      <c r="F161" s="3"/>
      <c r="G161" s="20">
        <f>IFERROR(INDEX('Input - Supermarket'!F$2:F$200,MATCH('Calculations - Supermarket'!$C161,'Input - Supermarket'!$B$2:$B$200,0)),"")</f>
        <v>0</v>
      </c>
      <c r="H161" s="20">
        <f>IFERROR(INDEX('Input - Supermarket'!G$2:G$200,MATCH('Calculations - Supermarket'!$C161,'Input - Supermarket'!$B$2:$B$200,0)),"")</f>
        <v>0</v>
      </c>
      <c r="I161" s="21">
        <f>IFERROR(INDEX('Input - Supermarket'!H$2:H$200,MATCH('Calculations - Supermarket'!$C161,'Input - Supermarket'!$B$2:$B$200,0)),"")</f>
        <v>0</v>
      </c>
      <c r="J161" s="21">
        <f>IFERROR(INDEX('Input - Supermarket'!I$2:I$200,MATCH('Calculations - Supermarket'!$C161,'Input - Supermarket'!$B$2:$B$200,0)),"")</f>
        <v>0</v>
      </c>
      <c r="K161" s="20">
        <f>IFERROR(INDEX('Input - Supermarket'!J$2:J$200,MATCH('Calculations - Supermarket'!$C161,'Input - Supermarket'!$B$2:$B$200,0)),"")</f>
        <v>0</v>
      </c>
      <c r="L161" s="20">
        <f>IFERROR(INDEX('Input - Supermarket'!K$2:K$200,MATCH('Calculations - Supermarket'!$C161,'Input - Supermarket'!$B$2:$B$200,0)),"")</f>
        <v>0</v>
      </c>
      <c r="M161" s="21" t="str">
        <f t="shared" ref="M161:M224" si="166">IFERROR(G161/H161,"")</f>
        <v/>
      </c>
      <c r="N161" s="21" t="str">
        <f t="shared" si="150"/>
        <v/>
      </c>
      <c r="O161" s="21">
        <f t="shared" ref="O161:O224" si="167">IFERROR((M161/(M161-J161)*5),0)</f>
        <v>0</v>
      </c>
      <c r="P161" s="9">
        <f t="shared" si="151"/>
        <v>0</v>
      </c>
      <c r="Q161" s="9">
        <f t="shared" si="152"/>
        <v>0</v>
      </c>
      <c r="R161" s="22" t="str">
        <f>IFERROR(INDEX(Supermarket!$Q$11:$Q$170,MATCH('Calculations - Supermarket'!$C161,Supermarket!$M$11:$M$170,0)),"")</f>
        <v/>
      </c>
      <c r="S161" s="22" t="str">
        <f>IFERROR(INDEX(Supermarket!$R$11:$R$170,MATCH('Calculations - Supermarket'!$C161,Supermarket!$M$11:$M$170,0)),"")</f>
        <v/>
      </c>
      <c r="T161" s="16" t="e">
        <f t="shared" si="153"/>
        <v>#VALUE!</v>
      </c>
      <c r="U161" s="16" t="e">
        <f t="shared" ref="U161:U224" si="168">S161*T161</f>
        <v>#VALUE!</v>
      </c>
      <c r="V161" s="16" t="e">
        <f t="shared" ref="V161:V224" si="169">T161-U161</f>
        <v>#VALUE!</v>
      </c>
      <c r="W161" s="10" t="str">
        <f t="shared" si="154"/>
        <v>-</v>
      </c>
      <c r="X161" s="10" t="str">
        <f t="shared" si="155"/>
        <v>-</v>
      </c>
      <c r="Y161" s="13" t="str">
        <f t="shared" ref="Y161:Y224" si="170">IFERROR(X161/$X$30,"-")</f>
        <v>-</v>
      </c>
      <c r="Z161" s="9" t="str">
        <f t="shared" si="156"/>
        <v>-</v>
      </c>
      <c r="AA161" s="16" t="str">
        <f t="shared" ref="AA161:AA224" si="171">IFERROR(Y161*$G$30,"-")</f>
        <v>-</v>
      </c>
      <c r="AB161" s="16" t="str">
        <f t="shared" si="157"/>
        <v>-</v>
      </c>
      <c r="AC161" s="16" t="str">
        <f t="shared" si="158"/>
        <v>-</v>
      </c>
      <c r="AD161" s="16" t="str">
        <f t="shared" ref="AD161:AD224" si="172">IFERROR(AC161-(W161)*AB161,"-")</f>
        <v>-</v>
      </c>
      <c r="AE161" s="16"/>
      <c r="AF161" s="31" t="str">
        <f>IFERROR(INDEX(Supermarket!$P$11:$P$170,MATCH('Calculations - Supermarket'!C161,Supermarket!$M$11:$M$170,0)),"")</f>
        <v/>
      </c>
      <c r="AG161" s="23" t="str">
        <f t="shared" ref="AG161:AG224" si="173">R161</f>
        <v/>
      </c>
      <c r="AH161" s="23" t="str">
        <f t="shared" ref="AH161:AH224" si="174">S161</f>
        <v/>
      </c>
      <c r="AI161" s="9" t="str">
        <f t="shared" si="159"/>
        <v/>
      </c>
      <c r="AJ161" s="4" t="str">
        <f t="shared" si="160"/>
        <v/>
      </c>
      <c r="AK161" s="4"/>
      <c r="AL161" s="4"/>
      <c r="AM161" s="4"/>
      <c r="AN161" s="4"/>
      <c r="AO161" s="4"/>
      <c r="AP161" s="20" t="str">
        <f t="shared" si="161"/>
        <v>-</v>
      </c>
      <c r="AQ161" s="13" t="str">
        <f t="shared" ref="AQ161:AQ224" si="175">IFERROR(AP161/AP$30,"-")</f>
        <v>-</v>
      </c>
      <c r="AR161" s="13" t="str">
        <f t="shared" ref="AR161:AR224" si="176">IFERROR(AQ161*$P$30,"-")</f>
        <v>-</v>
      </c>
      <c r="AS161" s="13" t="str">
        <f t="shared" si="162"/>
        <v>-</v>
      </c>
      <c r="AT161" s="16" t="str">
        <f t="shared" ref="AT161:AT224" si="177">IFERROR(AR161*AO$32,"-")</f>
        <v>-</v>
      </c>
      <c r="AU161" s="16" t="str">
        <f t="shared" si="163"/>
        <v>-</v>
      </c>
      <c r="AV161" s="16" t="str">
        <f t="shared" si="164"/>
        <v>-</v>
      </c>
      <c r="AW161" s="16" t="str">
        <f t="shared" ref="AW161:AW224" si="178">IFERROR(AV161-(W161*AU161),"-")</f>
        <v>-</v>
      </c>
      <c r="AX161" s="13" t="str">
        <f t="shared" ref="AX161:AX224" si="179">IFERROR(AU161/SUMIFS($AU$32:$AU$229,$B$32:$B$229,$B161),"-")</f>
        <v>-</v>
      </c>
      <c r="AY161" s="10" t="str">
        <f t="shared" ref="AY161:AY224" si="180">IFERROR(AX161*INDEX($AU$4:$AU$24,MATCH($B161,$D$4:$D$24,0)),"-")</f>
        <v>-</v>
      </c>
      <c r="AZ161" s="9" t="str">
        <f t="shared" ref="AZ161:AZ224" si="181">IFERROR(AY161/SUM($AY$32:$AY$229),"-")</f>
        <v>-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</row>
    <row r="162" spans="2:68" x14ac:dyDescent="0.3">
      <c r="B162" s="108" t="str">
        <f t="shared" si="165"/>
        <v/>
      </c>
      <c r="C162" s="108" t="str">
        <f t="shared" si="149"/>
        <v/>
      </c>
      <c r="D162" s="3"/>
      <c r="E162" s="3"/>
      <c r="F162" s="3"/>
      <c r="G162" s="20">
        <f>IFERROR(INDEX('Input - Supermarket'!F$2:F$200,MATCH('Calculations - Supermarket'!$C162,'Input - Supermarket'!$B$2:$B$200,0)),"")</f>
        <v>0</v>
      </c>
      <c r="H162" s="20">
        <f>IFERROR(INDEX('Input - Supermarket'!G$2:G$200,MATCH('Calculations - Supermarket'!$C162,'Input - Supermarket'!$B$2:$B$200,0)),"")</f>
        <v>0</v>
      </c>
      <c r="I162" s="21">
        <f>IFERROR(INDEX('Input - Supermarket'!H$2:H$200,MATCH('Calculations - Supermarket'!$C162,'Input - Supermarket'!$B$2:$B$200,0)),"")</f>
        <v>0</v>
      </c>
      <c r="J162" s="21">
        <f>IFERROR(INDEX('Input - Supermarket'!I$2:I$200,MATCH('Calculations - Supermarket'!$C162,'Input - Supermarket'!$B$2:$B$200,0)),"")</f>
        <v>0</v>
      </c>
      <c r="K162" s="20">
        <f>IFERROR(INDEX('Input - Supermarket'!J$2:J$200,MATCH('Calculations - Supermarket'!$C162,'Input - Supermarket'!$B$2:$B$200,0)),"")</f>
        <v>0</v>
      </c>
      <c r="L162" s="20">
        <f>IFERROR(INDEX('Input - Supermarket'!K$2:K$200,MATCH('Calculations - Supermarket'!$C162,'Input - Supermarket'!$B$2:$B$200,0)),"")</f>
        <v>0</v>
      </c>
      <c r="M162" s="21" t="str">
        <f t="shared" si="166"/>
        <v/>
      </c>
      <c r="N162" s="21" t="str">
        <f t="shared" si="150"/>
        <v/>
      </c>
      <c r="O162" s="21">
        <f t="shared" si="167"/>
        <v>0</v>
      </c>
      <c r="P162" s="9">
        <f t="shared" si="151"/>
        <v>0</v>
      </c>
      <c r="Q162" s="9">
        <f t="shared" si="152"/>
        <v>0</v>
      </c>
      <c r="R162" s="22" t="str">
        <f>IFERROR(INDEX(Supermarket!$Q$11:$Q$170,MATCH('Calculations - Supermarket'!$C162,Supermarket!$M$11:$M$170,0)),"")</f>
        <v/>
      </c>
      <c r="S162" s="22" t="str">
        <f>IFERROR(INDEX(Supermarket!$R$11:$R$170,MATCH('Calculations - Supermarket'!$C162,Supermarket!$M$11:$M$170,0)),"")</f>
        <v/>
      </c>
      <c r="T162" s="16" t="e">
        <f t="shared" si="153"/>
        <v>#VALUE!</v>
      </c>
      <c r="U162" s="16" t="e">
        <f t="shared" si="168"/>
        <v>#VALUE!</v>
      </c>
      <c r="V162" s="16" t="e">
        <f t="shared" si="169"/>
        <v>#VALUE!</v>
      </c>
      <c r="W162" s="10" t="str">
        <f t="shared" si="154"/>
        <v>-</v>
      </c>
      <c r="X162" s="10" t="str">
        <f t="shared" si="155"/>
        <v>-</v>
      </c>
      <c r="Y162" s="13" t="str">
        <f t="shared" si="170"/>
        <v>-</v>
      </c>
      <c r="Z162" s="9" t="str">
        <f t="shared" si="156"/>
        <v>-</v>
      </c>
      <c r="AA162" s="16" t="str">
        <f t="shared" si="171"/>
        <v>-</v>
      </c>
      <c r="AB162" s="16" t="str">
        <f t="shared" si="157"/>
        <v>-</v>
      </c>
      <c r="AC162" s="16" t="str">
        <f t="shared" si="158"/>
        <v>-</v>
      </c>
      <c r="AD162" s="16" t="str">
        <f t="shared" si="172"/>
        <v>-</v>
      </c>
      <c r="AE162" s="16"/>
      <c r="AF162" s="31" t="str">
        <f>IFERROR(INDEX(Supermarket!$P$11:$P$170,MATCH('Calculations - Supermarket'!C162,Supermarket!$M$11:$M$170,0)),"")</f>
        <v/>
      </c>
      <c r="AG162" s="23" t="str">
        <f t="shared" si="173"/>
        <v/>
      </c>
      <c r="AH162" s="23" t="str">
        <f t="shared" si="174"/>
        <v/>
      </c>
      <c r="AI162" s="9" t="str">
        <f t="shared" si="159"/>
        <v/>
      </c>
      <c r="AJ162" s="4" t="str">
        <f t="shared" si="160"/>
        <v/>
      </c>
      <c r="AK162" s="4"/>
      <c r="AL162" s="4"/>
      <c r="AM162" s="4"/>
      <c r="AN162" s="4"/>
      <c r="AO162" s="4"/>
      <c r="AP162" s="20" t="str">
        <f t="shared" si="161"/>
        <v>-</v>
      </c>
      <c r="AQ162" s="13" t="str">
        <f t="shared" si="175"/>
        <v>-</v>
      </c>
      <c r="AR162" s="13" t="str">
        <f t="shared" si="176"/>
        <v>-</v>
      </c>
      <c r="AS162" s="13" t="str">
        <f t="shared" si="162"/>
        <v>-</v>
      </c>
      <c r="AT162" s="16" t="str">
        <f t="shared" si="177"/>
        <v>-</v>
      </c>
      <c r="AU162" s="16" t="str">
        <f t="shared" si="163"/>
        <v>-</v>
      </c>
      <c r="AV162" s="16" t="str">
        <f t="shared" si="164"/>
        <v>-</v>
      </c>
      <c r="AW162" s="16" t="str">
        <f t="shared" si="178"/>
        <v>-</v>
      </c>
      <c r="AX162" s="13" t="str">
        <f t="shared" si="179"/>
        <v>-</v>
      </c>
      <c r="AY162" s="10" t="str">
        <f t="shared" si="180"/>
        <v>-</v>
      </c>
      <c r="AZ162" s="9" t="str">
        <f t="shared" si="181"/>
        <v>-</v>
      </c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</row>
    <row r="163" spans="2:68" x14ac:dyDescent="0.3">
      <c r="B163" s="108" t="str">
        <f t="shared" si="165"/>
        <v/>
      </c>
      <c r="C163" s="108" t="str">
        <f t="shared" si="149"/>
        <v/>
      </c>
      <c r="D163" s="3"/>
      <c r="E163" s="3"/>
      <c r="F163" s="3"/>
      <c r="G163" s="20">
        <f>IFERROR(INDEX('Input - Supermarket'!F$2:F$200,MATCH('Calculations - Supermarket'!$C163,'Input - Supermarket'!$B$2:$B$200,0)),"")</f>
        <v>0</v>
      </c>
      <c r="H163" s="20">
        <f>IFERROR(INDEX('Input - Supermarket'!G$2:G$200,MATCH('Calculations - Supermarket'!$C163,'Input - Supermarket'!$B$2:$B$200,0)),"")</f>
        <v>0</v>
      </c>
      <c r="I163" s="21">
        <f>IFERROR(INDEX('Input - Supermarket'!H$2:H$200,MATCH('Calculations - Supermarket'!$C163,'Input - Supermarket'!$B$2:$B$200,0)),"")</f>
        <v>0</v>
      </c>
      <c r="J163" s="21">
        <f>IFERROR(INDEX('Input - Supermarket'!I$2:I$200,MATCH('Calculations - Supermarket'!$C163,'Input - Supermarket'!$B$2:$B$200,0)),"")</f>
        <v>0</v>
      </c>
      <c r="K163" s="20">
        <f>IFERROR(INDEX('Input - Supermarket'!J$2:J$200,MATCH('Calculations - Supermarket'!$C163,'Input - Supermarket'!$B$2:$B$200,0)),"")</f>
        <v>0</v>
      </c>
      <c r="L163" s="20">
        <f>IFERROR(INDEX('Input - Supermarket'!K$2:K$200,MATCH('Calculations - Supermarket'!$C163,'Input - Supermarket'!$B$2:$B$200,0)),"")</f>
        <v>0</v>
      </c>
      <c r="M163" s="21" t="str">
        <f t="shared" si="166"/>
        <v/>
      </c>
      <c r="N163" s="21" t="str">
        <f t="shared" si="150"/>
        <v/>
      </c>
      <c r="O163" s="21">
        <f t="shared" si="167"/>
        <v>0</v>
      </c>
      <c r="P163" s="9">
        <f t="shared" si="151"/>
        <v>0</v>
      </c>
      <c r="Q163" s="9">
        <f t="shared" si="152"/>
        <v>0</v>
      </c>
      <c r="R163" s="22" t="str">
        <f>IFERROR(INDEX(Supermarket!$Q$11:$Q$170,MATCH('Calculations - Supermarket'!$C163,Supermarket!$M$11:$M$170,0)),"")</f>
        <v/>
      </c>
      <c r="S163" s="22" t="str">
        <f>IFERROR(INDEX(Supermarket!$R$11:$R$170,MATCH('Calculations - Supermarket'!$C163,Supermarket!$M$11:$M$170,0)),"")</f>
        <v/>
      </c>
      <c r="T163" s="16" t="e">
        <f t="shared" si="153"/>
        <v>#VALUE!</v>
      </c>
      <c r="U163" s="16" t="e">
        <f t="shared" si="168"/>
        <v>#VALUE!</v>
      </c>
      <c r="V163" s="16" t="e">
        <f t="shared" si="169"/>
        <v>#VALUE!</v>
      </c>
      <c r="W163" s="10" t="str">
        <f t="shared" si="154"/>
        <v>-</v>
      </c>
      <c r="X163" s="10" t="str">
        <f t="shared" si="155"/>
        <v>-</v>
      </c>
      <c r="Y163" s="13" t="str">
        <f t="shared" si="170"/>
        <v>-</v>
      </c>
      <c r="Z163" s="9" t="str">
        <f t="shared" si="156"/>
        <v>-</v>
      </c>
      <c r="AA163" s="16" t="str">
        <f t="shared" si="171"/>
        <v>-</v>
      </c>
      <c r="AB163" s="16" t="str">
        <f t="shared" si="157"/>
        <v>-</v>
      </c>
      <c r="AC163" s="16" t="str">
        <f t="shared" si="158"/>
        <v>-</v>
      </c>
      <c r="AD163" s="16" t="str">
        <f t="shared" si="172"/>
        <v>-</v>
      </c>
      <c r="AE163" s="16"/>
      <c r="AF163" s="31" t="str">
        <f>IFERROR(INDEX(Supermarket!$P$11:$P$170,MATCH('Calculations - Supermarket'!C163,Supermarket!$M$11:$M$170,0)),"")</f>
        <v/>
      </c>
      <c r="AG163" s="23" t="str">
        <f t="shared" si="173"/>
        <v/>
      </c>
      <c r="AH163" s="23" t="str">
        <f t="shared" si="174"/>
        <v/>
      </c>
      <c r="AI163" s="9" t="str">
        <f t="shared" si="159"/>
        <v/>
      </c>
      <c r="AJ163" s="4" t="str">
        <f t="shared" si="160"/>
        <v/>
      </c>
      <c r="AK163" s="4"/>
      <c r="AL163" s="4"/>
      <c r="AM163" s="4"/>
      <c r="AN163" s="4"/>
      <c r="AO163" s="4"/>
      <c r="AP163" s="20" t="str">
        <f t="shared" si="161"/>
        <v>-</v>
      </c>
      <c r="AQ163" s="13" t="str">
        <f t="shared" si="175"/>
        <v>-</v>
      </c>
      <c r="AR163" s="13" t="str">
        <f t="shared" si="176"/>
        <v>-</v>
      </c>
      <c r="AS163" s="13" t="str">
        <f t="shared" si="162"/>
        <v>-</v>
      </c>
      <c r="AT163" s="16" t="str">
        <f t="shared" si="177"/>
        <v>-</v>
      </c>
      <c r="AU163" s="16" t="str">
        <f t="shared" si="163"/>
        <v>-</v>
      </c>
      <c r="AV163" s="16" t="str">
        <f t="shared" si="164"/>
        <v>-</v>
      </c>
      <c r="AW163" s="16" t="str">
        <f t="shared" si="178"/>
        <v>-</v>
      </c>
      <c r="AX163" s="13" t="str">
        <f t="shared" si="179"/>
        <v>-</v>
      </c>
      <c r="AY163" s="10" t="str">
        <f t="shared" si="180"/>
        <v>-</v>
      </c>
      <c r="AZ163" s="9" t="str">
        <f t="shared" si="181"/>
        <v>-</v>
      </c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</row>
    <row r="164" spans="2:68" x14ac:dyDescent="0.3">
      <c r="B164" s="108" t="str">
        <f t="shared" si="165"/>
        <v/>
      </c>
      <c r="C164" s="108" t="str">
        <f t="shared" si="149"/>
        <v/>
      </c>
      <c r="D164" s="3"/>
      <c r="E164" s="3"/>
      <c r="F164" s="3"/>
      <c r="G164" s="20">
        <f>IFERROR(INDEX('Input - Supermarket'!F$2:F$200,MATCH('Calculations - Supermarket'!$C164,'Input - Supermarket'!$B$2:$B$200,0)),"")</f>
        <v>0</v>
      </c>
      <c r="H164" s="20">
        <f>IFERROR(INDEX('Input - Supermarket'!G$2:G$200,MATCH('Calculations - Supermarket'!$C164,'Input - Supermarket'!$B$2:$B$200,0)),"")</f>
        <v>0</v>
      </c>
      <c r="I164" s="21">
        <f>IFERROR(INDEX('Input - Supermarket'!H$2:H$200,MATCH('Calculations - Supermarket'!$C164,'Input - Supermarket'!$B$2:$B$200,0)),"")</f>
        <v>0</v>
      </c>
      <c r="J164" s="21">
        <f>IFERROR(INDEX('Input - Supermarket'!I$2:I$200,MATCH('Calculations - Supermarket'!$C164,'Input - Supermarket'!$B$2:$B$200,0)),"")</f>
        <v>0</v>
      </c>
      <c r="K164" s="20">
        <f>IFERROR(INDEX('Input - Supermarket'!J$2:J$200,MATCH('Calculations - Supermarket'!$C164,'Input - Supermarket'!$B$2:$B$200,0)),"")</f>
        <v>0</v>
      </c>
      <c r="L164" s="20">
        <f>IFERROR(INDEX('Input - Supermarket'!K$2:K$200,MATCH('Calculations - Supermarket'!$C164,'Input - Supermarket'!$B$2:$B$200,0)),"")</f>
        <v>0</v>
      </c>
      <c r="M164" s="21" t="str">
        <f t="shared" si="166"/>
        <v/>
      </c>
      <c r="N164" s="21" t="str">
        <f t="shared" si="150"/>
        <v/>
      </c>
      <c r="O164" s="21">
        <f t="shared" si="167"/>
        <v>0</v>
      </c>
      <c r="P164" s="9">
        <f t="shared" si="151"/>
        <v>0</v>
      </c>
      <c r="Q164" s="9">
        <f t="shared" si="152"/>
        <v>0</v>
      </c>
      <c r="R164" s="22" t="str">
        <f>IFERROR(INDEX(Supermarket!$Q$11:$Q$170,MATCH('Calculations - Supermarket'!$C164,Supermarket!$M$11:$M$170,0)),"")</f>
        <v/>
      </c>
      <c r="S164" s="22" t="str">
        <f>IFERROR(INDEX(Supermarket!$R$11:$R$170,MATCH('Calculations - Supermarket'!$C164,Supermarket!$M$11:$M$170,0)),"")</f>
        <v/>
      </c>
      <c r="T164" s="16" t="e">
        <f t="shared" si="153"/>
        <v>#VALUE!</v>
      </c>
      <c r="U164" s="16" t="e">
        <f t="shared" si="168"/>
        <v>#VALUE!</v>
      </c>
      <c r="V164" s="16" t="e">
        <f t="shared" si="169"/>
        <v>#VALUE!</v>
      </c>
      <c r="W164" s="10" t="str">
        <f t="shared" si="154"/>
        <v>-</v>
      </c>
      <c r="X164" s="10" t="str">
        <f t="shared" si="155"/>
        <v>-</v>
      </c>
      <c r="Y164" s="13" t="str">
        <f t="shared" si="170"/>
        <v>-</v>
      </c>
      <c r="Z164" s="9" t="str">
        <f t="shared" si="156"/>
        <v>-</v>
      </c>
      <c r="AA164" s="16" t="str">
        <f t="shared" si="171"/>
        <v>-</v>
      </c>
      <c r="AB164" s="16" t="str">
        <f t="shared" si="157"/>
        <v>-</v>
      </c>
      <c r="AC164" s="16" t="str">
        <f t="shared" si="158"/>
        <v>-</v>
      </c>
      <c r="AD164" s="16" t="str">
        <f t="shared" si="172"/>
        <v>-</v>
      </c>
      <c r="AE164" s="16"/>
      <c r="AF164" s="31" t="str">
        <f>IFERROR(INDEX(Supermarket!$P$11:$P$170,MATCH('Calculations - Supermarket'!C164,Supermarket!$M$11:$M$170,0)),"")</f>
        <v/>
      </c>
      <c r="AG164" s="23" t="str">
        <f t="shared" si="173"/>
        <v/>
      </c>
      <c r="AH164" s="23" t="str">
        <f t="shared" si="174"/>
        <v/>
      </c>
      <c r="AI164" s="9" t="str">
        <f t="shared" si="159"/>
        <v/>
      </c>
      <c r="AJ164" s="4" t="str">
        <f t="shared" si="160"/>
        <v/>
      </c>
      <c r="AK164" s="4"/>
      <c r="AL164" s="4"/>
      <c r="AM164" s="4"/>
      <c r="AN164" s="4"/>
      <c r="AO164" s="4"/>
      <c r="AP164" s="20" t="str">
        <f t="shared" si="161"/>
        <v>-</v>
      </c>
      <c r="AQ164" s="13" t="str">
        <f t="shared" si="175"/>
        <v>-</v>
      </c>
      <c r="AR164" s="13" t="str">
        <f t="shared" si="176"/>
        <v>-</v>
      </c>
      <c r="AS164" s="13" t="str">
        <f t="shared" si="162"/>
        <v>-</v>
      </c>
      <c r="AT164" s="16" t="str">
        <f t="shared" si="177"/>
        <v>-</v>
      </c>
      <c r="AU164" s="16" t="str">
        <f t="shared" si="163"/>
        <v>-</v>
      </c>
      <c r="AV164" s="16" t="str">
        <f t="shared" si="164"/>
        <v>-</v>
      </c>
      <c r="AW164" s="16" t="str">
        <f t="shared" si="178"/>
        <v>-</v>
      </c>
      <c r="AX164" s="13" t="str">
        <f t="shared" si="179"/>
        <v>-</v>
      </c>
      <c r="AY164" s="10" t="str">
        <f t="shared" si="180"/>
        <v>-</v>
      </c>
      <c r="AZ164" s="9" t="str">
        <f t="shared" si="181"/>
        <v>-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</row>
    <row r="165" spans="2:68" x14ac:dyDescent="0.3">
      <c r="B165" s="108" t="str">
        <f t="shared" si="165"/>
        <v/>
      </c>
      <c r="C165" s="108" t="str">
        <f t="shared" si="149"/>
        <v/>
      </c>
      <c r="D165" s="3"/>
      <c r="E165" s="3"/>
      <c r="F165" s="3"/>
      <c r="G165" s="20">
        <f>IFERROR(INDEX('Input - Supermarket'!F$2:F$200,MATCH('Calculations - Supermarket'!$C165,'Input - Supermarket'!$B$2:$B$200,0)),"")</f>
        <v>0</v>
      </c>
      <c r="H165" s="20">
        <f>IFERROR(INDEX('Input - Supermarket'!G$2:G$200,MATCH('Calculations - Supermarket'!$C165,'Input - Supermarket'!$B$2:$B$200,0)),"")</f>
        <v>0</v>
      </c>
      <c r="I165" s="21">
        <f>IFERROR(INDEX('Input - Supermarket'!H$2:H$200,MATCH('Calculations - Supermarket'!$C165,'Input - Supermarket'!$B$2:$B$200,0)),"")</f>
        <v>0</v>
      </c>
      <c r="J165" s="21">
        <f>IFERROR(INDEX('Input - Supermarket'!I$2:I$200,MATCH('Calculations - Supermarket'!$C165,'Input - Supermarket'!$B$2:$B$200,0)),"")</f>
        <v>0</v>
      </c>
      <c r="K165" s="20">
        <f>IFERROR(INDEX('Input - Supermarket'!J$2:J$200,MATCH('Calculations - Supermarket'!$C165,'Input - Supermarket'!$B$2:$B$200,0)),"")</f>
        <v>0</v>
      </c>
      <c r="L165" s="20">
        <f>IFERROR(INDEX('Input - Supermarket'!K$2:K$200,MATCH('Calculations - Supermarket'!$C165,'Input - Supermarket'!$B$2:$B$200,0)),"")</f>
        <v>0</v>
      </c>
      <c r="M165" s="21" t="str">
        <f t="shared" si="166"/>
        <v/>
      </c>
      <c r="N165" s="21" t="str">
        <f t="shared" si="150"/>
        <v/>
      </c>
      <c r="O165" s="21">
        <f t="shared" si="167"/>
        <v>0</v>
      </c>
      <c r="P165" s="9">
        <f t="shared" si="151"/>
        <v>0</v>
      </c>
      <c r="Q165" s="9">
        <f t="shared" si="152"/>
        <v>0</v>
      </c>
      <c r="R165" s="22" t="str">
        <f>IFERROR(INDEX(Supermarket!$Q$11:$Q$170,MATCH('Calculations - Supermarket'!$C165,Supermarket!$M$11:$M$170,0)),"")</f>
        <v/>
      </c>
      <c r="S165" s="22" t="str">
        <f>IFERROR(INDEX(Supermarket!$R$11:$R$170,MATCH('Calculations - Supermarket'!$C165,Supermarket!$M$11:$M$170,0)),"")</f>
        <v/>
      </c>
      <c r="T165" s="16" t="e">
        <f t="shared" si="153"/>
        <v>#VALUE!</v>
      </c>
      <c r="U165" s="16" t="e">
        <f t="shared" si="168"/>
        <v>#VALUE!</v>
      </c>
      <c r="V165" s="16" t="e">
        <f t="shared" si="169"/>
        <v>#VALUE!</v>
      </c>
      <c r="W165" s="10" t="str">
        <f t="shared" si="154"/>
        <v>-</v>
      </c>
      <c r="X165" s="10" t="str">
        <f t="shared" si="155"/>
        <v>-</v>
      </c>
      <c r="Y165" s="13" t="str">
        <f t="shared" si="170"/>
        <v>-</v>
      </c>
      <c r="Z165" s="9" t="str">
        <f t="shared" si="156"/>
        <v>-</v>
      </c>
      <c r="AA165" s="16" t="str">
        <f t="shared" si="171"/>
        <v>-</v>
      </c>
      <c r="AB165" s="16" t="str">
        <f t="shared" si="157"/>
        <v>-</v>
      </c>
      <c r="AC165" s="16" t="str">
        <f t="shared" si="158"/>
        <v>-</v>
      </c>
      <c r="AD165" s="16" t="str">
        <f t="shared" si="172"/>
        <v>-</v>
      </c>
      <c r="AE165" s="16"/>
      <c r="AF165" s="31" t="str">
        <f>IFERROR(INDEX(Supermarket!$P$11:$P$170,MATCH('Calculations - Supermarket'!C165,Supermarket!$M$11:$M$170,0)),"")</f>
        <v/>
      </c>
      <c r="AG165" s="23" t="str">
        <f t="shared" si="173"/>
        <v/>
      </c>
      <c r="AH165" s="23" t="str">
        <f t="shared" si="174"/>
        <v/>
      </c>
      <c r="AI165" s="9" t="str">
        <f t="shared" si="159"/>
        <v/>
      </c>
      <c r="AJ165" s="4" t="str">
        <f t="shared" si="160"/>
        <v/>
      </c>
      <c r="AK165" s="4"/>
      <c r="AL165" s="4"/>
      <c r="AM165" s="4"/>
      <c r="AN165" s="4"/>
      <c r="AO165" s="4"/>
      <c r="AP165" s="20" t="str">
        <f t="shared" si="161"/>
        <v>-</v>
      </c>
      <c r="AQ165" s="13" t="str">
        <f t="shared" si="175"/>
        <v>-</v>
      </c>
      <c r="AR165" s="13" t="str">
        <f t="shared" si="176"/>
        <v>-</v>
      </c>
      <c r="AS165" s="13" t="str">
        <f t="shared" si="162"/>
        <v>-</v>
      </c>
      <c r="AT165" s="16" t="str">
        <f t="shared" si="177"/>
        <v>-</v>
      </c>
      <c r="AU165" s="16" t="str">
        <f t="shared" si="163"/>
        <v>-</v>
      </c>
      <c r="AV165" s="16" t="str">
        <f t="shared" si="164"/>
        <v>-</v>
      </c>
      <c r="AW165" s="16" t="str">
        <f t="shared" si="178"/>
        <v>-</v>
      </c>
      <c r="AX165" s="13" t="str">
        <f t="shared" si="179"/>
        <v>-</v>
      </c>
      <c r="AY165" s="10" t="str">
        <f t="shared" si="180"/>
        <v>-</v>
      </c>
      <c r="AZ165" s="9" t="str">
        <f t="shared" si="181"/>
        <v>-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</row>
    <row r="166" spans="2:68" x14ac:dyDescent="0.3">
      <c r="B166" s="108" t="str">
        <f t="shared" si="165"/>
        <v/>
      </c>
      <c r="C166" s="108" t="str">
        <f t="shared" si="149"/>
        <v/>
      </c>
      <c r="D166" s="3"/>
      <c r="E166" s="3"/>
      <c r="F166" s="3"/>
      <c r="G166" s="20">
        <f>IFERROR(INDEX('Input - Supermarket'!F$2:F$200,MATCH('Calculations - Supermarket'!$C166,'Input - Supermarket'!$B$2:$B$200,0)),"")</f>
        <v>0</v>
      </c>
      <c r="H166" s="20">
        <f>IFERROR(INDEX('Input - Supermarket'!G$2:G$200,MATCH('Calculations - Supermarket'!$C166,'Input - Supermarket'!$B$2:$B$200,0)),"")</f>
        <v>0</v>
      </c>
      <c r="I166" s="21">
        <f>IFERROR(INDEX('Input - Supermarket'!H$2:H$200,MATCH('Calculations - Supermarket'!$C166,'Input - Supermarket'!$B$2:$B$200,0)),"")</f>
        <v>0</v>
      </c>
      <c r="J166" s="21">
        <f>IFERROR(INDEX('Input - Supermarket'!I$2:I$200,MATCH('Calculations - Supermarket'!$C166,'Input - Supermarket'!$B$2:$B$200,0)),"")</f>
        <v>0</v>
      </c>
      <c r="K166" s="20">
        <f>IFERROR(INDEX('Input - Supermarket'!J$2:J$200,MATCH('Calculations - Supermarket'!$C166,'Input - Supermarket'!$B$2:$B$200,0)),"")</f>
        <v>0</v>
      </c>
      <c r="L166" s="20">
        <f>IFERROR(INDEX('Input - Supermarket'!K$2:K$200,MATCH('Calculations - Supermarket'!$C166,'Input - Supermarket'!$B$2:$B$200,0)),"")</f>
        <v>0</v>
      </c>
      <c r="M166" s="21" t="str">
        <f t="shared" si="166"/>
        <v/>
      </c>
      <c r="N166" s="21" t="str">
        <f t="shared" si="150"/>
        <v/>
      </c>
      <c r="O166" s="21">
        <f t="shared" si="167"/>
        <v>0</v>
      </c>
      <c r="P166" s="9">
        <f t="shared" si="151"/>
        <v>0</v>
      </c>
      <c r="Q166" s="9">
        <f t="shared" si="152"/>
        <v>0</v>
      </c>
      <c r="R166" s="22" t="str">
        <f>IFERROR(INDEX(Supermarket!$Q$11:$Q$170,MATCH('Calculations - Supermarket'!$C166,Supermarket!$M$11:$M$170,0)),"")</f>
        <v/>
      </c>
      <c r="S166" s="22" t="str">
        <f>IFERROR(INDEX(Supermarket!$R$11:$R$170,MATCH('Calculations - Supermarket'!$C166,Supermarket!$M$11:$M$170,0)),"")</f>
        <v/>
      </c>
      <c r="T166" s="16" t="e">
        <f t="shared" si="153"/>
        <v>#VALUE!</v>
      </c>
      <c r="U166" s="16" t="e">
        <f t="shared" si="168"/>
        <v>#VALUE!</v>
      </c>
      <c r="V166" s="16" t="e">
        <f t="shared" si="169"/>
        <v>#VALUE!</v>
      </c>
      <c r="W166" s="10" t="str">
        <f t="shared" si="154"/>
        <v>-</v>
      </c>
      <c r="X166" s="10" t="str">
        <f t="shared" si="155"/>
        <v>-</v>
      </c>
      <c r="Y166" s="13" t="str">
        <f t="shared" si="170"/>
        <v>-</v>
      </c>
      <c r="Z166" s="9" t="str">
        <f t="shared" si="156"/>
        <v>-</v>
      </c>
      <c r="AA166" s="16" t="str">
        <f t="shared" si="171"/>
        <v>-</v>
      </c>
      <c r="AB166" s="16" t="str">
        <f t="shared" si="157"/>
        <v>-</v>
      </c>
      <c r="AC166" s="16" t="str">
        <f t="shared" si="158"/>
        <v>-</v>
      </c>
      <c r="AD166" s="16" t="str">
        <f t="shared" si="172"/>
        <v>-</v>
      </c>
      <c r="AE166" s="16"/>
      <c r="AF166" s="31" t="str">
        <f>IFERROR(INDEX(Supermarket!$P$11:$P$170,MATCH('Calculations - Supermarket'!C166,Supermarket!$M$11:$M$170,0)),"")</f>
        <v/>
      </c>
      <c r="AG166" s="23" t="str">
        <f t="shared" si="173"/>
        <v/>
      </c>
      <c r="AH166" s="23" t="str">
        <f t="shared" si="174"/>
        <v/>
      </c>
      <c r="AI166" s="9" t="str">
        <f t="shared" si="159"/>
        <v/>
      </c>
      <c r="AJ166" s="4" t="str">
        <f t="shared" si="160"/>
        <v/>
      </c>
      <c r="AK166" s="4"/>
      <c r="AL166" s="4"/>
      <c r="AM166" s="4"/>
      <c r="AN166" s="4"/>
      <c r="AO166" s="4"/>
      <c r="AP166" s="20" t="str">
        <f t="shared" si="161"/>
        <v>-</v>
      </c>
      <c r="AQ166" s="13" t="str">
        <f t="shared" si="175"/>
        <v>-</v>
      </c>
      <c r="AR166" s="13" t="str">
        <f t="shared" si="176"/>
        <v>-</v>
      </c>
      <c r="AS166" s="13" t="str">
        <f t="shared" si="162"/>
        <v>-</v>
      </c>
      <c r="AT166" s="16" t="str">
        <f t="shared" si="177"/>
        <v>-</v>
      </c>
      <c r="AU166" s="16" t="str">
        <f t="shared" si="163"/>
        <v>-</v>
      </c>
      <c r="AV166" s="16" t="str">
        <f t="shared" si="164"/>
        <v>-</v>
      </c>
      <c r="AW166" s="16" t="str">
        <f t="shared" si="178"/>
        <v>-</v>
      </c>
      <c r="AX166" s="13" t="str">
        <f t="shared" si="179"/>
        <v>-</v>
      </c>
      <c r="AY166" s="10" t="str">
        <f t="shared" si="180"/>
        <v>-</v>
      </c>
      <c r="AZ166" s="9" t="str">
        <f t="shared" si="181"/>
        <v>-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</row>
    <row r="167" spans="2:68" x14ac:dyDescent="0.3">
      <c r="B167" s="108" t="str">
        <f t="shared" si="165"/>
        <v/>
      </c>
      <c r="C167" s="108" t="str">
        <f t="shared" si="149"/>
        <v/>
      </c>
      <c r="D167" s="3"/>
      <c r="E167" s="3"/>
      <c r="F167" s="3"/>
      <c r="G167" s="20">
        <f>IFERROR(INDEX('Input - Supermarket'!F$2:F$200,MATCH('Calculations - Supermarket'!$C167,'Input - Supermarket'!$B$2:$B$200,0)),"")</f>
        <v>0</v>
      </c>
      <c r="H167" s="20">
        <f>IFERROR(INDEX('Input - Supermarket'!G$2:G$200,MATCH('Calculations - Supermarket'!$C167,'Input - Supermarket'!$B$2:$B$200,0)),"")</f>
        <v>0</v>
      </c>
      <c r="I167" s="21">
        <f>IFERROR(INDEX('Input - Supermarket'!H$2:H$200,MATCH('Calculations - Supermarket'!$C167,'Input - Supermarket'!$B$2:$B$200,0)),"")</f>
        <v>0</v>
      </c>
      <c r="J167" s="21">
        <f>IFERROR(INDEX('Input - Supermarket'!I$2:I$200,MATCH('Calculations - Supermarket'!$C167,'Input - Supermarket'!$B$2:$B$200,0)),"")</f>
        <v>0</v>
      </c>
      <c r="K167" s="20">
        <f>IFERROR(INDEX('Input - Supermarket'!J$2:J$200,MATCH('Calculations - Supermarket'!$C167,'Input - Supermarket'!$B$2:$B$200,0)),"")</f>
        <v>0</v>
      </c>
      <c r="L167" s="20">
        <f>IFERROR(INDEX('Input - Supermarket'!K$2:K$200,MATCH('Calculations - Supermarket'!$C167,'Input - Supermarket'!$B$2:$B$200,0)),"")</f>
        <v>0</v>
      </c>
      <c r="M167" s="21" t="str">
        <f t="shared" si="166"/>
        <v/>
      </c>
      <c r="N167" s="21" t="str">
        <f t="shared" si="150"/>
        <v/>
      </c>
      <c r="O167" s="21">
        <f t="shared" si="167"/>
        <v>0</v>
      </c>
      <c r="P167" s="9">
        <f t="shared" si="151"/>
        <v>0</v>
      </c>
      <c r="Q167" s="9">
        <f t="shared" si="152"/>
        <v>0</v>
      </c>
      <c r="R167" s="22" t="str">
        <f>IFERROR(INDEX(Supermarket!$Q$11:$Q$170,MATCH('Calculations - Supermarket'!$C167,Supermarket!$M$11:$M$170,0)),"")</f>
        <v/>
      </c>
      <c r="S167" s="22" t="str">
        <f>IFERROR(INDEX(Supermarket!$R$11:$R$170,MATCH('Calculations - Supermarket'!$C167,Supermarket!$M$11:$M$170,0)),"")</f>
        <v/>
      </c>
      <c r="T167" s="16" t="e">
        <f t="shared" si="153"/>
        <v>#VALUE!</v>
      </c>
      <c r="U167" s="16" t="e">
        <f t="shared" si="168"/>
        <v>#VALUE!</v>
      </c>
      <c r="V167" s="16" t="e">
        <f t="shared" si="169"/>
        <v>#VALUE!</v>
      </c>
      <c r="W167" s="10" t="str">
        <f t="shared" si="154"/>
        <v>-</v>
      </c>
      <c r="X167" s="10" t="str">
        <f t="shared" si="155"/>
        <v>-</v>
      </c>
      <c r="Y167" s="13" t="str">
        <f t="shared" si="170"/>
        <v>-</v>
      </c>
      <c r="Z167" s="9" t="str">
        <f t="shared" si="156"/>
        <v>-</v>
      </c>
      <c r="AA167" s="16" t="str">
        <f t="shared" si="171"/>
        <v>-</v>
      </c>
      <c r="AB167" s="16" t="str">
        <f t="shared" si="157"/>
        <v>-</v>
      </c>
      <c r="AC167" s="16" t="str">
        <f t="shared" si="158"/>
        <v>-</v>
      </c>
      <c r="AD167" s="16" t="str">
        <f t="shared" si="172"/>
        <v>-</v>
      </c>
      <c r="AE167" s="16"/>
      <c r="AF167" s="31" t="str">
        <f>IFERROR(INDEX(Supermarket!$P$11:$P$170,MATCH('Calculations - Supermarket'!C167,Supermarket!$M$11:$M$170,0)),"")</f>
        <v/>
      </c>
      <c r="AG167" s="23" t="str">
        <f t="shared" si="173"/>
        <v/>
      </c>
      <c r="AH167" s="23" t="str">
        <f t="shared" si="174"/>
        <v/>
      </c>
      <c r="AI167" s="9" t="str">
        <f t="shared" si="159"/>
        <v/>
      </c>
      <c r="AJ167" s="4" t="str">
        <f t="shared" si="160"/>
        <v/>
      </c>
      <c r="AK167" s="4"/>
      <c r="AL167" s="4"/>
      <c r="AM167" s="4"/>
      <c r="AN167" s="4"/>
      <c r="AO167" s="4"/>
      <c r="AP167" s="20" t="str">
        <f t="shared" si="161"/>
        <v>-</v>
      </c>
      <c r="AQ167" s="13" t="str">
        <f t="shared" si="175"/>
        <v>-</v>
      </c>
      <c r="AR167" s="13" t="str">
        <f t="shared" si="176"/>
        <v>-</v>
      </c>
      <c r="AS167" s="13" t="str">
        <f t="shared" si="162"/>
        <v>-</v>
      </c>
      <c r="AT167" s="16" t="str">
        <f t="shared" si="177"/>
        <v>-</v>
      </c>
      <c r="AU167" s="16" t="str">
        <f t="shared" si="163"/>
        <v>-</v>
      </c>
      <c r="AV167" s="16" t="str">
        <f t="shared" si="164"/>
        <v>-</v>
      </c>
      <c r="AW167" s="16" t="str">
        <f t="shared" si="178"/>
        <v>-</v>
      </c>
      <c r="AX167" s="13" t="str">
        <f t="shared" si="179"/>
        <v>-</v>
      </c>
      <c r="AY167" s="10" t="str">
        <f t="shared" si="180"/>
        <v>-</v>
      </c>
      <c r="AZ167" s="9" t="str">
        <f t="shared" si="181"/>
        <v>-</v>
      </c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</row>
    <row r="168" spans="2:68" x14ac:dyDescent="0.3">
      <c r="B168" s="108" t="str">
        <f t="shared" si="165"/>
        <v/>
      </c>
      <c r="C168" s="108" t="str">
        <f t="shared" si="149"/>
        <v/>
      </c>
      <c r="D168" s="3"/>
      <c r="E168" s="3"/>
      <c r="F168" s="3"/>
      <c r="G168" s="20">
        <f>IFERROR(INDEX('Input - Supermarket'!F$2:F$200,MATCH('Calculations - Supermarket'!$C168,'Input - Supermarket'!$B$2:$B$200,0)),"")</f>
        <v>0</v>
      </c>
      <c r="H168" s="20">
        <f>IFERROR(INDEX('Input - Supermarket'!G$2:G$200,MATCH('Calculations - Supermarket'!$C168,'Input - Supermarket'!$B$2:$B$200,0)),"")</f>
        <v>0</v>
      </c>
      <c r="I168" s="21">
        <f>IFERROR(INDEX('Input - Supermarket'!H$2:H$200,MATCH('Calculations - Supermarket'!$C168,'Input - Supermarket'!$B$2:$B$200,0)),"")</f>
        <v>0</v>
      </c>
      <c r="J168" s="21">
        <f>IFERROR(INDEX('Input - Supermarket'!I$2:I$200,MATCH('Calculations - Supermarket'!$C168,'Input - Supermarket'!$B$2:$B$200,0)),"")</f>
        <v>0</v>
      </c>
      <c r="K168" s="20">
        <f>IFERROR(INDEX('Input - Supermarket'!J$2:J$200,MATCH('Calculations - Supermarket'!$C168,'Input - Supermarket'!$B$2:$B$200,0)),"")</f>
        <v>0</v>
      </c>
      <c r="L168" s="20">
        <f>IFERROR(INDEX('Input - Supermarket'!K$2:K$200,MATCH('Calculations - Supermarket'!$C168,'Input - Supermarket'!$B$2:$B$200,0)),"")</f>
        <v>0</v>
      </c>
      <c r="M168" s="21" t="str">
        <f t="shared" si="166"/>
        <v/>
      </c>
      <c r="N168" s="21" t="str">
        <f t="shared" si="150"/>
        <v/>
      </c>
      <c r="O168" s="21">
        <f t="shared" si="167"/>
        <v>0</v>
      </c>
      <c r="P168" s="9">
        <f t="shared" si="151"/>
        <v>0</v>
      </c>
      <c r="Q168" s="9">
        <f t="shared" si="152"/>
        <v>0</v>
      </c>
      <c r="R168" s="22" t="str">
        <f>IFERROR(INDEX(Supermarket!$Q$11:$Q$170,MATCH('Calculations - Supermarket'!$C168,Supermarket!$M$11:$M$170,0)),"")</f>
        <v/>
      </c>
      <c r="S168" s="22" t="str">
        <f>IFERROR(INDEX(Supermarket!$R$11:$R$170,MATCH('Calculations - Supermarket'!$C168,Supermarket!$M$11:$M$170,0)),"")</f>
        <v/>
      </c>
      <c r="T168" s="16" t="e">
        <f t="shared" si="153"/>
        <v>#VALUE!</v>
      </c>
      <c r="U168" s="16" t="e">
        <f t="shared" si="168"/>
        <v>#VALUE!</v>
      </c>
      <c r="V168" s="16" t="e">
        <f t="shared" si="169"/>
        <v>#VALUE!</v>
      </c>
      <c r="W168" s="10" t="str">
        <f t="shared" si="154"/>
        <v>-</v>
      </c>
      <c r="X168" s="10" t="str">
        <f t="shared" si="155"/>
        <v>-</v>
      </c>
      <c r="Y168" s="13" t="str">
        <f t="shared" si="170"/>
        <v>-</v>
      </c>
      <c r="Z168" s="9" t="str">
        <f t="shared" si="156"/>
        <v>-</v>
      </c>
      <c r="AA168" s="16" t="str">
        <f t="shared" si="171"/>
        <v>-</v>
      </c>
      <c r="AB168" s="16" t="str">
        <f t="shared" si="157"/>
        <v>-</v>
      </c>
      <c r="AC168" s="16" t="str">
        <f t="shared" si="158"/>
        <v>-</v>
      </c>
      <c r="AD168" s="16" t="str">
        <f t="shared" si="172"/>
        <v>-</v>
      </c>
      <c r="AE168" s="16"/>
      <c r="AF168" s="31" t="str">
        <f>IFERROR(INDEX(Supermarket!$P$11:$P$170,MATCH('Calculations - Supermarket'!C168,Supermarket!$M$11:$M$170,0)),"")</f>
        <v/>
      </c>
      <c r="AG168" s="23" t="str">
        <f t="shared" si="173"/>
        <v/>
      </c>
      <c r="AH168" s="23" t="str">
        <f t="shared" si="174"/>
        <v/>
      </c>
      <c r="AI168" s="9" t="str">
        <f t="shared" si="159"/>
        <v/>
      </c>
      <c r="AJ168" s="4" t="str">
        <f t="shared" si="160"/>
        <v/>
      </c>
      <c r="AK168" s="4"/>
      <c r="AL168" s="4"/>
      <c r="AM168" s="4"/>
      <c r="AN168" s="4"/>
      <c r="AO168" s="4"/>
      <c r="AP168" s="20" t="str">
        <f t="shared" si="161"/>
        <v>-</v>
      </c>
      <c r="AQ168" s="13" t="str">
        <f t="shared" si="175"/>
        <v>-</v>
      </c>
      <c r="AR168" s="13" t="str">
        <f t="shared" si="176"/>
        <v>-</v>
      </c>
      <c r="AS168" s="13" t="str">
        <f t="shared" si="162"/>
        <v>-</v>
      </c>
      <c r="AT168" s="16" t="str">
        <f t="shared" si="177"/>
        <v>-</v>
      </c>
      <c r="AU168" s="16" t="str">
        <f t="shared" si="163"/>
        <v>-</v>
      </c>
      <c r="AV168" s="16" t="str">
        <f t="shared" si="164"/>
        <v>-</v>
      </c>
      <c r="AW168" s="16" t="str">
        <f t="shared" si="178"/>
        <v>-</v>
      </c>
      <c r="AX168" s="13" t="str">
        <f t="shared" si="179"/>
        <v>-</v>
      </c>
      <c r="AY168" s="10" t="str">
        <f t="shared" si="180"/>
        <v>-</v>
      </c>
      <c r="AZ168" s="9" t="str">
        <f t="shared" si="181"/>
        <v>-</v>
      </c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</row>
    <row r="169" spans="2:68" x14ac:dyDescent="0.3">
      <c r="B169" s="108" t="str">
        <f t="shared" si="165"/>
        <v/>
      </c>
      <c r="C169" s="108" t="str">
        <f t="shared" si="149"/>
        <v/>
      </c>
      <c r="D169" s="3"/>
      <c r="E169" s="3"/>
      <c r="F169" s="3"/>
      <c r="G169" s="20">
        <f>IFERROR(INDEX('Input - Supermarket'!F$2:F$200,MATCH('Calculations - Supermarket'!$C169,'Input - Supermarket'!$B$2:$B$200,0)),"")</f>
        <v>0</v>
      </c>
      <c r="H169" s="20">
        <f>IFERROR(INDEX('Input - Supermarket'!G$2:G$200,MATCH('Calculations - Supermarket'!$C169,'Input - Supermarket'!$B$2:$B$200,0)),"")</f>
        <v>0</v>
      </c>
      <c r="I169" s="21">
        <f>IFERROR(INDEX('Input - Supermarket'!H$2:H$200,MATCH('Calculations - Supermarket'!$C169,'Input - Supermarket'!$B$2:$B$200,0)),"")</f>
        <v>0</v>
      </c>
      <c r="J169" s="21">
        <f>IFERROR(INDEX('Input - Supermarket'!I$2:I$200,MATCH('Calculations - Supermarket'!$C169,'Input - Supermarket'!$B$2:$B$200,0)),"")</f>
        <v>0</v>
      </c>
      <c r="K169" s="20">
        <f>IFERROR(INDEX('Input - Supermarket'!J$2:J$200,MATCH('Calculations - Supermarket'!$C169,'Input - Supermarket'!$B$2:$B$200,0)),"")</f>
        <v>0</v>
      </c>
      <c r="L169" s="20">
        <f>IFERROR(INDEX('Input - Supermarket'!K$2:K$200,MATCH('Calculations - Supermarket'!$C169,'Input - Supermarket'!$B$2:$B$200,0)),"")</f>
        <v>0</v>
      </c>
      <c r="M169" s="21" t="str">
        <f t="shared" si="166"/>
        <v/>
      </c>
      <c r="N169" s="21" t="str">
        <f t="shared" si="150"/>
        <v/>
      </c>
      <c r="O169" s="21">
        <f t="shared" si="167"/>
        <v>0</v>
      </c>
      <c r="P169" s="9">
        <f t="shared" si="151"/>
        <v>0</v>
      </c>
      <c r="Q169" s="9">
        <f t="shared" si="152"/>
        <v>0</v>
      </c>
      <c r="R169" s="22" t="str">
        <f>IFERROR(INDEX(Supermarket!$Q$11:$Q$170,MATCH('Calculations - Supermarket'!$C169,Supermarket!$M$11:$M$170,0)),"")</f>
        <v/>
      </c>
      <c r="S169" s="22" t="str">
        <f>IFERROR(INDEX(Supermarket!$R$11:$R$170,MATCH('Calculations - Supermarket'!$C169,Supermarket!$M$11:$M$170,0)),"")</f>
        <v/>
      </c>
      <c r="T169" s="16" t="e">
        <f t="shared" si="153"/>
        <v>#VALUE!</v>
      </c>
      <c r="U169" s="16" t="e">
        <f t="shared" si="168"/>
        <v>#VALUE!</v>
      </c>
      <c r="V169" s="16" t="e">
        <f t="shared" si="169"/>
        <v>#VALUE!</v>
      </c>
      <c r="W169" s="10" t="str">
        <f t="shared" si="154"/>
        <v>-</v>
      </c>
      <c r="X169" s="10" t="str">
        <f t="shared" si="155"/>
        <v>-</v>
      </c>
      <c r="Y169" s="13" t="str">
        <f t="shared" si="170"/>
        <v>-</v>
      </c>
      <c r="Z169" s="9" t="str">
        <f t="shared" si="156"/>
        <v>-</v>
      </c>
      <c r="AA169" s="16" t="str">
        <f t="shared" si="171"/>
        <v>-</v>
      </c>
      <c r="AB169" s="16" t="str">
        <f t="shared" si="157"/>
        <v>-</v>
      </c>
      <c r="AC169" s="16" t="str">
        <f t="shared" si="158"/>
        <v>-</v>
      </c>
      <c r="AD169" s="16" t="str">
        <f t="shared" si="172"/>
        <v>-</v>
      </c>
      <c r="AE169" s="16"/>
      <c r="AF169" s="31" t="str">
        <f>IFERROR(INDEX(Supermarket!$P$11:$P$170,MATCH('Calculations - Supermarket'!C169,Supermarket!$M$11:$M$170,0)),"")</f>
        <v/>
      </c>
      <c r="AG169" s="23" t="str">
        <f t="shared" si="173"/>
        <v/>
      </c>
      <c r="AH169" s="23" t="str">
        <f t="shared" si="174"/>
        <v/>
      </c>
      <c r="AI169" s="9" t="str">
        <f t="shared" si="159"/>
        <v/>
      </c>
      <c r="AJ169" s="4" t="str">
        <f t="shared" si="160"/>
        <v/>
      </c>
      <c r="AK169" s="4"/>
      <c r="AL169" s="4"/>
      <c r="AM169" s="4"/>
      <c r="AN169" s="4"/>
      <c r="AO169" s="4"/>
      <c r="AP169" s="20" t="str">
        <f t="shared" si="161"/>
        <v>-</v>
      </c>
      <c r="AQ169" s="13" t="str">
        <f t="shared" si="175"/>
        <v>-</v>
      </c>
      <c r="AR169" s="13" t="str">
        <f t="shared" si="176"/>
        <v>-</v>
      </c>
      <c r="AS169" s="13" t="str">
        <f t="shared" si="162"/>
        <v>-</v>
      </c>
      <c r="AT169" s="16" t="str">
        <f t="shared" si="177"/>
        <v>-</v>
      </c>
      <c r="AU169" s="16" t="str">
        <f t="shared" si="163"/>
        <v>-</v>
      </c>
      <c r="AV169" s="16" t="str">
        <f t="shared" si="164"/>
        <v>-</v>
      </c>
      <c r="AW169" s="16" t="str">
        <f t="shared" si="178"/>
        <v>-</v>
      </c>
      <c r="AX169" s="13" t="str">
        <f t="shared" si="179"/>
        <v>-</v>
      </c>
      <c r="AY169" s="10" t="str">
        <f t="shared" si="180"/>
        <v>-</v>
      </c>
      <c r="AZ169" s="9" t="str">
        <f t="shared" si="181"/>
        <v>-</v>
      </c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</row>
    <row r="170" spans="2:68" x14ac:dyDescent="0.3">
      <c r="B170" s="108" t="str">
        <f t="shared" si="165"/>
        <v/>
      </c>
      <c r="C170" s="108" t="str">
        <f t="shared" si="149"/>
        <v/>
      </c>
      <c r="D170" s="3"/>
      <c r="E170" s="3"/>
      <c r="F170" s="3"/>
      <c r="G170" s="20">
        <f>IFERROR(INDEX('Input - Supermarket'!F$2:F$200,MATCH('Calculations - Supermarket'!$C170,'Input - Supermarket'!$B$2:$B$200,0)),"")</f>
        <v>0</v>
      </c>
      <c r="H170" s="20">
        <f>IFERROR(INDEX('Input - Supermarket'!G$2:G$200,MATCH('Calculations - Supermarket'!$C170,'Input - Supermarket'!$B$2:$B$200,0)),"")</f>
        <v>0</v>
      </c>
      <c r="I170" s="21">
        <f>IFERROR(INDEX('Input - Supermarket'!H$2:H$200,MATCH('Calculations - Supermarket'!$C170,'Input - Supermarket'!$B$2:$B$200,0)),"")</f>
        <v>0</v>
      </c>
      <c r="J170" s="21">
        <f>IFERROR(INDEX('Input - Supermarket'!I$2:I$200,MATCH('Calculations - Supermarket'!$C170,'Input - Supermarket'!$B$2:$B$200,0)),"")</f>
        <v>0</v>
      </c>
      <c r="K170" s="20">
        <f>IFERROR(INDEX('Input - Supermarket'!J$2:J$200,MATCH('Calculations - Supermarket'!$C170,'Input - Supermarket'!$B$2:$B$200,0)),"")</f>
        <v>0</v>
      </c>
      <c r="L170" s="20">
        <f>IFERROR(INDEX('Input - Supermarket'!K$2:K$200,MATCH('Calculations - Supermarket'!$C170,'Input - Supermarket'!$B$2:$B$200,0)),"")</f>
        <v>0</v>
      </c>
      <c r="M170" s="21" t="str">
        <f t="shared" si="166"/>
        <v/>
      </c>
      <c r="N170" s="21" t="str">
        <f t="shared" si="150"/>
        <v/>
      </c>
      <c r="O170" s="21">
        <f t="shared" si="167"/>
        <v>0</v>
      </c>
      <c r="P170" s="9">
        <f t="shared" si="151"/>
        <v>0</v>
      </c>
      <c r="Q170" s="9">
        <f t="shared" si="152"/>
        <v>0</v>
      </c>
      <c r="R170" s="22" t="str">
        <f>IFERROR(INDEX(Supermarket!$Q$11:$Q$170,MATCH('Calculations - Supermarket'!$C170,Supermarket!$M$11:$M$170,0)),"")</f>
        <v/>
      </c>
      <c r="S170" s="22" t="str">
        <f>IFERROR(INDEX(Supermarket!$R$11:$R$170,MATCH('Calculations - Supermarket'!$C170,Supermarket!$M$11:$M$170,0)),"")</f>
        <v/>
      </c>
      <c r="T170" s="16" t="e">
        <f t="shared" si="153"/>
        <v>#VALUE!</v>
      </c>
      <c r="U170" s="16" t="e">
        <f t="shared" si="168"/>
        <v>#VALUE!</v>
      </c>
      <c r="V170" s="16" t="e">
        <f t="shared" si="169"/>
        <v>#VALUE!</v>
      </c>
      <c r="W170" s="10" t="str">
        <f t="shared" si="154"/>
        <v>-</v>
      </c>
      <c r="X170" s="10" t="str">
        <f t="shared" si="155"/>
        <v>-</v>
      </c>
      <c r="Y170" s="13" t="str">
        <f t="shared" si="170"/>
        <v>-</v>
      </c>
      <c r="Z170" s="9" t="str">
        <f t="shared" si="156"/>
        <v>-</v>
      </c>
      <c r="AA170" s="16" t="str">
        <f t="shared" si="171"/>
        <v>-</v>
      </c>
      <c r="AB170" s="16" t="str">
        <f t="shared" si="157"/>
        <v>-</v>
      </c>
      <c r="AC170" s="16" t="str">
        <f t="shared" si="158"/>
        <v>-</v>
      </c>
      <c r="AD170" s="16" t="str">
        <f t="shared" si="172"/>
        <v>-</v>
      </c>
      <c r="AE170" s="16"/>
      <c r="AF170" s="31" t="str">
        <f>IFERROR(INDEX(Supermarket!$P$11:$P$170,MATCH('Calculations - Supermarket'!C170,Supermarket!$M$11:$M$170,0)),"")</f>
        <v/>
      </c>
      <c r="AG170" s="23" t="str">
        <f t="shared" si="173"/>
        <v/>
      </c>
      <c r="AH170" s="23" t="str">
        <f t="shared" si="174"/>
        <v/>
      </c>
      <c r="AI170" s="9" t="str">
        <f t="shared" si="159"/>
        <v/>
      </c>
      <c r="AJ170" s="4" t="str">
        <f t="shared" si="160"/>
        <v/>
      </c>
      <c r="AK170" s="4"/>
      <c r="AL170" s="4"/>
      <c r="AM170" s="4"/>
      <c r="AN170" s="4"/>
      <c r="AO170" s="4"/>
      <c r="AP170" s="20" t="str">
        <f t="shared" si="161"/>
        <v>-</v>
      </c>
      <c r="AQ170" s="13" t="str">
        <f t="shared" si="175"/>
        <v>-</v>
      </c>
      <c r="AR170" s="13" t="str">
        <f t="shared" si="176"/>
        <v>-</v>
      </c>
      <c r="AS170" s="13" t="str">
        <f t="shared" si="162"/>
        <v>-</v>
      </c>
      <c r="AT170" s="16" t="str">
        <f t="shared" si="177"/>
        <v>-</v>
      </c>
      <c r="AU170" s="16" t="str">
        <f t="shared" si="163"/>
        <v>-</v>
      </c>
      <c r="AV170" s="16" t="str">
        <f t="shared" si="164"/>
        <v>-</v>
      </c>
      <c r="AW170" s="16" t="str">
        <f t="shared" si="178"/>
        <v>-</v>
      </c>
      <c r="AX170" s="13" t="str">
        <f t="shared" si="179"/>
        <v>-</v>
      </c>
      <c r="AY170" s="10" t="str">
        <f t="shared" si="180"/>
        <v>-</v>
      </c>
      <c r="AZ170" s="9" t="str">
        <f t="shared" si="181"/>
        <v>-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</row>
    <row r="171" spans="2:68" x14ac:dyDescent="0.3">
      <c r="B171" s="108" t="str">
        <f t="shared" si="165"/>
        <v/>
      </c>
      <c r="C171" s="108" t="str">
        <f t="shared" si="149"/>
        <v/>
      </c>
      <c r="D171" s="3"/>
      <c r="E171" s="3"/>
      <c r="F171" s="3"/>
      <c r="G171" s="20">
        <f>IFERROR(INDEX('Input - Supermarket'!F$2:F$200,MATCH('Calculations - Supermarket'!$C171,'Input - Supermarket'!$B$2:$B$200,0)),"")</f>
        <v>0</v>
      </c>
      <c r="H171" s="20">
        <f>IFERROR(INDEX('Input - Supermarket'!G$2:G$200,MATCH('Calculations - Supermarket'!$C171,'Input - Supermarket'!$B$2:$B$200,0)),"")</f>
        <v>0</v>
      </c>
      <c r="I171" s="21">
        <f>IFERROR(INDEX('Input - Supermarket'!H$2:H$200,MATCH('Calculations - Supermarket'!$C171,'Input - Supermarket'!$B$2:$B$200,0)),"")</f>
        <v>0</v>
      </c>
      <c r="J171" s="21">
        <f>IFERROR(INDEX('Input - Supermarket'!I$2:I$200,MATCH('Calculations - Supermarket'!$C171,'Input - Supermarket'!$B$2:$B$200,0)),"")</f>
        <v>0</v>
      </c>
      <c r="K171" s="20">
        <f>IFERROR(INDEX('Input - Supermarket'!J$2:J$200,MATCH('Calculations - Supermarket'!$C171,'Input - Supermarket'!$B$2:$B$200,0)),"")</f>
        <v>0</v>
      </c>
      <c r="L171" s="20">
        <f>IFERROR(INDEX('Input - Supermarket'!K$2:K$200,MATCH('Calculations - Supermarket'!$C171,'Input - Supermarket'!$B$2:$B$200,0)),"")</f>
        <v>0</v>
      </c>
      <c r="M171" s="21" t="str">
        <f t="shared" si="166"/>
        <v/>
      </c>
      <c r="N171" s="21" t="str">
        <f t="shared" si="150"/>
        <v/>
      </c>
      <c r="O171" s="21">
        <f t="shared" si="167"/>
        <v>0</v>
      </c>
      <c r="P171" s="9">
        <f t="shared" si="151"/>
        <v>0</v>
      </c>
      <c r="Q171" s="9">
        <f t="shared" si="152"/>
        <v>0</v>
      </c>
      <c r="R171" s="22" t="str">
        <f>IFERROR(INDEX(Supermarket!$Q$11:$Q$170,MATCH('Calculations - Supermarket'!$C171,Supermarket!$M$11:$M$170,0)),"")</f>
        <v/>
      </c>
      <c r="S171" s="22" t="str">
        <f>IFERROR(INDEX(Supermarket!$R$11:$R$170,MATCH('Calculations - Supermarket'!$C171,Supermarket!$M$11:$M$170,0)),"")</f>
        <v/>
      </c>
      <c r="T171" s="16" t="e">
        <f t="shared" si="153"/>
        <v>#VALUE!</v>
      </c>
      <c r="U171" s="16" t="e">
        <f t="shared" si="168"/>
        <v>#VALUE!</v>
      </c>
      <c r="V171" s="16" t="e">
        <f t="shared" si="169"/>
        <v>#VALUE!</v>
      </c>
      <c r="W171" s="10" t="str">
        <f t="shared" si="154"/>
        <v>-</v>
      </c>
      <c r="X171" s="10" t="str">
        <f t="shared" si="155"/>
        <v>-</v>
      </c>
      <c r="Y171" s="13" t="str">
        <f t="shared" si="170"/>
        <v>-</v>
      </c>
      <c r="Z171" s="9" t="str">
        <f t="shared" si="156"/>
        <v>-</v>
      </c>
      <c r="AA171" s="16" t="str">
        <f t="shared" si="171"/>
        <v>-</v>
      </c>
      <c r="AB171" s="16" t="str">
        <f t="shared" si="157"/>
        <v>-</v>
      </c>
      <c r="AC171" s="16" t="str">
        <f t="shared" si="158"/>
        <v>-</v>
      </c>
      <c r="AD171" s="16" t="str">
        <f t="shared" si="172"/>
        <v>-</v>
      </c>
      <c r="AE171" s="16"/>
      <c r="AF171" s="31" t="str">
        <f>IFERROR(INDEX(Supermarket!$P$11:$P$170,MATCH('Calculations - Supermarket'!C171,Supermarket!$M$11:$M$170,0)),"")</f>
        <v/>
      </c>
      <c r="AG171" s="23" t="str">
        <f t="shared" si="173"/>
        <v/>
      </c>
      <c r="AH171" s="23" t="str">
        <f t="shared" si="174"/>
        <v/>
      </c>
      <c r="AI171" s="9" t="str">
        <f t="shared" si="159"/>
        <v/>
      </c>
      <c r="AJ171" s="4" t="str">
        <f t="shared" si="160"/>
        <v/>
      </c>
      <c r="AK171" s="4"/>
      <c r="AL171" s="4"/>
      <c r="AM171" s="4"/>
      <c r="AN171" s="4"/>
      <c r="AO171" s="4"/>
      <c r="AP171" s="20" t="str">
        <f t="shared" si="161"/>
        <v>-</v>
      </c>
      <c r="AQ171" s="13" t="str">
        <f t="shared" si="175"/>
        <v>-</v>
      </c>
      <c r="AR171" s="13" t="str">
        <f t="shared" si="176"/>
        <v>-</v>
      </c>
      <c r="AS171" s="13" t="str">
        <f t="shared" si="162"/>
        <v>-</v>
      </c>
      <c r="AT171" s="16" t="str">
        <f t="shared" si="177"/>
        <v>-</v>
      </c>
      <c r="AU171" s="16" t="str">
        <f t="shared" si="163"/>
        <v>-</v>
      </c>
      <c r="AV171" s="16" t="str">
        <f t="shared" si="164"/>
        <v>-</v>
      </c>
      <c r="AW171" s="16" t="str">
        <f t="shared" si="178"/>
        <v>-</v>
      </c>
      <c r="AX171" s="13" t="str">
        <f t="shared" si="179"/>
        <v>-</v>
      </c>
      <c r="AY171" s="10" t="str">
        <f t="shared" si="180"/>
        <v>-</v>
      </c>
      <c r="AZ171" s="9" t="str">
        <f t="shared" si="181"/>
        <v>-</v>
      </c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</row>
    <row r="172" spans="2:68" x14ac:dyDescent="0.3">
      <c r="B172" s="108" t="str">
        <f t="shared" si="165"/>
        <v/>
      </c>
      <c r="C172" s="108" t="str">
        <f t="shared" si="149"/>
        <v/>
      </c>
      <c r="D172" s="3"/>
      <c r="E172" s="3"/>
      <c r="F172" s="3"/>
      <c r="G172" s="20">
        <f>IFERROR(INDEX('Input - Supermarket'!F$2:F$200,MATCH('Calculations - Supermarket'!$C172,'Input - Supermarket'!$B$2:$B$200,0)),"")</f>
        <v>0</v>
      </c>
      <c r="H172" s="20">
        <f>IFERROR(INDEX('Input - Supermarket'!G$2:G$200,MATCH('Calculations - Supermarket'!$C172,'Input - Supermarket'!$B$2:$B$200,0)),"")</f>
        <v>0</v>
      </c>
      <c r="I172" s="21">
        <f>IFERROR(INDEX('Input - Supermarket'!H$2:H$200,MATCH('Calculations - Supermarket'!$C172,'Input - Supermarket'!$B$2:$B$200,0)),"")</f>
        <v>0</v>
      </c>
      <c r="J172" s="21">
        <f>IFERROR(INDEX('Input - Supermarket'!I$2:I$200,MATCH('Calculations - Supermarket'!$C172,'Input - Supermarket'!$B$2:$B$200,0)),"")</f>
        <v>0</v>
      </c>
      <c r="K172" s="20">
        <f>IFERROR(INDEX('Input - Supermarket'!J$2:J$200,MATCH('Calculations - Supermarket'!$C172,'Input - Supermarket'!$B$2:$B$200,0)),"")</f>
        <v>0</v>
      </c>
      <c r="L172" s="20">
        <f>IFERROR(INDEX('Input - Supermarket'!K$2:K$200,MATCH('Calculations - Supermarket'!$C172,'Input - Supermarket'!$B$2:$B$200,0)),"")</f>
        <v>0</v>
      </c>
      <c r="M172" s="21" t="str">
        <f t="shared" si="166"/>
        <v/>
      </c>
      <c r="N172" s="21" t="str">
        <f t="shared" si="150"/>
        <v/>
      </c>
      <c r="O172" s="21">
        <f t="shared" si="167"/>
        <v>0</v>
      </c>
      <c r="P172" s="9">
        <f t="shared" si="151"/>
        <v>0</v>
      </c>
      <c r="Q172" s="9">
        <f t="shared" si="152"/>
        <v>0</v>
      </c>
      <c r="R172" s="22" t="str">
        <f>IFERROR(INDEX(Supermarket!$Q$11:$Q$170,MATCH('Calculations - Supermarket'!$C172,Supermarket!$M$11:$M$170,0)),"")</f>
        <v/>
      </c>
      <c r="S172" s="22" t="str">
        <f>IFERROR(INDEX(Supermarket!$R$11:$R$170,MATCH('Calculations - Supermarket'!$C172,Supermarket!$M$11:$M$170,0)),"")</f>
        <v/>
      </c>
      <c r="T172" s="16" t="e">
        <f t="shared" si="153"/>
        <v>#VALUE!</v>
      </c>
      <c r="U172" s="16" t="e">
        <f t="shared" si="168"/>
        <v>#VALUE!</v>
      </c>
      <c r="V172" s="16" t="e">
        <f t="shared" si="169"/>
        <v>#VALUE!</v>
      </c>
      <c r="W172" s="10" t="str">
        <f t="shared" si="154"/>
        <v>-</v>
      </c>
      <c r="X172" s="10" t="str">
        <f t="shared" si="155"/>
        <v>-</v>
      </c>
      <c r="Y172" s="13" t="str">
        <f t="shared" si="170"/>
        <v>-</v>
      </c>
      <c r="Z172" s="9" t="str">
        <f t="shared" si="156"/>
        <v>-</v>
      </c>
      <c r="AA172" s="16" t="str">
        <f t="shared" si="171"/>
        <v>-</v>
      </c>
      <c r="AB172" s="16" t="str">
        <f t="shared" si="157"/>
        <v>-</v>
      </c>
      <c r="AC172" s="16" t="str">
        <f t="shared" si="158"/>
        <v>-</v>
      </c>
      <c r="AD172" s="16" t="str">
        <f t="shared" si="172"/>
        <v>-</v>
      </c>
      <c r="AE172" s="16"/>
      <c r="AF172" s="31" t="str">
        <f>IFERROR(INDEX(Supermarket!$P$11:$P$170,MATCH('Calculations - Supermarket'!C172,Supermarket!$M$11:$M$170,0)),"")</f>
        <v/>
      </c>
      <c r="AG172" s="23" t="str">
        <f t="shared" si="173"/>
        <v/>
      </c>
      <c r="AH172" s="23" t="str">
        <f t="shared" si="174"/>
        <v/>
      </c>
      <c r="AI172" s="9" t="str">
        <f t="shared" si="159"/>
        <v/>
      </c>
      <c r="AJ172" s="4" t="str">
        <f t="shared" si="160"/>
        <v/>
      </c>
      <c r="AK172" s="4"/>
      <c r="AL172" s="4"/>
      <c r="AM172" s="4"/>
      <c r="AN172" s="4"/>
      <c r="AO172" s="4"/>
      <c r="AP172" s="20" t="str">
        <f t="shared" si="161"/>
        <v>-</v>
      </c>
      <c r="AQ172" s="13" t="str">
        <f t="shared" si="175"/>
        <v>-</v>
      </c>
      <c r="AR172" s="13" t="str">
        <f t="shared" si="176"/>
        <v>-</v>
      </c>
      <c r="AS172" s="13" t="str">
        <f t="shared" si="162"/>
        <v>-</v>
      </c>
      <c r="AT172" s="16" t="str">
        <f t="shared" si="177"/>
        <v>-</v>
      </c>
      <c r="AU172" s="16" t="str">
        <f t="shared" si="163"/>
        <v>-</v>
      </c>
      <c r="AV172" s="16" t="str">
        <f t="shared" si="164"/>
        <v>-</v>
      </c>
      <c r="AW172" s="16" t="str">
        <f t="shared" si="178"/>
        <v>-</v>
      </c>
      <c r="AX172" s="13" t="str">
        <f t="shared" si="179"/>
        <v>-</v>
      </c>
      <c r="AY172" s="10" t="str">
        <f t="shared" si="180"/>
        <v>-</v>
      </c>
      <c r="AZ172" s="9" t="str">
        <f t="shared" si="181"/>
        <v>-</v>
      </c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</row>
    <row r="173" spans="2:68" x14ac:dyDescent="0.3">
      <c r="B173" s="108" t="str">
        <f t="shared" si="165"/>
        <v/>
      </c>
      <c r="C173" s="108" t="str">
        <f t="shared" si="149"/>
        <v/>
      </c>
      <c r="D173" s="3"/>
      <c r="E173" s="3"/>
      <c r="F173" s="3"/>
      <c r="G173" s="20">
        <f>IFERROR(INDEX('Input - Supermarket'!F$2:F$200,MATCH('Calculations - Supermarket'!$C173,'Input - Supermarket'!$B$2:$B$200,0)),"")</f>
        <v>0</v>
      </c>
      <c r="H173" s="20">
        <f>IFERROR(INDEX('Input - Supermarket'!G$2:G$200,MATCH('Calculations - Supermarket'!$C173,'Input - Supermarket'!$B$2:$B$200,0)),"")</f>
        <v>0</v>
      </c>
      <c r="I173" s="21">
        <f>IFERROR(INDEX('Input - Supermarket'!H$2:H$200,MATCH('Calculations - Supermarket'!$C173,'Input - Supermarket'!$B$2:$B$200,0)),"")</f>
        <v>0</v>
      </c>
      <c r="J173" s="21">
        <f>IFERROR(INDEX('Input - Supermarket'!I$2:I$200,MATCH('Calculations - Supermarket'!$C173,'Input - Supermarket'!$B$2:$B$200,0)),"")</f>
        <v>0</v>
      </c>
      <c r="K173" s="20">
        <f>IFERROR(INDEX('Input - Supermarket'!J$2:J$200,MATCH('Calculations - Supermarket'!$C173,'Input - Supermarket'!$B$2:$B$200,0)),"")</f>
        <v>0</v>
      </c>
      <c r="L173" s="20">
        <f>IFERROR(INDEX('Input - Supermarket'!K$2:K$200,MATCH('Calculations - Supermarket'!$C173,'Input - Supermarket'!$B$2:$B$200,0)),"")</f>
        <v>0</v>
      </c>
      <c r="M173" s="21" t="str">
        <f t="shared" si="166"/>
        <v/>
      </c>
      <c r="N173" s="21" t="str">
        <f t="shared" si="150"/>
        <v/>
      </c>
      <c r="O173" s="21">
        <f t="shared" si="167"/>
        <v>0</v>
      </c>
      <c r="P173" s="9">
        <f t="shared" si="151"/>
        <v>0</v>
      </c>
      <c r="Q173" s="9">
        <f t="shared" si="152"/>
        <v>0</v>
      </c>
      <c r="R173" s="22" t="str">
        <f>IFERROR(INDEX(Supermarket!$Q$11:$Q$170,MATCH('Calculations - Supermarket'!$C173,Supermarket!$M$11:$M$170,0)),"")</f>
        <v/>
      </c>
      <c r="S173" s="22" t="str">
        <f>IFERROR(INDEX(Supermarket!$R$11:$R$170,MATCH('Calculations - Supermarket'!$C173,Supermarket!$M$11:$M$170,0)),"")</f>
        <v/>
      </c>
      <c r="T173" s="16" t="e">
        <f t="shared" si="153"/>
        <v>#VALUE!</v>
      </c>
      <c r="U173" s="16" t="e">
        <f t="shared" si="168"/>
        <v>#VALUE!</v>
      </c>
      <c r="V173" s="16" t="e">
        <f t="shared" si="169"/>
        <v>#VALUE!</v>
      </c>
      <c r="W173" s="10" t="str">
        <f t="shared" si="154"/>
        <v>-</v>
      </c>
      <c r="X173" s="10" t="str">
        <f t="shared" si="155"/>
        <v>-</v>
      </c>
      <c r="Y173" s="13" t="str">
        <f t="shared" si="170"/>
        <v>-</v>
      </c>
      <c r="Z173" s="9" t="str">
        <f t="shared" si="156"/>
        <v>-</v>
      </c>
      <c r="AA173" s="16" t="str">
        <f t="shared" si="171"/>
        <v>-</v>
      </c>
      <c r="AB173" s="16" t="str">
        <f t="shared" si="157"/>
        <v>-</v>
      </c>
      <c r="AC173" s="16" t="str">
        <f t="shared" si="158"/>
        <v>-</v>
      </c>
      <c r="AD173" s="16" t="str">
        <f t="shared" si="172"/>
        <v>-</v>
      </c>
      <c r="AE173" s="16"/>
      <c r="AF173" s="31" t="str">
        <f>IFERROR(INDEX(Supermarket!$P$11:$P$170,MATCH('Calculations - Supermarket'!C173,Supermarket!$M$11:$M$170,0)),"")</f>
        <v/>
      </c>
      <c r="AG173" s="23" t="str">
        <f t="shared" si="173"/>
        <v/>
      </c>
      <c r="AH173" s="23" t="str">
        <f t="shared" si="174"/>
        <v/>
      </c>
      <c r="AI173" s="9" t="str">
        <f t="shared" si="159"/>
        <v/>
      </c>
      <c r="AJ173" s="4" t="str">
        <f t="shared" si="160"/>
        <v/>
      </c>
      <c r="AK173" s="4"/>
      <c r="AL173" s="4"/>
      <c r="AM173" s="4"/>
      <c r="AN173" s="4"/>
      <c r="AO173" s="4"/>
      <c r="AP173" s="20" t="str">
        <f t="shared" si="161"/>
        <v>-</v>
      </c>
      <c r="AQ173" s="13" t="str">
        <f t="shared" si="175"/>
        <v>-</v>
      </c>
      <c r="AR173" s="13" t="str">
        <f t="shared" si="176"/>
        <v>-</v>
      </c>
      <c r="AS173" s="13" t="str">
        <f t="shared" si="162"/>
        <v>-</v>
      </c>
      <c r="AT173" s="16" t="str">
        <f t="shared" si="177"/>
        <v>-</v>
      </c>
      <c r="AU173" s="16" t="str">
        <f t="shared" si="163"/>
        <v>-</v>
      </c>
      <c r="AV173" s="16" t="str">
        <f t="shared" si="164"/>
        <v>-</v>
      </c>
      <c r="AW173" s="16" t="str">
        <f t="shared" si="178"/>
        <v>-</v>
      </c>
      <c r="AX173" s="13" t="str">
        <f t="shared" si="179"/>
        <v>-</v>
      </c>
      <c r="AY173" s="10" t="str">
        <f t="shared" si="180"/>
        <v>-</v>
      </c>
      <c r="AZ173" s="9" t="str">
        <f t="shared" si="181"/>
        <v>-</v>
      </c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</row>
    <row r="174" spans="2:68" x14ac:dyDescent="0.3">
      <c r="B174" s="108" t="str">
        <f t="shared" si="165"/>
        <v/>
      </c>
      <c r="C174" s="108" t="str">
        <f t="shared" si="149"/>
        <v/>
      </c>
      <c r="D174" s="3"/>
      <c r="E174" s="3"/>
      <c r="F174" s="3"/>
      <c r="G174" s="20">
        <f>IFERROR(INDEX('Input - Supermarket'!F$2:F$200,MATCH('Calculations - Supermarket'!$C174,'Input - Supermarket'!$B$2:$B$200,0)),"")</f>
        <v>0</v>
      </c>
      <c r="H174" s="20">
        <f>IFERROR(INDEX('Input - Supermarket'!G$2:G$200,MATCH('Calculations - Supermarket'!$C174,'Input - Supermarket'!$B$2:$B$200,0)),"")</f>
        <v>0</v>
      </c>
      <c r="I174" s="21">
        <f>IFERROR(INDEX('Input - Supermarket'!H$2:H$200,MATCH('Calculations - Supermarket'!$C174,'Input - Supermarket'!$B$2:$B$200,0)),"")</f>
        <v>0</v>
      </c>
      <c r="J174" s="21">
        <f>IFERROR(INDEX('Input - Supermarket'!I$2:I$200,MATCH('Calculations - Supermarket'!$C174,'Input - Supermarket'!$B$2:$B$200,0)),"")</f>
        <v>0</v>
      </c>
      <c r="K174" s="20">
        <f>IFERROR(INDEX('Input - Supermarket'!J$2:J$200,MATCH('Calculations - Supermarket'!$C174,'Input - Supermarket'!$B$2:$B$200,0)),"")</f>
        <v>0</v>
      </c>
      <c r="L174" s="20">
        <f>IFERROR(INDEX('Input - Supermarket'!K$2:K$200,MATCH('Calculations - Supermarket'!$C174,'Input - Supermarket'!$B$2:$B$200,0)),"")</f>
        <v>0</v>
      </c>
      <c r="M174" s="21" t="str">
        <f t="shared" si="166"/>
        <v/>
      </c>
      <c r="N174" s="21" t="str">
        <f t="shared" si="150"/>
        <v/>
      </c>
      <c r="O174" s="21">
        <f t="shared" si="167"/>
        <v>0</v>
      </c>
      <c r="P174" s="9">
        <f t="shared" si="151"/>
        <v>0</v>
      </c>
      <c r="Q174" s="9">
        <f t="shared" si="152"/>
        <v>0</v>
      </c>
      <c r="R174" s="22" t="str">
        <f>IFERROR(INDEX(Supermarket!$Q$11:$Q$170,MATCH('Calculations - Supermarket'!$C174,Supermarket!$M$11:$M$170,0)),"")</f>
        <v/>
      </c>
      <c r="S174" s="22" t="str">
        <f>IFERROR(INDEX(Supermarket!$R$11:$R$170,MATCH('Calculations - Supermarket'!$C174,Supermarket!$M$11:$M$170,0)),"")</f>
        <v/>
      </c>
      <c r="T174" s="16" t="e">
        <f t="shared" si="153"/>
        <v>#VALUE!</v>
      </c>
      <c r="U174" s="16" t="e">
        <f t="shared" si="168"/>
        <v>#VALUE!</v>
      </c>
      <c r="V174" s="16" t="e">
        <f t="shared" si="169"/>
        <v>#VALUE!</v>
      </c>
      <c r="W174" s="10" t="str">
        <f t="shared" si="154"/>
        <v>-</v>
      </c>
      <c r="X174" s="10" t="str">
        <f t="shared" si="155"/>
        <v>-</v>
      </c>
      <c r="Y174" s="13" t="str">
        <f t="shared" si="170"/>
        <v>-</v>
      </c>
      <c r="Z174" s="9" t="str">
        <f t="shared" si="156"/>
        <v>-</v>
      </c>
      <c r="AA174" s="16" t="str">
        <f t="shared" si="171"/>
        <v>-</v>
      </c>
      <c r="AB174" s="16" t="str">
        <f t="shared" si="157"/>
        <v>-</v>
      </c>
      <c r="AC174" s="16" t="str">
        <f t="shared" si="158"/>
        <v>-</v>
      </c>
      <c r="AD174" s="16" t="str">
        <f t="shared" si="172"/>
        <v>-</v>
      </c>
      <c r="AE174" s="16"/>
      <c r="AF174" s="31" t="str">
        <f>IFERROR(INDEX(Supermarket!$P$11:$P$170,MATCH('Calculations - Supermarket'!C174,Supermarket!$M$11:$M$170,0)),"")</f>
        <v/>
      </c>
      <c r="AG174" s="23" t="str">
        <f t="shared" si="173"/>
        <v/>
      </c>
      <c r="AH174" s="23" t="str">
        <f t="shared" si="174"/>
        <v/>
      </c>
      <c r="AI174" s="9" t="str">
        <f t="shared" si="159"/>
        <v/>
      </c>
      <c r="AJ174" s="4" t="str">
        <f t="shared" si="160"/>
        <v/>
      </c>
      <c r="AK174" s="4"/>
      <c r="AL174" s="4"/>
      <c r="AM174" s="4"/>
      <c r="AN174" s="4"/>
      <c r="AO174" s="4"/>
      <c r="AP174" s="20" t="str">
        <f t="shared" si="161"/>
        <v>-</v>
      </c>
      <c r="AQ174" s="13" t="str">
        <f t="shared" si="175"/>
        <v>-</v>
      </c>
      <c r="AR174" s="13" t="str">
        <f t="shared" si="176"/>
        <v>-</v>
      </c>
      <c r="AS174" s="13" t="str">
        <f t="shared" si="162"/>
        <v>-</v>
      </c>
      <c r="AT174" s="16" t="str">
        <f t="shared" si="177"/>
        <v>-</v>
      </c>
      <c r="AU174" s="16" t="str">
        <f t="shared" si="163"/>
        <v>-</v>
      </c>
      <c r="AV174" s="16" t="str">
        <f t="shared" si="164"/>
        <v>-</v>
      </c>
      <c r="AW174" s="16" t="str">
        <f t="shared" si="178"/>
        <v>-</v>
      </c>
      <c r="AX174" s="13" t="str">
        <f t="shared" si="179"/>
        <v>-</v>
      </c>
      <c r="AY174" s="10" t="str">
        <f t="shared" si="180"/>
        <v>-</v>
      </c>
      <c r="AZ174" s="9" t="str">
        <f t="shared" si="181"/>
        <v>-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</row>
    <row r="175" spans="2:68" x14ac:dyDescent="0.3">
      <c r="B175" s="108" t="str">
        <f t="shared" si="165"/>
        <v/>
      </c>
      <c r="C175" s="108" t="str">
        <f t="shared" si="149"/>
        <v/>
      </c>
      <c r="D175" s="3"/>
      <c r="E175" s="3"/>
      <c r="F175" s="3"/>
      <c r="G175" s="20">
        <f>IFERROR(INDEX('Input - Supermarket'!F$2:F$200,MATCH('Calculations - Supermarket'!$C175,'Input - Supermarket'!$B$2:$B$200,0)),"")</f>
        <v>0</v>
      </c>
      <c r="H175" s="20">
        <f>IFERROR(INDEX('Input - Supermarket'!G$2:G$200,MATCH('Calculations - Supermarket'!$C175,'Input - Supermarket'!$B$2:$B$200,0)),"")</f>
        <v>0</v>
      </c>
      <c r="I175" s="21">
        <f>IFERROR(INDEX('Input - Supermarket'!H$2:H$200,MATCH('Calculations - Supermarket'!$C175,'Input - Supermarket'!$B$2:$B$200,0)),"")</f>
        <v>0</v>
      </c>
      <c r="J175" s="21">
        <f>IFERROR(INDEX('Input - Supermarket'!I$2:I$200,MATCH('Calculations - Supermarket'!$C175,'Input - Supermarket'!$B$2:$B$200,0)),"")</f>
        <v>0</v>
      </c>
      <c r="K175" s="20">
        <f>IFERROR(INDEX('Input - Supermarket'!J$2:J$200,MATCH('Calculations - Supermarket'!$C175,'Input - Supermarket'!$B$2:$B$200,0)),"")</f>
        <v>0</v>
      </c>
      <c r="L175" s="20">
        <f>IFERROR(INDEX('Input - Supermarket'!K$2:K$200,MATCH('Calculations - Supermarket'!$C175,'Input - Supermarket'!$B$2:$B$200,0)),"")</f>
        <v>0</v>
      </c>
      <c r="M175" s="21" t="str">
        <f t="shared" si="166"/>
        <v/>
      </c>
      <c r="N175" s="21" t="str">
        <f t="shared" si="150"/>
        <v/>
      </c>
      <c r="O175" s="21">
        <f t="shared" si="167"/>
        <v>0</v>
      </c>
      <c r="P175" s="9">
        <f t="shared" si="151"/>
        <v>0</v>
      </c>
      <c r="Q175" s="9">
        <f t="shared" si="152"/>
        <v>0</v>
      </c>
      <c r="R175" s="22" t="str">
        <f>IFERROR(INDEX(Supermarket!$Q$11:$Q$170,MATCH('Calculations - Supermarket'!$C175,Supermarket!$M$11:$M$170,0)),"")</f>
        <v/>
      </c>
      <c r="S175" s="22" t="str">
        <f>IFERROR(INDEX(Supermarket!$R$11:$R$170,MATCH('Calculations - Supermarket'!$C175,Supermarket!$M$11:$M$170,0)),"")</f>
        <v/>
      </c>
      <c r="T175" s="16" t="e">
        <f t="shared" si="153"/>
        <v>#VALUE!</v>
      </c>
      <c r="U175" s="16" t="e">
        <f t="shared" si="168"/>
        <v>#VALUE!</v>
      </c>
      <c r="V175" s="16" t="e">
        <f t="shared" si="169"/>
        <v>#VALUE!</v>
      </c>
      <c r="W175" s="10" t="str">
        <f t="shared" si="154"/>
        <v>-</v>
      </c>
      <c r="X175" s="10" t="str">
        <f t="shared" si="155"/>
        <v>-</v>
      </c>
      <c r="Y175" s="13" t="str">
        <f t="shared" si="170"/>
        <v>-</v>
      </c>
      <c r="Z175" s="9" t="str">
        <f t="shared" si="156"/>
        <v>-</v>
      </c>
      <c r="AA175" s="16" t="str">
        <f t="shared" si="171"/>
        <v>-</v>
      </c>
      <c r="AB175" s="16" t="str">
        <f t="shared" si="157"/>
        <v>-</v>
      </c>
      <c r="AC175" s="16" t="str">
        <f t="shared" si="158"/>
        <v>-</v>
      </c>
      <c r="AD175" s="16" t="str">
        <f t="shared" si="172"/>
        <v>-</v>
      </c>
      <c r="AE175" s="16"/>
      <c r="AF175" s="31" t="str">
        <f>IFERROR(INDEX(Supermarket!$P$11:$P$170,MATCH('Calculations - Supermarket'!C175,Supermarket!$M$11:$M$170,0)),"")</f>
        <v/>
      </c>
      <c r="AG175" s="23" t="str">
        <f t="shared" si="173"/>
        <v/>
      </c>
      <c r="AH175" s="23" t="str">
        <f t="shared" si="174"/>
        <v/>
      </c>
      <c r="AI175" s="9" t="str">
        <f t="shared" si="159"/>
        <v/>
      </c>
      <c r="AJ175" s="4" t="str">
        <f t="shared" si="160"/>
        <v/>
      </c>
      <c r="AK175" s="4"/>
      <c r="AL175" s="4"/>
      <c r="AM175" s="4"/>
      <c r="AN175" s="4"/>
      <c r="AO175" s="4"/>
      <c r="AP175" s="20" t="str">
        <f t="shared" si="161"/>
        <v>-</v>
      </c>
      <c r="AQ175" s="13" t="str">
        <f t="shared" si="175"/>
        <v>-</v>
      </c>
      <c r="AR175" s="13" t="str">
        <f t="shared" si="176"/>
        <v>-</v>
      </c>
      <c r="AS175" s="13" t="str">
        <f t="shared" si="162"/>
        <v>-</v>
      </c>
      <c r="AT175" s="16" t="str">
        <f t="shared" si="177"/>
        <v>-</v>
      </c>
      <c r="AU175" s="16" t="str">
        <f t="shared" si="163"/>
        <v>-</v>
      </c>
      <c r="AV175" s="16" t="str">
        <f t="shared" si="164"/>
        <v>-</v>
      </c>
      <c r="AW175" s="16" t="str">
        <f t="shared" si="178"/>
        <v>-</v>
      </c>
      <c r="AX175" s="13" t="str">
        <f t="shared" si="179"/>
        <v>-</v>
      </c>
      <c r="AY175" s="10" t="str">
        <f t="shared" si="180"/>
        <v>-</v>
      </c>
      <c r="AZ175" s="9" t="str">
        <f t="shared" si="181"/>
        <v>-</v>
      </c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</row>
    <row r="176" spans="2:68" x14ac:dyDescent="0.3">
      <c r="B176" s="108" t="str">
        <f t="shared" si="165"/>
        <v/>
      </c>
      <c r="C176" s="108" t="str">
        <f t="shared" si="149"/>
        <v/>
      </c>
      <c r="D176" s="3"/>
      <c r="E176" s="3"/>
      <c r="F176" s="3"/>
      <c r="G176" s="20">
        <f>IFERROR(INDEX('Input - Supermarket'!F$2:F$200,MATCH('Calculations - Supermarket'!$C176,'Input - Supermarket'!$B$2:$B$200,0)),"")</f>
        <v>0</v>
      </c>
      <c r="H176" s="20">
        <f>IFERROR(INDEX('Input - Supermarket'!G$2:G$200,MATCH('Calculations - Supermarket'!$C176,'Input - Supermarket'!$B$2:$B$200,0)),"")</f>
        <v>0</v>
      </c>
      <c r="I176" s="21">
        <f>IFERROR(INDEX('Input - Supermarket'!H$2:H$200,MATCH('Calculations - Supermarket'!$C176,'Input - Supermarket'!$B$2:$B$200,0)),"")</f>
        <v>0</v>
      </c>
      <c r="J176" s="21">
        <f>IFERROR(INDEX('Input - Supermarket'!I$2:I$200,MATCH('Calculations - Supermarket'!$C176,'Input - Supermarket'!$B$2:$B$200,0)),"")</f>
        <v>0</v>
      </c>
      <c r="K176" s="20">
        <f>IFERROR(INDEX('Input - Supermarket'!J$2:J$200,MATCH('Calculations - Supermarket'!$C176,'Input - Supermarket'!$B$2:$B$200,0)),"")</f>
        <v>0</v>
      </c>
      <c r="L176" s="20">
        <f>IFERROR(INDEX('Input - Supermarket'!K$2:K$200,MATCH('Calculations - Supermarket'!$C176,'Input - Supermarket'!$B$2:$B$200,0)),"")</f>
        <v>0</v>
      </c>
      <c r="M176" s="21" t="str">
        <f t="shared" si="166"/>
        <v/>
      </c>
      <c r="N176" s="21" t="str">
        <f t="shared" si="150"/>
        <v/>
      </c>
      <c r="O176" s="21">
        <f t="shared" si="167"/>
        <v>0</v>
      </c>
      <c r="P176" s="9">
        <f t="shared" si="151"/>
        <v>0</v>
      </c>
      <c r="Q176" s="9">
        <f t="shared" si="152"/>
        <v>0</v>
      </c>
      <c r="R176" s="22" t="str">
        <f>IFERROR(INDEX(Supermarket!$Q$11:$Q$170,MATCH('Calculations - Supermarket'!$C176,Supermarket!$M$11:$M$170,0)),"")</f>
        <v/>
      </c>
      <c r="S176" s="22" t="str">
        <f>IFERROR(INDEX(Supermarket!$R$11:$R$170,MATCH('Calculations - Supermarket'!$C176,Supermarket!$M$11:$M$170,0)),"")</f>
        <v/>
      </c>
      <c r="T176" s="16" t="e">
        <f t="shared" si="153"/>
        <v>#VALUE!</v>
      </c>
      <c r="U176" s="16" t="e">
        <f t="shared" si="168"/>
        <v>#VALUE!</v>
      </c>
      <c r="V176" s="16" t="e">
        <f t="shared" si="169"/>
        <v>#VALUE!</v>
      </c>
      <c r="W176" s="10" t="str">
        <f t="shared" si="154"/>
        <v>-</v>
      </c>
      <c r="X176" s="10" t="str">
        <f t="shared" si="155"/>
        <v>-</v>
      </c>
      <c r="Y176" s="13" t="str">
        <f t="shared" si="170"/>
        <v>-</v>
      </c>
      <c r="Z176" s="9" t="str">
        <f t="shared" si="156"/>
        <v>-</v>
      </c>
      <c r="AA176" s="16" t="str">
        <f t="shared" si="171"/>
        <v>-</v>
      </c>
      <c r="AB176" s="16" t="str">
        <f t="shared" si="157"/>
        <v>-</v>
      </c>
      <c r="AC176" s="16" t="str">
        <f t="shared" si="158"/>
        <v>-</v>
      </c>
      <c r="AD176" s="16" t="str">
        <f t="shared" si="172"/>
        <v>-</v>
      </c>
      <c r="AE176" s="16"/>
      <c r="AF176" s="31" t="str">
        <f>IFERROR(INDEX(Supermarket!$P$11:$P$170,MATCH('Calculations - Supermarket'!C176,Supermarket!$M$11:$M$170,0)),"")</f>
        <v/>
      </c>
      <c r="AG176" s="23" t="str">
        <f t="shared" si="173"/>
        <v/>
      </c>
      <c r="AH176" s="23" t="str">
        <f t="shared" si="174"/>
        <v/>
      </c>
      <c r="AI176" s="9" t="str">
        <f t="shared" si="159"/>
        <v/>
      </c>
      <c r="AJ176" s="4" t="str">
        <f t="shared" si="160"/>
        <v/>
      </c>
      <c r="AK176" s="4"/>
      <c r="AL176" s="4"/>
      <c r="AM176" s="4"/>
      <c r="AN176" s="4"/>
      <c r="AO176" s="4"/>
      <c r="AP176" s="20" t="str">
        <f t="shared" si="161"/>
        <v>-</v>
      </c>
      <c r="AQ176" s="13" t="str">
        <f t="shared" si="175"/>
        <v>-</v>
      </c>
      <c r="AR176" s="13" t="str">
        <f t="shared" si="176"/>
        <v>-</v>
      </c>
      <c r="AS176" s="13" t="str">
        <f t="shared" si="162"/>
        <v>-</v>
      </c>
      <c r="AT176" s="16" t="str">
        <f t="shared" si="177"/>
        <v>-</v>
      </c>
      <c r="AU176" s="16" t="str">
        <f t="shared" si="163"/>
        <v>-</v>
      </c>
      <c r="AV176" s="16" t="str">
        <f t="shared" si="164"/>
        <v>-</v>
      </c>
      <c r="AW176" s="16" t="str">
        <f t="shared" si="178"/>
        <v>-</v>
      </c>
      <c r="AX176" s="13" t="str">
        <f t="shared" si="179"/>
        <v>-</v>
      </c>
      <c r="AY176" s="10" t="str">
        <f t="shared" si="180"/>
        <v>-</v>
      </c>
      <c r="AZ176" s="9" t="str">
        <f t="shared" si="181"/>
        <v>-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</row>
    <row r="177" spans="2:68" x14ac:dyDescent="0.3">
      <c r="B177" s="108" t="str">
        <f t="shared" si="165"/>
        <v/>
      </c>
      <c r="C177" s="108" t="str">
        <f t="shared" si="149"/>
        <v/>
      </c>
      <c r="D177" s="3"/>
      <c r="E177" s="3"/>
      <c r="F177" s="3"/>
      <c r="G177" s="20">
        <f>IFERROR(INDEX('Input - Supermarket'!F$2:F$200,MATCH('Calculations - Supermarket'!$C177,'Input - Supermarket'!$B$2:$B$200,0)),"")</f>
        <v>0</v>
      </c>
      <c r="H177" s="20">
        <f>IFERROR(INDEX('Input - Supermarket'!G$2:G$200,MATCH('Calculations - Supermarket'!$C177,'Input - Supermarket'!$B$2:$B$200,0)),"")</f>
        <v>0</v>
      </c>
      <c r="I177" s="21">
        <f>IFERROR(INDEX('Input - Supermarket'!H$2:H$200,MATCH('Calculations - Supermarket'!$C177,'Input - Supermarket'!$B$2:$B$200,0)),"")</f>
        <v>0</v>
      </c>
      <c r="J177" s="21">
        <f>IFERROR(INDEX('Input - Supermarket'!I$2:I$200,MATCH('Calculations - Supermarket'!$C177,'Input - Supermarket'!$B$2:$B$200,0)),"")</f>
        <v>0</v>
      </c>
      <c r="K177" s="20">
        <f>IFERROR(INDEX('Input - Supermarket'!J$2:J$200,MATCH('Calculations - Supermarket'!$C177,'Input - Supermarket'!$B$2:$B$200,0)),"")</f>
        <v>0</v>
      </c>
      <c r="L177" s="20">
        <f>IFERROR(INDEX('Input - Supermarket'!K$2:K$200,MATCH('Calculations - Supermarket'!$C177,'Input - Supermarket'!$B$2:$B$200,0)),"")</f>
        <v>0</v>
      </c>
      <c r="M177" s="21" t="str">
        <f t="shared" si="166"/>
        <v/>
      </c>
      <c r="N177" s="21" t="str">
        <f t="shared" si="150"/>
        <v/>
      </c>
      <c r="O177" s="21">
        <f t="shared" si="167"/>
        <v>0</v>
      </c>
      <c r="P177" s="9">
        <f t="shared" si="151"/>
        <v>0</v>
      </c>
      <c r="Q177" s="9">
        <f t="shared" si="152"/>
        <v>0</v>
      </c>
      <c r="R177" s="22" t="str">
        <f>IFERROR(INDEX(Supermarket!$Q$11:$Q$170,MATCH('Calculations - Supermarket'!$C177,Supermarket!$M$11:$M$170,0)),"")</f>
        <v/>
      </c>
      <c r="S177" s="22" t="str">
        <f>IFERROR(INDEX(Supermarket!$R$11:$R$170,MATCH('Calculations - Supermarket'!$C177,Supermarket!$M$11:$M$170,0)),"")</f>
        <v/>
      </c>
      <c r="T177" s="16" t="e">
        <f t="shared" si="153"/>
        <v>#VALUE!</v>
      </c>
      <c r="U177" s="16" t="e">
        <f t="shared" si="168"/>
        <v>#VALUE!</v>
      </c>
      <c r="V177" s="16" t="e">
        <f t="shared" si="169"/>
        <v>#VALUE!</v>
      </c>
      <c r="W177" s="10" t="str">
        <f t="shared" si="154"/>
        <v>-</v>
      </c>
      <c r="X177" s="10" t="str">
        <f t="shared" si="155"/>
        <v>-</v>
      </c>
      <c r="Y177" s="13" t="str">
        <f t="shared" si="170"/>
        <v>-</v>
      </c>
      <c r="Z177" s="9" t="str">
        <f t="shared" si="156"/>
        <v>-</v>
      </c>
      <c r="AA177" s="16" t="str">
        <f t="shared" si="171"/>
        <v>-</v>
      </c>
      <c r="AB177" s="16" t="str">
        <f t="shared" si="157"/>
        <v>-</v>
      </c>
      <c r="AC177" s="16" t="str">
        <f t="shared" si="158"/>
        <v>-</v>
      </c>
      <c r="AD177" s="16" t="str">
        <f t="shared" si="172"/>
        <v>-</v>
      </c>
      <c r="AE177" s="16"/>
      <c r="AF177" s="31" t="str">
        <f>IFERROR(INDEX(Supermarket!$P$11:$P$170,MATCH('Calculations - Supermarket'!C177,Supermarket!$M$11:$M$170,0)),"")</f>
        <v/>
      </c>
      <c r="AG177" s="23" t="str">
        <f t="shared" si="173"/>
        <v/>
      </c>
      <c r="AH177" s="23" t="str">
        <f t="shared" si="174"/>
        <v/>
      </c>
      <c r="AI177" s="9" t="str">
        <f t="shared" si="159"/>
        <v/>
      </c>
      <c r="AJ177" s="4" t="str">
        <f t="shared" si="160"/>
        <v/>
      </c>
      <c r="AK177" s="4"/>
      <c r="AL177" s="4"/>
      <c r="AM177" s="4"/>
      <c r="AN177" s="4"/>
      <c r="AO177" s="4"/>
      <c r="AP177" s="20" t="str">
        <f t="shared" si="161"/>
        <v>-</v>
      </c>
      <c r="AQ177" s="13" t="str">
        <f t="shared" si="175"/>
        <v>-</v>
      </c>
      <c r="AR177" s="13" t="str">
        <f t="shared" si="176"/>
        <v>-</v>
      </c>
      <c r="AS177" s="13" t="str">
        <f t="shared" si="162"/>
        <v>-</v>
      </c>
      <c r="AT177" s="16" t="str">
        <f t="shared" si="177"/>
        <v>-</v>
      </c>
      <c r="AU177" s="16" t="str">
        <f t="shared" si="163"/>
        <v>-</v>
      </c>
      <c r="AV177" s="16" t="str">
        <f t="shared" si="164"/>
        <v>-</v>
      </c>
      <c r="AW177" s="16" t="str">
        <f t="shared" si="178"/>
        <v>-</v>
      </c>
      <c r="AX177" s="13" t="str">
        <f t="shared" si="179"/>
        <v>-</v>
      </c>
      <c r="AY177" s="10" t="str">
        <f t="shared" si="180"/>
        <v>-</v>
      </c>
      <c r="AZ177" s="9" t="str">
        <f t="shared" si="181"/>
        <v>-</v>
      </c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</row>
    <row r="178" spans="2:68" x14ac:dyDescent="0.3">
      <c r="B178" s="108" t="str">
        <f t="shared" si="165"/>
        <v/>
      </c>
      <c r="C178" s="108" t="str">
        <f t="shared" si="149"/>
        <v/>
      </c>
      <c r="D178" s="3"/>
      <c r="E178" s="3"/>
      <c r="F178" s="3"/>
      <c r="G178" s="20">
        <f>IFERROR(INDEX('Input - Supermarket'!F$2:F$200,MATCH('Calculations - Supermarket'!$C178,'Input - Supermarket'!$B$2:$B$200,0)),"")</f>
        <v>0</v>
      </c>
      <c r="H178" s="20">
        <f>IFERROR(INDEX('Input - Supermarket'!G$2:G$200,MATCH('Calculations - Supermarket'!$C178,'Input - Supermarket'!$B$2:$B$200,0)),"")</f>
        <v>0</v>
      </c>
      <c r="I178" s="21">
        <f>IFERROR(INDEX('Input - Supermarket'!H$2:H$200,MATCH('Calculations - Supermarket'!$C178,'Input - Supermarket'!$B$2:$B$200,0)),"")</f>
        <v>0</v>
      </c>
      <c r="J178" s="21">
        <f>IFERROR(INDEX('Input - Supermarket'!I$2:I$200,MATCH('Calculations - Supermarket'!$C178,'Input - Supermarket'!$B$2:$B$200,0)),"")</f>
        <v>0</v>
      </c>
      <c r="K178" s="20">
        <f>IFERROR(INDEX('Input - Supermarket'!J$2:J$200,MATCH('Calculations - Supermarket'!$C178,'Input - Supermarket'!$B$2:$B$200,0)),"")</f>
        <v>0</v>
      </c>
      <c r="L178" s="20">
        <f>IFERROR(INDEX('Input - Supermarket'!K$2:K$200,MATCH('Calculations - Supermarket'!$C178,'Input - Supermarket'!$B$2:$B$200,0)),"")</f>
        <v>0</v>
      </c>
      <c r="M178" s="21" t="str">
        <f t="shared" si="166"/>
        <v/>
      </c>
      <c r="N178" s="21" t="str">
        <f t="shared" si="150"/>
        <v/>
      </c>
      <c r="O178" s="21">
        <f t="shared" si="167"/>
        <v>0</v>
      </c>
      <c r="P178" s="9">
        <f t="shared" si="151"/>
        <v>0</v>
      </c>
      <c r="Q178" s="9">
        <f t="shared" si="152"/>
        <v>0</v>
      </c>
      <c r="R178" s="22" t="str">
        <f>IFERROR(INDEX(Supermarket!$Q$11:$Q$170,MATCH('Calculations - Supermarket'!$C178,Supermarket!$M$11:$M$170,0)),"")</f>
        <v/>
      </c>
      <c r="S178" s="22" t="str">
        <f>IFERROR(INDEX(Supermarket!$R$11:$R$170,MATCH('Calculations - Supermarket'!$C178,Supermarket!$M$11:$M$170,0)),"")</f>
        <v/>
      </c>
      <c r="T178" s="16" t="e">
        <f t="shared" si="153"/>
        <v>#VALUE!</v>
      </c>
      <c r="U178" s="16" t="e">
        <f t="shared" si="168"/>
        <v>#VALUE!</v>
      </c>
      <c r="V178" s="16" t="e">
        <f t="shared" si="169"/>
        <v>#VALUE!</v>
      </c>
      <c r="W178" s="10" t="str">
        <f t="shared" si="154"/>
        <v>-</v>
      </c>
      <c r="X178" s="10" t="str">
        <f t="shared" si="155"/>
        <v>-</v>
      </c>
      <c r="Y178" s="13" t="str">
        <f t="shared" si="170"/>
        <v>-</v>
      </c>
      <c r="Z178" s="9" t="str">
        <f t="shared" si="156"/>
        <v>-</v>
      </c>
      <c r="AA178" s="16" t="str">
        <f t="shared" si="171"/>
        <v>-</v>
      </c>
      <c r="AB178" s="16" t="str">
        <f t="shared" si="157"/>
        <v>-</v>
      </c>
      <c r="AC178" s="16" t="str">
        <f t="shared" si="158"/>
        <v>-</v>
      </c>
      <c r="AD178" s="16" t="str">
        <f t="shared" si="172"/>
        <v>-</v>
      </c>
      <c r="AE178" s="16"/>
      <c r="AF178" s="31" t="str">
        <f>IFERROR(INDEX(Supermarket!$P$11:$P$170,MATCH('Calculations - Supermarket'!C178,Supermarket!$M$11:$M$170,0)),"")</f>
        <v/>
      </c>
      <c r="AG178" s="23" t="str">
        <f t="shared" si="173"/>
        <v/>
      </c>
      <c r="AH178" s="23" t="str">
        <f t="shared" si="174"/>
        <v/>
      </c>
      <c r="AI178" s="9" t="str">
        <f t="shared" si="159"/>
        <v/>
      </c>
      <c r="AJ178" s="4" t="str">
        <f t="shared" si="160"/>
        <v/>
      </c>
      <c r="AK178" s="4"/>
      <c r="AL178" s="4"/>
      <c r="AM178" s="4"/>
      <c r="AN178" s="4"/>
      <c r="AO178" s="4"/>
      <c r="AP178" s="20" t="str">
        <f t="shared" si="161"/>
        <v>-</v>
      </c>
      <c r="AQ178" s="13" t="str">
        <f t="shared" si="175"/>
        <v>-</v>
      </c>
      <c r="AR178" s="13" t="str">
        <f t="shared" si="176"/>
        <v>-</v>
      </c>
      <c r="AS178" s="13" t="str">
        <f t="shared" si="162"/>
        <v>-</v>
      </c>
      <c r="AT178" s="16" t="str">
        <f t="shared" si="177"/>
        <v>-</v>
      </c>
      <c r="AU178" s="16" t="str">
        <f t="shared" si="163"/>
        <v>-</v>
      </c>
      <c r="AV178" s="16" t="str">
        <f t="shared" si="164"/>
        <v>-</v>
      </c>
      <c r="AW178" s="16" t="str">
        <f t="shared" si="178"/>
        <v>-</v>
      </c>
      <c r="AX178" s="13" t="str">
        <f t="shared" si="179"/>
        <v>-</v>
      </c>
      <c r="AY178" s="10" t="str">
        <f t="shared" si="180"/>
        <v>-</v>
      </c>
      <c r="AZ178" s="9" t="str">
        <f t="shared" si="181"/>
        <v>-</v>
      </c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</row>
    <row r="179" spans="2:68" x14ac:dyDescent="0.3">
      <c r="B179" s="108" t="str">
        <f t="shared" si="165"/>
        <v/>
      </c>
      <c r="C179" s="108" t="str">
        <f t="shared" si="149"/>
        <v/>
      </c>
      <c r="D179" s="3"/>
      <c r="E179" s="3"/>
      <c r="F179" s="3"/>
      <c r="G179" s="20">
        <f>IFERROR(INDEX('Input - Supermarket'!F$2:F$200,MATCH('Calculations - Supermarket'!$C179,'Input - Supermarket'!$B$2:$B$200,0)),"")</f>
        <v>0</v>
      </c>
      <c r="H179" s="20">
        <f>IFERROR(INDEX('Input - Supermarket'!G$2:G$200,MATCH('Calculations - Supermarket'!$C179,'Input - Supermarket'!$B$2:$B$200,0)),"")</f>
        <v>0</v>
      </c>
      <c r="I179" s="21">
        <f>IFERROR(INDEX('Input - Supermarket'!H$2:H$200,MATCH('Calculations - Supermarket'!$C179,'Input - Supermarket'!$B$2:$B$200,0)),"")</f>
        <v>0</v>
      </c>
      <c r="J179" s="21">
        <f>IFERROR(INDEX('Input - Supermarket'!I$2:I$200,MATCH('Calculations - Supermarket'!$C179,'Input - Supermarket'!$B$2:$B$200,0)),"")</f>
        <v>0</v>
      </c>
      <c r="K179" s="20">
        <f>IFERROR(INDEX('Input - Supermarket'!J$2:J$200,MATCH('Calculations - Supermarket'!$C179,'Input - Supermarket'!$B$2:$B$200,0)),"")</f>
        <v>0</v>
      </c>
      <c r="L179" s="20">
        <f>IFERROR(INDEX('Input - Supermarket'!K$2:K$200,MATCH('Calculations - Supermarket'!$C179,'Input - Supermarket'!$B$2:$B$200,0)),"")</f>
        <v>0</v>
      </c>
      <c r="M179" s="21" t="str">
        <f t="shared" si="166"/>
        <v/>
      </c>
      <c r="N179" s="21" t="str">
        <f t="shared" si="150"/>
        <v/>
      </c>
      <c r="O179" s="21">
        <f t="shared" si="167"/>
        <v>0</v>
      </c>
      <c r="P179" s="9">
        <f t="shared" si="151"/>
        <v>0</v>
      </c>
      <c r="Q179" s="9">
        <f t="shared" si="152"/>
        <v>0</v>
      </c>
      <c r="R179" s="22" t="str">
        <f>IFERROR(INDEX(Supermarket!$Q$11:$Q$170,MATCH('Calculations - Supermarket'!$C179,Supermarket!$M$11:$M$170,0)),"")</f>
        <v/>
      </c>
      <c r="S179" s="22" t="str">
        <f>IFERROR(INDEX(Supermarket!$R$11:$R$170,MATCH('Calculations - Supermarket'!$C179,Supermarket!$M$11:$M$170,0)),"")</f>
        <v/>
      </c>
      <c r="T179" s="16" t="e">
        <f t="shared" si="153"/>
        <v>#VALUE!</v>
      </c>
      <c r="U179" s="16" t="e">
        <f t="shared" si="168"/>
        <v>#VALUE!</v>
      </c>
      <c r="V179" s="16" t="e">
        <f t="shared" si="169"/>
        <v>#VALUE!</v>
      </c>
      <c r="W179" s="10" t="str">
        <f t="shared" si="154"/>
        <v>-</v>
      </c>
      <c r="X179" s="10" t="str">
        <f t="shared" si="155"/>
        <v>-</v>
      </c>
      <c r="Y179" s="13" t="str">
        <f t="shared" si="170"/>
        <v>-</v>
      </c>
      <c r="Z179" s="9" t="str">
        <f t="shared" si="156"/>
        <v>-</v>
      </c>
      <c r="AA179" s="16" t="str">
        <f t="shared" si="171"/>
        <v>-</v>
      </c>
      <c r="AB179" s="16" t="str">
        <f t="shared" si="157"/>
        <v>-</v>
      </c>
      <c r="AC179" s="16" t="str">
        <f t="shared" si="158"/>
        <v>-</v>
      </c>
      <c r="AD179" s="16" t="str">
        <f t="shared" si="172"/>
        <v>-</v>
      </c>
      <c r="AE179" s="16"/>
      <c r="AF179" s="31" t="str">
        <f>IFERROR(INDEX(Supermarket!$P$11:$P$170,MATCH('Calculations - Supermarket'!C179,Supermarket!$M$11:$M$170,0)),"")</f>
        <v/>
      </c>
      <c r="AG179" s="23" t="str">
        <f t="shared" si="173"/>
        <v/>
      </c>
      <c r="AH179" s="23" t="str">
        <f t="shared" si="174"/>
        <v/>
      </c>
      <c r="AI179" s="9" t="str">
        <f t="shared" si="159"/>
        <v/>
      </c>
      <c r="AJ179" s="4" t="str">
        <f t="shared" si="160"/>
        <v/>
      </c>
      <c r="AK179" s="4"/>
      <c r="AL179" s="4"/>
      <c r="AM179" s="4"/>
      <c r="AN179" s="4"/>
      <c r="AO179" s="4"/>
      <c r="AP179" s="20" t="str">
        <f t="shared" si="161"/>
        <v>-</v>
      </c>
      <c r="AQ179" s="13" t="str">
        <f t="shared" si="175"/>
        <v>-</v>
      </c>
      <c r="AR179" s="13" t="str">
        <f t="shared" si="176"/>
        <v>-</v>
      </c>
      <c r="AS179" s="13" t="str">
        <f t="shared" si="162"/>
        <v>-</v>
      </c>
      <c r="AT179" s="16" t="str">
        <f t="shared" si="177"/>
        <v>-</v>
      </c>
      <c r="AU179" s="16" t="str">
        <f t="shared" si="163"/>
        <v>-</v>
      </c>
      <c r="AV179" s="16" t="str">
        <f t="shared" si="164"/>
        <v>-</v>
      </c>
      <c r="AW179" s="16" t="str">
        <f t="shared" si="178"/>
        <v>-</v>
      </c>
      <c r="AX179" s="13" t="str">
        <f t="shared" si="179"/>
        <v>-</v>
      </c>
      <c r="AY179" s="10" t="str">
        <f t="shared" si="180"/>
        <v>-</v>
      </c>
      <c r="AZ179" s="9" t="str">
        <f t="shared" si="181"/>
        <v>-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</row>
    <row r="180" spans="2:68" x14ac:dyDescent="0.3">
      <c r="B180" s="108" t="str">
        <f t="shared" si="165"/>
        <v/>
      </c>
      <c r="C180" s="108" t="str">
        <f t="shared" si="149"/>
        <v/>
      </c>
      <c r="D180" s="3"/>
      <c r="E180" s="3"/>
      <c r="F180" s="3"/>
      <c r="G180" s="20">
        <f>IFERROR(INDEX('Input - Supermarket'!F$2:F$200,MATCH('Calculations - Supermarket'!$C180,'Input - Supermarket'!$B$2:$B$200,0)),"")</f>
        <v>0</v>
      </c>
      <c r="H180" s="20">
        <f>IFERROR(INDEX('Input - Supermarket'!G$2:G$200,MATCH('Calculations - Supermarket'!$C180,'Input - Supermarket'!$B$2:$B$200,0)),"")</f>
        <v>0</v>
      </c>
      <c r="I180" s="21">
        <f>IFERROR(INDEX('Input - Supermarket'!H$2:H$200,MATCH('Calculations - Supermarket'!$C180,'Input - Supermarket'!$B$2:$B$200,0)),"")</f>
        <v>0</v>
      </c>
      <c r="J180" s="21">
        <f>IFERROR(INDEX('Input - Supermarket'!I$2:I$200,MATCH('Calculations - Supermarket'!$C180,'Input - Supermarket'!$B$2:$B$200,0)),"")</f>
        <v>0</v>
      </c>
      <c r="K180" s="20">
        <f>IFERROR(INDEX('Input - Supermarket'!J$2:J$200,MATCH('Calculations - Supermarket'!$C180,'Input - Supermarket'!$B$2:$B$200,0)),"")</f>
        <v>0</v>
      </c>
      <c r="L180" s="20">
        <f>IFERROR(INDEX('Input - Supermarket'!K$2:K$200,MATCH('Calculations - Supermarket'!$C180,'Input - Supermarket'!$B$2:$B$200,0)),"")</f>
        <v>0</v>
      </c>
      <c r="M180" s="21" t="str">
        <f t="shared" si="166"/>
        <v/>
      </c>
      <c r="N180" s="21" t="str">
        <f t="shared" si="150"/>
        <v/>
      </c>
      <c r="O180" s="21">
        <f t="shared" si="167"/>
        <v>0</v>
      </c>
      <c r="P180" s="9">
        <f t="shared" si="151"/>
        <v>0</v>
      </c>
      <c r="Q180" s="9">
        <f t="shared" si="152"/>
        <v>0</v>
      </c>
      <c r="R180" s="22" t="str">
        <f>IFERROR(INDEX(Supermarket!$Q$11:$Q$170,MATCH('Calculations - Supermarket'!$C180,Supermarket!$M$11:$M$170,0)),"")</f>
        <v/>
      </c>
      <c r="S180" s="22" t="str">
        <f>IFERROR(INDEX(Supermarket!$R$11:$R$170,MATCH('Calculations - Supermarket'!$C180,Supermarket!$M$11:$M$170,0)),"")</f>
        <v/>
      </c>
      <c r="T180" s="16" t="e">
        <f t="shared" si="153"/>
        <v>#VALUE!</v>
      </c>
      <c r="U180" s="16" t="e">
        <f t="shared" si="168"/>
        <v>#VALUE!</v>
      </c>
      <c r="V180" s="16" t="e">
        <f t="shared" si="169"/>
        <v>#VALUE!</v>
      </c>
      <c r="W180" s="10" t="str">
        <f t="shared" si="154"/>
        <v>-</v>
      </c>
      <c r="X180" s="10" t="str">
        <f t="shared" si="155"/>
        <v>-</v>
      </c>
      <c r="Y180" s="13" t="str">
        <f t="shared" si="170"/>
        <v>-</v>
      </c>
      <c r="Z180" s="9" t="str">
        <f t="shared" si="156"/>
        <v>-</v>
      </c>
      <c r="AA180" s="16" t="str">
        <f t="shared" si="171"/>
        <v>-</v>
      </c>
      <c r="AB180" s="16" t="str">
        <f t="shared" si="157"/>
        <v>-</v>
      </c>
      <c r="AC180" s="16" t="str">
        <f t="shared" si="158"/>
        <v>-</v>
      </c>
      <c r="AD180" s="16" t="str">
        <f t="shared" si="172"/>
        <v>-</v>
      </c>
      <c r="AE180" s="16"/>
      <c r="AF180" s="31" t="str">
        <f>IFERROR(INDEX(Supermarket!$P$11:$P$170,MATCH('Calculations - Supermarket'!C180,Supermarket!$M$11:$M$170,0)),"")</f>
        <v/>
      </c>
      <c r="AG180" s="23" t="str">
        <f t="shared" si="173"/>
        <v/>
      </c>
      <c r="AH180" s="23" t="str">
        <f t="shared" si="174"/>
        <v/>
      </c>
      <c r="AI180" s="9" t="str">
        <f t="shared" si="159"/>
        <v/>
      </c>
      <c r="AJ180" s="4" t="str">
        <f t="shared" si="160"/>
        <v/>
      </c>
      <c r="AK180" s="4"/>
      <c r="AL180" s="4"/>
      <c r="AM180" s="4"/>
      <c r="AN180" s="4"/>
      <c r="AO180" s="4"/>
      <c r="AP180" s="20" t="str">
        <f t="shared" si="161"/>
        <v>-</v>
      </c>
      <c r="AQ180" s="13" t="str">
        <f t="shared" si="175"/>
        <v>-</v>
      </c>
      <c r="AR180" s="13" t="str">
        <f t="shared" si="176"/>
        <v>-</v>
      </c>
      <c r="AS180" s="13" t="str">
        <f t="shared" si="162"/>
        <v>-</v>
      </c>
      <c r="AT180" s="16" t="str">
        <f t="shared" si="177"/>
        <v>-</v>
      </c>
      <c r="AU180" s="16" t="str">
        <f t="shared" si="163"/>
        <v>-</v>
      </c>
      <c r="AV180" s="16" t="str">
        <f t="shared" si="164"/>
        <v>-</v>
      </c>
      <c r="AW180" s="16" t="str">
        <f t="shared" si="178"/>
        <v>-</v>
      </c>
      <c r="AX180" s="13" t="str">
        <f t="shared" si="179"/>
        <v>-</v>
      </c>
      <c r="AY180" s="10" t="str">
        <f t="shared" si="180"/>
        <v>-</v>
      </c>
      <c r="AZ180" s="9" t="str">
        <f t="shared" si="181"/>
        <v>-</v>
      </c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</row>
    <row r="181" spans="2:68" x14ac:dyDescent="0.3">
      <c r="B181" s="108" t="str">
        <f t="shared" si="165"/>
        <v/>
      </c>
      <c r="C181" s="108" t="str">
        <f t="shared" si="149"/>
        <v/>
      </c>
      <c r="D181" s="3"/>
      <c r="E181" s="3"/>
      <c r="F181" s="3"/>
      <c r="G181" s="20">
        <f>IFERROR(INDEX('Input - Supermarket'!F$2:F$200,MATCH('Calculations - Supermarket'!$C181,'Input - Supermarket'!$B$2:$B$200,0)),"")</f>
        <v>0</v>
      </c>
      <c r="H181" s="20">
        <f>IFERROR(INDEX('Input - Supermarket'!G$2:G$200,MATCH('Calculations - Supermarket'!$C181,'Input - Supermarket'!$B$2:$B$200,0)),"")</f>
        <v>0</v>
      </c>
      <c r="I181" s="21">
        <f>IFERROR(INDEX('Input - Supermarket'!H$2:H$200,MATCH('Calculations - Supermarket'!$C181,'Input - Supermarket'!$B$2:$B$200,0)),"")</f>
        <v>0</v>
      </c>
      <c r="J181" s="21">
        <f>IFERROR(INDEX('Input - Supermarket'!I$2:I$200,MATCH('Calculations - Supermarket'!$C181,'Input - Supermarket'!$B$2:$B$200,0)),"")</f>
        <v>0</v>
      </c>
      <c r="K181" s="20">
        <f>IFERROR(INDEX('Input - Supermarket'!J$2:J$200,MATCH('Calculations - Supermarket'!$C181,'Input - Supermarket'!$B$2:$B$200,0)),"")</f>
        <v>0</v>
      </c>
      <c r="L181" s="20">
        <f>IFERROR(INDEX('Input - Supermarket'!K$2:K$200,MATCH('Calculations - Supermarket'!$C181,'Input - Supermarket'!$B$2:$B$200,0)),"")</f>
        <v>0</v>
      </c>
      <c r="M181" s="21" t="str">
        <f t="shared" si="166"/>
        <v/>
      </c>
      <c r="N181" s="21" t="str">
        <f t="shared" si="150"/>
        <v/>
      </c>
      <c r="O181" s="21">
        <f t="shared" si="167"/>
        <v>0</v>
      </c>
      <c r="P181" s="9">
        <f t="shared" si="151"/>
        <v>0</v>
      </c>
      <c r="Q181" s="9">
        <f t="shared" si="152"/>
        <v>0</v>
      </c>
      <c r="R181" s="22" t="str">
        <f>IFERROR(INDEX(Supermarket!$Q$11:$Q$170,MATCH('Calculations - Supermarket'!$C181,Supermarket!$M$11:$M$170,0)),"")</f>
        <v/>
      </c>
      <c r="S181" s="22" t="str">
        <f>IFERROR(INDEX(Supermarket!$R$11:$R$170,MATCH('Calculations - Supermarket'!$C181,Supermarket!$M$11:$M$170,0)),"")</f>
        <v/>
      </c>
      <c r="T181" s="16" t="e">
        <f t="shared" si="153"/>
        <v>#VALUE!</v>
      </c>
      <c r="U181" s="16" t="e">
        <f t="shared" si="168"/>
        <v>#VALUE!</v>
      </c>
      <c r="V181" s="16" t="e">
        <f t="shared" si="169"/>
        <v>#VALUE!</v>
      </c>
      <c r="W181" s="10" t="str">
        <f t="shared" si="154"/>
        <v>-</v>
      </c>
      <c r="X181" s="10" t="str">
        <f t="shared" si="155"/>
        <v>-</v>
      </c>
      <c r="Y181" s="13" t="str">
        <f t="shared" si="170"/>
        <v>-</v>
      </c>
      <c r="Z181" s="9" t="str">
        <f t="shared" si="156"/>
        <v>-</v>
      </c>
      <c r="AA181" s="16" t="str">
        <f t="shared" si="171"/>
        <v>-</v>
      </c>
      <c r="AB181" s="16" t="str">
        <f t="shared" si="157"/>
        <v>-</v>
      </c>
      <c r="AC181" s="16" t="str">
        <f t="shared" si="158"/>
        <v>-</v>
      </c>
      <c r="AD181" s="16" t="str">
        <f t="shared" si="172"/>
        <v>-</v>
      </c>
      <c r="AE181" s="16"/>
      <c r="AF181" s="31" t="str">
        <f>IFERROR(INDEX(Supermarket!$P$11:$P$170,MATCH('Calculations - Supermarket'!C181,Supermarket!$M$11:$M$170,0)),"")</f>
        <v/>
      </c>
      <c r="AG181" s="23" t="str">
        <f t="shared" si="173"/>
        <v/>
      </c>
      <c r="AH181" s="23" t="str">
        <f t="shared" si="174"/>
        <v/>
      </c>
      <c r="AI181" s="9" t="str">
        <f t="shared" si="159"/>
        <v/>
      </c>
      <c r="AJ181" s="4" t="str">
        <f t="shared" si="160"/>
        <v/>
      </c>
      <c r="AK181" s="4"/>
      <c r="AL181" s="4"/>
      <c r="AM181" s="4"/>
      <c r="AN181" s="4"/>
      <c r="AO181" s="4"/>
      <c r="AP181" s="20" t="str">
        <f t="shared" si="161"/>
        <v>-</v>
      </c>
      <c r="AQ181" s="13" t="str">
        <f t="shared" si="175"/>
        <v>-</v>
      </c>
      <c r="AR181" s="13" t="str">
        <f t="shared" si="176"/>
        <v>-</v>
      </c>
      <c r="AS181" s="13" t="str">
        <f t="shared" si="162"/>
        <v>-</v>
      </c>
      <c r="AT181" s="16" t="str">
        <f t="shared" si="177"/>
        <v>-</v>
      </c>
      <c r="AU181" s="16" t="str">
        <f t="shared" si="163"/>
        <v>-</v>
      </c>
      <c r="AV181" s="16" t="str">
        <f t="shared" si="164"/>
        <v>-</v>
      </c>
      <c r="AW181" s="16" t="str">
        <f t="shared" si="178"/>
        <v>-</v>
      </c>
      <c r="AX181" s="13" t="str">
        <f t="shared" si="179"/>
        <v>-</v>
      </c>
      <c r="AY181" s="10" t="str">
        <f t="shared" si="180"/>
        <v>-</v>
      </c>
      <c r="AZ181" s="9" t="str">
        <f t="shared" si="181"/>
        <v>-</v>
      </c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</row>
    <row r="182" spans="2:68" x14ac:dyDescent="0.3">
      <c r="B182" s="108" t="str">
        <f t="shared" si="165"/>
        <v/>
      </c>
      <c r="C182" s="108" t="str">
        <f t="shared" si="149"/>
        <v/>
      </c>
      <c r="D182" s="3"/>
      <c r="E182" s="3"/>
      <c r="F182" s="3"/>
      <c r="G182" s="20">
        <f>IFERROR(INDEX('Input - Supermarket'!F$2:F$200,MATCH('Calculations - Supermarket'!$C182,'Input - Supermarket'!$B$2:$B$200,0)),"")</f>
        <v>0</v>
      </c>
      <c r="H182" s="20">
        <f>IFERROR(INDEX('Input - Supermarket'!G$2:G$200,MATCH('Calculations - Supermarket'!$C182,'Input - Supermarket'!$B$2:$B$200,0)),"")</f>
        <v>0</v>
      </c>
      <c r="I182" s="21">
        <f>IFERROR(INDEX('Input - Supermarket'!H$2:H$200,MATCH('Calculations - Supermarket'!$C182,'Input - Supermarket'!$B$2:$B$200,0)),"")</f>
        <v>0</v>
      </c>
      <c r="J182" s="21">
        <f>IFERROR(INDEX('Input - Supermarket'!I$2:I$200,MATCH('Calculations - Supermarket'!$C182,'Input - Supermarket'!$B$2:$B$200,0)),"")</f>
        <v>0</v>
      </c>
      <c r="K182" s="20">
        <f>IFERROR(INDEX('Input - Supermarket'!J$2:J$200,MATCH('Calculations - Supermarket'!$C182,'Input - Supermarket'!$B$2:$B$200,0)),"")</f>
        <v>0</v>
      </c>
      <c r="L182" s="20">
        <f>IFERROR(INDEX('Input - Supermarket'!K$2:K$200,MATCH('Calculations - Supermarket'!$C182,'Input - Supermarket'!$B$2:$B$200,0)),"")</f>
        <v>0</v>
      </c>
      <c r="M182" s="21" t="str">
        <f t="shared" si="166"/>
        <v/>
      </c>
      <c r="N182" s="21" t="str">
        <f t="shared" si="150"/>
        <v/>
      </c>
      <c r="O182" s="21">
        <f t="shared" si="167"/>
        <v>0</v>
      </c>
      <c r="P182" s="9">
        <f t="shared" si="151"/>
        <v>0</v>
      </c>
      <c r="Q182" s="9">
        <f t="shared" si="152"/>
        <v>0</v>
      </c>
      <c r="R182" s="22" t="str">
        <f>IFERROR(INDEX(Supermarket!$Q$11:$Q$170,MATCH('Calculations - Supermarket'!$C182,Supermarket!$M$11:$M$170,0)),"")</f>
        <v/>
      </c>
      <c r="S182" s="22" t="str">
        <f>IFERROR(INDEX(Supermarket!$R$11:$R$170,MATCH('Calculations - Supermarket'!$C182,Supermarket!$M$11:$M$170,0)),"")</f>
        <v/>
      </c>
      <c r="T182" s="16" t="e">
        <f t="shared" si="153"/>
        <v>#VALUE!</v>
      </c>
      <c r="U182" s="16" t="e">
        <f t="shared" si="168"/>
        <v>#VALUE!</v>
      </c>
      <c r="V182" s="16" t="e">
        <f t="shared" si="169"/>
        <v>#VALUE!</v>
      </c>
      <c r="W182" s="10" t="str">
        <f t="shared" si="154"/>
        <v>-</v>
      </c>
      <c r="X182" s="10" t="str">
        <f t="shared" si="155"/>
        <v>-</v>
      </c>
      <c r="Y182" s="13" t="str">
        <f t="shared" si="170"/>
        <v>-</v>
      </c>
      <c r="Z182" s="9" t="str">
        <f t="shared" si="156"/>
        <v>-</v>
      </c>
      <c r="AA182" s="16" t="str">
        <f t="shared" si="171"/>
        <v>-</v>
      </c>
      <c r="AB182" s="16" t="str">
        <f t="shared" si="157"/>
        <v>-</v>
      </c>
      <c r="AC182" s="16" t="str">
        <f t="shared" si="158"/>
        <v>-</v>
      </c>
      <c r="AD182" s="16" t="str">
        <f t="shared" si="172"/>
        <v>-</v>
      </c>
      <c r="AE182" s="16"/>
      <c r="AF182" s="31" t="str">
        <f>IFERROR(INDEX(Supermarket!$P$11:$P$170,MATCH('Calculations - Supermarket'!C182,Supermarket!$M$11:$M$170,0)),"")</f>
        <v/>
      </c>
      <c r="AG182" s="23" t="str">
        <f t="shared" si="173"/>
        <v/>
      </c>
      <c r="AH182" s="23" t="str">
        <f t="shared" si="174"/>
        <v/>
      </c>
      <c r="AI182" s="9" t="str">
        <f t="shared" si="159"/>
        <v/>
      </c>
      <c r="AJ182" s="4" t="str">
        <f t="shared" si="160"/>
        <v/>
      </c>
      <c r="AK182" s="4"/>
      <c r="AL182" s="4"/>
      <c r="AM182" s="4"/>
      <c r="AN182" s="4"/>
      <c r="AO182" s="4"/>
      <c r="AP182" s="20" t="str">
        <f t="shared" si="161"/>
        <v>-</v>
      </c>
      <c r="AQ182" s="13" t="str">
        <f t="shared" si="175"/>
        <v>-</v>
      </c>
      <c r="AR182" s="13" t="str">
        <f t="shared" si="176"/>
        <v>-</v>
      </c>
      <c r="AS182" s="13" t="str">
        <f t="shared" si="162"/>
        <v>-</v>
      </c>
      <c r="AT182" s="16" t="str">
        <f t="shared" si="177"/>
        <v>-</v>
      </c>
      <c r="AU182" s="16" t="str">
        <f t="shared" si="163"/>
        <v>-</v>
      </c>
      <c r="AV182" s="16" t="str">
        <f t="shared" si="164"/>
        <v>-</v>
      </c>
      <c r="AW182" s="16" t="str">
        <f t="shared" si="178"/>
        <v>-</v>
      </c>
      <c r="AX182" s="13" t="str">
        <f t="shared" si="179"/>
        <v>-</v>
      </c>
      <c r="AY182" s="10" t="str">
        <f t="shared" si="180"/>
        <v>-</v>
      </c>
      <c r="AZ182" s="9" t="str">
        <f t="shared" si="181"/>
        <v>-</v>
      </c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</row>
    <row r="183" spans="2:68" x14ac:dyDescent="0.3">
      <c r="B183" s="108" t="str">
        <f t="shared" si="165"/>
        <v/>
      </c>
      <c r="C183" s="108" t="str">
        <f t="shared" si="149"/>
        <v/>
      </c>
      <c r="D183" s="3"/>
      <c r="E183" s="3"/>
      <c r="F183" s="3"/>
      <c r="G183" s="20">
        <f>IFERROR(INDEX('Input - Supermarket'!F$2:F$200,MATCH('Calculations - Supermarket'!$C183,'Input - Supermarket'!$B$2:$B$200,0)),"")</f>
        <v>0</v>
      </c>
      <c r="H183" s="20">
        <f>IFERROR(INDEX('Input - Supermarket'!G$2:G$200,MATCH('Calculations - Supermarket'!$C183,'Input - Supermarket'!$B$2:$B$200,0)),"")</f>
        <v>0</v>
      </c>
      <c r="I183" s="21">
        <f>IFERROR(INDEX('Input - Supermarket'!H$2:H$200,MATCH('Calculations - Supermarket'!$C183,'Input - Supermarket'!$B$2:$B$200,0)),"")</f>
        <v>0</v>
      </c>
      <c r="J183" s="21">
        <f>IFERROR(INDEX('Input - Supermarket'!I$2:I$200,MATCH('Calculations - Supermarket'!$C183,'Input - Supermarket'!$B$2:$B$200,0)),"")</f>
        <v>0</v>
      </c>
      <c r="K183" s="20">
        <f>IFERROR(INDEX('Input - Supermarket'!J$2:J$200,MATCH('Calculations - Supermarket'!$C183,'Input - Supermarket'!$B$2:$B$200,0)),"")</f>
        <v>0</v>
      </c>
      <c r="L183" s="20">
        <f>IFERROR(INDEX('Input - Supermarket'!K$2:K$200,MATCH('Calculations - Supermarket'!$C183,'Input - Supermarket'!$B$2:$B$200,0)),"")</f>
        <v>0</v>
      </c>
      <c r="M183" s="21" t="str">
        <f t="shared" si="166"/>
        <v/>
      </c>
      <c r="N183" s="21" t="str">
        <f t="shared" si="150"/>
        <v/>
      </c>
      <c r="O183" s="21">
        <f t="shared" si="167"/>
        <v>0</v>
      </c>
      <c r="P183" s="9">
        <f t="shared" si="151"/>
        <v>0</v>
      </c>
      <c r="Q183" s="9">
        <f t="shared" si="152"/>
        <v>0</v>
      </c>
      <c r="R183" s="22" t="str">
        <f>IFERROR(INDEX(Supermarket!$Q$11:$Q$170,MATCH('Calculations - Supermarket'!$C183,Supermarket!$M$11:$M$170,0)),"")</f>
        <v/>
      </c>
      <c r="S183" s="22" t="str">
        <f>IFERROR(INDEX(Supermarket!$R$11:$R$170,MATCH('Calculations - Supermarket'!$C183,Supermarket!$M$11:$M$170,0)),"")</f>
        <v/>
      </c>
      <c r="T183" s="16" t="e">
        <f t="shared" si="153"/>
        <v>#VALUE!</v>
      </c>
      <c r="U183" s="16" t="e">
        <f t="shared" si="168"/>
        <v>#VALUE!</v>
      </c>
      <c r="V183" s="16" t="e">
        <f t="shared" si="169"/>
        <v>#VALUE!</v>
      </c>
      <c r="W183" s="10" t="str">
        <f t="shared" si="154"/>
        <v>-</v>
      </c>
      <c r="X183" s="10" t="str">
        <f t="shared" si="155"/>
        <v>-</v>
      </c>
      <c r="Y183" s="13" t="str">
        <f t="shared" si="170"/>
        <v>-</v>
      </c>
      <c r="Z183" s="9" t="str">
        <f t="shared" si="156"/>
        <v>-</v>
      </c>
      <c r="AA183" s="16" t="str">
        <f t="shared" si="171"/>
        <v>-</v>
      </c>
      <c r="AB183" s="16" t="str">
        <f t="shared" si="157"/>
        <v>-</v>
      </c>
      <c r="AC183" s="16" t="str">
        <f t="shared" si="158"/>
        <v>-</v>
      </c>
      <c r="AD183" s="16" t="str">
        <f t="shared" si="172"/>
        <v>-</v>
      </c>
      <c r="AE183" s="16"/>
      <c r="AF183" s="31" t="str">
        <f>IFERROR(INDEX(Supermarket!$P$11:$P$170,MATCH('Calculations - Supermarket'!C183,Supermarket!$M$11:$M$170,0)),"")</f>
        <v/>
      </c>
      <c r="AG183" s="23" t="str">
        <f t="shared" si="173"/>
        <v/>
      </c>
      <c r="AH183" s="23" t="str">
        <f t="shared" si="174"/>
        <v/>
      </c>
      <c r="AI183" s="9" t="str">
        <f t="shared" si="159"/>
        <v/>
      </c>
      <c r="AJ183" s="4" t="str">
        <f t="shared" si="160"/>
        <v/>
      </c>
      <c r="AK183" s="4"/>
      <c r="AL183" s="4"/>
      <c r="AM183" s="4"/>
      <c r="AN183" s="4"/>
      <c r="AO183" s="4"/>
      <c r="AP183" s="20" t="str">
        <f t="shared" si="161"/>
        <v>-</v>
      </c>
      <c r="AQ183" s="13" t="str">
        <f t="shared" si="175"/>
        <v>-</v>
      </c>
      <c r="AR183" s="13" t="str">
        <f t="shared" si="176"/>
        <v>-</v>
      </c>
      <c r="AS183" s="13" t="str">
        <f t="shared" si="162"/>
        <v>-</v>
      </c>
      <c r="AT183" s="16" t="str">
        <f t="shared" si="177"/>
        <v>-</v>
      </c>
      <c r="AU183" s="16" t="str">
        <f t="shared" si="163"/>
        <v>-</v>
      </c>
      <c r="AV183" s="16" t="str">
        <f t="shared" si="164"/>
        <v>-</v>
      </c>
      <c r="AW183" s="16" t="str">
        <f t="shared" si="178"/>
        <v>-</v>
      </c>
      <c r="AX183" s="13" t="str">
        <f t="shared" si="179"/>
        <v>-</v>
      </c>
      <c r="AY183" s="10" t="str">
        <f t="shared" si="180"/>
        <v>-</v>
      </c>
      <c r="AZ183" s="9" t="str">
        <f t="shared" si="181"/>
        <v>-</v>
      </c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</row>
    <row r="184" spans="2:68" x14ac:dyDescent="0.3">
      <c r="B184" s="108" t="str">
        <f t="shared" si="165"/>
        <v/>
      </c>
      <c r="C184" s="108" t="str">
        <f t="shared" si="149"/>
        <v/>
      </c>
      <c r="D184" s="3"/>
      <c r="E184" s="3"/>
      <c r="F184" s="3"/>
      <c r="G184" s="20">
        <f>IFERROR(INDEX('Input - Supermarket'!F$2:F$200,MATCH('Calculations - Supermarket'!$C184,'Input - Supermarket'!$B$2:$B$200,0)),"")</f>
        <v>0</v>
      </c>
      <c r="H184" s="20">
        <f>IFERROR(INDEX('Input - Supermarket'!G$2:G$200,MATCH('Calculations - Supermarket'!$C184,'Input - Supermarket'!$B$2:$B$200,0)),"")</f>
        <v>0</v>
      </c>
      <c r="I184" s="21">
        <f>IFERROR(INDEX('Input - Supermarket'!H$2:H$200,MATCH('Calculations - Supermarket'!$C184,'Input - Supermarket'!$B$2:$B$200,0)),"")</f>
        <v>0</v>
      </c>
      <c r="J184" s="21">
        <f>IFERROR(INDEX('Input - Supermarket'!I$2:I$200,MATCH('Calculations - Supermarket'!$C184,'Input - Supermarket'!$B$2:$B$200,0)),"")</f>
        <v>0</v>
      </c>
      <c r="K184" s="20">
        <f>IFERROR(INDEX('Input - Supermarket'!J$2:J$200,MATCH('Calculations - Supermarket'!$C184,'Input - Supermarket'!$B$2:$B$200,0)),"")</f>
        <v>0</v>
      </c>
      <c r="L184" s="20">
        <f>IFERROR(INDEX('Input - Supermarket'!K$2:K$200,MATCH('Calculations - Supermarket'!$C184,'Input - Supermarket'!$B$2:$B$200,0)),"")</f>
        <v>0</v>
      </c>
      <c r="M184" s="21" t="str">
        <f t="shared" si="166"/>
        <v/>
      </c>
      <c r="N184" s="21" t="str">
        <f t="shared" si="150"/>
        <v/>
      </c>
      <c r="O184" s="21">
        <f t="shared" si="167"/>
        <v>0</v>
      </c>
      <c r="P184" s="9">
        <f t="shared" si="151"/>
        <v>0</v>
      </c>
      <c r="Q184" s="9">
        <f t="shared" si="152"/>
        <v>0</v>
      </c>
      <c r="R184" s="22" t="str">
        <f>IFERROR(INDEX(Supermarket!$Q$11:$Q$170,MATCH('Calculations - Supermarket'!$C184,Supermarket!$M$11:$M$170,0)),"")</f>
        <v/>
      </c>
      <c r="S184" s="22" t="str">
        <f>IFERROR(INDEX(Supermarket!$R$11:$R$170,MATCH('Calculations - Supermarket'!$C184,Supermarket!$M$11:$M$170,0)),"")</f>
        <v/>
      </c>
      <c r="T184" s="16" t="e">
        <f t="shared" si="153"/>
        <v>#VALUE!</v>
      </c>
      <c r="U184" s="16" t="e">
        <f t="shared" si="168"/>
        <v>#VALUE!</v>
      </c>
      <c r="V184" s="16" t="e">
        <f t="shared" si="169"/>
        <v>#VALUE!</v>
      </c>
      <c r="W184" s="10" t="str">
        <f t="shared" si="154"/>
        <v>-</v>
      </c>
      <c r="X184" s="10" t="str">
        <f t="shared" si="155"/>
        <v>-</v>
      </c>
      <c r="Y184" s="13" t="str">
        <f t="shared" si="170"/>
        <v>-</v>
      </c>
      <c r="Z184" s="9" t="str">
        <f t="shared" si="156"/>
        <v>-</v>
      </c>
      <c r="AA184" s="16" t="str">
        <f t="shared" si="171"/>
        <v>-</v>
      </c>
      <c r="AB184" s="16" t="str">
        <f t="shared" si="157"/>
        <v>-</v>
      </c>
      <c r="AC184" s="16" t="str">
        <f t="shared" si="158"/>
        <v>-</v>
      </c>
      <c r="AD184" s="16" t="str">
        <f t="shared" si="172"/>
        <v>-</v>
      </c>
      <c r="AE184" s="16"/>
      <c r="AF184" s="31" t="str">
        <f>IFERROR(INDEX(Supermarket!$P$11:$P$170,MATCH('Calculations - Supermarket'!C184,Supermarket!$M$11:$M$170,0)),"")</f>
        <v/>
      </c>
      <c r="AG184" s="23" t="str">
        <f t="shared" si="173"/>
        <v/>
      </c>
      <c r="AH184" s="23" t="str">
        <f t="shared" si="174"/>
        <v/>
      </c>
      <c r="AI184" s="9" t="str">
        <f t="shared" si="159"/>
        <v/>
      </c>
      <c r="AJ184" s="4" t="str">
        <f t="shared" si="160"/>
        <v/>
      </c>
      <c r="AK184" s="4"/>
      <c r="AL184" s="4"/>
      <c r="AM184" s="4"/>
      <c r="AN184" s="4"/>
      <c r="AO184" s="4"/>
      <c r="AP184" s="20" t="str">
        <f t="shared" si="161"/>
        <v>-</v>
      </c>
      <c r="AQ184" s="13" t="str">
        <f t="shared" si="175"/>
        <v>-</v>
      </c>
      <c r="AR184" s="13" t="str">
        <f t="shared" si="176"/>
        <v>-</v>
      </c>
      <c r="AS184" s="13" t="str">
        <f t="shared" si="162"/>
        <v>-</v>
      </c>
      <c r="AT184" s="16" t="str">
        <f t="shared" si="177"/>
        <v>-</v>
      </c>
      <c r="AU184" s="16" t="str">
        <f t="shared" si="163"/>
        <v>-</v>
      </c>
      <c r="AV184" s="16" t="str">
        <f t="shared" si="164"/>
        <v>-</v>
      </c>
      <c r="AW184" s="16" t="str">
        <f t="shared" si="178"/>
        <v>-</v>
      </c>
      <c r="AX184" s="13" t="str">
        <f t="shared" si="179"/>
        <v>-</v>
      </c>
      <c r="AY184" s="10" t="str">
        <f t="shared" si="180"/>
        <v>-</v>
      </c>
      <c r="AZ184" s="9" t="str">
        <f t="shared" si="181"/>
        <v>-</v>
      </c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</row>
    <row r="185" spans="2:68" x14ac:dyDescent="0.3">
      <c r="B185" s="108" t="str">
        <f t="shared" si="165"/>
        <v/>
      </c>
      <c r="C185" s="108" t="str">
        <f t="shared" si="149"/>
        <v/>
      </c>
      <c r="D185" s="3"/>
      <c r="E185" s="3"/>
      <c r="F185" s="3"/>
      <c r="G185" s="20">
        <f>IFERROR(INDEX('Input - Supermarket'!F$2:F$200,MATCH('Calculations - Supermarket'!$C185,'Input - Supermarket'!$B$2:$B$200,0)),"")</f>
        <v>0</v>
      </c>
      <c r="H185" s="20">
        <f>IFERROR(INDEX('Input - Supermarket'!G$2:G$200,MATCH('Calculations - Supermarket'!$C185,'Input - Supermarket'!$B$2:$B$200,0)),"")</f>
        <v>0</v>
      </c>
      <c r="I185" s="21">
        <f>IFERROR(INDEX('Input - Supermarket'!H$2:H$200,MATCH('Calculations - Supermarket'!$C185,'Input - Supermarket'!$B$2:$B$200,0)),"")</f>
        <v>0</v>
      </c>
      <c r="J185" s="21">
        <f>IFERROR(INDEX('Input - Supermarket'!I$2:I$200,MATCH('Calculations - Supermarket'!$C185,'Input - Supermarket'!$B$2:$B$200,0)),"")</f>
        <v>0</v>
      </c>
      <c r="K185" s="20">
        <f>IFERROR(INDEX('Input - Supermarket'!J$2:J$200,MATCH('Calculations - Supermarket'!$C185,'Input - Supermarket'!$B$2:$B$200,0)),"")</f>
        <v>0</v>
      </c>
      <c r="L185" s="20">
        <f>IFERROR(INDEX('Input - Supermarket'!K$2:K$200,MATCH('Calculations - Supermarket'!$C185,'Input - Supermarket'!$B$2:$B$200,0)),"")</f>
        <v>0</v>
      </c>
      <c r="M185" s="21" t="str">
        <f t="shared" si="166"/>
        <v/>
      </c>
      <c r="N185" s="21" t="str">
        <f t="shared" si="150"/>
        <v/>
      </c>
      <c r="O185" s="21">
        <f t="shared" si="167"/>
        <v>0</v>
      </c>
      <c r="P185" s="9">
        <f t="shared" si="151"/>
        <v>0</v>
      </c>
      <c r="Q185" s="9">
        <f t="shared" si="152"/>
        <v>0</v>
      </c>
      <c r="R185" s="22" t="str">
        <f>IFERROR(INDEX(Supermarket!$Q$11:$Q$170,MATCH('Calculations - Supermarket'!$C185,Supermarket!$M$11:$M$170,0)),"")</f>
        <v/>
      </c>
      <c r="S185" s="22" t="str">
        <f>IFERROR(INDEX(Supermarket!$R$11:$R$170,MATCH('Calculations - Supermarket'!$C185,Supermarket!$M$11:$M$170,0)),"")</f>
        <v/>
      </c>
      <c r="T185" s="16" t="e">
        <f t="shared" si="153"/>
        <v>#VALUE!</v>
      </c>
      <c r="U185" s="16" t="e">
        <f t="shared" si="168"/>
        <v>#VALUE!</v>
      </c>
      <c r="V185" s="16" t="e">
        <f t="shared" si="169"/>
        <v>#VALUE!</v>
      </c>
      <c r="W185" s="10" t="str">
        <f t="shared" si="154"/>
        <v>-</v>
      </c>
      <c r="X185" s="10" t="str">
        <f t="shared" si="155"/>
        <v>-</v>
      </c>
      <c r="Y185" s="13" t="str">
        <f t="shared" si="170"/>
        <v>-</v>
      </c>
      <c r="Z185" s="9" t="str">
        <f t="shared" si="156"/>
        <v>-</v>
      </c>
      <c r="AA185" s="16" t="str">
        <f t="shared" si="171"/>
        <v>-</v>
      </c>
      <c r="AB185" s="16" t="str">
        <f t="shared" si="157"/>
        <v>-</v>
      </c>
      <c r="AC185" s="16" t="str">
        <f t="shared" si="158"/>
        <v>-</v>
      </c>
      <c r="AD185" s="16" t="str">
        <f t="shared" si="172"/>
        <v>-</v>
      </c>
      <c r="AE185" s="16"/>
      <c r="AF185" s="31" t="str">
        <f>IFERROR(INDEX(Supermarket!$P$11:$P$170,MATCH('Calculations - Supermarket'!C185,Supermarket!$M$11:$M$170,0)),"")</f>
        <v/>
      </c>
      <c r="AG185" s="23" t="str">
        <f t="shared" si="173"/>
        <v/>
      </c>
      <c r="AH185" s="23" t="str">
        <f t="shared" si="174"/>
        <v/>
      </c>
      <c r="AI185" s="9" t="str">
        <f t="shared" si="159"/>
        <v/>
      </c>
      <c r="AJ185" s="4" t="str">
        <f t="shared" si="160"/>
        <v/>
      </c>
      <c r="AK185" s="4"/>
      <c r="AL185" s="4"/>
      <c r="AM185" s="4"/>
      <c r="AN185" s="4"/>
      <c r="AO185" s="4"/>
      <c r="AP185" s="20" t="str">
        <f t="shared" si="161"/>
        <v>-</v>
      </c>
      <c r="AQ185" s="13" t="str">
        <f t="shared" si="175"/>
        <v>-</v>
      </c>
      <c r="AR185" s="13" t="str">
        <f t="shared" si="176"/>
        <v>-</v>
      </c>
      <c r="AS185" s="13" t="str">
        <f t="shared" si="162"/>
        <v>-</v>
      </c>
      <c r="AT185" s="16" t="str">
        <f t="shared" si="177"/>
        <v>-</v>
      </c>
      <c r="AU185" s="16" t="str">
        <f t="shared" si="163"/>
        <v>-</v>
      </c>
      <c r="AV185" s="16" t="str">
        <f t="shared" si="164"/>
        <v>-</v>
      </c>
      <c r="AW185" s="16" t="str">
        <f t="shared" si="178"/>
        <v>-</v>
      </c>
      <c r="AX185" s="13" t="str">
        <f t="shared" si="179"/>
        <v>-</v>
      </c>
      <c r="AY185" s="10" t="str">
        <f t="shared" si="180"/>
        <v>-</v>
      </c>
      <c r="AZ185" s="9" t="str">
        <f t="shared" si="181"/>
        <v>-</v>
      </c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</row>
    <row r="186" spans="2:68" x14ac:dyDescent="0.3">
      <c r="B186" s="108" t="str">
        <f t="shared" si="165"/>
        <v/>
      </c>
      <c r="C186" s="108" t="str">
        <f t="shared" si="149"/>
        <v/>
      </c>
      <c r="D186" s="3"/>
      <c r="E186" s="3"/>
      <c r="F186" s="3"/>
      <c r="G186" s="20">
        <f>IFERROR(INDEX('Input - Supermarket'!F$2:F$200,MATCH('Calculations - Supermarket'!$C186,'Input - Supermarket'!$B$2:$B$200,0)),"")</f>
        <v>0</v>
      </c>
      <c r="H186" s="20">
        <f>IFERROR(INDEX('Input - Supermarket'!G$2:G$200,MATCH('Calculations - Supermarket'!$C186,'Input - Supermarket'!$B$2:$B$200,0)),"")</f>
        <v>0</v>
      </c>
      <c r="I186" s="21">
        <f>IFERROR(INDEX('Input - Supermarket'!H$2:H$200,MATCH('Calculations - Supermarket'!$C186,'Input - Supermarket'!$B$2:$B$200,0)),"")</f>
        <v>0</v>
      </c>
      <c r="J186" s="21">
        <f>IFERROR(INDEX('Input - Supermarket'!I$2:I$200,MATCH('Calculations - Supermarket'!$C186,'Input - Supermarket'!$B$2:$B$200,0)),"")</f>
        <v>0</v>
      </c>
      <c r="K186" s="20">
        <f>IFERROR(INDEX('Input - Supermarket'!J$2:J$200,MATCH('Calculations - Supermarket'!$C186,'Input - Supermarket'!$B$2:$B$200,0)),"")</f>
        <v>0</v>
      </c>
      <c r="L186" s="20">
        <f>IFERROR(INDEX('Input - Supermarket'!K$2:K$200,MATCH('Calculations - Supermarket'!$C186,'Input - Supermarket'!$B$2:$B$200,0)),"")</f>
        <v>0</v>
      </c>
      <c r="M186" s="21" t="str">
        <f t="shared" si="166"/>
        <v/>
      </c>
      <c r="N186" s="21" t="str">
        <f t="shared" si="150"/>
        <v/>
      </c>
      <c r="O186" s="21">
        <f t="shared" si="167"/>
        <v>0</v>
      </c>
      <c r="P186" s="9">
        <f t="shared" si="151"/>
        <v>0</v>
      </c>
      <c r="Q186" s="9">
        <f t="shared" si="152"/>
        <v>0</v>
      </c>
      <c r="R186" s="22" t="str">
        <f>IFERROR(INDEX(Supermarket!$Q$11:$Q$170,MATCH('Calculations - Supermarket'!$C186,Supermarket!$M$11:$M$170,0)),"")</f>
        <v/>
      </c>
      <c r="S186" s="22" t="str">
        <f>IFERROR(INDEX(Supermarket!$R$11:$R$170,MATCH('Calculations - Supermarket'!$C186,Supermarket!$M$11:$M$170,0)),"")</f>
        <v/>
      </c>
      <c r="T186" s="16" t="e">
        <f t="shared" si="153"/>
        <v>#VALUE!</v>
      </c>
      <c r="U186" s="16" t="e">
        <f t="shared" si="168"/>
        <v>#VALUE!</v>
      </c>
      <c r="V186" s="16" t="e">
        <f t="shared" si="169"/>
        <v>#VALUE!</v>
      </c>
      <c r="W186" s="10" t="str">
        <f t="shared" si="154"/>
        <v>-</v>
      </c>
      <c r="X186" s="10" t="str">
        <f t="shared" si="155"/>
        <v>-</v>
      </c>
      <c r="Y186" s="13" t="str">
        <f t="shared" si="170"/>
        <v>-</v>
      </c>
      <c r="Z186" s="9" t="str">
        <f t="shared" si="156"/>
        <v>-</v>
      </c>
      <c r="AA186" s="16" t="str">
        <f t="shared" si="171"/>
        <v>-</v>
      </c>
      <c r="AB186" s="16" t="str">
        <f t="shared" si="157"/>
        <v>-</v>
      </c>
      <c r="AC186" s="16" t="str">
        <f t="shared" si="158"/>
        <v>-</v>
      </c>
      <c r="AD186" s="16" t="str">
        <f t="shared" si="172"/>
        <v>-</v>
      </c>
      <c r="AE186" s="16"/>
      <c r="AF186" s="31" t="str">
        <f>IFERROR(INDEX(Supermarket!$P$11:$P$170,MATCH('Calculations - Supermarket'!C186,Supermarket!$M$11:$M$170,0)),"")</f>
        <v/>
      </c>
      <c r="AG186" s="23" t="str">
        <f t="shared" si="173"/>
        <v/>
      </c>
      <c r="AH186" s="23" t="str">
        <f t="shared" si="174"/>
        <v/>
      </c>
      <c r="AI186" s="9" t="str">
        <f t="shared" si="159"/>
        <v/>
      </c>
      <c r="AJ186" s="4" t="str">
        <f t="shared" si="160"/>
        <v/>
      </c>
      <c r="AK186" s="4"/>
      <c r="AL186" s="4"/>
      <c r="AM186" s="4"/>
      <c r="AN186" s="4"/>
      <c r="AO186" s="4"/>
      <c r="AP186" s="20" t="str">
        <f t="shared" si="161"/>
        <v>-</v>
      </c>
      <c r="AQ186" s="13" t="str">
        <f t="shared" si="175"/>
        <v>-</v>
      </c>
      <c r="AR186" s="13" t="str">
        <f t="shared" si="176"/>
        <v>-</v>
      </c>
      <c r="AS186" s="13" t="str">
        <f t="shared" si="162"/>
        <v>-</v>
      </c>
      <c r="AT186" s="16" t="str">
        <f t="shared" si="177"/>
        <v>-</v>
      </c>
      <c r="AU186" s="16" t="str">
        <f t="shared" si="163"/>
        <v>-</v>
      </c>
      <c r="AV186" s="16" t="str">
        <f t="shared" si="164"/>
        <v>-</v>
      </c>
      <c r="AW186" s="16" t="str">
        <f t="shared" si="178"/>
        <v>-</v>
      </c>
      <c r="AX186" s="13" t="str">
        <f t="shared" si="179"/>
        <v>-</v>
      </c>
      <c r="AY186" s="10" t="str">
        <f t="shared" si="180"/>
        <v>-</v>
      </c>
      <c r="AZ186" s="9" t="str">
        <f t="shared" si="181"/>
        <v>-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</row>
    <row r="187" spans="2:68" x14ac:dyDescent="0.3">
      <c r="B187" s="108" t="str">
        <f t="shared" si="165"/>
        <v/>
      </c>
      <c r="C187" s="108" t="str">
        <f t="shared" si="149"/>
        <v/>
      </c>
      <c r="D187" s="3"/>
      <c r="E187" s="3"/>
      <c r="F187" s="3"/>
      <c r="G187" s="20">
        <f>IFERROR(INDEX('Input - Supermarket'!F$2:F$200,MATCH('Calculations - Supermarket'!$C187,'Input - Supermarket'!$B$2:$B$200,0)),"")</f>
        <v>0</v>
      </c>
      <c r="H187" s="20">
        <f>IFERROR(INDEX('Input - Supermarket'!G$2:G$200,MATCH('Calculations - Supermarket'!$C187,'Input - Supermarket'!$B$2:$B$200,0)),"")</f>
        <v>0</v>
      </c>
      <c r="I187" s="21">
        <f>IFERROR(INDEX('Input - Supermarket'!H$2:H$200,MATCH('Calculations - Supermarket'!$C187,'Input - Supermarket'!$B$2:$B$200,0)),"")</f>
        <v>0</v>
      </c>
      <c r="J187" s="21">
        <f>IFERROR(INDEX('Input - Supermarket'!I$2:I$200,MATCH('Calculations - Supermarket'!$C187,'Input - Supermarket'!$B$2:$B$200,0)),"")</f>
        <v>0</v>
      </c>
      <c r="K187" s="20">
        <f>IFERROR(INDEX('Input - Supermarket'!J$2:J$200,MATCH('Calculations - Supermarket'!$C187,'Input - Supermarket'!$B$2:$B$200,0)),"")</f>
        <v>0</v>
      </c>
      <c r="L187" s="20">
        <f>IFERROR(INDEX('Input - Supermarket'!K$2:K$200,MATCH('Calculations - Supermarket'!$C187,'Input - Supermarket'!$B$2:$B$200,0)),"")</f>
        <v>0</v>
      </c>
      <c r="M187" s="21" t="str">
        <f t="shared" si="166"/>
        <v/>
      </c>
      <c r="N187" s="21" t="str">
        <f t="shared" si="150"/>
        <v/>
      </c>
      <c r="O187" s="21">
        <f t="shared" si="167"/>
        <v>0</v>
      </c>
      <c r="P187" s="9">
        <f t="shared" si="151"/>
        <v>0</v>
      </c>
      <c r="Q187" s="9">
        <f t="shared" si="152"/>
        <v>0</v>
      </c>
      <c r="R187" s="22" t="str">
        <f>IFERROR(INDEX(Supermarket!$Q$11:$Q$170,MATCH('Calculations - Supermarket'!$C187,Supermarket!$M$11:$M$170,0)),"")</f>
        <v/>
      </c>
      <c r="S187" s="22" t="str">
        <f>IFERROR(INDEX(Supermarket!$R$11:$R$170,MATCH('Calculations - Supermarket'!$C187,Supermarket!$M$11:$M$170,0)),"")</f>
        <v/>
      </c>
      <c r="T187" s="16" t="e">
        <f t="shared" si="153"/>
        <v>#VALUE!</v>
      </c>
      <c r="U187" s="16" t="e">
        <f t="shared" si="168"/>
        <v>#VALUE!</v>
      </c>
      <c r="V187" s="16" t="e">
        <f t="shared" si="169"/>
        <v>#VALUE!</v>
      </c>
      <c r="W187" s="10" t="str">
        <f t="shared" si="154"/>
        <v>-</v>
      </c>
      <c r="X187" s="10" t="str">
        <f t="shared" si="155"/>
        <v>-</v>
      </c>
      <c r="Y187" s="13" t="str">
        <f t="shared" si="170"/>
        <v>-</v>
      </c>
      <c r="Z187" s="9" t="str">
        <f t="shared" si="156"/>
        <v>-</v>
      </c>
      <c r="AA187" s="16" t="str">
        <f t="shared" si="171"/>
        <v>-</v>
      </c>
      <c r="AB187" s="16" t="str">
        <f t="shared" si="157"/>
        <v>-</v>
      </c>
      <c r="AC187" s="16" t="str">
        <f t="shared" si="158"/>
        <v>-</v>
      </c>
      <c r="AD187" s="16" t="str">
        <f t="shared" si="172"/>
        <v>-</v>
      </c>
      <c r="AE187" s="16"/>
      <c r="AF187" s="31" t="str">
        <f>IFERROR(INDEX(Supermarket!$P$11:$P$170,MATCH('Calculations - Supermarket'!C187,Supermarket!$M$11:$M$170,0)),"")</f>
        <v/>
      </c>
      <c r="AG187" s="23" t="str">
        <f t="shared" si="173"/>
        <v/>
      </c>
      <c r="AH187" s="23" t="str">
        <f t="shared" si="174"/>
        <v/>
      </c>
      <c r="AI187" s="9" t="str">
        <f t="shared" si="159"/>
        <v/>
      </c>
      <c r="AJ187" s="4" t="str">
        <f t="shared" si="160"/>
        <v/>
      </c>
      <c r="AK187" s="4"/>
      <c r="AL187" s="4"/>
      <c r="AM187" s="4"/>
      <c r="AN187" s="4"/>
      <c r="AO187" s="4"/>
      <c r="AP187" s="20" t="str">
        <f t="shared" si="161"/>
        <v>-</v>
      </c>
      <c r="AQ187" s="13" t="str">
        <f t="shared" si="175"/>
        <v>-</v>
      </c>
      <c r="AR187" s="13" t="str">
        <f t="shared" si="176"/>
        <v>-</v>
      </c>
      <c r="AS187" s="13" t="str">
        <f t="shared" si="162"/>
        <v>-</v>
      </c>
      <c r="AT187" s="16" t="str">
        <f t="shared" si="177"/>
        <v>-</v>
      </c>
      <c r="AU187" s="16" t="str">
        <f t="shared" si="163"/>
        <v>-</v>
      </c>
      <c r="AV187" s="16" t="str">
        <f t="shared" si="164"/>
        <v>-</v>
      </c>
      <c r="AW187" s="16" t="str">
        <f t="shared" si="178"/>
        <v>-</v>
      </c>
      <c r="AX187" s="13" t="str">
        <f t="shared" si="179"/>
        <v>-</v>
      </c>
      <c r="AY187" s="10" t="str">
        <f t="shared" si="180"/>
        <v>-</v>
      </c>
      <c r="AZ187" s="9" t="str">
        <f t="shared" si="181"/>
        <v>-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</row>
    <row r="188" spans="2:68" x14ac:dyDescent="0.3">
      <c r="B188" s="108" t="str">
        <f t="shared" si="165"/>
        <v/>
      </c>
      <c r="C188" s="108" t="str">
        <f t="shared" si="149"/>
        <v/>
      </c>
      <c r="D188" s="3"/>
      <c r="E188" s="3"/>
      <c r="F188" s="3"/>
      <c r="G188" s="20">
        <f>IFERROR(INDEX('Input - Supermarket'!F$2:F$200,MATCH('Calculations - Supermarket'!$C188,'Input - Supermarket'!$B$2:$B$200,0)),"")</f>
        <v>0</v>
      </c>
      <c r="H188" s="20">
        <f>IFERROR(INDEX('Input - Supermarket'!G$2:G$200,MATCH('Calculations - Supermarket'!$C188,'Input - Supermarket'!$B$2:$B$200,0)),"")</f>
        <v>0</v>
      </c>
      <c r="I188" s="21">
        <f>IFERROR(INDEX('Input - Supermarket'!H$2:H$200,MATCH('Calculations - Supermarket'!$C188,'Input - Supermarket'!$B$2:$B$200,0)),"")</f>
        <v>0</v>
      </c>
      <c r="J188" s="21">
        <f>IFERROR(INDEX('Input - Supermarket'!I$2:I$200,MATCH('Calculations - Supermarket'!$C188,'Input - Supermarket'!$B$2:$B$200,0)),"")</f>
        <v>0</v>
      </c>
      <c r="K188" s="20">
        <f>IFERROR(INDEX('Input - Supermarket'!J$2:J$200,MATCH('Calculations - Supermarket'!$C188,'Input - Supermarket'!$B$2:$B$200,0)),"")</f>
        <v>0</v>
      </c>
      <c r="L188" s="20">
        <f>IFERROR(INDEX('Input - Supermarket'!K$2:K$200,MATCH('Calculations - Supermarket'!$C188,'Input - Supermarket'!$B$2:$B$200,0)),"")</f>
        <v>0</v>
      </c>
      <c r="M188" s="21" t="str">
        <f t="shared" si="166"/>
        <v/>
      </c>
      <c r="N188" s="21" t="str">
        <f t="shared" si="150"/>
        <v/>
      </c>
      <c r="O188" s="21">
        <f t="shared" si="167"/>
        <v>0</v>
      </c>
      <c r="P188" s="9">
        <f t="shared" si="151"/>
        <v>0</v>
      </c>
      <c r="Q188" s="9">
        <f t="shared" si="152"/>
        <v>0</v>
      </c>
      <c r="R188" s="22" t="str">
        <f>IFERROR(INDEX(Supermarket!$Q$11:$Q$170,MATCH('Calculations - Supermarket'!$C188,Supermarket!$M$11:$M$170,0)),"")</f>
        <v/>
      </c>
      <c r="S188" s="22" t="str">
        <f>IFERROR(INDEX(Supermarket!$R$11:$R$170,MATCH('Calculations - Supermarket'!$C188,Supermarket!$M$11:$M$170,0)),"")</f>
        <v/>
      </c>
      <c r="T188" s="16" t="e">
        <f t="shared" si="153"/>
        <v>#VALUE!</v>
      </c>
      <c r="U188" s="16" t="e">
        <f t="shared" si="168"/>
        <v>#VALUE!</v>
      </c>
      <c r="V188" s="16" t="e">
        <f t="shared" si="169"/>
        <v>#VALUE!</v>
      </c>
      <c r="W188" s="10" t="str">
        <f t="shared" si="154"/>
        <v>-</v>
      </c>
      <c r="X188" s="10" t="str">
        <f t="shared" si="155"/>
        <v>-</v>
      </c>
      <c r="Y188" s="13" t="str">
        <f t="shared" si="170"/>
        <v>-</v>
      </c>
      <c r="Z188" s="9" t="str">
        <f t="shared" si="156"/>
        <v>-</v>
      </c>
      <c r="AA188" s="16" t="str">
        <f t="shared" si="171"/>
        <v>-</v>
      </c>
      <c r="AB188" s="16" t="str">
        <f t="shared" si="157"/>
        <v>-</v>
      </c>
      <c r="AC188" s="16" t="str">
        <f t="shared" si="158"/>
        <v>-</v>
      </c>
      <c r="AD188" s="16" t="str">
        <f t="shared" si="172"/>
        <v>-</v>
      </c>
      <c r="AE188" s="16"/>
      <c r="AF188" s="31" t="str">
        <f>IFERROR(INDEX(Supermarket!$P$11:$P$170,MATCH('Calculations - Supermarket'!C188,Supermarket!$M$11:$M$170,0)),"")</f>
        <v/>
      </c>
      <c r="AG188" s="23" t="str">
        <f t="shared" si="173"/>
        <v/>
      </c>
      <c r="AH188" s="23" t="str">
        <f t="shared" si="174"/>
        <v/>
      </c>
      <c r="AI188" s="9" t="str">
        <f t="shared" si="159"/>
        <v/>
      </c>
      <c r="AJ188" s="4" t="str">
        <f t="shared" si="160"/>
        <v/>
      </c>
      <c r="AK188" s="4"/>
      <c r="AL188" s="4"/>
      <c r="AM188" s="4"/>
      <c r="AN188" s="4"/>
      <c r="AO188" s="4"/>
      <c r="AP188" s="20" t="str">
        <f t="shared" si="161"/>
        <v>-</v>
      </c>
      <c r="AQ188" s="13" t="str">
        <f t="shared" si="175"/>
        <v>-</v>
      </c>
      <c r="AR188" s="13" t="str">
        <f t="shared" si="176"/>
        <v>-</v>
      </c>
      <c r="AS188" s="13" t="str">
        <f t="shared" si="162"/>
        <v>-</v>
      </c>
      <c r="AT188" s="16" t="str">
        <f t="shared" si="177"/>
        <v>-</v>
      </c>
      <c r="AU188" s="16" t="str">
        <f t="shared" si="163"/>
        <v>-</v>
      </c>
      <c r="AV188" s="16" t="str">
        <f t="shared" si="164"/>
        <v>-</v>
      </c>
      <c r="AW188" s="16" t="str">
        <f t="shared" si="178"/>
        <v>-</v>
      </c>
      <c r="AX188" s="13" t="str">
        <f t="shared" si="179"/>
        <v>-</v>
      </c>
      <c r="AY188" s="10" t="str">
        <f t="shared" si="180"/>
        <v>-</v>
      </c>
      <c r="AZ188" s="9" t="str">
        <f t="shared" si="181"/>
        <v>-</v>
      </c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</row>
    <row r="189" spans="2:68" x14ac:dyDescent="0.3">
      <c r="B189" s="108" t="str">
        <f t="shared" si="165"/>
        <v/>
      </c>
      <c r="C189" s="108" t="str">
        <f t="shared" si="149"/>
        <v/>
      </c>
      <c r="D189" s="3"/>
      <c r="E189" s="3"/>
      <c r="F189" s="3"/>
      <c r="G189" s="20">
        <f>IFERROR(INDEX('Input - Supermarket'!F$2:F$200,MATCH('Calculations - Supermarket'!$C189,'Input - Supermarket'!$B$2:$B$200,0)),"")</f>
        <v>0</v>
      </c>
      <c r="H189" s="20">
        <f>IFERROR(INDEX('Input - Supermarket'!G$2:G$200,MATCH('Calculations - Supermarket'!$C189,'Input - Supermarket'!$B$2:$B$200,0)),"")</f>
        <v>0</v>
      </c>
      <c r="I189" s="21">
        <f>IFERROR(INDEX('Input - Supermarket'!H$2:H$200,MATCH('Calculations - Supermarket'!$C189,'Input - Supermarket'!$B$2:$B$200,0)),"")</f>
        <v>0</v>
      </c>
      <c r="J189" s="21">
        <f>IFERROR(INDEX('Input - Supermarket'!I$2:I$200,MATCH('Calculations - Supermarket'!$C189,'Input - Supermarket'!$B$2:$B$200,0)),"")</f>
        <v>0</v>
      </c>
      <c r="K189" s="20">
        <f>IFERROR(INDEX('Input - Supermarket'!J$2:J$200,MATCH('Calculations - Supermarket'!$C189,'Input - Supermarket'!$B$2:$B$200,0)),"")</f>
        <v>0</v>
      </c>
      <c r="L189" s="20">
        <f>IFERROR(INDEX('Input - Supermarket'!K$2:K$200,MATCH('Calculations - Supermarket'!$C189,'Input - Supermarket'!$B$2:$B$200,0)),"")</f>
        <v>0</v>
      </c>
      <c r="M189" s="21" t="str">
        <f t="shared" si="166"/>
        <v/>
      </c>
      <c r="N189" s="21" t="str">
        <f t="shared" si="150"/>
        <v/>
      </c>
      <c r="O189" s="21">
        <f t="shared" si="167"/>
        <v>0</v>
      </c>
      <c r="P189" s="9">
        <f t="shared" si="151"/>
        <v>0</v>
      </c>
      <c r="Q189" s="9">
        <f t="shared" si="152"/>
        <v>0</v>
      </c>
      <c r="R189" s="22" t="str">
        <f>IFERROR(INDEX(Supermarket!$Q$11:$Q$170,MATCH('Calculations - Supermarket'!$C189,Supermarket!$M$11:$M$170,0)),"")</f>
        <v/>
      </c>
      <c r="S189" s="22" t="str">
        <f>IFERROR(INDEX(Supermarket!$R$11:$R$170,MATCH('Calculations - Supermarket'!$C189,Supermarket!$M$11:$M$170,0)),"")</f>
        <v/>
      </c>
      <c r="T189" s="16" t="e">
        <f t="shared" si="153"/>
        <v>#VALUE!</v>
      </c>
      <c r="U189" s="16" t="e">
        <f t="shared" si="168"/>
        <v>#VALUE!</v>
      </c>
      <c r="V189" s="16" t="e">
        <f t="shared" si="169"/>
        <v>#VALUE!</v>
      </c>
      <c r="W189" s="10" t="str">
        <f t="shared" si="154"/>
        <v>-</v>
      </c>
      <c r="X189" s="10" t="str">
        <f t="shared" si="155"/>
        <v>-</v>
      </c>
      <c r="Y189" s="13" t="str">
        <f t="shared" si="170"/>
        <v>-</v>
      </c>
      <c r="Z189" s="9" t="str">
        <f t="shared" si="156"/>
        <v>-</v>
      </c>
      <c r="AA189" s="16" t="str">
        <f t="shared" si="171"/>
        <v>-</v>
      </c>
      <c r="AB189" s="16" t="str">
        <f t="shared" si="157"/>
        <v>-</v>
      </c>
      <c r="AC189" s="16" t="str">
        <f t="shared" si="158"/>
        <v>-</v>
      </c>
      <c r="AD189" s="16" t="str">
        <f t="shared" si="172"/>
        <v>-</v>
      </c>
      <c r="AE189" s="16"/>
      <c r="AF189" s="31" t="str">
        <f>IFERROR(INDEX(Supermarket!$P$11:$P$170,MATCH('Calculations - Supermarket'!C189,Supermarket!$M$11:$M$170,0)),"")</f>
        <v/>
      </c>
      <c r="AG189" s="23" t="str">
        <f t="shared" si="173"/>
        <v/>
      </c>
      <c r="AH189" s="23" t="str">
        <f t="shared" si="174"/>
        <v/>
      </c>
      <c r="AI189" s="9" t="str">
        <f t="shared" si="159"/>
        <v/>
      </c>
      <c r="AJ189" s="4" t="str">
        <f t="shared" si="160"/>
        <v/>
      </c>
      <c r="AK189" s="4"/>
      <c r="AL189" s="4"/>
      <c r="AM189" s="4"/>
      <c r="AN189" s="4"/>
      <c r="AO189" s="4"/>
      <c r="AP189" s="20" t="str">
        <f t="shared" si="161"/>
        <v>-</v>
      </c>
      <c r="AQ189" s="13" t="str">
        <f t="shared" si="175"/>
        <v>-</v>
      </c>
      <c r="AR189" s="13" t="str">
        <f t="shared" si="176"/>
        <v>-</v>
      </c>
      <c r="AS189" s="13" t="str">
        <f t="shared" si="162"/>
        <v>-</v>
      </c>
      <c r="AT189" s="16" t="str">
        <f t="shared" si="177"/>
        <v>-</v>
      </c>
      <c r="AU189" s="16" t="str">
        <f t="shared" si="163"/>
        <v>-</v>
      </c>
      <c r="AV189" s="16" t="str">
        <f t="shared" si="164"/>
        <v>-</v>
      </c>
      <c r="AW189" s="16" t="str">
        <f t="shared" si="178"/>
        <v>-</v>
      </c>
      <c r="AX189" s="13" t="str">
        <f t="shared" si="179"/>
        <v>-</v>
      </c>
      <c r="AY189" s="10" t="str">
        <f t="shared" si="180"/>
        <v>-</v>
      </c>
      <c r="AZ189" s="9" t="str">
        <f t="shared" si="181"/>
        <v>-</v>
      </c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</row>
    <row r="190" spans="2:68" x14ac:dyDescent="0.3">
      <c r="B190" s="108" t="str">
        <f t="shared" si="165"/>
        <v/>
      </c>
      <c r="C190" s="108" t="str">
        <f t="shared" si="149"/>
        <v/>
      </c>
      <c r="D190" s="3"/>
      <c r="E190" s="3"/>
      <c r="F190" s="3"/>
      <c r="G190" s="20">
        <f>IFERROR(INDEX('Input - Supermarket'!F$2:F$200,MATCH('Calculations - Supermarket'!$C190,'Input - Supermarket'!$B$2:$B$200,0)),"")</f>
        <v>0</v>
      </c>
      <c r="H190" s="20">
        <f>IFERROR(INDEX('Input - Supermarket'!G$2:G$200,MATCH('Calculations - Supermarket'!$C190,'Input - Supermarket'!$B$2:$B$200,0)),"")</f>
        <v>0</v>
      </c>
      <c r="I190" s="21">
        <f>IFERROR(INDEX('Input - Supermarket'!H$2:H$200,MATCH('Calculations - Supermarket'!$C190,'Input - Supermarket'!$B$2:$B$200,0)),"")</f>
        <v>0</v>
      </c>
      <c r="J190" s="21">
        <f>IFERROR(INDEX('Input - Supermarket'!I$2:I$200,MATCH('Calculations - Supermarket'!$C190,'Input - Supermarket'!$B$2:$B$200,0)),"")</f>
        <v>0</v>
      </c>
      <c r="K190" s="20">
        <f>IFERROR(INDEX('Input - Supermarket'!J$2:J$200,MATCH('Calculations - Supermarket'!$C190,'Input - Supermarket'!$B$2:$B$200,0)),"")</f>
        <v>0</v>
      </c>
      <c r="L190" s="20">
        <f>IFERROR(INDEX('Input - Supermarket'!K$2:K$200,MATCH('Calculations - Supermarket'!$C190,'Input - Supermarket'!$B$2:$B$200,0)),"")</f>
        <v>0</v>
      </c>
      <c r="M190" s="21" t="str">
        <f t="shared" si="166"/>
        <v/>
      </c>
      <c r="N190" s="21" t="str">
        <f t="shared" si="150"/>
        <v/>
      </c>
      <c r="O190" s="21">
        <f t="shared" si="167"/>
        <v>0</v>
      </c>
      <c r="P190" s="9">
        <f t="shared" si="151"/>
        <v>0</v>
      </c>
      <c r="Q190" s="9">
        <f t="shared" si="152"/>
        <v>0</v>
      </c>
      <c r="R190" s="22" t="str">
        <f>IFERROR(INDEX(Supermarket!$Q$11:$Q$170,MATCH('Calculations - Supermarket'!$C190,Supermarket!$M$11:$M$170,0)),"")</f>
        <v/>
      </c>
      <c r="S190" s="22" t="str">
        <f>IFERROR(INDEX(Supermarket!$R$11:$R$170,MATCH('Calculations - Supermarket'!$C190,Supermarket!$M$11:$M$170,0)),"")</f>
        <v/>
      </c>
      <c r="T190" s="16" t="e">
        <f t="shared" si="153"/>
        <v>#VALUE!</v>
      </c>
      <c r="U190" s="16" t="e">
        <f t="shared" si="168"/>
        <v>#VALUE!</v>
      </c>
      <c r="V190" s="16" t="e">
        <f t="shared" si="169"/>
        <v>#VALUE!</v>
      </c>
      <c r="W190" s="10" t="str">
        <f t="shared" si="154"/>
        <v>-</v>
      </c>
      <c r="X190" s="10" t="str">
        <f t="shared" si="155"/>
        <v>-</v>
      </c>
      <c r="Y190" s="13" t="str">
        <f t="shared" si="170"/>
        <v>-</v>
      </c>
      <c r="Z190" s="9" t="str">
        <f t="shared" si="156"/>
        <v>-</v>
      </c>
      <c r="AA190" s="16" t="str">
        <f t="shared" si="171"/>
        <v>-</v>
      </c>
      <c r="AB190" s="16" t="str">
        <f t="shared" si="157"/>
        <v>-</v>
      </c>
      <c r="AC190" s="16" t="str">
        <f t="shared" si="158"/>
        <v>-</v>
      </c>
      <c r="AD190" s="16" t="str">
        <f t="shared" si="172"/>
        <v>-</v>
      </c>
      <c r="AE190" s="16"/>
      <c r="AF190" s="31" t="str">
        <f>IFERROR(INDEX(Supermarket!$P$11:$P$170,MATCH('Calculations - Supermarket'!C190,Supermarket!$M$11:$M$170,0)),"")</f>
        <v/>
      </c>
      <c r="AG190" s="23" t="str">
        <f t="shared" si="173"/>
        <v/>
      </c>
      <c r="AH190" s="23" t="str">
        <f t="shared" si="174"/>
        <v/>
      </c>
      <c r="AI190" s="9" t="str">
        <f t="shared" si="159"/>
        <v/>
      </c>
      <c r="AJ190" s="4" t="str">
        <f t="shared" si="160"/>
        <v/>
      </c>
      <c r="AK190" s="4"/>
      <c r="AL190" s="4"/>
      <c r="AM190" s="4"/>
      <c r="AN190" s="4"/>
      <c r="AO190" s="4"/>
      <c r="AP190" s="20" t="str">
        <f t="shared" si="161"/>
        <v>-</v>
      </c>
      <c r="AQ190" s="13" t="str">
        <f t="shared" si="175"/>
        <v>-</v>
      </c>
      <c r="AR190" s="13" t="str">
        <f t="shared" si="176"/>
        <v>-</v>
      </c>
      <c r="AS190" s="13" t="str">
        <f t="shared" si="162"/>
        <v>-</v>
      </c>
      <c r="AT190" s="16" t="str">
        <f t="shared" si="177"/>
        <v>-</v>
      </c>
      <c r="AU190" s="16" t="str">
        <f t="shared" si="163"/>
        <v>-</v>
      </c>
      <c r="AV190" s="16" t="str">
        <f t="shared" si="164"/>
        <v>-</v>
      </c>
      <c r="AW190" s="16" t="str">
        <f t="shared" si="178"/>
        <v>-</v>
      </c>
      <c r="AX190" s="13" t="str">
        <f t="shared" si="179"/>
        <v>-</v>
      </c>
      <c r="AY190" s="10" t="str">
        <f t="shared" si="180"/>
        <v>-</v>
      </c>
      <c r="AZ190" s="9" t="str">
        <f t="shared" si="181"/>
        <v>-</v>
      </c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</row>
    <row r="191" spans="2:68" x14ac:dyDescent="0.3">
      <c r="B191" s="108" t="str">
        <f t="shared" si="165"/>
        <v/>
      </c>
      <c r="C191" s="108" t="str">
        <f t="shared" si="149"/>
        <v/>
      </c>
      <c r="D191" s="3"/>
      <c r="E191" s="3"/>
      <c r="F191" s="3"/>
      <c r="G191" s="20">
        <f>IFERROR(INDEX('Input - Supermarket'!F$2:F$200,MATCH('Calculations - Supermarket'!$C191,'Input - Supermarket'!$B$2:$B$200,0)),"")</f>
        <v>0</v>
      </c>
      <c r="H191" s="20">
        <f>IFERROR(INDEX('Input - Supermarket'!G$2:G$200,MATCH('Calculations - Supermarket'!$C191,'Input - Supermarket'!$B$2:$B$200,0)),"")</f>
        <v>0</v>
      </c>
      <c r="I191" s="21">
        <f>IFERROR(INDEX('Input - Supermarket'!H$2:H$200,MATCH('Calculations - Supermarket'!$C191,'Input - Supermarket'!$B$2:$B$200,0)),"")</f>
        <v>0</v>
      </c>
      <c r="J191" s="21">
        <f>IFERROR(INDEX('Input - Supermarket'!I$2:I$200,MATCH('Calculations - Supermarket'!$C191,'Input - Supermarket'!$B$2:$B$200,0)),"")</f>
        <v>0</v>
      </c>
      <c r="K191" s="20">
        <f>IFERROR(INDEX('Input - Supermarket'!J$2:J$200,MATCH('Calculations - Supermarket'!$C191,'Input - Supermarket'!$B$2:$B$200,0)),"")</f>
        <v>0</v>
      </c>
      <c r="L191" s="20">
        <f>IFERROR(INDEX('Input - Supermarket'!K$2:K$200,MATCH('Calculations - Supermarket'!$C191,'Input - Supermarket'!$B$2:$B$200,0)),"")</f>
        <v>0</v>
      </c>
      <c r="M191" s="21" t="str">
        <f t="shared" si="166"/>
        <v/>
      </c>
      <c r="N191" s="21" t="str">
        <f t="shared" si="150"/>
        <v/>
      </c>
      <c r="O191" s="21">
        <f t="shared" si="167"/>
        <v>0</v>
      </c>
      <c r="P191" s="9">
        <f t="shared" si="151"/>
        <v>0</v>
      </c>
      <c r="Q191" s="9">
        <f t="shared" si="152"/>
        <v>0</v>
      </c>
      <c r="R191" s="22" t="str">
        <f>IFERROR(INDEX(Supermarket!$Q$11:$Q$170,MATCH('Calculations - Supermarket'!$C191,Supermarket!$M$11:$M$170,0)),"")</f>
        <v/>
      </c>
      <c r="S191" s="22" t="str">
        <f>IFERROR(INDEX(Supermarket!$R$11:$R$170,MATCH('Calculations - Supermarket'!$C191,Supermarket!$M$11:$M$170,0)),"")</f>
        <v/>
      </c>
      <c r="T191" s="16" t="e">
        <f t="shared" si="153"/>
        <v>#VALUE!</v>
      </c>
      <c r="U191" s="16" t="e">
        <f t="shared" si="168"/>
        <v>#VALUE!</v>
      </c>
      <c r="V191" s="16" t="e">
        <f t="shared" si="169"/>
        <v>#VALUE!</v>
      </c>
      <c r="W191" s="10" t="str">
        <f t="shared" si="154"/>
        <v>-</v>
      </c>
      <c r="X191" s="10" t="str">
        <f t="shared" si="155"/>
        <v>-</v>
      </c>
      <c r="Y191" s="13" t="str">
        <f t="shared" si="170"/>
        <v>-</v>
      </c>
      <c r="Z191" s="9" t="str">
        <f t="shared" si="156"/>
        <v>-</v>
      </c>
      <c r="AA191" s="16" t="str">
        <f t="shared" si="171"/>
        <v>-</v>
      </c>
      <c r="AB191" s="16" t="str">
        <f t="shared" si="157"/>
        <v>-</v>
      </c>
      <c r="AC191" s="16" t="str">
        <f t="shared" si="158"/>
        <v>-</v>
      </c>
      <c r="AD191" s="16" t="str">
        <f t="shared" si="172"/>
        <v>-</v>
      </c>
      <c r="AE191" s="16"/>
      <c r="AF191" s="31" t="str">
        <f>IFERROR(INDEX(Supermarket!$P$11:$P$170,MATCH('Calculations - Supermarket'!C191,Supermarket!$M$11:$M$170,0)),"")</f>
        <v/>
      </c>
      <c r="AG191" s="23" t="str">
        <f t="shared" si="173"/>
        <v/>
      </c>
      <c r="AH191" s="23" t="str">
        <f t="shared" si="174"/>
        <v/>
      </c>
      <c r="AI191" s="9" t="str">
        <f t="shared" si="159"/>
        <v/>
      </c>
      <c r="AJ191" s="4" t="str">
        <f t="shared" si="160"/>
        <v/>
      </c>
      <c r="AK191" s="4"/>
      <c r="AL191" s="4"/>
      <c r="AM191" s="4"/>
      <c r="AN191" s="4"/>
      <c r="AO191" s="4"/>
      <c r="AP191" s="20" t="str">
        <f t="shared" si="161"/>
        <v>-</v>
      </c>
      <c r="AQ191" s="13" t="str">
        <f t="shared" si="175"/>
        <v>-</v>
      </c>
      <c r="AR191" s="13" t="str">
        <f t="shared" si="176"/>
        <v>-</v>
      </c>
      <c r="AS191" s="13" t="str">
        <f t="shared" si="162"/>
        <v>-</v>
      </c>
      <c r="AT191" s="16" t="str">
        <f t="shared" si="177"/>
        <v>-</v>
      </c>
      <c r="AU191" s="16" t="str">
        <f t="shared" si="163"/>
        <v>-</v>
      </c>
      <c r="AV191" s="16" t="str">
        <f t="shared" si="164"/>
        <v>-</v>
      </c>
      <c r="AW191" s="16" t="str">
        <f t="shared" si="178"/>
        <v>-</v>
      </c>
      <c r="AX191" s="13" t="str">
        <f t="shared" si="179"/>
        <v>-</v>
      </c>
      <c r="AY191" s="10" t="str">
        <f t="shared" si="180"/>
        <v>-</v>
      </c>
      <c r="AZ191" s="9" t="str">
        <f t="shared" si="181"/>
        <v>-</v>
      </c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</row>
    <row r="192" spans="2:68" x14ac:dyDescent="0.3">
      <c r="B192" s="108" t="str">
        <f t="shared" si="165"/>
        <v/>
      </c>
      <c r="C192" s="108" t="str">
        <f t="shared" ref="C192:C223" si="182">IFERROR(D192&amp;E192&amp;F192,"")</f>
        <v/>
      </c>
      <c r="D192" s="3"/>
      <c r="E192" s="3"/>
      <c r="F192" s="3"/>
      <c r="G192" s="20">
        <f>IFERROR(INDEX('Input - Supermarket'!F$2:F$200,MATCH('Calculations - Supermarket'!$C192,'Input - Supermarket'!$B$2:$B$200,0)),"")</f>
        <v>0</v>
      </c>
      <c r="H192" s="20">
        <f>IFERROR(INDEX('Input - Supermarket'!G$2:G$200,MATCH('Calculations - Supermarket'!$C192,'Input - Supermarket'!$B$2:$B$200,0)),"")</f>
        <v>0</v>
      </c>
      <c r="I192" s="21">
        <f>IFERROR(INDEX('Input - Supermarket'!H$2:H$200,MATCH('Calculations - Supermarket'!$C192,'Input - Supermarket'!$B$2:$B$200,0)),"")</f>
        <v>0</v>
      </c>
      <c r="J192" s="21">
        <f>IFERROR(INDEX('Input - Supermarket'!I$2:I$200,MATCH('Calculations - Supermarket'!$C192,'Input - Supermarket'!$B$2:$B$200,0)),"")</f>
        <v>0</v>
      </c>
      <c r="K192" s="20">
        <f>IFERROR(INDEX('Input - Supermarket'!J$2:J$200,MATCH('Calculations - Supermarket'!$C192,'Input - Supermarket'!$B$2:$B$200,0)),"")</f>
        <v>0</v>
      </c>
      <c r="L192" s="20">
        <f>IFERROR(INDEX('Input - Supermarket'!K$2:K$200,MATCH('Calculations - Supermarket'!$C192,'Input - Supermarket'!$B$2:$B$200,0)),"")</f>
        <v>0</v>
      </c>
      <c r="M192" s="21" t="str">
        <f t="shared" si="166"/>
        <v/>
      </c>
      <c r="N192" s="21" t="str">
        <f t="shared" ref="N192:N223" si="183">IFERROR(K192/L192,"")</f>
        <v/>
      </c>
      <c r="O192" s="21">
        <f t="shared" si="167"/>
        <v>0</v>
      </c>
      <c r="P192" s="9">
        <f t="shared" ref="P192:P223" si="184">G192/SUM(G$32:G$229)</f>
        <v>0</v>
      </c>
      <c r="Q192" s="9">
        <f t="shared" ref="Q192:Q223" si="185">H192/SUM(H$32:H$229)</f>
        <v>0</v>
      </c>
      <c r="R192" s="22" t="str">
        <f>IFERROR(INDEX(Supermarket!$Q$11:$Q$170,MATCH('Calculations - Supermarket'!$C192,Supermarket!$M$11:$M$170,0)),"")</f>
        <v/>
      </c>
      <c r="S192" s="22" t="str">
        <f>IFERROR(INDEX(Supermarket!$R$11:$R$170,MATCH('Calculations - Supermarket'!$C192,Supermarket!$M$11:$M$170,0)),"")</f>
        <v/>
      </c>
      <c r="T192" s="16" t="e">
        <f t="shared" ref="T192:T223" si="186">R192*G192</f>
        <v>#VALUE!</v>
      </c>
      <c r="U192" s="16" t="e">
        <f t="shared" si="168"/>
        <v>#VALUE!</v>
      </c>
      <c r="V192" s="16" t="e">
        <f t="shared" si="169"/>
        <v>#VALUE!</v>
      </c>
      <c r="W192" s="10" t="str">
        <f t="shared" ref="W192:W223" si="187">IFERROR(V192/H192,"-")</f>
        <v>-</v>
      </c>
      <c r="X192" s="10" t="str">
        <f t="shared" ref="X192:X223" si="188">IFERROR((J192+M192)*H192*0.5,"-")</f>
        <v>-</v>
      </c>
      <c r="Y192" s="13" t="str">
        <f t="shared" si="170"/>
        <v>-</v>
      </c>
      <c r="Z192" s="9" t="str">
        <f t="shared" ref="Z192:Z223" si="189">IFERROR(Y192-P192,"-")</f>
        <v>-</v>
      </c>
      <c r="AA192" s="16" t="str">
        <f t="shared" si="171"/>
        <v>-</v>
      </c>
      <c r="AB192" s="16" t="str">
        <f t="shared" ref="AB192:AB223" si="190">IFERROR(AA192/M192,"-")</f>
        <v>-</v>
      </c>
      <c r="AC192" s="16" t="str">
        <f t="shared" ref="AC192:AC223" si="191">IFERROR(R192*AA192,"-")</f>
        <v>-</v>
      </c>
      <c r="AD192" s="16" t="str">
        <f t="shared" si="172"/>
        <v>-</v>
      </c>
      <c r="AE192" s="16"/>
      <c r="AF192" s="31" t="str">
        <f>IFERROR(INDEX(Supermarket!$P$11:$P$170,MATCH('Calculations - Supermarket'!C192,Supermarket!$M$11:$M$170,0)),"")</f>
        <v/>
      </c>
      <c r="AG192" s="23" t="str">
        <f t="shared" si="173"/>
        <v/>
      </c>
      <c r="AH192" s="23" t="str">
        <f t="shared" si="174"/>
        <v/>
      </c>
      <c r="AI192" s="9" t="str">
        <f t="shared" ref="AI192:AI223" si="192">IFERROR((AF192-M192)/M192,"")</f>
        <v/>
      </c>
      <c r="AJ192" s="4" t="str">
        <f t="shared" ref="AJ192:AJ223" si="193">IFERROR(MAX((1+AI192*O192/5)*H192,0),"")</f>
        <v/>
      </c>
      <c r="AK192" s="4"/>
      <c r="AL192" s="4"/>
      <c r="AM192" s="4"/>
      <c r="AN192" s="4"/>
      <c r="AO192" s="4"/>
      <c r="AP192" s="20" t="str">
        <f t="shared" ref="AP192:AP223" si="194">IFERROR(0.5*(J192+AF192)*AJ192,"-")</f>
        <v>-</v>
      </c>
      <c r="AQ192" s="13" t="str">
        <f t="shared" si="175"/>
        <v>-</v>
      </c>
      <c r="AR192" s="13" t="str">
        <f t="shared" si="176"/>
        <v>-</v>
      </c>
      <c r="AS192" s="13" t="str">
        <f t="shared" ref="AS192:AS223" si="195">IFERROR(AR192-P192,"-")</f>
        <v>-</v>
      </c>
      <c r="AT192" s="16" t="str">
        <f t="shared" si="177"/>
        <v>-</v>
      </c>
      <c r="AU192" s="16" t="str">
        <f t="shared" ref="AU192:AU223" si="196">IFERROR(AT192/AF192,"-")</f>
        <v>-</v>
      </c>
      <c r="AV192" s="16" t="str">
        <f t="shared" ref="AV192:AV223" si="197">IFERROR(AG192*AT192,"-")</f>
        <v>-</v>
      </c>
      <c r="AW192" s="16" t="str">
        <f t="shared" si="178"/>
        <v>-</v>
      </c>
      <c r="AX192" s="13" t="str">
        <f t="shared" si="179"/>
        <v>-</v>
      </c>
      <c r="AY192" s="10" t="str">
        <f t="shared" si="180"/>
        <v>-</v>
      </c>
      <c r="AZ192" s="9" t="str">
        <f t="shared" si="181"/>
        <v>-</v>
      </c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</row>
    <row r="193" spans="2:68" x14ac:dyDescent="0.3">
      <c r="B193" s="108" t="str">
        <f t="shared" si="165"/>
        <v/>
      </c>
      <c r="C193" s="108" t="str">
        <f t="shared" si="182"/>
        <v/>
      </c>
      <c r="D193" s="3"/>
      <c r="E193" s="3"/>
      <c r="F193" s="3"/>
      <c r="G193" s="20">
        <f>IFERROR(INDEX('Input - Supermarket'!F$2:F$200,MATCH('Calculations - Supermarket'!$C193,'Input - Supermarket'!$B$2:$B$200,0)),"")</f>
        <v>0</v>
      </c>
      <c r="H193" s="20">
        <f>IFERROR(INDEX('Input - Supermarket'!G$2:G$200,MATCH('Calculations - Supermarket'!$C193,'Input - Supermarket'!$B$2:$B$200,0)),"")</f>
        <v>0</v>
      </c>
      <c r="I193" s="21">
        <f>IFERROR(INDEX('Input - Supermarket'!H$2:H$200,MATCH('Calculations - Supermarket'!$C193,'Input - Supermarket'!$B$2:$B$200,0)),"")</f>
        <v>0</v>
      </c>
      <c r="J193" s="21">
        <f>IFERROR(INDEX('Input - Supermarket'!I$2:I$200,MATCH('Calculations - Supermarket'!$C193,'Input - Supermarket'!$B$2:$B$200,0)),"")</f>
        <v>0</v>
      </c>
      <c r="K193" s="20">
        <f>IFERROR(INDEX('Input - Supermarket'!J$2:J$200,MATCH('Calculations - Supermarket'!$C193,'Input - Supermarket'!$B$2:$B$200,0)),"")</f>
        <v>0</v>
      </c>
      <c r="L193" s="20">
        <f>IFERROR(INDEX('Input - Supermarket'!K$2:K$200,MATCH('Calculations - Supermarket'!$C193,'Input - Supermarket'!$B$2:$B$200,0)),"")</f>
        <v>0</v>
      </c>
      <c r="M193" s="21" t="str">
        <f t="shared" si="166"/>
        <v/>
      </c>
      <c r="N193" s="21" t="str">
        <f t="shared" si="183"/>
        <v/>
      </c>
      <c r="O193" s="21">
        <f t="shared" si="167"/>
        <v>0</v>
      </c>
      <c r="P193" s="9">
        <f t="shared" si="184"/>
        <v>0</v>
      </c>
      <c r="Q193" s="9">
        <f t="shared" si="185"/>
        <v>0</v>
      </c>
      <c r="R193" s="22" t="str">
        <f>IFERROR(INDEX(Supermarket!$Q$11:$Q$170,MATCH('Calculations - Supermarket'!$C193,Supermarket!$M$11:$M$170,0)),"")</f>
        <v/>
      </c>
      <c r="S193" s="22" t="str">
        <f>IFERROR(INDEX(Supermarket!$R$11:$R$170,MATCH('Calculations - Supermarket'!$C193,Supermarket!$M$11:$M$170,0)),"")</f>
        <v/>
      </c>
      <c r="T193" s="16" t="e">
        <f t="shared" si="186"/>
        <v>#VALUE!</v>
      </c>
      <c r="U193" s="16" t="e">
        <f t="shared" si="168"/>
        <v>#VALUE!</v>
      </c>
      <c r="V193" s="16" t="e">
        <f t="shared" si="169"/>
        <v>#VALUE!</v>
      </c>
      <c r="W193" s="10" t="str">
        <f t="shared" si="187"/>
        <v>-</v>
      </c>
      <c r="X193" s="10" t="str">
        <f t="shared" si="188"/>
        <v>-</v>
      </c>
      <c r="Y193" s="13" t="str">
        <f t="shared" si="170"/>
        <v>-</v>
      </c>
      <c r="Z193" s="9" t="str">
        <f t="shared" si="189"/>
        <v>-</v>
      </c>
      <c r="AA193" s="16" t="str">
        <f t="shared" si="171"/>
        <v>-</v>
      </c>
      <c r="AB193" s="16" t="str">
        <f t="shared" si="190"/>
        <v>-</v>
      </c>
      <c r="AC193" s="16" t="str">
        <f t="shared" si="191"/>
        <v>-</v>
      </c>
      <c r="AD193" s="16" t="str">
        <f t="shared" si="172"/>
        <v>-</v>
      </c>
      <c r="AE193" s="16"/>
      <c r="AF193" s="31" t="str">
        <f>IFERROR(INDEX(Supermarket!$P$11:$P$170,MATCH('Calculations - Supermarket'!C193,Supermarket!$M$11:$M$170,0)),"")</f>
        <v/>
      </c>
      <c r="AG193" s="23" t="str">
        <f t="shared" si="173"/>
        <v/>
      </c>
      <c r="AH193" s="23" t="str">
        <f t="shared" si="174"/>
        <v/>
      </c>
      <c r="AI193" s="9" t="str">
        <f t="shared" si="192"/>
        <v/>
      </c>
      <c r="AJ193" s="4" t="str">
        <f t="shared" si="193"/>
        <v/>
      </c>
      <c r="AK193" s="4"/>
      <c r="AL193" s="4"/>
      <c r="AM193" s="4"/>
      <c r="AN193" s="4"/>
      <c r="AO193" s="4"/>
      <c r="AP193" s="20" t="str">
        <f t="shared" si="194"/>
        <v>-</v>
      </c>
      <c r="AQ193" s="13" t="str">
        <f t="shared" si="175"/>
        <v>-</v>
      </c>
      <c r="AR193" s="13" t="str">
        <f t="shared" si="176"/>
        <v>-</v>
      </c>
      <c r="AS193" s="13" t="str">
        <f t="shared" si="195"/>
        <v>-</v>
      </c>
      <c r="AT193" s="16" t="str">
        <f t="shared" si="177"/>
        <v>-</v>
      </c>
      <c r="AU193" s="16" t="str">
        <f t="shared" si="196"/>
        <v>-</v>
      </c>
      <c r="AV193" s="16" t="str">
        <f t="shared" si="197"/>
        <v>-</v>
      </c>
      <c r="AW193" s="16" t="str">
        <f t="shared" si="178"/>
        <v>-</v>
      </c>
      <c r="AX193" s="13" t="str">
        <f t="shared" si="179"/>
        <v>-</v>
      </c>
      <c r="AY193" s="10" t="str">
        <f t="shared" si="180"/>
        <v>-</v>
      </c>
      <c r="AZ193" s="9" t="str">
        <f t="shared" si="181"/>
        <v>-</v>
      </c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</row>
    <row r="194" spans="2:68" x14ac:dyDescent="0.3">
      <c r="B194" s="108" t="str">
        <f t="shared" si="165"/>
        <v/>
      </c>
      <c r="C194" s="108" t="str">
        <f t="shared" si="182"/>
        <v/>
      </c>
      <c r="D194" s="3"/>
      <c r="E194" s="3"/>
      <c r="F194" s="3"/>
      <c r="G194" s="20">
        <f>IFERROR(INDEX('Input - Supermarket'!F$2:F$200,MATCH('Calculations - Supermarket'!$C194,'Input - Supermarket'!$B$2:$B$200,0)),"")</f>
        <v>0</v>
      </c>
      <c r="H194" s="20">
        <f>IFERROR(INDEX('Input - Supermarket'!G$2:G$200,MATCH('Calculations - Supermarket'!$C194,'Input - Supermarket'!$B$2:$B$200,0)),"")</f>
        <v>0</v>
      </c>
      <c r="I194" s="21">
        <f>IFERROR(INDEX('Input - Supermarket'!H$2:H$200,MATCH('Calculations - Supermarket'!$C194,'Input - Supermarket'!$B$2:$B$200,0)),"")</f>
        <v>0</v>
      </c>
      <c r="J194" s="21">
        <f>IFERROR(INDEX('Input - Supermarket'!I$2:I$200,MATCH('Calculations - Supermarket'!$C194,'Input - Supermarket'!$B$2:$B$200,0)),"")</f>
        <v>0</v>
      </c>
      <c r="K194" s="20">
        <f>IFERROR(INDEX('Input - Supermarket'!J$2:J$200,MATCH('Calculations - Supermarket'!$C194,'Input - Supermarket'!$B$2:$B$200,0)),"")</f>
        <v>0</v>
      </c>
      <c r="L194" s="20">
        <f>IFERROR(INDEX('Input - Supermarket'!K$2:K$200,MATCH('Calculations - Supermarket'!$C194,'Input - Supermarket'!$B$2:$B$200,0)),"")</f>
        <v>0</v>
      </c>
      <c r="M194" s="21" t="str">
        <f t="shared" si="166"/>
        <v/>
      </c>
      <c r="N194" s="21" t="str">
        <f t="shared" si="183"/>
        <v/>
      </c>
      <c r="O194" s="21">
        <f t="shared" si="167"/>
        <v>0</v>
      </c>
      <c r="P194" s="9">
        <f t="shared" si="184"/>
        <v>0</v>
      </c>
      <c r="Q194" s="9">
        <f t="shared" si="185"/>
        <v>0</v>
      </c>
      <c r="R194" s="22" t="str">
        <f>IFERROR(INDEX(Supermarket!$Q$11:$Q$170,MATCH('Calculations - Supermarket'!$C194,Supermarket!$M$11:$M$170,0)),"")</f>
        <v/>
      </c>
      <c r="S194" s="22" t="str">
        <f>IFERROR(INDEX(Supermarket!$R$11:$R$170,MATCH('Calculations - Supermarket'!$C194,Supermarket!$M$11:$M$170,0)),"")</f>
        <v/>
      </c>
      <c r="T194" s="16" t="e">
        <f t="shared" si="186"/>
        <v>#VALUE!</v>
      </c>
      <c r="U194" s="16" t="e">
        <f t="shared" si="168"/>
        <v>#VALUE!</v>
      </c>
      <c r="V194" s="16" t="e">
        <f t="shared" si="169"/>
        <v>#VALUE!</v>
      </c>
      <c r="W194" s="10" t="str">
        <f t="shared" si="187"/>
        <v>-</v>
      </c>
      <c r="X194" s="10" t="str">
        <f t="shared" si="188"/>
        <v>-</v>
      </c>
      <c r="Y194" s="13" t="str">
        <f t="shared" si="170"/>
        <v>-</v>
      </c>
      <c r="Z194" s="9" t="str">
        <f t="shared" si="189"/>
        <v>-</v>
      </c>
      <c r="AA194" s="16" t="str">
        <f t="shared" si="171"/>
        <v>-</v>
      </c>
      <c r="AB194" s="16" t="str">
        <f t="shared" si="190"/>
        <v>-</v>
      </c>
      <c r="AC194" s="16" t="str">
        <f t="shared" si="191"/>
        <v>-</v>
      </c>
      <c r="AD194" s="16" t="str">
        <f t="shared" si="172"/>
        <v>-</v>
      </c>
      <c r="AE194" s="16"/>
      <c r="AF194" s="31" t="str">
        <f>IFERROR(INDEX(Supermarket!$P$11:$P$170,MATCH('Calculations - Supermarket'!C194,Supermarket!$M$11:$M$170,0)),"")</f>
        <v/>
      </c>
      <c r="AG194" s="23" t="str">
        <f t="shared" si="173"/>
        <v/>
      </c>
      <c r="AH194" s="23" t="str">
        <f t="shared" si="174"/>
        <v/>
      </c>
      <c r="AI194" s="9" t="str">
        <f t="shared" si="192"/>
        <v/>
      </c>
      <c r="AJ194" s="4" t="str">
        <f t="shared" si="193"/>
        <v/>
      </c>
      <c r="AK194" s="4"/>
      <c r="AL194" s="4"/>
      <c r="AM194" s="4"/>
      <c r="AN194" s="4"/>
      <c r="AO194" s="4"/>
      <c r="AP194" s="20" t="str">
        <f t="shared" si="194"/>
        <v>-</v>
      </c>
      <c r="AQ194" s="13" t="str">
        <f t="shared" si="175"/>
        <v>-</v>
      </c>
      <c r="AR194" s="13" t="str">
        <f t="shared" si="176"/>
        <v>-</v>
      </c>
      <c r="AS194" s="13" t="str">
        <f t="shared" si="195"/>
        <v>-</v>
      </c>
      <c r="AT194" s="16" t="str">
        <f t="shared" si="177"/>
        <v>-</v>
      </c>
      <c r="AU194" s="16" t="str">
        <f t="shared" si="196"/>
        <v>-</v>
      </c>
      <c r="AV194" s="16" t="str">
        <f t="shared" si="197"/>
        <v>-</v>
      </c>
      <c r="AW194" s="16" t="str">
        <f t="shared" si="178"/>
        <v>-</v>
      </c>
      <c r="AX194" s="13" t="str">
        <f t="shared" si="179"/>
        <v>-</v>
      </c>
      <c r="AY194" s="10" t="str">
        <f t="shared" si="180"/>
        <v>-</v>
      </c>
      <c r="AZ194" s="9" t="str">
        <f t="shared" si="181"/>
        <v>-</v>
      </c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</row>
    <row r="195" spans="2:68" x14ac:dyDescent="0.3">
      <c r="B195" s="108" t="str">
        <f t="shared" si="165"/>
        <v/>
      </c>
      <c r="C195" s="108" t="str">
        <f t="shared" si="182"/>
        <v/>
      </c>
      <c r="D195" s="3"/>
      <c r="E195" s="3"/>
      <c r="F195" s="3"/>
      <c r="G195" s="20">
        <f>IFERROR(INDEX('Input - Supermarket'!F$2:F$200,MATCH('Calculations - Supermarket'!$C195,'Input - Supermarket'!$B$2:$B$200,0)),"")</f>
        <v>0</v>
      </c>
      <c r="H195" s="20">
        <f>IFERROR(INDEX('Input - Supermarket'!G$2:G$200,MATCH('Calculations - Supermarket'!$C195,'Input - Supermarket'!$B$2:$B$200,0)),"")</f>
        <v>0</v>
      </c>
      <c r="I195" s="21">
        <f>IFERROR(INDEX('Input - Supermarket'!H$2:H$200,MATCH('Calculations - Supermarket'!$C195,'Input - Supermarket'!$B$2:$B$200,0)),"")</f>
        <v>0</v>
      </c>
      <c r="J195" s="21">
        <f>IFERROR(INDEX('Input - Supermarket'!I$2:I$200,MATCH('Calculations - Supermarket'!$C195,'Input - Supermarket'!$B$2:$B$200,0)),"")</f>
        <v>0</v>
      </c>
      <c r="K195" s="20">
        <f>IFERROR(INDEX('Input - Supermarket'!J$2:J$200,MATCH('Calculations - Supermarket'!$C195,'Input - Supermarket'!$B$2:$B$200,0)),"")</f>
        <v>0</v>
      </c>
      <c r="L195" s="20">
        <f>IFERROR(INDEX('Input - Supermarket'!K$2:K$200,MATCH('Calculations - Supermarket'!$C195,'Input - Supermarket'!$B$2:$B$200,0)),"")</f>
        <v>0</v>
      </c>
      <c r="M195" s="21" t="str">
        <f t="shared" si="166"/>
        <v/>
      </c>
      <c r="N195" s="21" t="str">
        <f t="shared" si="183"/>
        <v/>
      </c>
      <c r="O195" s="21">
        <f t="shared" si="167"/>
        <v>0</v>
      </c>
      <c r="P195" s="9">
        <f t="shared" si="184"/>
        <v>0</v>
      </c>
      <c r="Q195" s="9">
        <f t="shared" si="185"/>
        <v>0</v>
      </c>
      <c r="R195" s="22" t="str">
        <f>IFERROR(INDEX(Supermarket!$Q$11:$Q$170,MATCH('Calculations - Supermarket'!$C195,Supermarket!$M$11:$M$170,0)),"")</f>
        <v/>
      </c>
      <c r="S195" s="22" t="str">
        <f>IFERROR(INDEX(Supermarket!$R$11:$R$170,MATCH('Calculations - Supermarket'!$C195,Supermarket!$M$11:$M$170,0)),"")</f>
        <v/>
      </c>
      <c r="T195" s="16" t="e">
        <f t="shared" si="186"/>
        <v>#VALUE!</v>
      </c>
      <c r="U195" s="16" t="e">
        <f t="shared" si="168"/>
        <v>#VALUE!</v>
      </c>
      <c r="V195" s="16" t="e">
        <f t="shared" si="169"/>
        <v>#VALUE!</v>
      </c>
      <c r="W195" s="10" t="str">
        <f t="shared" si="187"/>
        <v>-</v>
      </c>
      <c r="X195" s="10" t="str">
        <f t="shared" si="188"/>
        <v>-</v>
      </c>
      <c r="Y195" s="13" t="str">
        <f t="shared" si="170"/>
        <v>-</v>
      </c>
      <c r="Z195" s="9" t="str">
        <f t="shared" si="189"/>
        <v>-</v>
      </c>
      <c r="AA195" s="16" t="str">
        <f t="shared" si="171"/>
        <v>-</v>
      </c>
      <c r="AB195" s="16" t="str">
        <f t="shared" si="190"/>
        <v>-</v>
      </c>
      <c r="AC195" s="16" t="str">
        <f t="shared" si="191"/>
        <v>-</v>
      </c>
      <c r="AD195" s="16" t="str">
        <f t="shared" si="172"/>
        <v>-</v>
      </c>
      <c r="AE195" s="16"/>
      <c r="AF195" s="31" t="str">
        <f>IFERROR(INDEX(Supermarket!$P$11:$P$170,MATCH('Calculations - Supermarket'!C195,Supermarket!$M$11:$M$170,0)),"")</f>
        <v/>
      </c>
      <c r="AG195" s="23" t="str">
        <f t="shared" si="173"/>
        <v/>
      </c>
      <c r="AH195" s="23" t="str">
        <f t="shared" si="174"/>
        <v/>
      </c>
      <c r="AI195" s="9" t="str">
        <f t="shared" si="192"/>
        <v/>
      </c>
      <c r="AJ195" s="4" t="str">
        <f t="shared" si="193"/>
        <v/>
      </c>
      <c r="AK195" s="4"/>
      <c r="AL195" s="4"/>
      <c r="AM195" s="4"/>
      <c r="AN195" s="4"/>
      <c r="AO195" s="4"/>
      <c r="AP195" s="20" t="str">
        <f t="shared" si="194"/>
        <v>-</v>
      </c>
      <c r="AQ195" s="13" t="str">
        <f t="shared" si="175"/>
        <v>-</v>
      </c>
      <c r="AR195" s="13" t="str">
        <f t="shared" si="176"/>
        <v>-</v>
      </c>
      <c r="AS195" s="13" t="str">
        <f t="shared" si="195"/>
        <v>-</v>
      </c>
      <c r="AT195" s="16" t="str">
        <f t="shared" si="177"/>
        <v>-</v>
      </c>
      <c r="AU195" s="16" t="str">
        <f t="shared" si="196"/>
        <v>-</v>
      </c>
      <c r="AV195" s="16" t="str">
        <f t="shared" si="197"/>
        <v>-</v>
      </c>
      <c r="AW195" s="16" t="str">
        <f t="shared" si="178"/>
        <v>-</v>
      </c>
      <c r="AX195" s="13" t="str">
        <f t="shared" si="179"/>
        <v>-</v>
      </c>
      <c r="AY195" s="10" t="str">
        <f t="shared" si="180"/>
        <v>-</v>
      </c>
      <c r="AZ195" s="9" t="str">
        <f t="shared" si="181"/>
        <v>-</v>
      </c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</row>
    <row r="196" spans="2:68" x14ac:dyDescent="0.3">
      <c r="B196" s="108" t="str">
        <f t="shared" si="165"/>
        <v/>
      </c>
      <c r="C196" s="108" t="str">
        <f t="shared" si="182"/>
        <v/>
      </c>
      <c r="D196" s="3"/>
      <c r="E196" s="3"/>
      <c r="F196" s="3"/>
      <c r="G196" s="20">
        <f>IFERROR(INDEX('Input - Supermarket'!F$2:F$200,MATCH('Calculations - Supermarket'!$C196,'Input - Supermarket'!$B$2:$B$200,0)),"")</f>
        <v>0</v>
      </c>
      <c r="H196" s="20">
        <f>IFERROR(INDEX('Input - Supermarket'!G$2:G$200,MATCH('Calculations - Supermarket'!$C196,'Input - Supermarket'!$B$2:$B$200,0)),"")</f>
        <v>0</v>
      </c>
      <c r="I196" s="21">
        <f>IFERROR(INDEX('Input - Supermarket'!H$2:H$200,MATCH('Calculations - Supermarket'!$C196,'Input - Supermarket'!$B$2:$B$200,0)),"")</f>
        <v>0</v>
      </c>
      <c r="J196" s="21">
        <f>IFERROR(INDEX('Input - Supermarket'!I$2:I$200,MATCH('Calculations - Supermarket'!$C196,'Input - Supermarket'!$B$2:$B$200,0)),"")</f>
        <v>0</v>
      </c>
      <c r="K196" s="20">
        <f>IFERROR(INDEX('Input - Supermarket'!J$2:J$200,MATCH('Calculations - Supermarket'!$C196,'Input - Supermarket'!$B$2:$B$200,0)),"")</f>
        <v>0</v>
      </c>
      <c r="L196" s="20">
        <f>IFERROR(INDEX('Input - Supermarket'!K$2:K$200,MATCH('Calculations - Supermarket'!$C196,'Input - Supermarket'!$B$2:$B$200,0)),"")</f>
        <v>0</v>
      </c>
      <c r="M196" s="21" t="str">
        <f t="shared" si="166"/>
        <v/>
      </c>
      <c r="N196" s="21" t="str">
        <f t="shared" si="183"/>
        <v/>
      </c>
      <c r="O196" s="21">
        <f t="shared" si="167"/>
        <v>0</v>
      </c>
      <c r="P196" s="9">
        <f t="shared" si="184"/>
        <v>0</v>
      </c>
      <c r="Q196" s="9">
        <f t="shared" si="185"/>
        <v>0</v>
      </c>
      <c r="R196" s="22" t="str">
        <f>IFERROR(INDEX(Supermarket!$Q$11:$Q$170,MATCH('Calculations - Supermarket'!$C196,Supermarket!$M$11:$M$170,0)),"")</f>
        <v/>
      </c>
      <c r="S196" s="22" t="str">
        <f>IFERROR(INDEX(Supermarket!$R$11:$R$170,MATCH('Calculations - Supermarket'!$C196,Supermarket!$M$11:$M$170,0)),"")</f>
        <v/>
      </c>
      <c r="T196" s="16" t="e">
        <f t="shared" si="186"/>
        <v>#VALUE!</v>
      </c>
      <c r="U196" s="16" t="e">
        <f t="shared" si="168"/>
        <v>#VALUE!</v>
      </c>
      <c r="V196" s="16" t="e">
        <f t="shared" si="169"/>
        <v>#VALUE!</v>
      </c>
      <c r="W196" s="10" t="str">
        <f t="shared" si="187"/>
        <v>-</v>
      </c>
      <c r="X196" s="10" t="str">
        <f t="shared" si="188"/>
        <v>-</v>
      </c>
      <c r="Y196" s="13" t="str">
        <f t="shared" si="170"/>
        <v>-</v>
      </c>
      <c r="Z196" s="9" t="str">
        <f t="shared" si="189"/>
        <v>-</v>
      </c>
      <c r="AA196" s="16" t="str">
        <f t="shared" si="171"/>
        <v>-</v>
      </c>
      <c r="AB196" s="16" t="str">
        <f t="shared" si="190"/>
        <v>-</v>
      </c>
      <c r="AC196" s="16" t="str">
        <f t="shared" si="191"/>
        <v>-</v>
      </c>
      <c r="AD196" s="16" t="str">
        <f t="shared" si="172"/>
        <v>-</v>
      </c>
      <c r="AE196" s="16"/>
      <c r="AF196" s="31" t="str">
        <f>IFERROR(INDEX(Supermarket!$P$11:$P$170,MATCH('Calculations - Supermarket'!C196,Supermarket!$M$11:$M$170,0)),"")</f>
        <v/>
      </c>
      <c r="AG196" s="23" t="str">
        <f t="shared" si="173"/>
        <v/>
      </c>
      <c r="AH196" s="23" t="str">
        <f t="shared" si="174"/>
        <v/>
      </c>
      <c r="AI196" s="9" t="str">
        <f t="shared" si="192"/>
        <v/>
      </c>
      <c r="AJ196" s="4" t="str">
        <f t="shared" si="193"/>
        <v/>
      </c>
      <c r="AK196" s="4"/>
      <c r="AL196" s="4"/>
      <c r="AM196" s="4"/>
      <c r="AN196" s="4"/>
      <c r="AO196" s="4"/>
      <c r="AP196" s="20" t="str">
        <f t="shared" si="194"/>
        <v>-</v>
      </c>
      <c r="AQ196" s="13" t="str">
        <f t="shared" si="175"/>
        <v>-</v>
      </c>
      <c r="AR196" s="13" t="str">
        <f t="shared" si="176"/>
        <v>-</v>
      </c>
      <c r="AS196" s="13" t="str">
        <f t="shared" si="195"/>
        <v>-</v>
      </c>
      <c r="AT196" s="16" t="str">
        <f t="shared" si="177"/>
        <v>-</v>
      </c>
      <c r="AU196" s="16" t="str">
        <f t="shared" si="196"/>
        <v>-</v>
      </c>
      <c r="AV196" s="16" t="str">
        <f t="shared" si="197"/>
        <v>-</v>
      </c>
      <c r="AW196" s="16" t="str">
        <f t="shared" si="178"/>
        <v>-</v>
      </c>
      <c r="AX196" s="13" t="str">
        <f t="shared" si="179"/>
        <v>-</v>
      </c>
      <c r="AY196" s="10" t="str">
        <f t="shared" si="180"/>
        <v>-</v>
      </c>
      <c r="AZ196" s="9" t="str">
        <f t="shared" si="181"/>
        <v>-</v>
      </c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</row>
    <row r="197" spans="2:68" x14ac:dyDescent="0.3">
      <c r="B197" s="108" t="str">
        <f t="shared" si="165"/>
        <v/>
      </c>
      <c r="C197" s="108" t="str">
        <f t="shared" si="182"/>
        <v/>
      </c>
      <c r="D197" s="3"/>
      <c r="E197" s="3"/>
      <c r="F197" s="3"/>
      <c r="G197" s="20">
        <f>IFERROR(INDEX('Input - Supermarket'!F$2:F$200,MATCH('Calculations - Supermarket'!$C197,'Input - Supermarket'!$B$2:$B$200,0)),"")</f>
        <v>0</v>
      </c>
      <c r="H197" s="20">
        <f>IFERROR(INDEX('Input - Supermarket'!G$2:G$200,MATCH('Calculations - Supermarket'!$C197,'Input - Supermarket'!$B$2:$B$200,0)),"")</f>
        <v>0</v>
      </c>
      <c r="I197" s="21">
        <f>IFERROR(INDEX('Input - Supermarket'!H$2:H$200,MATCH('Calculations - Supermarket'!$C197,'Input - Supermarket'!$B$2:$B$200,0)),"")</f>
        <v>0</v>
      </c>
      <c r="J197" s="21">
        <f>IFERROR(INDEX('Input - Supermarket'!I$2:I$200,MATCH('Calculations - Supermarket'!$C197,'Input - Supermarket'!$B$2:$B$200,0)),"")</f>
        <v>0</v>
      </c>
      <c r="K197" s="20">
        <f>IFERROR(INDEX('Input - Supermarket'!J$2:J$200,MATCH('Calculations - Supermarket'!$C197,'Input - Supermarket'!$B$2:$B$200,0)),"")</f>
        <v>0</v>
      </c>
      <c r="L197" s="20">
        <f>IFERROR(INDEX('Input - Supermarket'!K$2:K$200,MATCH('Calculations - Supermarket'!$C197,'Input - Supermarket'!$B$2:$B$200,0)),"")</f>
        <v>0</v>
      </c>
      <c r="M197" s="21" t="str">
        <f t="shared" si="166"/>
        <v/>
      </c>
      <c r="N197" s="21" t="str">
        <f t="shared" si="183"/>
        <v/>
      </c>
      <c r="O197" s="21">
        <f t="shared" si="167"/>
        <v>0</v>
      </c>
      <c r="P197" s="9">
        <f t="shared" si="184"/>
        <v>0</v>
      </c>
      <c r="Q197" s="9">
        <f t="shared" si="185"/>
        <v>0</v>
      </c>
      <c r="R197" s="22" t="str">
        <f>IFERROR(INDEX(Supermarket!$Q$11:$Q$170,MATCH('Calculations - Supermarket'!$C197,Supermarket!$M$11:$M$170,0)),"")</f>
        <v/>
      </c>
      <c r="S197" s="22" t="str">
        <f>IFERROR(INDEX(Supermarket!$R$11:$R$170,MATCH('Calculations - Supermarket'!$C197,Supermarket!$M$11:$M$170,0)),"")</f>
        <v/>
      </c>
      <c r="T197" s="16" t="e">
        <f t="shared" si="186"/>
        <v>#VALUE!</v>
      </c>
      <c r="U197" s="16" t="e">
        <f t="shared" si="168"/>
        <v>#VALUE!</v>
      </c>
      <c r="V197" s="16" t="e">
        <f t="shared" si="169"/>
        <v>#VALUE!</v>
      </c>
      <c r="W197" s="10" t="str">
        <f t="shared" si="187"/>
        <v>-</v>
      </c>
      <c r="X197" s="10" t="str">
        <f t="shared" si="188"/>
        <v>-</v>
      </c>
      <c r="Y197" s="13" t="str">
        <f t="shared" si="170"/>
        <v>-</v>
      </c>
      <c r="Z197" s="9" t="str">
        <f t="shared" si="189"/>
        <v>-</v>
      </c>
      <c r="AA197" s="16" t="str">
        <f t="shared" si="171"/>
        <v>-</v>
      </c>
      <c r="AB197" s="16" t="str">
        <f t="shared" si="190"/>
        <v>-</v>
      </c>
      <c r="AC197" s="16" t="str">
        <f t="shared" si="191"/>
        <v>-</v>
      </c>
      <c r="AD197" s="16" t="str">
        <f t="shared" si="172"/>
        <v>-</v>
      </c>
      <c r="AE197" s="16"/>
      <c r="AF197" s="31" t="str">
        <f>IFERROR(INDEX(Supermarket!$P$11:$P$170,MATCH('Calculations - Supermarket'!C197,Supermarket!$M$11:$M$170,0)),"")</f>
        <v/>
      </c>
      <c r="AG197" s="23" t="str">
        <f t="shared" si="173"/>
        <v/>
      </c>
      <c r="AH197" s="23" t="str">
        <f t="shared" si="174"/>
        <v/>
      </c>
      <c r="AI197" s="9" t="str">
        <f t="shared" si="192"/>
        <v/>
      </c>
      <c r="AJ197" s="4" t="str">
        <f t="shared" si="193"/>
        <v/>
      </c>
      <c r="AK197" s="4"/>
      <c r="AL197" s="4"/>
      <c r="AM197" s="4"/>
      <c r="AN197" s="4"/>
      <c r="AO197" s="4"/>
      <c r="AP197" s="20" t="str">
        <f t="shared" si="194"/>
        <v>-</v>
      </c>
      <c r="AQ197" s="13" t="str">
        <f t="shared" si="175"/>
        <v>-</v>
      </c>
      <c r="AR197" s="13" t="str">
        <f t="shared" si="176"/>
        <v>-</v>
      </c>
      <c r="AS197" s="13" t="str">
        <f t="shared" si="195"/>
        <v>-</v>
      </c>
      <c r="AT197" s="16" t="str">
        <f t="shared" si="177"/>
        <v>-</v>
      </c>
      <c r="AU197" s="16" t="str">
        <f t="shared" si="196"/>
        <v>-</v>
      </c>
      <c r="AV197" s="16" t="str">
        <f t="shared" si="197"/>
        <v>-</v>
      </c>
      <c r="AW197" s="16" t="str">
        <f t="shared" si="178"/>
        <v>-</v>
      </c>
      <c r="AX197" s="13" t="str">
        <f t="shared" si="179"/>
        <v>-</v>
      </c>
      <c r="AY197" s="10" t="str">
        <f t="shared" si="180"/>
        <v>-</v>
      </c>
      <c r="AZ197" s="9" t="str">
        <f t="shared" si="181"/>
        <v>-</v>
      </c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</row>
    <row r="198" spans="2:68" x14ac:dyDescent="0.3">
      <c r="B198" s="108" t="str">
        <f t="shared" si="165"/>
        <v/>
      </c>
      <c r="C198" s="108" t="str">
        <f t="shared" si="182"/>
        <v/>
      </c>
      <c r="D198" s="3"/>
      <c r="E198" s="3"/>
      <c r="F198" s="3"/>
      <c r="G198" s="20">
        <f>IFERROR(INDEX('Input - Supermarket'!F$2:F$200,MATCH('Calculations - Supermarket'!$C198,'Input - Supermarket'!$B$2:$B$200,0)),"")</f>
        <v>0</v>
      </c>
      <c r="H198" s="20">
        <f>IFERROR(INDEX('Input - Supermarket'!G$2:G$200,MATCH('Calculations - Supermarket'!$C198,'Input - Supermarket'!$B$2:$B$200,0)),"")</f>
        <v>0</v>
      </c>
      <c r="I198" s="21">
        <f>IFERROR(INDEX('Input - Supermarket'!H$2:H$200,MATCH('Calculations - Supermarket'!$C198,'Input - Supermarket'!$B$2:$B$200,0)),"")</f>
        <v>0</v>
      </c>
      <c r="J198" s="21">
        <f>IFERROR(INDEX('Input - Supermarket'!I$2:I$200,MATCH('Calculations - Supermarket'!$C198,'Input - Supermarket'!$B$2:$B$200,0)),"")</f>
        <v>0</v>
      </c>
      <c r="K198" s="20">
        <f>IFERROR(INDEX('Input - Supermarket'!J$2:J$200,MATCH('Calculations - Supermarket'!$C198,'Input - Supermarket'!$B$2:$B$200,0)),"")</f>
        <v>0</v>
      </c>
      <c r="L198" s="20">
        <f>IFERROR(INDEX('Input - Supermarket'!K$2:K$200,MATCH('Calculations - Supermarket'!$C198,'Input - Supermarket'!$B$2:$B$200,0)),"")</f>
        <v>0</v>
      </c>
      <c r="M198" s="21" t="str">
        <f t="shared" si="166"/>
        <v/>
      </c>
      <c r="N198" s="21" t="str">
        <f t="shared" si="183"/>
        <v/>
      </c>
      <c r="O198" s="21">
        <f t="shared" si="167"/>
        <v>0</v>
      </c>
      <c r="P198" s="9">
        <f t="shared" si="184"/>
        <v>0</v>
      </c>
      <c r="Q198" s="9">
        <f t="shared" si="185"/>
        <v>0</v>
      </c>
      <c r="R198" s="22" t="str">
        <f>IFERROR(INDEX(Supermarket!$Q$11:$Q$170,MATCH('Calculations - Supermarket'!$C198,Supermarket!$M$11:$M$170,0)),"")</f>
        <v/>
      </c>
      <c r="S198" s="22" t="str">
        <f>IFERROR(INDEX(Supermarket!$R$11:$R$170,MATCH('Calculations - Supermarket'!$C198,Supermarket!$M$11:$M$170,0)),"")</f>
        <v/>
      </c>
      <c r="T198" s="16" t="e">
        <f t="shared" si="186"/>
        <v>#VALUE!</v>
      </c>
      <c r="U198" s="16" t="e">
        <f t="shared" si="168"/>
        <v>#VALUE!</v>
      </c>
      <c r="V198" s="16" t="e">
        <f t="shared" si="169"/>
        <v>#VALUE!</v>
      </c>
      <c r="W198" s="10" t="str">
        <f t="shared" si="187"/>
        <v>-</v>
      </c>
      <c r="X198" s="10" t="str">
        <f t="shared" si="188"/>
        <v>-</v>
      </c>
      <c r="Y198" s="13" t="str">
        <f t="shared" si="170"/>
        <v>-</v>
      </c>
      <c r="Z198" s="9" t="str">
        <f t="shared" si="189"/>
        <v>-</v>
      </c>
      <c r="AA198" s="16" t="str">
        <f t="shared" si="171"/>
        <v>-</v>
      </c>
      <c r="AB198" s="16" t="str">
        <f t="shared" si="190"/>
        <v>-</v>
      </c>
      <c r="AC198" s="16" t="str">
        <f t="shared" si="191"/>
        <v>-</v>
      </c>
      <c r="AD198" s="16" t="str">
        <f t="shared" si="172"/>
        <v>-</v>
      </c>
      <c r="AE198" s="16"/>
      <c r="AF198" s="31" t="str">
        <f>IFERROR(INDEX(Supermarket!$P$11:$P$170,MATCH('Calculations - Supermarket'!C198,Supermarket!$M$11:$M$170,0)),"")</f>
        <v/>
      </c>
      <c r="AG198" s="23" t="str">
        <f t="shared" si="173"/>
        <v/>
      </c>
      <c r="AH198" s="23" t="str">
        <f t="shared" si="174"/>
        <v/>
      </c>
      <c r="AI198" s="9" t="str">
        <f t="shared" si="192"/>
        <v/>
      </c>
      <c r="AJ198" s="4" t="str">
        <f t="shared" si="193"/>
        <v/>
      </c>
      <c r="AK198" s="4"/>
      <c r="AL198" s="4"/>
      <c r="AM198" s="4"/>
      <c r="AN198" s="4"/>
      <c r="AO198" s="4"/>
      <c r="AP198" s="20" t="str">
        <f t="shared" si="194"/>
        <v>-</v>
      </c>
      <c r="AQ198" s="13" t="str">
        <f t="shared" si="175"/>
        <v>-</v>
      </c>
      <c r="AR198" s="13" t="str">
        <f t="shared" si="176"/>
        <v>-</v>
      </c>
      <c r="AS198" s="13" t="str">
        <f t="shared" si="195"/>
        <v>-</v>
      </c>
      <c r="AT198" s="16" t="str">
        <f t="shared" si="177"/>
        <v>-</v>
      </c>
      <c r="AU198" s="16" t="str">
        <f t="shared" si="196"/>
        <v>-</v>
      </c>
      <c r="AV198" s="16" t="str">
        <f t="shared" si="197"/>
        <v>-</v>
      </c>
      <c r="AW198" s="16" t="str">
        <f t="shared" si="178"/>
        <v>-</v>
      </c>
      <c r="AX198" s="13" t="str">
        <f t="shared" si="179"/>
        <v>-</v>
      </c>
      <c r="AY198" s="10" t="str">
        <f t="shared" si="180"/>
        <v>-</v>
      </c>
      <c r="AZ198" s="9" t="str">
        <f t="shared" si="181"/>
        <v>-</v>
      </c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</row>
    <row r="199" spans="2:68" x14ac:dyDescent="0.3">
      <c r="B199" s="108" t="str">
        <f t="shared" si="165"/>
        <v/>
      </c>
      <c r="C199" s="108" t="str">
        <f t="shared" si="182"/>
        <v/>
      </c>
      <c r="D199" s="3"/>
      <c r="E199" s="3"/>
      <c r="F199" s="3"/>
      <c r="G199" s="20">
        <f>IFERROR(INDEX('Input - Supermarket'!F$2:F$200,MATCH('Calculations - Supermarket'!$C199,'Input - Supermarket'!$B$2:$B$200,0)),"")</f>
        <v>0</v>
      </c>
      <c r="H199" s="20">
        <f>IFERROR(INDEX('Input - Supermarket'!G$2:G$200,MATCH('Calculations - Supermarket'!$C199,'Input - Supermarket'!$B$2:$B$200,0)),"")</f>
        <v>0</v>
      </c>
      <c r="I199" s="21">
        <f>IFERROR(INDEX('Input - Supermarket'!H$2:H$200,MATCH('Calculations - Supermarket'!$C199,'Input - Supermarket'!$B$2:$B$200,0)),"")</f>
        <v>0</v>
      </c>
      <c r="J199" s="21">
        <f>IFERROR(INDEX('Input - Supermarket'!I$2:I$200,MATCH('Calculations - Supermarket'!$C199,'Input - Supermarket'!$B$2:$B$200,0)),"")</f>
        <v>0</v>
      </c>
      <c r="K199" s="20">
        <f>IFERROR(INDEX('Input - Supermarket'!J$2:J$200,MATCH('Calculations - Supermarket'!$C199,'Input - Supermarket'!$B$2:$B$200,0)),"")</f>
        <v>0</v>
      </c>
      <c r="L199" s="20">
        <f>IFERROR(INDEX('Input - Supermarket'!K$2:K$200,MATCH('Calculations - Supermarket'!$C199,'Input - Supermarket'!$B$2:$B$200,0)),"")</f>
        <v>0</v>
      </c>
      <c r="M199" s="21" t="str">
        <f t="shared" si="166"/>
        <v/>
      </c>
      <c r="N199" s="21" t="str">
        <f t="shared" si="183"/>
        <v/>
      </c>
      <c r="O199" s="21">
        <f t="shared" si="167"/>
        <v>0</v>
      </c>
      <c r="P199" s="9">
        <f t="shared" si="184"/>
        <v>0</v>
      </c>
      <c r="Q199" s="9">
        <f t="shared" si="185"/>
        <v>0</v>
      </c>
      <c r="R199" s="22" t="str">
        <f>IFERROR(INDEX(Supermarket!$Q$11:$Q$170,MATCH('Calculations - Supermarket'!$C199,Supermarket!$M$11:$M$170,0)),"")</f>
        <v/>
      </c>
      <c r="S199" s="22" t="str">
        <f>IFERROR(INDEX(Supermarket!$R$11:$R$170,MATCH('Calculations - Supermarket'!$C199,Supermarket!$M$11:$M$170,0)),"")</f>
        <v/>
      </c>
      <c r="T199" s="16" t="e">
        <f t="shared" si="186"/>
        <v>#VALUE!</v>
      </c>
      <c r="U199" s="16" t="e">
        <f t="shared" si="168"/>
        <v>#VALUE!</v>
      </c>
      <c r="V199" s="16" t="e">
        <f t="shared" si="169"/>
        <v>#VALUE!</v>
      </c>
      <c r="W199" s="10" t="str">
        <f t="shared" si="187"/>
        <v>-</v>
      </c>
      <c r="X199" s="10" t="str">
        <f t="shared" si="188"/>
        <v>-</v>
      </c>
      <c r="Y199" s="13" t="str">
        <f t="shared" si="170"/>
        <v>-</v>
      </c>
      <c r="Z199" s="9" t="str">
        <f t="shared" si="189"/>
        <v>-</v>
      </c>
      <c r="AA199" s="16" t="str">
        <f t="shared" si="171"/>
        <v>-</v>
      </c>
      <c r="AB199" s="16" t="str">
        <f t="shared" si="190"/>
        <v>-</v>
      </c>
      <c r="AC199" s="16" t="str">
        <f t="shared" si="191"/>
        <v>-</v>
      </c>
      <c r="AD199" s="16" t="str">
        <f t="shared" si="172"/>
        <v>-</v>
      </c>
      <c r="AE199" s="16"/>
      <c r="AF199" s="31" t="str">
        <f>IFERROR(INDEX(Supermarket!$P$11:$P$170,MATCH('Calculations - Supermarket'!C199,Supermarket!$M$11:$M$170,0)),"")</f>
        <v/>
      </c>
      <c r="AG199" s="23" t="str">
        <f t="shared" si="173"/>
        <v/>
      </c>
      <c r="AH199" s="23" t="str">
        <f t="shared" si="174"/>
        <v/>
      </c>
      <c r="AI199" s="9" t="str">
        <f t="shared" si="192"/>
        <v/>
      </c>
      <c r="AJ199" s="4" t="str">
        <f t="shared" si="193"/>
        <v/>
      </c>
      <c r="AK199" s="4"/>
      <c r="AL199" s="4"/>
      <c r="AM199" s="4"/>
      <c r="AN199" s="4"/>
      <c r="AO199" s="4"/>
      <c r="AP199" s="20" t="str">
        <f t="shared" si="194"/>
        <v>-</v>
      </c>
      <c r="AQ199" s="13" t="str">
        <f t="shared" si="175"/>
        <v>-</v>
      </c>
      <c r="AR199" s="13" t="str">
        <f t="shared" si="176"/>
        <v>-</v>
      </c>
      <c r="AS199" s="13" t="str">
        <f t="shared" si="195"/>
        <v>-</v>
      </c>
      <c r="AT199" s="16" t="str">
        <f t="shared" si="177"/>
        <v>-</v>
      </c>
      <c r="AU199" s="16" t="str">
        <f t="shared" si="196"/>
        <v>-</v>
      </c>
      <c r="AV199" s="16" t="str">
        <f t="shared" si="197"/>
        <v>-</v>
      </c>
      <c r="AW199" s="16" t="str">
        <f t="shared" si="178"/>
        <v>-</v>
      </c>
      <c r="AX199" s="13" t="str">
        <f t="shared" si="179"/>
        <v>-</v>
      </c>
      <c r="AY199" s="10" t="str">
        <f t="shared" si="180"/>
        <v>-</v>
      </c>
      <c r="AZ199" s="9" t="str">
        <f t="shared" si="181"/>
        <v>-</v>
      </c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</row>
    <row r="200" spans="2:68" x14ac:dyDescent="0.3">
      <c r="B200" s="108" t="str">
        <f t="shared" si="165"/>
        <v/>
      </c>
      <c r="C200" s="108" t="str">
        <f t="shared" si="182"/>
        <v/>
      </c>
      <c r="D200" s="3"/>
      <c r="E200" s="3"/>
      <c r="F200" s="3"/>
      <c r="G200" s="20">
        <f>IFERROR(INDEX('Input - Supermarket'!F$2:F$200,MATCH('Calculations - Supermarket'!$C200,'Input - Supermarket'!$B$2:$B$200,0)),"")</f>
        <v>0</v>
      </c>
      <c r="H200" s="20">
        <f>IFERROR(INDEX('Input - Supermarket'!G$2:G$200,MATCH('Calculations - Supermarket'!$C200,'Input - Supermarket'!$B$2:$B$200,0)),"")</f>
        <v>0</v>
      </c>
      <c r="I200" s="21">
        <f>IFERROR(INDEX('Input - Supermarket'!H$2:H$200,MATCH('Calculations - Supermarket'!$C200,'Input - Supermarket'!$B$2:$B$200,0)),"")</f>
        <v>0</v>
      </c>
      <c r="J200" s="21">
        <f>IFERROR(INDEX('Input - Supermarket'!I$2:I$200,MATCH('Calculations - Supermarket'!$C200,'Input - Supermarket'!$B$2:$B$200,0)),"")</f>
        <v>0</v>
      </c>
      <c r="K200" s="20">
        <f>IFERROR(INDEX('Input - Supermarket'!J$2:J$200,MATCH('Calculations - Supermarket'!$C200,'Input - Supermarket'!$B$2:$B$200,0)),"")</f>
        <v>0</v>
      </c>
      <c r="L200" s="20">
        <f>IFERROR(INDEX('Input - Supermarket'!K$2:K$200,MATCH('Calculations - Supermarket'!$C200,'Input - Supermarket'!$B$2:$B$200,0)),"")</f>
        <v>0</v>
      </c>
      <c r="M200" s="21" t="str">
        <f t="shared" si="166"/>
        <v/>
      </c>
      <c r="N200" s="21" t="str">
        <f t="shared" si="183"/>
        <v/>
      </c>
      <c r="O200" s="21">
        <f t="shared" si="167"/>
        <v>0</v>
      </c>
      <c r="P200" s="9">
        <f t="shared" si="184"/>
        <v>0</v>
      </c>
      <c r="Q200" s="9">
        <f t="shared" si="185"/>
        <v>0</v>
      </c>
      <c r="R200" s="22" t="str">
        <f>IFERROR(INDEX(Supermarket!$Q$11:$Q$170,MATCH('Calculations - Supermarket'!$C200,Supermarket!$M$11:$M$170,0)),"")</f>
        <v/>
      </c>
      <c r="S200" s="22" t="str">
        <f>IFERROR(INDEX(Supermarket!$R$11:$R$170,MATCH('Calculations - Supermarket'!$C200,Supermarket!$M$11:$M$170,0)),"")</f>
        <v/>
      </c>
      <c r="T200" s="16" t="e">
        <f t="shared" si="186"/>
        <v>#VALUE!</v>
      </c>
      <c r="U200" s="16" t="e">
        <f t="shared" si="168"/>
        <v>#VALUE!</v>
      </c>
      <c r="V200" s="16" t="e">
        <f t="shared" si="169"/>
        <v>#VALUE!</v>
      </c>
      <c r="W200" s="10" t="str">
        <f t="shared" si="187"/>
        <v>-</v>
      </c>
      <c r="X200" s="10" t="str">
        <f t="shared" si="188"/>
        <v>-</v>
      </c>
      <c r="Y200" s="13" t="str">
        <f t="shared" si="170"/>
        <v>-</v>
      </c>
      <c r="Z200" s="9" t="str">
        <f t="shared" si="189"/>
        <v>-</v>
      </c>
      <c r="AA200" s="16" t="str">
        <f t="shared" si="171"/>
        <v>-</v>
      </c>
      <c r="AB200" s="16" t="str">
        <f t="shared" si="190"/>
        <v>-</v>
      </c>
      <c r="AC200" s="16" t="str">
        <f t="shared" si="191"/>
        <v>-</v>
      </c>
      <c r="AD200" s="16" t="str">
        <f t="shared" si="172"/>
        <v>-</v>
      </c>
      <c r="AE200" s="16"/>
      <c r="AF200" s="31" t="str">
        <f>IFERROR(INDEX(Supermarket!$P$11:$P$170,MATCH('Calculations - Supermarket'!C200,Supermarket!$M$11:$M$170,0)),"")</f>
        <v/>
      </c>
      <c r="AG200" s="23" t="str">
        <f t="shared" si="173"/>
        <v/>
      </c>
      <c r="AH200" s="23" t="str">
        <f t="shared" si="174"/>
        <v/>
      </c>
      <c r="AI200" s="9" t="str">
        <f t="shared" si="192"/>
        <v/>
      </c>
      <c r="AJ200" s="4" t="str">
        <f t="shared" si="193"/>
        <v/>
      </c>
      <c r="AK200" s="4"/>
      <c r="AL200" s="4"/>
      <c r="AM200" s="4"/>
      <c r="AN200" s="4"/>
      <c r="AO200" s="4"/>
      <c r="AP200" s="20" t="str">
        <f t="shared" si="194"/>
        <v>-</v>
      </c>
      <c r="AQ200" s="13" t="str">
        <f t="shared" si="175"/>
        <v>-</v>
      </c>
      <c r="AR200" s="13" t="str">
        <f t="shared" si="176"/>
        <v>-</v>
      </c>
      <c r="AS200" s="13" t="str">
        <f t="shared" si="195"/>
        <v>-</v>
      </c>
      <c r="AT200" s="16" t="str">
        <f t="shared" si="177"/>
        <v>-</v>
      </c>
      <c r="AU200" s="16" t="str">
        <f t="shared" si="196"/>
        <v>-</v>
      </c>
      <c r="AV200" s="16" t="str">
        <f t="shared" si="197"/>
        <v>-</v>
      </c>
      <c r="AW200" s="16" t="str">
        <f t="shared" si="178"/>
        <v>-</v>
      </c>
      <c r="AX200" s="13" t="str">
        <f t="shared" si="179"/>
        <v>-</v>
      </c>
      <c r="AY200" s="10" t="str">
        <f t="shared" si="180"/>
        <v>-</v>
      </c>
      <c r="AZ200" s="9" t="str">
        <f t="shared" si="181"/>
        <v>-</v>
      </c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</row>
    <row r="201" spans="2:68" x14ac:dyDescent="0.3">
      <c r="B201" s="108" t="str">
        <f t="shared" si="165"/>
        <v/>
      </c>
      <c r="C201" s="108" t="str">
        <f t="shared" si="182"/>
        <v/>
      </c>
      <c r="D201" s="3"/>
      <c r="E201" s="3"/>
      <c r="F201" s="3"/>
      <c r="G201" s="20">
        <f>IFERROR(INDEX('Input - Supermarket'!F$2:F$200,MATCH('Calculations - Supermarket'!$C201,'Input - Supermarket'!$B$2:$B$200,0)),"")</f>
        <v>0</v>
      </c>
      <c r="H201" s="20">
        <f>IFERROR(INDEX('Input - Supermarket'!G$2:G$200,MATCH('Calculations - Supermarket'!$C201,'Input - Supermarket'!$B$2:$B$200,0)),"")</f>
        <v>0</v>
      </c>
      <c r="I201" s="21">
        <f>IFERROR(INDEX('Input - Supermarket'!H$2:H$200,MATCH('Calculations - Supermarket'!$C201,'Input - Supermarket'!$B$2:$B$200,0)),"")</f>
        <v>0</v>
      </c>
      <c r="J201" s="21">
        <f>IFERROR(INDEX('Input - Supermarket'!I$2:I$200,MATCH('Calculations - Supermarket'!$C201,'Input - Supermarket'!$B$2:$B$200,0)),"")</f>
        <v>0</v>
      </c>
      <c r="K201" s="20">
        <f>IFERROR(INDEX('Input - Supermarket'!J$2:J$200,MATCH('Calculations - Supermarket'!$C201,'Input - Supermarket'!$B$2:$B$200,0)),"")</f>
        <v>0</v>
      </c>
      <c r="L201" s="20">
        <f>IFERROR(INDEX('Input - Supermarket'!K$2:K$200,MATCH('Calculations - Supermarket'!$C201,'Input - Supermarket'!$B$2:$B$200,0)),"")</f>
        <v>0</v>
      </c>
      <c r="M201" s="21" t="str">
        <f t="shared" si="166"/>
        <v/>
      </c>
      <c r="N201" s="21" t="str">
        <f t="shared" si="183"/>
        <v/>
      </c>
      <c r="O201" s="21">
        <f t="shared" si="167"/>
        <v>0</v>
      </c>
      <c r="P201" s="9">
        <f t="shared" si="184"/>
        <v>0</v>
      </c>
      <c r="Q201" s="9">
        <f t="shared" si="185"/>
        <v>0</v>
      </c>
      <c r="R201" s="22" t="str">
        <f>IFERROR(INDEX(Supermarket!$Q$11:$Q$170,MATCH('Calculations - Supermarket'!$C201,Supermarket!$M$11:$M$170,0)),"")</f>
        <v/>
      </c>
      <c r="S201" s="22" t="str">
        <f>IFERROR(INDEX(Supermarket!$R$11:$R$170,MATCH('Calculations - Supermarket'!$C201,Supermarket!$M$11:$M$170,0)),"")</f>
        <v/>
      </c>
      <c r="T201" s="16" t="e">
        <f t="shared" si="186"/>
        <v>#VALUE!</v>
      </c>
      <c r="U201" s="16" t="e">
        <f t="shared" si="168"/>
        <v>#VALUE!</v>
      </c>
      <c r="V201" s="16" t="e">
        <f t="shared" si="169"/>
        <v>#VALUE!</v>
      </c>
      <c r="W201" s="10" t="str">
        <f t="shared" si="187"/>
        <v>-</v>
      </c>
      <c r="X201" s="10" t="str">
        <f t="shared" si="188"/>
        <v>-</v>
      </c>
      <c r="Y201" s="13" t="str">
        <f t="shared" si="170"/>
        <v>-</v>
      </c>
      <c r="Z201" s="9" t="str">
        <f t="shared" si="189"/>
        <v>-</v>
      </c>
      <c r="AA201" s="16" t="str">
        <f t="shared" si="171"/>
        <v>-</v>
      </c>
      <c r="AB201" s="16" t="str">
        <f t="shared" si="190"/>
        <v>-</v>
      </c>
      <c r="AC201" s="16" t="str">
        <f t="shared" si="191"/>
        <v>-</v>
      </c>
      <c r="AD201" s="16" t="str">
        <f t="shared" si="172"/>
        <v>-</v>
      </c>
      <c r="AE201" s="16"/>
      <c r="AF201" s="31" t="str">
        <f>IFERROR(INDEX(Supermarket!$P$11:$P$170,MATCH('Calculations - Supermarket'!C201,Supermarket!$M$11:$M$170,0)),"")</f>
        <v/>
      </c>
      <c r="AG201" s="23" t="str">
        <f t="shared" si="173"/>
        <v/>
      </c>
      <c r="AH201" s="23" t="str">
        <f t="shared" si="174"/>
        <v/>
      </c>
      <c r="AI201" s="9" t="str">
        <f t="shared" si="192"/>
        <v/>
      </c>
      <c r="AJ201" s="4" t="str">
        <f t="shared" si="193"/>
        <v/>
      </c>
      <c r="AK201" s="4"/>
      <c r="AL201" s="4"/>
      <c r="AM201" s="4"/>
      <c r="AN201" s="4"/>
      <c r="AO201" s="4"/>
      <c r="AP201" s="20" t="str">
        <f t="shared" si="194"/>
        <v>-</v>
      </c>
      <c r="AQ201" s="13" t="str">
        <f t="shared" si="175"/>
        <v>-</v>
      </c>
      <c r="AR201" s="13" t="str">
        <f t="shared" si="176"/>
        <v>-</v>
      </c>
      <c r="AS201" s="13" t="str">
        <f t="shared" si="195"/>
        <v>-</v>
      </c>
      <c r="AT201" s="16" t="str">
        <f t="shared" si="177"/>
        <v>-</v>
      </c>
      <c r="AU201" s="16" t="str">
        <f t="shared" si="196"/>
        <v>-</v>
      </c>
      <c r="AV201" s="16" t="str">
        <f t="shared" si="197"/>
        <v>-</v>
      </c>
      <c r="AW201" s="16" t="str">
        <f t="shared" si="178"/>
        <v>-</v>
      </c>
      <c r="AX201" s="13" t="str">
        <f t="shared" si="179"/>
        <v>-</v>
      </c>
      <c r="AY201" s="10" t="str">
        <f t="shared" si="180"/>
        <v>-</v>
      </c>
      <c r="AZ201" s="9" t="str">
        <f t="shared" si="181"/>
        <v>-</v>
      </c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</row>
    <row r="202" spans="2:68" x14ac:dyDescent="0.3">
      <c r="B202" s="108" t="str">
        <f t="shared" si="165"/>
        <v/>
      </c>
      <c r="C202" s="108" t="str">
        <f t="shared" si="182"/>
        <v/>
      </c>
      <c r="D202" s="3"/>
      <c r="E202" s="3"/>
      <c r="F202" s="3"/>
      <c r="G202" s="20">
        <f>IFERROR(INDEX('Input - Supermarket'!F$2:F$200,MATCH('Calculations - Supermarket'!$C202,'Input - Supermarket'!$B$2:$B$200,0)),"")</f>
        <v>0</v>
      </c>
      <c r="H202" s="20">
        <f>IFERROR(INDEX('Input - Supermarket'!G$2:G$200,MATCH('Calculations - Supermarket'!$C202,'Input - Supermarket'!$B$2:$B$200,0)),"")</f>
        <v>0</v>
      </c>
      <c r="I202" s="21">
        <f>IFERROR(INDEX('Input - Supermarket'!H$2:H$200,MATCH('Calculations - Supermarket'!$C202,'Input - Supermarket'!$B$2:$B$200,0)),"")</f>
        <v>0</v>
      </c>
      <c r="J202" s="21">
        <f>IFERROR(INDEX('Input - Supermarket'!I$2:I$200,MATCH('Calculations - Supermarket'!$C202,'Input - Supermarket'!$B$2:$B$200,0)),"")</f>
        <v>0</v>
      </c>
      <c r="K202" s="20">
        <f>IFERROR(INDEX('Input - Supermarket'!J$2:J$200,MATCH('Calculations - Supermarket'!$C202,'Input - Supermarket'!$B$2:$B$200,0)),"")</f>
        <v>0</v>
      </c>
      <c r="L202" s="20">
        <f>IFERROR(INDEX('Input - Supermarket'!K$2:K$200,MATCH('Calculations - Supermarket'!$C202,'Input - Supermarket'!$B$2:$B$200,0)),"")</f>
        <v>0</v>
      </c>
      <c r="M202" s="21" t="str">
        <f t="shared" si="166"/>
        <v/>
      </c>
      <c r="N202" s="21" t="str">
        <f t="shared" si="183"/>
        <v/>
      </c>
      <c r="O202" s="21">
        <f t="shared" si="167"/>
        <v>0</v>
      </c>
      <c r="P202" s="9">
        <f t="shared" si="184"/>
        <v>0</v>
      </c>
      <c r="Q202" s="9">
        <f t="shared" si="185"/>
        <v>0</v>
      </c>
      <c r="R202" s="22" t="str">
        <f>IFERROR(INDEX(Supermarket!$Q$11:$Q$170,MATCH('Calculations - Supermarket'!$C202,Supermarket!$M$11:$M$170,0)),"")</f>
        <v/>
      </c>
      <c r="S202" s="22" t="str">
        <f>IFERROR(INDEX(Supermarket!$R$11:$R$170,MATCH('Calculations - Supermarket'!$C202,Supermarket!$M$11:$M$170,0)),"")</f>
        <v/>
      </c>
      <c r="T202" s="16" t="e">
        <f t="shared" si="186"/>
        <v>#VALUE!</v>
      </c>
      <c r="U202" s="16" t="e">
        <f t="shared" si="168"/>
        <v>#VALUE!</v>
      </c>
      <c r="V202" s="16" t="e">
        <f t="shared" si="169"/>
        <v>#VALUE!</v>
      </c>
      <c r="W202" s="10" t="str">
        <f t="shared" si="187"/>
        <v>-</v>
      </c>
      <c r="X202" s="10" t="str">
        <f t="shared" si="188"/>
        <v>-</v>
      </c>
      <c r="Y202" s="13" t="str">
        <f t="shared" si="170"/>
        <v>-</v>
      </c>
      <c r="Z202" s="9" t="str">
        <f t="shared" si="189"/>
        <v>-</v>
      </c>
      <c r="AA202" s="16" t="str">
        <f t="shared" si="171"/>
        <v>-</v>
      </c>
      <c r="AB202" s="16" t="str">
        <f t="shared" si="190"/>
        <v>-</v>
      </c>
      <c r="AC202" s="16" t="str">
        <f t="shared" si="191"/>
        <v>-</v>
      </c>
      <c r="AD202" s="16" t="str">
        <f t="shared" si="172"/>
        <v>-</v>
      </c>
      <c r="AE202" s="16"/>
      <c r="AF202" s="31" t="str">
        <f>IFERROR(INDEX(Supermarket!$P$11:$P$170,MATCH('Calculations - Supermarket'!C202,Supermarket!$M$11:$M$170,0)),"")</f>
        <v/>
      </c>
      <c r="AG202" s="23" t="str">
        <f t="shared" si="173"/>
        <v/>
      </c>
      <c r="AH202" s="23" t="str">
        <f t="shared" si="174"/>
        <v/>
      </c>
      <c r="AI202" s="9" t="str">
        <f t="shared" si="192"/>
        <v/>
      </c>
      <c r="AJ202" s="4" t="str">
        <f t="shared" si="193"/>
        <v/>
      </c>
      <c r="AK202" s="4"/>
      <c r="AL202" s="4"/>
      <c r="AM202" s="4"/>
      <c r="AN202" s="4"/>
      <c r="AO202" s="4"/>
      <c r="AP202" s="20" t="str">
        <f t="shared" si="194"/>
        <v>-</v>
      </c>
      <c r="AQ202" s="13" t="str">
        <f t="shared" si="175"/>
        <v>-</v>
      </c>
      <c r="AR202" s="13" t="str">
        <f t="shared" si="176"/>
        <v>-</v>
      </c>
      <c r="AS202" s="13" t="str">
        <f t="shared" si="195"/>
        <v>-</v>
      </c>
      <c r="AT202" s="16" t="str">
        <f t="shared" si="177"/>
        <v>-</v>
      </c>
      <c r="AU202" s="16" t="str">
        <f t="shared" si="196"/>
        <v>-</v>
      </c>
      <c r="AV202" s="16" t="str">
        <f t="shared" si="197"/>
        <v>-</v>
      </c>
      <c r="AW202" s="16" t="str">
        <f t="shared" si="178"/>
        <v>-</v>
      </c>
      <c r="AX202" s="13" t="str">
        <f t="shared" si="179"/>
        <v>-</v>
      </c>
      <c r="AY202" s="10" t="str">
        <f t="shared" si="180"/>
        <v>-</v>
      </c>
      <c r="AZ202" s="9" t="str">
        <f t="shared" si="181"/>
        <v>-</v>
      </c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</row>
    <row r="203" spans="2:68" x14ac:dyDescent="0.3">
      <c r="B203" s="108" t="str">
        <f t="shared" si="165"/>
        <v/>
      </c>
      <c r="C203" s="108" t="str">
        <f t="shared" si="182"/>
        <v/>
      </c>
      <c r="D203" s="3"/>
      <c r="E203" s="3"/>
      <c r="F203" s="3"/>
      <c r="G203" s="20">
        <f>IFERROR(INDEX('Input - Supermarket'!F$2:F$200,MATCH('Calculations - Supermarket'!$C203,'Input - Supermarket'!$B$2:$B$200,0)),"")</f>
        <v>0</v>
      </c>
      <c r="H203" s="20">
        <f>IFERROR(INDEX('Input - Supermarket'!G$2:G$200,MATCH('Calculations - Supermarket'!$C203,'Input - Supermarket'!$B$2:$B$200,0)),"")</f>
        <v>0</v>
      </c>
      <c r="I203" s="21">
        <f>IFERROR(INDEX('Input - Supermarket'!H$2:H$200,MATCH('Calculations - Supermarket'!$C203,'Input - Supermarket'!$B$2:$B$200,0)),"")</f>
        <v>0</v>
      </c>
      <c r="J203" s="21">
        <f>IFERROR(INDEX('Input - Supermarket'!I$2:I$200,MATCH('Calculations - Supermarket'!$C203,'Input - Supermarket'!$B$2:$B$200,0)),"")</f>
        <v>0</v>
      </c>
      <c r="K203" s="20">
        <f>IFERROR(INDEX('Input - Supermarket'!J$2:J$200,MATCH('Calculations - Supermarket'!$C203,'Input - Supermarket'!$B$2:$B$200,0)),"")</f>
        <v>0</v>
      </c>
      <c r="L203" s="20">
        <f>IFERROR(INDEX('Input - Supermarket'!K$2:K$200,MATCH('Calculations - Supermarket'!$C203,'Input - Supermarket'!$B$2:$B$200,0)),"")</f>
        <v>0</v>
      </c>
      <c r="M203" s="21" t="str">
        <f t="shared" si="166"/>
        <v/>
      </c>
      <c r="N203" s="21" t="str">
        <f t="shared" si="183"/>
        <v/>
      </c>
      <c r="O203" s="21">
        <f t="shared" si="167"/>
        <v>0</v>
      </c>
      <c r="P203" s="9">
        <f t="shared" si="184"/>
        <v>0</v>
      </c>
      <c r="Q203" s="9">
        <f t="shared" si="185"/>
        <v>0</v>
      </c>
      <c r="R203" s="22" t="str">
        <f>IFERROR(INDEX(Supermarket!$Q$11:$Q$170,MATCH('Calculations - Supermarket'!$C203,Supermarket!$M$11:$M$170,0)),"")</f>
        <v/>
      </c>
      <c r="S203" s="22" t="str">
        <f>IFERROR(INDEX(Supermarket!$R$11:$R$170,MATCH('Calculations - Supermarket'!$C203,Supermarket!$M$11:$M$170,0)),"")</f>
        <v/>
      </c>
      <c r="T203" s="16" t="e">
        <f t="shared" si="186"/>
        <v>#VALUE!</v>
      </c>
      <c r="U203" s="16" t="e">
        <f t="shared" si="168"/>
        <v>#VALUE!</v>
      </c>
      <c r="V203" s="16" t="e">
        <f t="shared" si="169"/>
        <v>#VALUE!</v>
      </c>
      <c r="W203" s="10" t="str">
        <f t="shared" si="187"/>
        <v>-</v>
      </c>
      <c r="X203" s="10" t="str">
        <f t="shared" si="188"/>
        <v>-</v>
      </c>
      <c r="Y203" s="13" t="str">
        <f t="shared" si="170"/>
        <v>-</v>
      </c>
      <c r="Z203" s="9" t="str">
        <f t="shared" si="189"/>
        <v>-</v>
      </c>
      <c r="AA203" s="16" t="str">
        <f t="shared" si="171"/>
        <v>-</v>
      </c>
      <c r="AB203" s="16" t="str">
        <f t="shared" si="190"/>
        <v>-</v>
      </c>
      <c r="AC203" s="16" t="str">
        <f t="shared" si="191"/>
        <v>-</v>
      </c>
      <c r="AD203" s="16" t="str">
        <f t="shared" si="172"/>
        <v>-</v>
      </c>
      <c r="AE203" s="16"/>
      <c r="AF203" s="31" t="str">
        <f>IFERROR(INDEX(Supermarket!$P$11:$P$170,MATCH('Calculations - Supermarket'!C203,Supermarket!$M$11:$M$170,0)),"")</f>
        <v/>
      </c>
      <c r="AG203" s="23" t="str">
        <f t="shared" si="173"/>
        <v/>
      </c>
      <c r="AH203" s="23" t="str">
        <f t="shared" si="174"/>
        <v/>
      </c>
      <c r="AI203" s="9" t="str">
        <f t="shared" si="192"/>
        <v/>
      </c>
      <c r="AJ203" s="4" t="str">
        <f t="shared" si="193"/>
        <v/>
      </c>
      <c r="AK203" s="4"/>
      <c r="AL203" s="4"/>
      <c r="AM203" s="4"/>
      <c r="AN203" s="4"/>
      <c r="AO203" s="4"/>
      <c r="AP203" s="20" t="str">
        <f t="shared" si="194"/>
        <v>-</v>
      </c>
      <c r="AQ203" s="13" t="str">
        <f t="shared" si="175"/>
        <v>-</v>
      </c>
      <c r="AR203" s="13" t="str">
        <f t="shared" si="176"/>
        <v>-</v>
      </c>
      <c r="AS203" s="13" t="str">
        <f t="shared" si="195"/>
        <v>-</v>
      </c>
      <c r="AT203" s="16" t="str">
        <f t="shared" si="177"/>
        <v>-</v>
      </c>
      <c r="AU203" s="16" t="str">
        <f t="shared" si="196"/>
        <v>-</v>
      </c>
      <c r="AV203" s="16" t="str">
        <f t="shared" si="197"/>
        <v>-</v>
      </c>
      <c r="AW203" s="16" t="str">
        <f t="shared" si="178"/>
        <v>-</v>
      </c>
      <c r="AX203" s="13" t="str">
        <f t="shared" si="179"/>
        <v>-</v>
      </c>
      <c r="AY203" s="10" t="str">
        <f t="shared" si="180"/>
        <v>-</v>
      </c>
      <c r="AZ203" s="9" t="str">
        <f t="shared" si="181"/>
        <v>-</v>
      </c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</row>
    <row r="204" spans="2:68" x14ac:dyDescent="0.3">
      <c r="B204" s="108" t="str">
        <f t="shared" si="165"/>
        <v/>
      </c>
      <c r="C204" s="108" t="str">
        <f t="shared" si="182"/>
        <v/>
      </c>
      <c r="D204" s="3"/>
      <c r="E204" s="3"/>
      <c r="F204" s="3"/>
      <c r="G204" s="20">
        <f>IFERROR(INDEX('Input - Supermarket'!F$2:F$200,MATCH('Calculations - Supermarket'!$C204,'Input - Supermarket'!$B$2:$B$200,0)),"")</f>
        <v>0</v>
      </c>
      <c r="H204" s="20">
        <f>IFERROR(INDEX('Input - Supermarket'!G$2:G$200,MATCH('Calculations - Supermarket'!$C204,'Input - Supermarket'!$B$2:$B$200,0)),"")</f>
        <v>0</v>
      </c>
      <c r="I204" s="21">
        <f>IFERROR(INDEX('Input - Supermarket'!H$2:H$200,MATCH('Calculations - Supermarket'!$C204,'Input - Supermarket'!$B$2:$B$200,0)),"")</f>
        <v>0</v>
      </c>
      <c r="J204" s="21">
        <f>IFERROR(INDEX('Input - Supermarket'!I$2:I$200,MATCH('Calculations - Supermarket'!$C204,'Input - Supermarket'!$B$2:$B$200,0)),"")</f>
        <v>0</v>
      </c>
      <c r="K204" s="20">
        <f>IFERROR(INDEX('Input - Supermarket'!J$2:J$200,MATCH('Calculations - Supermarket'!$C204,'Input - Supermarket'!$B$2:$B$200,0)),"")</f>
        <v>0</v>
      </c>
      <c r="L204" s="20">
        <f>IFERROR(INDEX('Input - Supermarket'!K$2:K$200,MATCH('Calculations - Supermarket'!$C204,'Input - Supermarket'!$B$2:$B$200,0)),"")</f>
        <v>0</v>
      </c>
      <c r="M204" s="21" t="str">
        <f t="shared" si="166"/>
        <v/>
      </c>
      <c r="N204" s="21" t="str">
        <f t="shared" si="183"/>
        <v/>
      </c>
      <c r="O204" s="21">
        <f t="shared" si="167"/>
        <v>0</v>
      </c>
      <c r="P204" s="9">
        <f t="shared" si="184"/>
        <v>0</v>
      </c>
      <c r="Q204" s="9">
        <f t="shared" si="185"/>
        <v>0</v>
      </c>
      <c r="R204" s="22" t="str">
        <f>IFERROR(INDEX(Supermarket!$Q$11:$Q$170,MATCH('Calculations - Supermarket'!$C204,Supermarket!$M$11:$M$170,0)),"")</f>
        <v/>
      </c>
      <c r="S204" s="22" t="str">
        <f>IFERROR(INDEX(Supermarket!$R$11:$R$170,MATCH('Calculations - Supermarket'!$C204,Supermarket!$M$11:$M$170,0)),"")</f>
        <v/>
      </c>
      <c r="T204" s="16" t="e">
        <f t="shared" si="186"/>
        <v>#VALUE!</v>
      </c>
      <c r="U204" s="16" t="e">
        <f t="shared" si="168"/>
        <v>#VALUE!</v>
      </c>
      <c r="V204" s="16" t="e">
        <f t="shared" si="169"/>
        <v>#VALUE!</v>
      </c>
      <c r="W204" s="10" t="str">
        <f t="shared" si="187"/>
        <v>-</v>
      </c>
      <c r="X204" s="10" t="str">
        <f t="shared" si="188"/>
        <v>-</v>
      </c>
      <c r="Y204" s="13" t="str">
        <f t="shared" si="170"/>
        <v>-</v>
      </c>
      <c r="Z204" s="9" t="str">
        <f t="shared" si="189"/>
        <v>-</v>
      </c>
      <c r="AA204" s="16" t="str">
        <f t="shared" si="171"/>
        <v>-</v>
      </c>
      <c r="AB204" s="16" t="str">
        <f t="shared" si="190"/>
        <v>-</v>
      </c>
      <c r="AC204" s="16" t="str">
        <f t="shared" si="191"/>
        <v>-</v>
      </c>
      <c r="AD204" s="16" t="str">
        <f t="shared" si="172"/>
        <v>-</v>
      </c>
      <c r="AE204" s="16"/>
      <c r="AF204" s="31" t="str">
        <f>IFERROR(INDEX(Supermarket!$P$11:$P$170,MATCH('Calculations - Supermarket'!C204,Supermarket!$M$11:$M$170,0)),"")</f>
        <v/>
      </c>
      <c r="AG204" s="23" t="str">
        <f t="shared" si="173"/>
        <v/>
      </c>
      <c r="AH204" s="23" t="str">
        <f t="shared" si="174"/>
        <v/>
      </c>
      <c r="AI204" s="9" t="str">
        <f t="shared" si="192"/>
        <v/>
      </c>
      <c r="AJ204" s="4" t="str">
        <f t="shared" si="193"/>
        <v/>
      </c>
      <c r="AK204" s="4"/>
      <c r="AL204" s="4"/>
      <c r="AM204" s="4"/>
      <c r="AN204" s="4"/>
      <c r="AO204" s="4"/>
      <c r="AP204" s="20" t="str">
        <f t="shared" si="194"/>
        <v>-</v>
      </c>
      <c r="AQ204" s="13" t="str">
        <f t="shared" si="175"/>
        <v>-</v>
      </c>
      <c r="AR204" s="13" t="str">
        <f t="shared" si="176"/>
        <v>-</v>
      </c>
      <c r="AS204" s="13" t="str">
        <f t="shared" si="195"/>
        <v>-</v>
      </c>
      <c r="AT204" s="16" t="str">
        <f t="shared" si="177"/>
        <v>-</v>
      </c>
      <c r="AU204" s="16" t="str">
        <f t="shared" si="196"/>
        <v>-</v>
      </c>
      <c r="AV204" s="16" t="str">
        <f t="shared" si="197"/>
        <v>-</v>
      </c>
      <c r="AW204" s="16" t="str">
        <f t="shared" si="178"/>
        <v>-</v>
      </c>
      <c r="AX204" s="13" t="str">
        <f t="shared" si="179"/>
        <v>-</v>
      </c>
      <c r="AY204" s="10" t="str">
        <f t="shared" si="180"/>
        <v>-</v>
      </c>
      <c r="AZ204" s="9" t="str">
        <f t="shared" si="181"/>
        <v>-</v>
      </c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</row>
    <row r="205" spans="2:68" x14ac:dyDescent="0.3">
      <c r="B205" s="108" t="str">
        <f t="shared" si="165"/>
        <v/>
      </c>
      <c r="C205" s="108" t="str">
        <f t="shared" si="182"/>
        <v/>
      </c>
      <c r="D205" s="3"/>
      <c r="E205" s="3"/>
      <c r="F205" s="3"/>
      <c r="G205" s="20">
        <f>IFERROR(INDEX('Input - Supermarket'!F$2:F$200,MATCH('Calculations - Supermarket'!$C205,'Input - Supermarket'!$B$2:$B$200,0)),"")</f>
        <v>0</v>
      </c>
      <c r="H205" s="20">
        <f>IFERROR(INDEX('Input - Supermarket'!G$2:G$200,MATCH('Calculations - Supermarket'!$C205,'Input - Supermarket'!$B$2:$B$200,0)),"")</f>
        <v>0</v>
      </c>
      <c r="I205" s="21">
        <f>IFERROR(INDEX('Input - Supermarket'!H$2:H$200,MATCH('Calculations - Supermarket'!$C205,'Input - Supermarket'!$B$2:$B$200,0)),"")</f>
        <v>0</v>
      </c>
      <c r="J205" s="21">
        <f>IFERROR(INDEX('Input - Supermarket'!I$2:I$200,MATCH('Calculations - Supermarket'!$C205,'Input - Supermarket'!$B$2:$B$200,0)),"")</f>
        <v>0</v>
      </c>
      <c r="K205" s="20">
        <f>IFERROR(INDEX('Input - Supermarket'!J$2:J$200,MATCH('Calculations - Supermarket'!$C205,'Input - Supermarket'!$B$2:$B$200,0)),"")</f>
        <v>0</v>
      </c>
      <c r="L205" s="20">
        <f>IFERROR(INDEX('Input - Supermarket'!K$2:K$200,MATCH('Calculations - Supermarket'!$C205,'Input - Supermarket'!$B$2:$B$200,0)),"")</f>
        <v>0</v>
      </c>
      <c r="M205" s="21" t="str">
        <f t="shared" si="166"/>
        <v/>
      </c>
      <c r="N205" s="21" t="str">
        <f t="shared" si="183"/>
        <v/>
      </c>
      <c r="O205" s="21">
        <f t="shared" si="167"/>
        <v>0</v>
      </c>
      <c r="P205" s="9">
        <f t="shared" si="184"/>
        <v>0</v>
      </c>
      <c r="Q205" s="9">
        <f t="shared" si="185"/>
        <v>0</v>
      </c>
      <c r="R205" s="22" t="str">
        <f>IFERROR(INDEX(Supermarket!$Q$11:$Q$170,MATCH('Calculations - Supermarket'!$C205,Supermarket!$M$11:$M$170,0)),"")</f>
        <v/>
      </c>
      <c r="S205" s="22" t="str">
        <f>IFERROR(INDEX(Supermarket!$R$11:$R$170,MATCH('Calculations - Supermarket'!$C205,Supermarket!$M$11:$M$170,0)),"")</f>
        <v/>
      </c>
      <c r="T205" s="16" t="e">
        <f t="shared" si="186"/>
        <v>#VALUE!</v>
      </c>
      <c r="U205" s="16" t="e">
        <f t="shared" si="168"/>
        <v>#VALUE!</v>
      </c>
      <c r="V205" s="16" t="e">
        <f t="shared" si="169"/>
        <v>#VALUE!</v>
      </c>
      <c r="W205" s="10" t="str">
        <f t="shared" si="187"/>
        <v>-</v>
      </c>
      <c r="X205" s="10" t="str">
        <f t="shared" si="188"/>
        <v>-</v>
      </c>
      <c r="Y205" s="13" t="str">
        <f t="shared" si="170"/>
        <v>-</v>
      </c>
      <c r="Z205" s="9" t="str">
        <f t="shared" si="189"/>
        <v>-</v>
      </c>
      <c r="AA205" s="16" t="str">
        <f t="shared" si="171"/>
        <v>-</v>
      </c>
      <c r="AB205" s="16" t="str">
        <f t="shared" si="190"/>
        <v>-</v>
      </c>
      <c r="AC205" s="16" t="str">
        <f t="shared" si="191"/>
        <v>-</v>
      </c>
      <c r="AD205" s="16" t="str">
        <f t="shared" si="172"/>
        <v>-</v>
      </c>
      <c r="AE205" s="16"/>
      <c r="AF205" s="31" t="str">
        <f>IFERROR(INDEX(Supermarket!$P$11:$P$170,MATCH('Calculations - Supermarket'!C205,Supermarket!$M$11:$M$170,0)),"")</f>
        <v/>
      </c>
      <c r="AG205" s="23" t="str">
        <f t="shared" si="173"/>
        <v/>
      </c>
      <c r="AH205" s="23" t="str">
        <f t="shared" si="174"/>
        <v/>
      </c>
      <c r="AI205" s="9" t="str">
        <f t="shared" si="192"/>
        <v/>
      </c>
      <c r="AJ205" s="4" t="str">
        <f t="shared" si="193"/>
        <v/>
      </c>
      <c r="AK205" s="4"/>
      <c r="AL205" s="4"/>
      <c r="AM205" s="4"/>
      <c r="AN205" s="4"/>
      <c r="AO205" s="4"/>
      <c r="AP205" s="20" t="str">
        <f t="shared" si="194"/>
        <v>-</v>
      </c>
      <c r="AQ205" s="13" t="str">
        <f t="shared" si="175"/>
        <v>-</v>
      </c>
      <c r="AR205" s="13" t="str">
        <f t="shared" si="176"/>
        <v>-</v>
      </c>
      <c r="AS205" s="13" t="str">
        <f t="shared" si="195"/>
        <v>-</v>
      </c>
      <c r="AT205" s="16" t="str">
        <f t="shared" si="177"/>
        <v>-</v>
      </c>
      <c r="AU205" s="16" t="str">
        <f t="shared" si="196"/>
        <v>-</v>
      </c>
      <c r="AV205" s="16" t="str">
        <f t="shared" si="197"/>
        <v>-</v>
      </c>
      <c r="AW205" s="16" t="str">
        <f t="shared" si="178"/>
        <v>-</v>
      </c>
      <c r="AX205" s="13" t="str">
        <f t="shared" si="179"/>
        <v>-</v>
      </c>
      <c r="AY205" s="10" t="str">
        <f t="shared" si="180"/>
        <v>-</v>
      </c>
      <c r="AZ205" s="9" t="str">
        <f t="shared" si="181"/>
        <v>-</v>
      </c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</row>
    <row r="206" spans="2:68" x14ac:dyDescent="0.3">
      <c r="B206" s="108" t="str">
        <f t="shared" si="165"/>
        <v/>
      </c>
      <c r="C206" s="108" t="str">
        <f t="shared" si="182"/>
        <v/>
      </c>
      <c r="D206" s="3"/>
      <c r="E206" s="3"/>
      <c r="F206" s="3"/>
      <c r="G206" s="20">
        <f>IFERROR(INDEX('Input - Supermarket'!F$2:F$200,MATCH('Calculations - Supermarket'!$C206,'Input - Supermarket'!$B$2:$B$200,0)),"")</f>
        <v>0</v>
      </c>
      <c r="H206" s="20">
        <f>IFERROR(INDEX('Input - Supermarket'!G$2:G$200,MATCH('Calculations - Supermarket'!$C206,'Input - Supermarket'!$B$2:$B$200,0)),"")</f>
        <v>0</v>
      </c>
      <c r="I206" s="21">
        <f>IFERROR(INDEX('Input - Supermarket'!H$2:H$200,MATCH('Calculations - Supermarket'!$C206,'Input - Supermarket'!$B$2:$B$200,0)),"")</f>
        <v>0</v>
      </c>
      <c r="J206" s="21">
        <f>IFERROR(INDEX('Input - Supermarket'!I$2:I$200,MATCH('Calculations - Supermarket'!$C206,'Input - Supermarket'!$B$2:$B$200,0)),"")</f>
        <v>0</v>
      </c>
      <c r="K206" s="20">
        <f>IFERROR(INDEX('Input - Supermarket'!J$2:J$200,MATCH('Calculations - Supermarket'!$C206,'Input - Supermarket'!$B$2:$B$200,0)),"")</f>
        <v>0</v>
      </c>
      <c r="L206" s="20">
        <f>IFERROR(INDEX('Input - Supermarket'!K$2:K$200,MATCH('Calculations - Supermarket'!$C206,'Input - Supermarket'!$B$2:$B$200,0)),"")</f>
        <v>0</v>
      </c>
      <c r="M206" s="21" t="str">
        <f t="shared" si="166"/>
        <v/>
      </c>
      <c r="N206" s="21" t="str">
        <f t="shared" si="183"/>
        <v/>
      </c>
      <c r="O206" s="21">
        <f t="shared" si="167"/>
        <v>0</v>
      </c>
      <c r="P206" s="9">
        <f t="shared" si="184"/>
        <v>0</v>
      </c>
      <c r="Q206" s="9">
        <f t="shared" si="185"/>
        <v>0</v>
      </c>
      <c r="R206" s="22" t="str">
        <f>IFERROR(INDEX(Supermarket!$Q$11:$Q$170,MATCH('Calculations - Supermarket'!$C206,Supermarket!$M$11:$M$170,0)),"")</f>
        <v/>
      </c>
      <c r="S206" s="22" t="str">
        <f>IFERROR(INDEX(Supermarket!$R$11:$R$170,MATCH('Calculations - Supermarket'!$C206,Supermarket!$M$11:$M$170,0)),"")</f>
        <v/>
      </c>
      <c r="T206" s="16" t="e">
        <f t="shared" si="186"/>
        <v>#VALUE!</v>
      </c>
      <c r="U206" s="16" t="e">
        <f t="shared" si="168"/>
        <v>#VALUE!</v>
      </c>
      <c r="V206" s="16" t="e">
        <f t="shared" si="169"/>
        <v>#VALUE!</v>
      </c>
      <c r="W206" s="10" t="str">
        <f t="shared" si="187"/>
        <v>-</v>
      </c>
      <c r="X206" s="10" t="str">
        <f t="shared" si="188"/>
        <v>-</v>
      </c>
      <c r="Y206" s="13" t="str">
        <f t="shared" si="170"/>
        <v>-</v>
      </c>
      <c r="Z206" s="9" t="str">
        <f t="shared" si="189"/>
        <v>-</v>
      </c>
      <c r="AA206" s="16" t="str">
        <f t="shared" si="171"/>
        <v>-</v>
      </c>
      <c r="AB206" s="16" t="str">
        <f t="shared" si="190"/>
        <v>-</v>
      </c>
      <c r="AC206" s="16" t="str">
        <f t="shared" si="191"/>
        <v>-</v>
      </c>
      <c r="AD206" s="16" t="str">
        <f t="shared" si="172"/>
        <v>-</v>
      </c>
      <c r="AE206" s="16"/>
      <c r="AF206" s="31" t="str">
        <f>IFERROR(INDEX(Supermarket!$P$11:$P$170,MATCH('Calculations - Supermarket'!C206,Supermarket!$M$11:$M$170,0)),"")</f>
        <v/>
      </c>
      <c r="AG206" s="23" t="str">
        <f t="shared" si="173"/>
        <v/>
      </c>
      <c r="AH206" s="23" t="str">
        <f t="shared" si="174"/>
        <v/>
      </c>
      <c r="AI206" s="9" t="str">
        <f t="shared" si="192"/>
        <v/>
      </c>
      <c r="AJ206" s="4" t="str">
        <f t="shared" si="193"/>
        <v/>
      </c>
      <c r="AK206" s="4"/>
      <c r="AL206" s="4"/>
      <c r="AM206" s="4"/>
      <c r="AN206" s="4"/>
      <c r="AO206" s="4"/>
      <c r="AP206" s="20" t="str">
        <f t="shared" si="194"/>
        <v>-</v>
      </c>
      <c r="AQ206" s="13" t="str">
        <f t="shared" si="175"/>
        <v>-</v>
      </c>
      <c r="AR206" s="13" t="str">
        <f t="shared" si="176"/>
        <v>-</v>
      </c>
      <c r="AS206" s="13" t="str">
        <f t="shared" si="195"/>
        <v>-</v>
      </c>
      <c r="AT206" s="16" t="str">
        <f t="shared" si="177"/>
        <v>-</v>
      </c>
      <c r="AU206" s="16" t="str">
        <f t="shared" si="196"/>
        <v>-</v>
      </c>
      <c r="AV206" s="16" t="str">
        <f t="shared" si="197"/>
        <v>-</v>
      </c>
      <c r="AW206" s="16" t="str">
        <f t="shared" si="178"/>
        <v>-</v>
      </c>
      <c r="AX206" s="13" t="str">
        <f t="shared" si="179"/>
        <v>-</v>
      </c>
      <c r="AY206" s="10" t="str">
        <f t="shared" si="180"/>
        <v>-</v>
      </c>
      <c r="AZ206" s="9" t="str">
        <f t="shared" si="181"/>
        <v>-</v>
      </c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</row>
    <row r="207" spans="2:68" x14ac:dyDescent="0.3">
      <c r="B207" s="108" t="str">
        <f t="shared" si="165"/>
        <v/>
      </c>
      <c r="C207" s="108" t="str">
        <f t="shared" si="182"/>
        <v/>
      </c>
      <c r="D207" s="3"/>
      <c r="E207" s="3"/>
      <c r="F207" s="3"/>
      <c r="G207" s="20">
        <f>IFERROR(INDEX('Input - Supermarket'!F$2:F$200,MATCH('Calculations - Supermarket'!$C207,'Input - Supermarket'!$B$2:$B$200,0)),"")</f>
        <v>0</v>
      </c>
      <c r="H207" s="20">
        <f>IFERROR(INDEX('Input - Supermarket'!G$2:G$200,MATCH('Calculations - Supermarket'!$C207,'Input - Supermarket'!$B$2:$B$200,0)),"")</f>
        <v>0</v>
      </c>
      <c r="I207" s="21">
        <f>IFERROR(INDEX('Input - Supermarket'!H$2:H$200,MATCH('Calculations - Supermarket'!$C207,'Input - Supermarket'!$B$2:$B$200,0)),"")</f>
        <v>0</v>
      </c>
      <c r="J207" s="21">
        <f>IFERROR(INDEX('Input - Supermarket'!I$2:I$200,MATCH('Calculations - Supermarket'!$C207,'Input - Supermarket'!$B$2:$B$200,0)),"")</f>
        <v>0</v>
      </c>
      <c r="K207" s="20">
        <f>IFERROR(INDEX('Input - Supermarket'!J$2:J$200,MATCH('Calculations - Supermarket'!$C207,'Input - Supermarket'!$B$2:$B$200,0)),"")</f>
        <v>0</v>
      </c>
      <c r="L207" s="20">
        <f>IFERROR(INDEX('Input - Supermarket'!K$2:K$200,MATCH('Calculations - Supermarket'!$C207,'Input - Supermarket'!$B$2:$B$200,0)),"")</f>
        <v>0</v>
      </c>
      <c r="M207" s="21" t="str">
        <f t="shared" si="166"/>
        <v/>
      </c>
      <c r="N207" s="21" t="str">
        <f t="shared" si="183"/>
        <v/>
      </c>
      <c r="O207" s="21">
        <f t="shared" si="167"/>
        <v>0</v>
      </c>
      <c r="P207" s="9">
        <f t="shared" si="184"/>
        <v>0</v>
      </c>
      <c r="Q207" s="9">
        <f t="shared" si="185"/>
        <v>0</v>
      </c>
      <c r="R207" s="22" t="str">
        <f>IFERROR(INDEX(Supermarket!$Q$11:$Q$170,MATCH('Calculations - Supermarket'!$C207,Supermarket!$M$11:$M$170,0)),"")</f>
        <v/>
      </c>
      <c r="S207" s="22" t="str">
        <f>IFERROR(INDEX(Supermarket!$R$11:$R$170,MATCH('Calculations - Supermarket'!$C207,Supermarket!$M$11:$M$170,0)),"")</f>
        <v/>
      </c>
      <c r="T207" s="16" t="e">
        <f t="shared" si="186"/>
        <v>#VALUE!</v>
      </c>
      <c r="U207" s="16" t="e">
        <f t="shared" si="168"/>
        <v>#VALUE!</v>
      </c>
      <c r="V207" s="16" t="e">
        <f t="shared" si="169"/>
        <v>#VALUE!</v>
      </c>
      <c r="W207" s="10" t="str">
        <f t="shared" si="187"/>
        <v>-</v>
      </c>
      <c r="X207" s="10" t="str">
        <f t="shared" si="188"/>
        <v>-</v>
      </c>
      <c r="Y207" s="13" t="str">
        <f t="shared" si="170"/>
        <v>-</v>
      </c>
      <c r="Z207" s="9" t="str">
        <f t="shared" si="189"/>
        <v>-</v>
      </c>
      <c r="AA207" s="16" t="str">
        <f t="shared" si="171"/>
        <v>-</v>
      </c>
      <c r="AB207" s="16" t="str">
        <f t="shared" si="190"/>
        <v>-</v>
      </c>
      <c r="AC207" s="16" t="str">
        <f t="shared" si="191"/>
        <v>-</v>
      </c>
      <c r="AD207" s="16" t="str">
        <f t="shared" si="172"/>
        <v>-</v>
      </c>
      <c r="AE207" s="16"/>
      <c r="AF207" s="31" t="str">
        <f>IFERROR(INDEX(Supermarket!$P$11:$P$170,MATCH('Calculations - Supermarket'!C207,Supermarket!$M$11:$M$170,0)),"")</f>
        <v/>
      </c>
      <c r="AG207" s="23" t="str">
        <f t="shared" si="173"/>
        <v/>
      </c>
      <c r="AH207" s="23" t="str">
        <f t="shared" si="174"/>
        <v/>
      </c>
      <c r="AI207" s="9" t="str">
        <f t="shared" si="192"/>
        <v/>
      </c>
      <c r="AJ207" s="4" t="str">
        <f t="shared" si="193"/>
        <v/>
      </c>
      <c r="AK207" s="4"/>
      <c r="AL207" s="4"/>
      <c r="AM207" s="4"/>
      <c r="AN207" s="4"/>
      <c r="AO207" s="4"/>
      <c r="AP207" s="20" t="str">
        <f t="shared" si="194"/>
        <v>-</v>
      </c>
      <c r="AQ207" s="13" t="str">
        <f t="shared" si="175"/>
        <v>-</v>
      </c>
      <c r="AR207" s="13" t="str">
        <f t="shared" si="176"/>
        <v>-</v>
      </c>
      <c r="AS207" s="13" t="str">
        <f t="shared" si="195"/>
        <v>-</v>
      </c>
      <c r="AT207" s="16" t="str">
        <f t="shared" si="177"/>
        <v>-</v>
      </c>
      <c r="AU207" s="16" t="str">
        <f t="shared" si="196"/>
        <v>-</v>
      </c>
      <c r="AV207" s="16" t="str">
        <f t="shared" si="197"/>
        <v>-</v>
      </c>
      <c r="AW207" s="16" t="str">
        <f t="shared" si="178"/>
        <v>-</v>
      </c>
      <c r="AX207" s="13" t="str">
        <f t="shared" si="179"/>
        <v>-</v>
      </c>
      <c r="AY207" s="10" t="str">
        <f t="shared" si="180"/>
        <v>-</v>
      </c>
      <c r="AZ207" s="9" t="str">
        <f t="shared" si="181"/>
        <v>-</v>
      </c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</row>
    <row r="208" spans="2:68" x14ac:dyDescent="0.3">
      <c r="B208" s="108" t="str">
        <f t="shared" si="165"/>
        <v/>
      </c>
      <c r="C208" s="108" t="str">
        <f t="shared" si="182"/>
        <v/>
      </c>
      <c r="D208" s="3"/>
      <c r="E208" s="3"/>
      <c r="F208" s="3"/>
      <c r="G208" s="20">
        <f>IFERROR(INDEX('Input - Supermarket'!F$2:F$200,MATCH('Calculations - Supermarket'!$C208,'Input - Supermarket'!$B$2:$B$200,0)),"")</f>
        <v>0</v>
      </c>
      <c r="H208" s="20">
        <f>IFERROR(INDEX('Input - Supermarket'!G$2:G$200,MATCH('Calculations - Supermarket'!$C208,'Input - Supermarket'!$B$2:$B$200,0)),"")</f>
        <v>0</v>
      </c>
      <c r="I208" s="21">
        <f>IFERROR(INDEX('Input - Supermarket'!H$2:H$200,MATCH('Calculations - Supermarket'!$C208,'Input - Supermarket'!$B$2:$B$200,0)),"")</f>
        <v>0</v>
      </c>
      <c r="J208" s="21">
        <f>IFERROR(INDEX('Input - Supermarket'!I$2:I$200,MATCH('Calculations - Supermarket'!$C208,'Input - Supermarket'!$B$2:$B$200,0)),"")</f>
        <v>0</v>
      </c>
      <c r="K208" s="20">
        <f>IFERROR(INDEX('Input - Supermarket'!J$2:J$200,MATCH('Calculations - Supermarket'!$C208,'Input - Supermarket'!$B$2:$B$200,0)),"")</f>
        <v>0</v>
      </c>
      <c r="L208" s="20">
        <f>IFERROR(INDEX('Input - Supermarket'!K$2:K$200,MATCH('Calculations - Supermarket'!$C208,'Input - Supermarket'!$B$2:$B$200,0)),"")</f>
        <v>0</v>
      </c>
      <c r="M208" s="21" t="str">
        <f t="shared" si="166"/>
        <v/>
      </c>
      <c r="N208" s="21" t="str">
        <f t="shared" si="183"/>
        <v/>
      </c>
      <c r="O208" s="21">
        <f t="shared" si="167"/>
        <v>0</v>
      </c>
      <c r="P208" s="9">
        <f t="shared" si="184"/>
        <v>0</v>
      </c>
      <c r="Q208" s="9">
        <f t="shared" si="185"/>
        <v>0</v>
      </c>
      <c r="R208" s="22" t="str">
        <f>IFERROR(INDEX(Supermarket!$Q$11:$Q$170,MATCH('Calculations - Supermarket'!$C208,Supermarket!$M$11:$M$170,0)),"")</f>
        <v/>
      </c>
      <c r="S208" s="22" t="str">
        <f>IFERROR(INDEX(Supermarket!$R$11:$R$170,MATCH('Calculations - Supermarket'!$C208,Supermarket!$M$11:$M$170,0)),"")</f>
        <v/>
      </c>
      <c r="T208" s="16" t="e">
        <f t="shared" si="186"/>
        <v>#VALUE!</v>
      </c>
      <c r="U208" s="16" t="e">
        <f t="shared" si="168"/>
        <v>#VALUE!</v>
      </c>
      <c r="V208" s="16" t="e">
        <f t="shared" si="169"/>
        <v>#VALUE!</v>
      </c>
      <c r="W208" s="10" t="str">
        <f t="shared" si="187"/>
        <v>-</v>
      </c>
      <c r="X208" s="10" t="str">
        <f t="shared" si="188"/>
        <v>-</v>
      </c>
      <c r="Y208" s="13" t="str">
        <f t="shared" si="170"/>
        <v>-</v>
      </c>
      <c r="Z208" s="9" t="str">
        <f t="shared" si="189"/>
        <v>-</v>
      </c>
      <c r="AA208" s="16" t="str">
        <f t="shared" si="171"/>
        <v>-</v>
      </c>
      <c r="AB208" s="16" t="str">
        <f t="shared" si="190"/>
        <v>-</v>
      </c>
      <c r="AC208" s="16" t="str">
        <f t="shared" si="191"/>
        <v>-</v>
      </c>
      <c r="AD208" s="16" t="str">
        <f t="shared" si="172"/>
        <v>-</v>
      </c>
      <c r="AE208" s="16"/>
      <c r="AF208" s="31" t="str">
        <f>IFERROR(INDEX(Supermarket!$P$11:$P$170,MATCH('Calculations - Supermarket'!C208,Supermarket!$M$11:$M$170,0)),"")</f>
        <v/>
      </c>
      <c r="AG208" s="23" t="str">
        <f t="shared" si="173"/>
        <v/>
      </c>
      <c r="AH208" s="23" t="str">
        <f t="shared" si="174"/>
        <v/>
      </c>
      <c r="AI208" s="9" t="str">
        <f t="shared" si="192"/>
        <v/>
      </c>
      <c r="AJ208" s="4" t="str">
        <f t="shared" si="193"/>
        <v/>
      </c>
      <c r="AK208" s="4"/>
      <c r="AL208" s="4"/>
      <c r="AM208" s="4"/>
      <c r="AN208" s="4"/>
      <c r="AO208" s="4"/>
      <c r="AP208" s="20" t="str">
        <f t="shared" si="194"/>
        <v>-</v>
      </c>
      <c r="AQ208" s="13" t="str">
        <f t="shared" si="175"/>
        <v>-</v>
      </c>
      <c r="AR208" s="13" t="str">
        <f t="shared" si="176"/>
        <v>-</v>
      </c>
      <c r="AS208" s="13" t="str">
        <f t="shared" si="195"/>
        <v>-</v>
      </c>
      <c r="AT208" s="16" t="str">
        <f t="shared" si="177"/>
        <v>-</v>
      </c>
      <c r="AU208" s="16" t="str">
        <f t="shared" si="196"/>
        <v>-</v>
      </c>
      <c r="AV208" s="16" t="str">
        <f t="shared" si="197"/>
        <v>-</v>
      </c>
      <c r="AW208" s="16" t="str">
        <f t="shared" si="178"/>
        <v>-</v>
      </c>
      <c r="AX208" s="13" t="str">
        <f t="shared" si="179"/>
        <v>-</v>
      </c>
      <c r="AY208" s="10" t="str">
        <f t="shared" si="180"/>
        <v>-</v>
      </c>
      <c r="AZ208" s="9" t="str">
        <f t="shared" si="181"/>
        <v>-</v>
      </c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</row>
    <row r="209" spans="2:68" x14ac:dyDescent="0.3">
      <c r="B209" s="108" t="str">
        <f t="shared" si="165"/>
        <v/>
      </c>
      <c r="C209" s="108" t="str">
        <f t="shared" si="182"/>
        <v/>
      </c>
      <c r="D209" s="3"/>
      <c r="E209" s="3"/>
      <c r="F209" s="3"/>
      <c r="G209" s="20">
        <f>IFERROR(INDEX('Input - Supermarket'!F$2:F$200,MATCH('Calculations - Supermarket'!$C209,'Input - Supermarket'!$B$2:$B$200,0)),"")</f>
        <v>0</v>
      </c>
      <c r="H209" s="20">
        <f>IFERROR(INDEX('Input - Supermarket'!G$2:G$200,MATCH('Calculations - Supermarket'!$C209,'Input - Supermarket'!$B$2:$B$200,0)),"")</f>
        <v>0</v>
      </c>
      <c r="I209" s="21">
        <f>IFERROR(INDEX('Input - Supermarket'!H$2:H$200,MATCH('Calculations - Supermarket'!$C209,'Input - Supermarket'!$B$2:$B$200,0)),"")</f>
        <v>0</v>
      </c>
      <c r="J209" s="21">
        <f>IFERROR(INDEX('Input - Supermarket'!I$2:I$200,MATCH('Calculations - Supermarket'!$C209,'Input - Supermarket'!$B$2:$B$200,0)),"")</f>
        <v>0</v>
      </c>
      <c r="K209" s="20">
        <f>IFERROR(INDEX('Input - Supermarket'!J$2:J$200,MATCH('Calculations - Supermarket'!$C209,'Input - Supermarket'!$B$2:$B$200,0)),"")</f>
        <v>0</v>
      </c>
      <c r="L209" s="20">
        <f>IFERROR(INDEX('Input - Supermarket'!K$2:K$200,MATCH('Calculations - Supermarket'!$C209,'Input - Supermarket'!$B$2:$B$200,0)),"")</f>
        <v>0</v>
      </c>
      <c r="M209" s="21" t="str">
        <f t="shared" si="166"/>
        <v/>
      </c>
      <c r="N209" s="21" t="str">
        <f t="shared" si="183"/>
        <v/>
      </c>
      <c r="O209" s="21">
        <f t="shared" si="167"/>
        <v>0</v>
      </c>
      <c r="P209" s="9">
        <f t="shared" si="184"/>
        <v>0</v>
      </c>
      <c r="Q209" s="9">
        <f t="shared" si="185"/>
        <v>0</v>
      </c>
      <c r="R209" s="22" t="str">
        <f>IFERROR(INDEX(Supermarket!$Q$11:$Q$170,MATCH('Calculations - Supermarket'!$C209,Supermarket!$M$11:$M$170,0)),"")</f>
        <v/>
      </c>
      <c r="S209" s="22" t="str">
        <f>IFERROR(INDEX(Supermarket!$R$11:$R$170,MATCH('Calculations - Supermarket'!$C209,Supermarket!$M$11:$M$170,0)),"")</f>
        <v/>
      </c>
      <c r="T209" s="16" t="e">
        <f t="shared" si="186"/>
        <v>#VALUE!</v>
      </c>
      <c r="U209" s="16" t="e">
        <f t="shared" si="168"/>
        <v>#VALUE!</v>
      </c>
      <c r="V209" s="16" t="e">
        <f t="shared" si="169"/>
        <v>#VALUE!</v>
      </c>
      <c r="W209" s="10" t="str">
        <f t="shared" si="187"/>
        <v>-</v>
      </c>
      <c r="X209" s="10" t="str">
        <f t="shared" si="188"/>
        <v>-</v>
      </c>
      <c r="Y209" s="13" t="str">
        <f t="shared" si="170"/>
        <v>-</v>
      </c>
      <c r="Z209" s="9" t="str">
        <f t="shared" si="189"/>
        <v>-</v>
      </c>
      <c r="AA209" s="16" t="str">
        <f t="shared" si="171"/>
        <v>-</v>
      </c>
      <c r="AB209" s="16" t="str">
        <f t="shared" si="190"/>
        <v>-</v>
      </c>
      <c r="AC209" s="16" t="str">
        <f t="shared" si="191"/>
        <v>-</v>
      </c>
      <c r="AD209" s="16" t="str">
        <f t="shared" si="172"/>
        <v>-</v>
      </c>
      <c r="AE209" s="16"/>
      <c r="AF209" s="31" t="str">
        <f>IFERROR(INDEX(Supermarket!$P$11:$P$170,MATCH('Calculations - Supermarket'!C209,Supermarket!$M$11:$M$170,0)),"")</f>
        <v/>
      </c>
      <c r="AG209" s="23" t="str">
        <f t="shared" si="173"/>
        <v/>
      </c>
      <c r="AH209" s="23" t="str">
        <f t="shared" si="174"/>
        <v/>
      </c>
      <c r="AI209" s="9" t="str">
        <f t="shared" si="192"/>
        <v/>
      </c>
      <c r="AJ209" s="4" t="str">
        <f t="shared" si="193"/>
        <v/>
      </c>
      <c r="AK209" s="4"/>
      <c r="AL209" s="4"/>
      <c r="AM209" s="4"/>
      <c r="AN209" s="4"/>
      <c r="AO209" s="4"/>
      <c r="AP209" s="20" t="str">
        <f t="shared" si="194"/>
        <v>-</v>
      </c>
      <c r="AQ209" s="13" t="str">
        <f t="shared" si="175"/>
        <v>-</v>
      </c>
      <c r="AR209" s="13" t="str">
        <f t="shared" si="176"/>
        <v>-</v>
      </c>
      <c r="AS209" s="13" t="str">
        <f t="shared" si="195"/>
        <v>-</v>
      </c>
      <c r="AT209" s="16" t="str">
        <f t="shared" si="177"/>
        <v>-</v>
      </c>
      <c r="AU209" s="16" t="str">
        <f t="shared" si="196"/>
        <v>-</v>
      </c>
      <c r="AV209" s="16" t="str">
        <f t="shared" si="197"/>
        <v>-</v>
      </c>
      <c r="AW209" s="16" t="str">
        <f t="shared" si="178"/>
        <v>-</v>
      </c>
      <c r="AX209" s="13" t="str">
        <f t="shared" si="179"/>
        <v>-</v>
      </c>
      <c r="AY209" s="10" t="str">
        <f t="shared" si="180"/>
        <v>-</v>
      </c>
      <c r="AZ209" s="9" t="str">
        <f t="shared" si="181"/>
        <v>-</v>
      </c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</row>
    <row r="210" spans="2:68" x14ac:dyDescent="0.3">
      <c r="B210" s="108" t="str">
        <f t="shared" si="165"/>
        <v/>
      </c>
      <c r="C210" s="108" t="str">
        <f t="shared" si="182"/>
        <v/>
      </c>
      <c r="D210" s="3"/>
      <c r="E210" s="3"/>
      <c r="F210" s="3"/>
      <c r="G210" s="20">
        <f>IFERROR(INDEX('Input - Supermarket'!F$2:F$200,MATCH('Calculations - Supermarket'!$C210,'Input - Supermarket'!$B$2:$B$200,0)),"")</f>
        <v>0</v>
      </c>
      <c r="H210" s="20">
        <f>IFERROR(INDEX('Input - Supermarket'!G$2:G$200,MATCH('Calculations - Supermarket'!$C210,'Input - Supermarket'!$B$2:$B$200,0)),"")</f>
        <v>0</v>
      </c>
      <c r="I210" s="21">
        <f>IFERROR(INDEX('Input - Supermarket'!H$2:H$200,MATCH('Calculations - Supermarket'!$C210,'Input - Supermarket'!$B$2:$B$200,0)),"")</f>
        <v>0</v>
      </c>
      <c r="J210" s="21">
        <f>IFERROR(INDEX('Input - Supermarket'!I$2:I$200,MATCH('Calculations - Supermarket'!$C210,'Input - Supermarket'!$B$2:$B$200,0)),"")</f>
        <v>0</v>
      </c>
      <c r="K210" s="20">
        <f>IFERROR(INDEX('Input - Supermarket'!J$2:J$200,MATCH('Calculations - Supermarket'!$C210,'Input - Supermarket'!$B$2:$B$200,0)),"")</f>
        <v>0</v>
      </c>
      <c r="L210" s="20">
        <f>IFERROR(INDEX('Input - Supermarket'!K$2:K$200,MATCH('Calculations - Supermarket'!$C210,'Input - Supermarket'!$B$2:$B$200,0)),"")</f>
        <v>0</v>
      </c>
      <c r="M210" s="21" t="str">
        <f t="shared" si="166"/>
        <v/>
      </c>
      <c r="N210" s="21" t="str">
        <f t="shared" si="183"/>
        <v/>
      </c>
      <c r="O210" s="21">
        <f t="shared" si="167"/>
        <v>0</v>
      </c>
      <c r="P210" s="9">
        <f t="shared" si="184"/>
        <v>0</v>
      </c>
      <c r="Q210" s="9">
        <f t="shared" si="185"/>
        <v>0</v>
      </c>
      <c r="R210" s="22" t="str">
        <f>IFERROR(INDEX(Supermarket!$Q$11:$Q$170,MATCH('Calculations - Supermarket'!$C210,Supermarket!$M$11:$M$170,0)),"")</f>
        <v/>
      </c>
      <c r="S210" s="22" t="str">
        <f>IFERROR(INDEX(Supermarket!$R$11:$R$170,MATCH('Calculations - Supermarket'!$C210,Supermarket!$M$11:$M$170,0)),"")</f>
        <v/>
      </c>
      <c r="T210" s="16" t="e">
        <f t="shared" si="186"/>
        <v>#VALUE!</v>
      </c>
      <c r="U210" s="16" t="e">
        <f t="shared" si="168"/>
        <v>#VALUE!</v>
      </c>
      <c r="V210" s="16" t="e">
        <f t="shared" si="169"/>
        <v>#VALUE!</v>
      </c>
      <c r="W210" s="10" t="str">
        <f t="shared" si="187"/>
        <v>-</v>
      </c>
      <c r="X210" s="10" t="str">
        <f t="shared" si="188"/>
        <v>-</v>
      </c>
      <c r="Y210" s="13" t="str">
        <f t="shared" si="170"/>
        <v>-</v>
      </c>
      <c r="Z210" s="9" t="str">
        <f t="shared" si="189"/>
        <v>-</v>
      </c>
      <c r="AA210" s="16" t="str">
        <f t="shared" si="171"/>
        <v>-</v>
      </c>
      <c r="AB210" s="16" t="str">
        <f t="shared" si="190"/>
        <v>-</v>
      </c>
      <c r="AC210" s="16" t="str">
        <f t="shared" si="191"/>
        <v>-</v>
      </c>
      <c r="AD210" s="16" t="str">
        <f t="shared" si="172"/>
        <v>-</v>
      </c>
      <c r="AE210" s="16"/>
      <c r="AF210" s="31" t="str">
        <f>IFERROR(INDEX(Supermarket!$P$11:$P$170,MATCH('Calculations - Supermarket'!C210,Supermarket!$M$11:$M$170,0)),"")</f>
        <v/>
      </c>
      <c r="AG210" s="23" t="str">
        <f t="shared" si="173"/>
        <v/>
      </c>
      <c r="AH210" s="23" t="str">
        <f t="shared" si="174"/>
        <v/>
      </c>
      <c r="AI210" s="9" t="str">
        <f t="shared" si="192"/>
        <v/>
      </c>
      <c r="AJ210" s="4" t="str">
        <f t="shared" si="193"/>
        <v/>
      </c>
      <c r="AK210" s="4"/>
      <c r="AL210" s="4"/>
      <c r="AM210" s="4"/>
      <c r="AN210" s="4"/>
      <c r="AO210" s="4"/>
      <c r="AP210" s="20" t="str">
        <f t="shared" si="194"/>
        <v>-</v>
      </c>
      <c r="AQ210" s="13" t="str">
        <f t="shared" si="175"/>
        <v>-</v>
      </c>
      <c r="AR210" s="13" t="str">
        <f t="shared" si="176"/>
        <v>-</v>
      </c>
      <c r="AS210" s="13" t="str">
        <f t="shared" si="195"/>
        <v>-</v>
      </c>
      <c r="AT210" s="16" t="str">
        <f t="shared" si="177"/>
        <v>-</v>
      </c>
      <c r="AU210" s="16" t="str">
        <f t="shared" si="196"/>
        <v>-</v>
      </c>
      <c r="AV210" s="16" t="str">
        <f t="shared" si="197"/>
        <v>-</v>
      </c>
      <c r="AW210" s="16" t="str">
        <f t="shared" si="178"/>
        <v>-</v>
      </c>
      <c r="AX210" s="13" t="str">
        <f t="shared" si="179"/>
        <v>-</v>
      </c>
      <c r="AY210" s="10" t="str">
        <f t="shared" si="180"/>
        <v>-</v>
      </c>
      <c r="AZ210" s="9" t="str">
        <f t="shared" si="181"/>
        <v>-</v>
      </c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</row>
    <row r="211" spans="2:68" x14ac:dyDescent="0.3">
      <c r="B211" s="108" t="str">
        <f t="shared" si="165"/>
        <v/>
      </c>
      <c r="C211" s="108" t="str">
        <f t="shared" si="182"/>
        <v/>
      </c>
      <c r="D211" s="3"/>
      <c r="E211" s="3"/>
      <c r="F211" s="3"/>
      <c r="G211" s="20">
        <f>IFERROR(INDEX('Input - Supermarket'!F$2:F$200,MATCH('Calculations - Supermarket'!$C211,'Input - Supermarket'!$B$2:$B$200,0)),"")</f>
        <v>0</v>
      </c>
      <c r="H211" s="20">
        <f>IFERROR(INDEX('Input - Supermarket'!G$2:G$200,MATCH('Calculations - Supermarket'!$C211,'Input - Supermarket'!$B$2:$B$200,0)),"")</f>
        <v>0</v>
      </c>
      <c r="I211" s="21">
        <f>IFERROR(INDEX('Input - Supermarket'!H$2:H$200,MATCH('Calculations - Supermarket'!$C211,'Input - Supermarket'!$B$2:$B$200,0)),"")</f>
        <v>0</v>
      </c>
      <c r="J211" s="21">
        <f>IFERROR(INDEX('Input - Supermarket'!I$2:I$200,MATCH('Calculations - Supermarket'!$C211,'Input - Supermarket'!$B$2:$B$200,0)),"")</f>
        <v>0</v>
      </c>
      <c r="K211" s="20">
        <f>IFERROR(INDEX('Input - Supermarket'!J$2:J$200,MATCH('Calculations - Supermarket'!$C211,'Input - Supermarket'!$B$2:$B$200,0)),"")</f>
        <v>0</v>
      </c>
      <c r="L211" s="20">
        <f>IFERROR(INDEX('Input - Supermarket'!K$2:K$200,MATCH('Calculations - Supermarket'!$C211,'Input - Supermarket'!$B$2:$B$200,0)),"")</f>
        <v>0</v>
      </c>
      <c r="M211" s="21" t="str">
        <f t="shared" si="166"/>
        <v/>
      </c>
      <c r="N211" s="21" t="str">
        <f t="shared" si="183"/>
        <v/>
      </c>
      <c r="O211" s="21">
        <f t="shared" si="167"/>
        <v>0</v>
      </c>
      <c r="P211" s="9">
        <f t="shared" si="184"/>
        <v>0</v>
      </c>
      <c r="Q211" s="9">
        <f t="shared" si="185"/>
        <v>0</v>
      </c>
      <c r="R211" s="22" t="str">
        <f>IFERROR(INDEX(Supermarket!$Q$11:$Q$170,MATCH('Calculations - Supermarket'!$C211,Supermarket!$M$11:$M$170,0)),"")</f>
        <v/>
      </c>
      <c r="S211" s="22" t="str">
        <f>IFERROR(INDEX(Supermarket!$R$11:$R$170,MATCH('Calculations - Supermarket'!$C211,Supermarket!$M$11:$M$170,0)),"")</f>
        <v/>
      </c>
      <c r="T211" s="16" t="e">
        <f t="shared" si="186"/>
        <v>#VALUE!</v>
      </c>
      <c r="U211" s="16" t="e">
        <f t="shared" si="168"/>
        <v>#VALUE!</v>
      </c>
      <c r="V211" s="16" t="e">
        <f t="shared" si="169"/>
        <v>#VALUE!</v>
      </c>
      <c r="W211" s="10" t="str">
        <f t="shared" si="187"/>
        <v>-</v>
      </c>
      <c r="X211" s="10" t="str">
        <f t="shared" si="188"/>
        <v>-</v>
      </c>
      <c r="Y211" s="13" t="str">
        <f t="shared" si="170"/>
        <v>-</v>
      </c>
      <c r="Z211" s="9" t="str">
        <f t="shared" si="189"/>
        <v>-</v>
      </c>
      <c r="AA211" s="16" t="str">
        <f t="shared" si="171"/>
        <v>-</v>
      </c>
      <c r="AB211" s="16" t="str">
        <f t="shared" si="190"/>
        <v>-</v>
      </c>
      <c r="AC211" s="16" t="str">
        <f t="shared" si="191"/>
        <v>-</v>
      </c>
      <c r="AD211" s="16" t="str">
        <f t="shared" si="172"/>
        <v>-</v>
      </c>
      <c r="AE211" s="16"/>
      <c r="AF211" s="31" t="str">
        <f>IFERROR(INDEX(Supermarket!$P$11:$P$170,MATCH('Calculations - Supermarket'!C211,Supermarket!$M$11:$M$170,0)),"")</f>
        <v/>
      </c>
      <c r="AG211" s="23" t="str">
        <f t="shared" si="173"/>
        <v/>
      </c>
      <c r="AH211" s="23" t="str">
        <f t="shared" si="174"/>
        <v/>
      </c>
      <c r="AI211" s="9" t="str">
        <f t="shared" si="192"/>
        <v/>
      </c>
      <c r="AJ211" s="4" t="str">
        <f t="shared" si="193"/>
        <v/>
      </c>
      <c r="AK211" s="4"/>
      <c r="AL211" s="4"/>
      <c r="AM211" s="4"/>
      <c r="AN211" s="4"/>
      <c r="AO211" s="4"/>
      <c r="AP211" s="20" t="str">
        <f t="shared" si="194"/>
        <v>-</v>
      </c>
      <c r="AQ211" s="13" t="str">
        <f t="shared" si="175"/>
        <v>-</v>
      </c>
      <c r="AR211" s="13" t="str">
        <f t="shared" si="176"/>
        <v>-</v>
      </c>
      <c r="AS211" s="13" t="str">
        <f t="shared" si="195"/>
        <v>-</v>
      </c>
      <c r="AT211" s="16" t="str">
        <f t="shared" si="177"/>
        <v>-</v>
      </c>
      <c r="AU211" s="16" t="str">
        <f t="shared" si="196"/>
        <v>-</v>
      </c>
      <c r="AV211" s="16" t="str">
        <f t="shared" si="197"/>
        <v>-</v>
      </c>
      <c r="AW211" s="16" t="str">
        <f t="shared" si="178"/>
        <v>-</v>
      </c>
      <c r="AX211" s="13" t="str">
        <f t="shared" si="179"/>
        <v>-</v>
      </c>
      <c r="AY211" s="10" t="str">
        <f t="shared" si="180"/>
        <v>-</v>
      </c>
      <c r="AZ211" s="9" t="str">
        <f t="shared" si="181"/>
        <v>-</v>
      </c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</row>
    <row r="212" spans="2:68" x14ac:dyDescent="0.3">
      <c r="B212" s="108" t="str">
        <f t="shared" si="165"/>
        <v/>
      </c>
      <c r="C212" s="108" t="str">
        <f t="shared" si="182"/>
        <v/>
      </c>
      <c r="D212" s="3"/>
      <c r="E212" s="3"/>
      <c r="F212" s="3"/>
      <c r="G212" s="20">
        <f>IFERROR(INDEX('Input - Supermarket'!F$2:F$200,MATCH('Calculations - Supermarket'!$C212,'Input - Supermarket'!$B$2:$B$200,0)),"")</f>
        <v>0</v>
      </c>
      <c r="H212" s="20">
        <f>IFERROR(INDEX('Input - Supermarket'!G$2:G$200,MATCH('Calculations - Supermarket'!$C212,'Input - Supermarket'!$B$2:$B$200,0)),"")</f>
        <v>0</v>
      </c>
      <c r="I212" s="21">
        <f>IFERROR(INDEX('Input - Supermarket'!H$2:H$200,MATCH('Calculations - Supermarket'!$C212,'Input - Supermarket'!$B$2:$B$200,0)),"")</f>
        <v>0</v>
      </c>
      <c r="J212" s="21">
        <f>IFERROR(INDEX('Input - Supermarket'!I$2:I$200,MATCH('Calculations - Supermarket'!$C212,'Input - Supermarket'!$B$2:$B$200,0)),"")</f>
        <v>0</v>
      </c>
      <c r="K212" s="20">
        <f>IFERROR(INDEX('Input - Supermarket'!J$2:J$200,MATCH('Calculations - Supermarket'!$C212,'Input - Supermarket'!$B$2:$B$200,0)),"")</f>
        <v>0</v>
      </c>
      <c r="L212" s="20">
        <f>IFERROR(INDEX('Input - Supermarket'!K$2:K$200,MATCH('Calculations - Supermarket'!$C212,'Input - Supermarket'!$B$2:$B$200,0)),"")</f>
        <v>0</v>
      </c>
      <c r="M212" s="21" t="str">
        <f t="shared" si="166"/>
        <v/>
      </c>
      <c r="N212" s="21" t="str">
        <f t="shared" si="183"/>
        <v/>
      </c>
      <c r="O212" s="21">
        <f t="shared" si="167"/>
        <v>0</v>
      </c>
      <c r="P212" s="9">
        <f t="shared" si="184"/>
        <v>0</v>
      </c>
      <c r="Q212" s="9">
        <f t="shared" si="185"/>
        <v>0</v>
      </c>
      <c r="R212" s="22" t="str">
        <f>IFERROR(INDEX(Supermarket!$Q$11:$Q$170,MATCH('Calculations - Supermarket'!$C212,Supermarket!$M$11:$M$170,0)),"")</f>
        <v/>
      </c>
      <c r="S212" s="22" t="str">
        <f>IFERROR(INDEX(Supermarket!$R$11:$R$170,MATCH('Calculations - Supermarket'!$C212,Supermarket!$M$11:$M$170,0)),"")</f>
        <v/>
      </c>
      <c r="T212" s="16" t="e">
        <f t="shared" si="186"/>
        <v>#VALUE!</v>
      </c>
      <c r="U212" s="16" t="e">
        <f t="shared" si="168"/>
        <v>#VALUE!</v>
      </c>
      <c r="V212" s="16" t="e">
        <f t="shared" si="169"/>
        <v>#VALUE!</v>
      </c>
      <c r="W212" s="10" t="str">
        <f t="shared" si="187"/>
        <v>-</v>
      </c>
      <c r="X212" s="10" t="str">
        <f t="shared" si="188"/>
        <v>-</v>
      </c>
      <c r="Y212" s="13" t="str">
        <f t="shared" si="170"/>
        <v>-</v>
      </c>
      <c r="Z212" s="9" t="str">
        <f t="shared" si="189"/>
        <v>-</v>
      </c>
      <c r="AA212" s="16" t="str">
        <f t="shared" si="171"/>
        <v>-</v>
      </c>
      <c r="AB212" s="16" t="str">
        <f t="shared" si="190"/>
        <v>-</v>
      </c>
      <c r="AC212" s="16" t="str">
        <f t="shared" si="191"/>
        <v>-</v>
      </c>
      <c r="AD212" s="16" t="str">
        <f t="shared" si="172"/>
        <v>-</v>
      </c>
      <c r="AE212" s="16"/>
      <c r="AF212" s="31" t="str">
        <f>IFERROR(INDEX(Supermarket!$P$11:$P$170,MATCH('Calculations - Supermarket'!C212,Supermarket!$M$11:$M$170,0)),"")</f>
        <v/>
      </c>
      <c r="AG212" s="23" t="str">
        <f t="shared" si="173"/>
        <v/>
      </c>
      <c r="AH212" s="23" t="str">
        <f t="shared" si="174"/>
        <v/>
      </c>
      <c r="AI212" s="9" t="str">
        <f t="shared" si="192"/>
        <v/>
      </c>
      <c r="AJ212" s="4" t="str">
        <f t="shared" si="193"/>
        <v/>
      </c>
      <c r="AK212" s="4"/>
      <c r="AL212" s="4"/>
      <c r="AM212" s="4"/>
      <c r="AN212" s="4"/>
      <c r="AO212" s="4"/>
      <c r="AP212" s="20" t="str">
        <f t="shared" si="194"/>
        <v>-</v>
      </c>
      <c r="AQ212" s="13" t="str">
        <f t="shared" si="175"/>
        <v>-</v>
      </c>
      <c r="AR212" s="13" t="str">
        <f t="shared" si="176"/>
        <v>-</v>
      </c>
      <c r="AS212" s="13" t="str">
        <f t="shared" si="195"/>
        <v>-</v>
      </c>
      <c r="AT212" s="16" t="str">
        <f t="shared" si="177"/>
        <v>-</v>
      </c>
      <c r="AU212" s="16" t="str">
        <f t="shared" si="196"/>
        <v>-</v>
      </c>
      <c r="AV212" s="16" t="str">
        <f t="shared" si="197"/>
        <v>-</v>
      </c>
      <c r="AW212" s="16" t="str">
        <f t="shared" si="178"/>
        <v>-</v>
      </c>
      <c r="AX212" s="13" t="str">
        <f t="shared" si="179"/>
        <v>-</v>
      </c>
      <c r="AY212" s="10" t="str">
        <f t="shared" si="180"/>
        <v>-</v>
      </c>
      <c r="AZ212" s="9" t="str">
        <f t="shared" si="181"/>
        <v>-</v>
      </c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</row>
    <row r="213" spans="2:68" x14ac:dyDescent="0.3">
      <c r="B213" s="108" t="str">
        <f t="shared" si="165"/>
        <v/>
      </c>
      <c r="C213" s="108" t="str">
        <f t="shared" si="182"/>
        <v/>
      </c>
      <c r="D213" s="3"/>
      <c r="E213" s="3"/>
      <c r="F213" s="3"/>
      <c r="G213" s="20">
        <f>IFERROR(INDEX('Input - Supermarket'!F$2:F$200,MATCH('Calculations - Supermarket'!$C213,'Input - Supermarket'!$B$2:$B$200,0)),"")</f>
        <v>0</v>
      </c>
      <c r="H213" s="20">
        <f>IFERROR(INDEX('Input - Supermarket'!G$2:G$200,MATCH('Calculations - Supermarket'!$C213,'Input - Supermarket'!$B$2:$B$200,0)),"")</f>
        <v>0</v>
      </c>
      <c r="I213" s="21">
        <f>IFERROR(INDEX('Input - Supermarket'!H$2:H$200,MATCH('Calculations - Supermarket'!$C213,'Input - Supermarket'!$B$2:$B$200,0)),"")</f>
        <v>0</v>
      </c>
      <c r="J213" s="21">
        <f>IFERROR(INDEX('Input - Supermarket'!I$2:I$200,MATCH('Calculations - Supermarket'!$C213,'Input - Supermarket'!$B$2:$B$200,0)),"")</f>
        <v>0</v>
      </c>
      <c r="K213" s="20">
        <f>IFERROR(INDEX('Input - Supermarket'!J$2:J$200,MATCH('Calculations - Supermarket'!$C213,'Input - Supermarket'!$B$2:$B$200,0)),"")</f>
        <v>0</v>
      </c>
      <c r="L213" s="20">
        <f>IFERROR(INDEX('Input - Supermarket'!K$2:K$200,MATCH('Calculations - Supermarket'!$C213,'Input - Supermarket'!$B$2:$B$200,0)),"")</f>
        <v>0</v>
      </c>
      <c r="M213" s="21" t="str">
        <f t="shared" si="166"/>
        <v/>
      </c>
      <c r="N213" s="21" t="str">
        <f t="shared" si="183"/>
        <v/>
      </c>
      <c r="O213" s="21">
        <f t="shared" si="167"/>
        <v>0</v>
      </c>
      <c r="P213" s="9">
        <f t="shared" si="184"/>
        <v>0</v>
      </c>
      <c r="Q213" s="9">
        <f t="shared" si="185"/>
        <v>0</v>
      </c>
      <c r="R213" s="22" t="str">
        <f>IFERROR(INDEX(Supermarket!$Q$11:$Q$170,MATCH('Calculations - Supermarket'!$C213,Supermarket!$M$11:$M$170,0)),"")</f>
        <v/>
      </c>
      <c r="S213" s="22" t="str">
        <f>IFERROR(INDEX(Supermarket!$R$11:$R$170,MATCH('Calculations - Supermarket'!$C213,Supermarket!$M$11:$M$170,0)),"")</f>
        <v/>
      </c>
      <c r="T213" s="16" t="e">
        <f t="shared" si="186"/>
        <v>#VALUE!</v>
      </c>
      <c r="U213" s="16" t="e">
        <f t="shared" si="168"/>
        <v>#VALUE!</v>
      </c>
      <c r="V213" s="16" t="e">
        <f t="shared" si="169"/>
        <v>#VALUE!</v>
      </c>
      <c r="W213" s="10" t="str">
        <f t="shared" si="187"/>
        <v>-</v>
      </c>
      <c r="X213" s="10" t="str">
        <f t="shared" si="188"/>
        <v>-</v>
      </c>
      <c r="Y213" s="13" t="str">
        <f t="shared" si="170"/>
        <v>-</v>
      </c>
      <c r="Z213" s="9" t="str">
        <f t="shared" si="189"/>
        <v>-</v>
      </c>
      <c r="AA213" s="16" t="str">
        <f t="shared" si="171"/>
        <v>-</v>
      </c>
      <c r="AB213" s="16" t="str">
        <f t="shared" si="190"/>
        <v>-</v>
      </c>
      <c r="AC213" s="16" t="str">
        <f t="shared" si="191"/>
        <v>-</v>
      </c>
      <c r="AD213" s="16" t="str">
        <f t="shared" si="172"/>
        <v>-</v>
      </c>
      <c r="AE213" s="16"/>
      <c r="AF213" s="31" t="str">
        <f>IFERROR(INDEX(Supermarket!$P$11:$P$170,MATCH('Calculations - Supermarket'!C213,Supermarket!$M$11:$M$170,0)),"")</f>
        <v/>
      </c>
      <c r="AG213" s="23" t="str">
        <f t="shared" si="173"/>
        <v/>
      </c>
      <c r="AH213" s="23" t="str">
        <f t="shared" si="174"/>
        <v/>
      </c>
      <c r="AI213" s="9" t="str">
        <f t="shared" si="192"/>
        <v/>
      </c>
      <c r="AJ213" s="4" t="str">
        <f t="shared" si="193"/>
        <v/>
      </c>
      <c r="AK213" s="4"/>
      <c r="AL213" s="4"/>
      <c r="AM213" s="4"/>
      <c r="AN213" s="4"/>
      <c r="AO213" s="4"/>
      <c r="AP213" s="20" t="str">
        <f t="shared" si="194"/>
        <v>-</v>
      </c>
      <c r="AQ213" s="13" t="str">
        <f t="shared" si="175"/>
        <v>-</v>
      </c>
      <c r="AR213" s="13" t="str">
        <f t="shared" si="176"/>
        <v>-</v>
      </c>
      <c r="AS213" s="13" t="str">
        <f t="shared" si="195"/>
        <v>-</v>
      </c>
      <c r="AT213" s="16" t="str">
        <f t="shared" si="177"/>
        <v>-</v>
      </c>
      <c r="AU213" s="16" t="str">
        <f t="shared" si="196"/>
        <v>-</v>
      </c>
      <c r="AV213" s="16" t="str">
        <f t="shared" si="197"/>
        <v>-</v>
      </c>
      <c r="AW213" s="16" t="str">
        <f t="shared" si="178"/>
        <v>-</v>
      </c>
      <c r="AX213" s="13" t="str">
        <f t="shared" si="179"/>
        <v>-</v>
      </c>
      <c r="AY213" s="10" t="str">
        <f t="shared" si="180"/>
        <v>-</v>
      </c>
      <c r="AZ213" s="9" t="str">
        <f t="shared" si="181"/>
        <v>-</v>
      </c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</row>
    <row r="214" spans="2:68" x14ac:dyDescent="0.3">
      <c r="B214" s="108" t="str">
        <f t="shared" si="165"/>
        <v/>
      </c>
      <c r="C214" s="108" t="str">
        <f t="shared" si="182"/>
        <v/>
      </c>
      <c r="D214" s="3"/>
      <c r="E214" s="3"/>
      <c r="F214" s="3"/>
      <c r="G214" s="20">
        <f>IFERROR(INDEX('Input - Supermarket'!F$2:F$200,MATCH('Calculations - Supermarket'!$C214,'Input - Supermarket'!$B$2:$B$200,0)),"")</f>
        <v>0</v>
      </c>
      <c r="H214" s="20">
        <f>IFERROR(INDEX('Input - Supermarket'!G$2:G$200,MATCH('Calculations - Supermarket'!$C214,'Input - Supermarket'!$B$2:$B$200,0)),"")</f>
        <v>0</v>
      </c>
      <c r="I214" s="21">
        <f>IFERROR(INDEX('Input - Supermarket'!H$2:H$200,MATCH('Calculations - Supermarket'!$C214,'Input - Supermarket'!$B$2:$B$200,0)),"")</f>
        <v>0</v>
      </c>
      <c r="J214" s="21">
        <f>IFERROR(INDEX('Input - Supermarket'!I$2:I$200,MATCH('Calculations - Supermarket'!$C214,'Input - Supermarket'!$B$2:$B$200,0)),"")</f>
        <v>0</v>
      </c>
      <c r="K214" s="20">
        <f>IFERROR(INDEX('Input - Supermarket'!J$2:J$200,MATCH('Calculations - Supermarket'!$C214,'Input - Supermarket'!$B$2:$B$200,0)),"")</f>
        <v>0</v>
      </c>
      <c r="L214" s="20">
        <f>IFERROR(INDEX('Input - Supermarket'!K$2:K$200,MATCH('Calculations - Supermarket'!$C214,'Input - Supermarket'!$B$2:$B$200,0)),"")</f>
        <v>0</v>
      </c>
      <c r="M214" s="21" t="str">
        <f t="shared" si="166"/>
        <v/>
      </c>
      <c r="N214" s="21" t="str">
        <f t="shared" si="183"/>
        <v/>
      </c>
      <c r="O214" s="21">
        <f t="shared" si="167"/>
        <v>0</v>
      </c>
      <c r="P214" s="9">
        <f t="shared" si="184"/>
        <v>0</v>
      </c>
      <c r="Q214" s="9">
        <f t="shared" si="185"/>
        <v>0</v>
      </c>
      <c r="R214" s="22" t="str">
        <f>IFERROR(INDEX(Supermarket!$Q$11:$Q$170,MATCH('Calculations - Supermarket'!$C214,Supermarket!$M$11:$M$170,0)),"")</f>
        <v/>
      </c>
      <c r="S214" s="22" t="str">
        <f>IFERROR(INDEX(Supermarket!$R$11:$R$170,MATCH('Calculations - Supermarket'!$C214,Supermarket!$M$11:$M$170,0)),"")</f>
        <v/>
      </c>
      <c r="T214" s="16" t="e">
        <f t="shared" si="186"/>
        <v>#VALUE!</v>
      </c>
      <c r="U214" s="16" t="e">
        <f t="shared" si="168"/>
        <v>#VALUE!</v>
      </c>
      <c r="V214" s="16" t="e">
        <f t="shared" si="169"/>
        <v>#VALUE!</v>
      </c>
      <c r="W214" s="10" t="str">
        <f t="shared" si="187"/>
        <v>-</v>
      </c>
      <c r="X214" s="10" t="str">
        <f t="shared" si="188"/>
        <v>-</v>
      </c>
      <c r="Y214" s="13" t="str">
        <f t="shared" si="170"/>
        <v>-</v>
      </c>
      <c r="Z214" s="9" t="str">
        <f t="shared" si="189"/>
        <v>-</v>
      </c>
      <c r="AA214" s="16" t="str">
        <f t="shared" si="171"/>
        <v>-</v>
      </c>
      <c r="AB214" s="16" t="str">
        <f t="shared" si="190"/>
        <v>-</v>
      </c>
      <c r="AC214" s="16" t="str">
        <f t="shared" si="191"/>
        <v>-</v>
      </c>
      <c r="AD214" s="16" t="str">
        <f t="shared" si="172"/>
        <v>-</v>
      </c>
      <c r="AE214" s="16"/>
      <c r="AF214" s="31" t="str">
        <f>IFERROR(INDEX(Supermarket!$P$11:$P$170,MATCH('Calculations - Supermarket'!C214,Supermarket!$M$11:$M$170,0)),"")</f>
        <v/>
      </c>
      <c r="AG214" s="23" t="str">
        <f t="shared" si="173"/>
        <v/>
      </c>
      <c r="AH214" s="23" t="str">
        <f t="shared" si="174"/>
        <v/>
      </c>
      <c r="AI214" s="9" t="str">
        <f t="shared" si="192"/>
        <v/>
      </c>
      <c r="AJ214" s="4" t="str">
        <f t="shared" si="193"/>
        <v/>
      </c>
      <c r="AK214" s="4"/>
      <c r="AL214" s="4"/>
      <c r="AM214" s="4"/>
      <c r="AN214" s="4"/>
      <c r="AO214" s="4"/>
      <c r="AP214" s="20" t="str">
        <f t="shared" si="194"/>
        <v>-</v>
      </c>
      <c r="AQ214" s="13" t="str">
        <f t="shared" si="175"/>
        <v>-</v>
      </c>
      <c r="AR214" s="13" t="str">
        <f t="shared" si="176"/>
        <v>-</v>
      </c>
      <c r="AS214" s="13" t="str">
        <f t="shared" si="195"/>
        <v>-</v>
      </c>
      <c r="AT214" s="16" t="str">
        <f t="shared" si="177"/>
        <v>-</v>
      </c>
      <c r="AU214" s="16" t="str">
        <f t="shared" si="196"/>
        <v>-</v>
      </c>
      <c r="AV214" s="16" t="str">
        <f t="shared" si="197"/>
        <v>-</v>
      </c>
      <c r="AW214" s="16" t="str">
        <f t="shared" si="178"/>
        <v>-</v>
      </c>
      <c r="AX214" s="13" t="str">
        <f t="shared" si="179"/>
        <v>-</v>
      </c>
      <c r="AY214" s="10" t="str">
        <f t="shared" si="180"/>
        <v>-</v>
      </c>
      <c r="AZ214" s="9" t="str">
        <f t="shared" si="181"/>
        <v>-</v>
      </c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</row>
    <row r="215" spans="2:68" x14ac:dyDescent="0.3">
      <c r="B215" s="108" t="str">
        <f t="shared" si="165"/>
        <v/>
      </c>
      <c r="C215" s="108" t="str">
        <f t="shared" si="182"/>
        <v/>
      </c>
      <c r="D215" s="3"/>
      <c r="E215" s="3"/>
      <c r="F215" s="3"/>
      <c r="G215" s="20">
        <f>IFERROR(INDEX('Input - Supermarket'!F$2:F$200,MATCH('Calculations - Supermarket'!$C215,'Input - Supermarket'!$B$2:$B$200,0)),"")</f>
        <v>0</v>
      </c>
      <c r="H215" s="20">
        <f>IFERROR(INDEX('Input - Supermarket'!G$2:G$200,MATCH('Calculations - Supermarket'!$C215,'Input - Supermarket'!$B$2:$B$200,0)),"")</f>
        <v>0</v>
      </c>
      <c r="I215" s="21">
        <f>IFERROR(INDEX('Input - Supermarket'!H$2:H$200,MATCH('Calculations - Supermarket'!$C215,'Input - Supermarket'!$B$2:$B$200,0)),"")</f>
        <v>0</v>
      </c>
      <c r="J215" s="21">
        <f>IFERROR(INDEX('Input - Supermarket'!I$2:I$200,MATCH('Calculations - Supermarket'!$C215,'Input - Supermarket'!$B$2:$B$200,0)),"")</f>
        <v>0</v>
      </c>
      <c r="K215" s="20">
        <f>IFERROR(INDEX('Input - Supermarket'!J$2:J$200,MATCH('Calculations - Supermarket'!$C215,'Input - Supermarket'!$B$2:$B$200,0)),"")</f>
        <v>0</v>
      </c>
      <c r="L215" s="20">
        <f>IFERROR(INDEX('Input - Supermarket'!K$2:K$200,MATCH('Calculations - Supermarket'!$C215,'Input - Supermarket'!$B$2:$B$200,0)),"")</f>
        <v>0</v>
      </c>
      <c r="M215" s="21" t="str">
        <f t="shared" si="166"/>
        <v/>
      </c>
      <c r="N215" s="21" t="str">
        <f t="shared" si="183"/>
        <v/>
      </c>
      <c r="O215" s="21">
        <f t="shared" si="167"/>
        <v>0</v>
      </c>
      <c r="P215" s="9">
        <f t="shared" si="184"/>
        <v>0</v>
      </c>
      <c r="Q215" s="9">
        <f t="shared" si="185"/>
        <v>0</v>
      </c>
      <c r="R215" s="22" t="str">
        <f>IFERROR(INDEX(Supermarket!$Q$11:$Q$170,MATCH('Calculations - Supermarket'!$C215,Supermarket!$M$11:$M$170,0)),"")</f>
        <v/>
      </c>
      <c r="S215" s="22" t="str">
        <f>IFERROR(INDEX(Supermarket!$R$11:$R$170,MATCH('Calculations - Supermarket'!$C215,Supermarket!$M$11:$M$170,0)),"")</f>
        <v/>
      </c>
      <c r="T215" s="16" t="e">
        <f t="shared" si="186"/>
        <v>#VALUE!</v>
      </c>
      <c r="U215" s="16" t="e">
        <f t="shared" si="168"/>
        <v>#VALUE!</v>
      </c>
      <c r="V215" s="16" t="e">
        <f t="shared" si="169"/>
        <v>#VALUE!</v>
      </c>
      <c r="W215" s="10" t="str">
        <f t="shared" si="187"/>
        <v>-</v>
      </c>
      <c r="X215" s="10" t="str">
        <f t="shared" si="188"/>
        <v>-</v>
      </c>
      <c r="Y215" s="13" t="str">
        <f t="shared" si="170"/>
        <v>-</v>
      </c>
      <c r="Z215" s="9" t="str">
        <f t="shared" si="189"/>
        <v>-</v>
      </c>
      <c r="AA215" s="16" t="str">
        <f t="shared" si="171"/>
        <v>-</v>
      </c>
      <c r="AB215" s="16" t="str">
        <f t="shared" si="190"/>
        <v>-</v>
      </c>
      <c r="AC215" s="16" t="str">
        <f t="shared" si="191"/>
        <v>-</v>
      </c>
      <c r="AD215" s="16" t="str">
        <f t="shared" si="172"/>
        <v>-</v>
      </c>
      <c r="AE215" s="16"/>
      <c r="AF215" s="31" t="str">
        <f>IFERROR(INDEX(Supermarket!$P$11:$P$170,MATCH('Calculations - Supermarket'!C215,Supermarket!$M$11:$M$170,0)),"")</f>
        <v/>
      </c>
      <c r="AG215" s="23" t="str">
        <f t="shared" si="173"/>
        <v/>
      </c>
      <c r="AH215" s="23" t="str">
        <f t="shared" si="174"/>
        <v/>
      </c>
      <c r="AI215" s="9" t="str">
        <f t="shared" si="192"/>
        <v/>
      </c>
      <c r="AJ215" s="4" t="str">
        <f t="shared" si="193"/>
        <v/>
      </c>
      <c r="AK215" s="4"/>
      <c r="AL215" s="4"/>
      <c r="AM215" s="4"/>
      <c r="AN215" s="4"/>
      <c r="AO215" s="4"/>
      <c r="AP215" s="20" t="str">
        <f t="shared" si="194"/>
        <v>-</v>
      </c>
      <c r="AQ215" s="13" t="str">
        <f t="shared" si="175"/>
        <v>-</v>
      </c>
      <c r="AR215" s="13" t="str">
        <f t="shared" si="176"/>
        <v>-</v>
      </c>
      <c r="AS215" s="13" t="str">
        <f t="shared" si="195"/>
        <v>-</v>
      </c>
      <c r="AT215" s="16" t="str">
        <f t="shared" si="177"/>
        <v>-</v>
      </c>
      <c r="AU215" s="16" t="str">
        <f t="shared" si="196"/>
        <v>-</v>
      </c>
      <c r="AV215" s="16" t="str">
        <f t="shared" si="197"/>
        <v>-</v>
      </c>
      <c r="AW215" s="16" t="str">
        <f t="shared" si="178"/>
        <v>-</v>
      </c>
      <c r="AX215" s="13" t="str">
        <f t="shared" si="179"/>
        <v>-</v>
      </c>
      <c r="AY215" s="10" t="str">
        <f t="shared" si="180"/>
        <v>-</v>
      </c>
      <c r="AZ215" s="9" t="str">
        <f t="shared" si="181"/>
        <v>-</v>
      </c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</row>
    <row r="216" spans="2:68" x14ac:dyDescent="0.3">
      <c r="B216" s="108" t="str">
        <f t="shared" si="165"/>
        <v/>
      </c>
      <c r="C216" s="108" t="str">
        <f t="shared" si="182"/>
        <v/>
      </c>
      <c r="D216" s="3"/>
      <c r="E216" s="3"/>
      <c r="F216" s="3"/>
      <c r="G216" s="20">
        <f>IFERROR(INDEX('Input - Supermarket'!F$2:F$200,MATCH('Calculations - Supermarket'!$C216,'Input - Supermarket'!$B$2:$B$200,0)),"")</f>
        <v>0</v>
      </c>
      <c r="H216" s="20">
        <f>IFERROR(INDEX('Input - Supermarket'!G$2:G$200,MATCH('Calculations - Supermarket'!$C216,'Input - Supermarket'!$B$2:$B$200,0)),"")</f>
        <v>0</v>
      </c>
      <c r="I216" s="21">
        <f>IFERROR(INDEX('Input - Supermarket'!H$2:H$200,MATCH('Calculations - Supermarket'!$C216,'Input - Supermarket'!$B$2:$B$200,0)),"")</f>
        <v>0</v>
      </c>
      <c r="J216" s="21">
        <f>IFERROR(INDEX('Input - Supermarket'!I$2:I$200,MATCH('Calculations - Supermarket'!$C216,'Input - Supermarket'!$B$2:$B$200,0)),"")</f>
        <v>0</v>
      </c>
      <c r="K216" s="20">
        <f>IFERROR(INDEX('Input - Supermarket'!J$2:J$200,MATCH('Calculations - Supermarket'!$C216,'Input - Supermarket'!$B$2:$B$200,0)),"")</f>
        <v>0</v>
      </c>
      <c r="L216" s="20">
        <f>IFERROR(INDEX('Input - Supermarket'!K$2:K$200,MATCH('Calculations - Supermarket'!$C216,'Input - Supermarket'!$B$2:$B$200,0)),"")</f>
        <v>0</v>
      </c>
      <c r="M216" s="21" t="str">
        <f t="shared" si="166"/>
        <v/>
      </c>
      <c r="N216" s="21" t="str">
        <f t="shared" si="183"/>
        <v/>
      </c>
      <c r="O216" s="21">
        <f t="shared" si="167"/>
        <v>0</v>
      </c>
      <c r="P216" s="9">
        <f t="shared" si="184"/>
        <v>0</v>
      </c>
      <c r="Q216" s="9">
        <f t="shared" si="185"/>
        <v>0</v>
      </c>
      <c r="R216" s="22" t="str">
        <f>IFERROR(INDEX(Supermarket!$Q$11:$Q$170,MATCH('Calculations - Supermarket'!$C216,Supermarket!$M$11:$M$170,0)),"")</f>
        <v/>
      </c>
      <c r="S216" s="22" t="str">
        <f>IFERROR(INDEX(Supermarket!$R$11:$R$170,MATCH('Calculations - Supermarket'!$C216,Supermarket!$M$11:$M$170,0)),"")</f>
        <v/>
      </c>
      <c r="T216" s="16" t="e">
        <f t="shared" si="186"/>
        <v>#VALUE!</v>
      </c>
      <c r="U216" s="16" t="e">
        <f t="shared" si="168"/>
        <v>#VALUE!</v>
      </c>
      <c r="V216" s="16" t="e">
        <f t="shared" si="169"/>
        <v>#VALUE!</v>
      </c>
      <c r="W216" s="10" t="str">
        <f t="shared" si="187"/>
        <v>-</v>
      </c>
      <c r="X216" s="10" t="str">
        <f t="shared" si="188"/>
        <v>-</v>
      </c>
      <c r="Y216" s="13" t="str">
        <f t="shared" si="170"/>
        <v>-</v>
      </c>
      <c r="Z216" s="9" t="str">
        <f t="shared" si="189"/>
        <v>-</v>
      </c>
      <c r="AA216" s="16" t="str">
        <f t="shared" si="171"/>
        <v>-</v>
      </c>
      <c r="AB216" s="16" t="str">
        <f t="shared" si="190"/>
        <v>-</v>
      </c>
      <c r="AC216" s="16" t="str">
        <f t="shared" si="191"/>
        <v>-</v>
      </c>
      <c r="AD216" s="16" t="str">
        <f t="shared" si="172"/>
        <v>-</v>
      </c>
      <c r="AE216" s="16"/>
      <c r="AF216" s="31" t="str">
        <f>IFERROR(INDEX(Supermarket!$P$11:$P$170,MATCH('Calculations - Supermarket'!C216,Supermarket!$M$11:$M$170,0)),"")</f>
        <v/>
      </c>
      <c r="AG216" s="23" t="str">
        <f t="shared" si="173"/>
        <v/>
      </c>
      <c r="AH216" s="23" t="str">
        <f t="shared" si="174"/>
        <v/>
      </c>
      <c r="AI216" s="9" t="str">
        <f t="shared" si="192"/>
        <v/>
      </c>
      <c r="AJ216" s="4" t="str">
        <f t="shared" si="193"/>
        <v/>
      </c>
      <c r="AK216" s="4"/>
      <c r="AL216" s="4"/>
      <c r="AM216" s="4"/>
      <c r="AN216" s="4"/>
      <c r="AO216" s="4"/>
      <c r="AP216" s="20" t="str">
        <f t="shared" si="194"/>
        <v>-</v>
      </c>
      <c r="AQ216" s="13" t="str">
        <f t="shared" si="175"/>
        <v>-</v>
      </c>
      <c r="AR216" s="13" t="str">
        <f t="shared" si="176"/>
        <v>-</v>
      </c>
      <c r="AS216" s="13" t="str">
        <f t="shared" si="195"/>
        <v>-</v>
      </c>
      <c r="AT216" s="16" t="str">
        <f t="shared" si="177"/>
        <v>-</v>
      </c>
      <c r="AU216" s="16" t="str">
        <f t="shared" si="196"/>
        <v>-</v>
      </c>
      <c r="AV216" s="16" t="str">
        <f t="shared" si="197"/>
        <v>-</v>
      </c>
      <c r="AW216" s="16" t="str">
        <f t="shared" si="178"/>
        <v>-</v>
      </c>
      <c r="AX216" s="13" t="str">
        <f t="shared" si="179"/>
        <v>-</v>
      </c>
      <c r="AY216" s="10" t="str">
        <f t="shared" si="180"/>
        <v>-</v>
      </c>
      <c r="AZ216" s="9" t="str">
        <f t="shared" si="181"/>
        <v>-</v>
      </c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</row>
    <row r="217" spans="2:68" x14ac:dyDescent="0.3">
      <c r="B217" s="108" t="str">
        <f t="shared" si="165"/>
        <v/>
      </c>
      <c r="C217" s="108" t="str">
        <f t="shared" si="182"/>
        <v/>
      </c>
      <c r="D217" s="3"/>
      <c r="E217" s="3"/>
      <c r="F217" s="3"/>
      <c r="G217" s="20">
        <f>IFERROR(INDEX('Input - Supermarket'!F$2:F$200,MATCH('Calculations - Supermarket'!$C217,'Input - Supermarket'!$B$2:$B$200,0)),"")</f>
        <v>0</v>
      </c>
      <c r="H217" s="20">
        <f>IFERROR(INDEX('Input - Supermarket'!G$2:G$200,MATCH('Calculations - Supermarket'!$C217,'Input - Supermarket'!$B$2:$B$200,0)),"")</f>
        <v>0</v>
      </c>
      <c r="I217" s="21">
        <f>IFERROR(INDEX('Input - Supermarket'!H$2:H$200,MATCH('Calculations - Supermarket'!$C217,'Input - Supermarket'!$B$2:$B$200,0)),"")</f>
        <v>0</v>
      </c>
      <c r="J217" s="21">
        <f>IFERROR(INDEX('Input - Supermarket'!I$2:I$200,MATCH('Calculations - Supermarket'!$C217,'Input - Supermarket'!$B$2:$B$200,0)),"")</f>
        <v>0</v>
      </c>
      <c r="K217" s="20">
        <f>IFERROR(INDEX('Input - Supermarket'!J$2:J$200,MATCH('Calculations - Supermarket'!$C217,'Input - Supermarket'!$B$2:$B$200,0)),"")</f>
        <v>0</v>
      </c>
      <c r="L217" s="20">
        <f>IFERROR(INDEX('Input - Supermarket'!K$2:K$200,MATCH('Calculations - Supermarket'!$C217,'Input - Supermarket'!$B$2:$B$200,0)),"")</f>
        <v>0</v>
      </c>
      <c r="M217" s="21" t="str">
        <f t="shared" si="166"/>
        <v/>
      </c>
      <c r="N217" s="21" t="str">
        <f t="shared" si="183"/>
        <v/>
      </c>
      <c r="O217" s="21">
        <f t="shared" si="167"/>
        <v>0</v>
      </c>
      <c r="P217" s="9">
        <f t="shared" si="184"/>
        <v>0</v>
      </c>
      <c r="Q217" s="9">
        <f t="shared" si="185"/>
        <v>0</v>
      </c>
      <c r="R217" s="22" t="str">
        <f>IFERROR(INDEX(Supermarket!$Q$11:$Q$170,MATCH('Calculations - Supermarket'!$C217,Supermarket!$M$11:$M$170,0)),"")</f>
        <v/>
      </c>
      <c r="S217" s="22" t="str">
        <f>IFERROR(INDEX(Supermarket!$R$11:$R$170,MATCH('Calculations - Supermarket'!$C217,Supermarket!$M$11:$M$170,0)),"")</f>
        <v/>
      </c>
      <c r="T217" s="16" t="e">
        <f t="shared" si="186"/>
        <v>#VALUE!</v>
      </c>
      <c r="U217" s="16" t="e">
        <f t="shared" si="168"/>
        <v>#VALUE!</v>
      </c>
      <c r="V217" s="16" t="e">
        <f t="shared" si="169"/>
        <v>#VALUE!</v>
      </c>
      <c r="W217" s="10" t="str">
        <f t="shared" si="187"/>
        <v>-</v>
      </c>
      <c r="X217" s="10" t="str">
        <f t="shared" si="188"/>
        <v>-</v>
      </c>
      <c r="Y217" s="13" t="str">
        <f t="shared" si="170"/>
        <v>-</v>
      </c>
      <c r="Z217" s="9" t="str">
        <f t="shared" si="189"/>
        <v>-</v>
      </c>
      <c r="AA217" s="16" t="str">
        <f t="shared" si="171"/>
        <v>-</v>
      </c>
      <c r="AB217" s="16" t="str">
        <f t="shared" si="190"/>
        <v>-</v>
      </c>
      <c r="AC217" s="16" t="str">
        <f t="shared" si="191"/>
        <v>-</v>
      </c>
      <c r="AD217" s="16" t="str">
        <f t="shared" si="172"/>
        <v>-</v>
      </c>
      <c r="AE217" s="16"/>
      <c r="AF217" s="31" t="str">
        <f>IFERROR(INDEX(Supermarket!$P$11:$P$170,MATCH('Calculations - Supermarket'!C217,Supermarket!$M$11:$M$170,0)),"")</f>
        <v/>
      </c>
      <c r="AG217" s="23" t="str">
        <f t="shared" si="173"/>
        <v/>
      </c>
      <c r="AH217" s="23" t="str">
        <f t="shared" si="174"/>
        <v/>
      </c>
      <c r="AI217" s="9" t="str">
        <f t="shared" si="192"/>
        <v/>
      </c>
      <c r="AJ217" s="4" t="str">
        <f t="shared" si="193"/>
        <v/>
      </c>
      <c r="AK217" s="4"/>
      <c r="AL217" s="4"/>
      <c r="AM217" s="4"/>
      <c r="AN217" s="4"/>
      <c r="AO217" s="4"/>
      <c r="AP217" s="20" t="str">
        <f t="shared" si="194"/>
        <v>-</v>
      </c>
      <c r="AQ217" s="13" t="str">
        <f t="shared" si="175"/>
        <v>-</v>
      </c>
      <c r="AR217" s="13" t="str">
        <f t="shared" si="176"/>
        <v>-</v>
      </c>
      <c r="AS217" s="13" t="str">
        <f t="shared" si="195"/>
        <v>-</v>
      </c>
      <c r="AT217" s="16" t="str">
        <f t="shared" si="177"/>
        <v>-</v>
      </c>
      <c r="AU217" s="16" t="str">
        <f t="shared" si="196"/>
        <v>-</v>
      </c>
      <c r="AV217" s="16" t="str">
        <f t="shared" si="197"/>
        <v>-</v>
      </c>
      <c r="AW217" s="16" t="str">
        <f t="shared" si="178"/>
        <v>-</v>
      </c>
      <c r="AX217" s="13" t="str">
        <f t="shared" si="179"/>
        <v>-</v>
      </c>
      <c r="AY217" s="10" t="str">
        <f t="shared" si="180"/>
        <v>-</v>
      </c>
      <c r="AZ217" s="9" t="str">
        <f t="shared" si="181"/>
        <v>-</v>
      </c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</row>
    <row r="218" spans="2:68" x14ac:dyDescent="0.3">
      <c r="B218" s="108" t="str">
        <f t="shared" si="165"/>
        <v/>
      </c>
      <c r="C218" s="108" t="str">
        <f t="shared" si="182"/>
        <v/>
      </c>
      <c r="D218" s="3"/>
      <c r="E218" s="3"/>
      <c r="F218" s="3"/>
      <c r="G218" s="20">
        <f>IFERROR(INDEX('Input - Supermarket'!F$2:F$200,MATCH('Calculations - Supermarket'!$C218,'Input - Supermarket'!$B$2:$B$200,0)),"")</f>
        <v>0</v>
      </c>
      <c r="H218" s="20">
        <f>IFERROR(INDEX('Input - Supermarket'!G$2:G$200,MATCH('Calculations - Supermarket'!$C218,'Input - Supermarket'!$B$2:$B$200,0)),"")</f>
        <v>0</v>
      </c>
      <c r="I218" s="21">
        <f>IFERROR(INDEX('Input - Supermarket'!H$2:H$200,MATCH('Calculations - Supermarket'!$C218,'Input - Supermarket'!$B$2:$B$200,0)),"")</f>
        <v>0</v>
      </c>
      <c r="J218" s="21">
        <f>IFERROR(INDEX('Input - Supermarket'!I$2:I$200,MATCH('Calculations - Supermarket'!$C218,'Input - Supermarket'!$B$2:$B$200,0)),"")</f>
        <v>0</v>
      </c>
      <c r="K218" s="20">
        <f>IFERROR(INDEX('Input - Supermarket'!J$2:J$200,MATCH('Calculations - Supermarket'!$C218,'Input - Supermarket'!$B$2:$B$200,0)),"")</f>
        <v>0</v>
      </c>
      <c r="L218" s="20">
        <f>IFERROR(INDEX('Input - Supermarket'!K$2:K$200,MATCH('Calculations - Supermarket'!$C218,'Input - Supermarket'!$B$2:$B$200,0)),"")</f>
        <v>0</v>
      </c>
      <c r="M218" s="21" t="str">
        <f t="shared" si="166"/>
        <v/>
      </c>
      <c r="N218" s="21" t="str">
        <f t="shared" si="183"/>
        <v/>
      </c>
      <c r="O218" s="21">
        <f t="shared" si="167"/>
        <v>0</v>
      </c>
      <c r="P218" s="9">
        <f t="shared" si="184"/>
        <v>0</v>
      </c>
      <c r="Q218" s="9">
        <f t="shared" si="185"/>
        <v>0</v>
      </c>
      <c r="R218" s="22" t="str">
        <f>IFERROR(INDEX(Supermarket!$Q$11:$Q$170,MATCH('Calculations - Supermarket'!$C218,Supermarket!$M$11:$M$170,0)),"")</f>
        <v/>
      </c>
      <c r="S218" s="22" t="str">
        <f>IFERROR(INDEX(Supermarket!$R$11:$R$170,MATCH('Calculations - Supermarket'!$C218,Supermarket!$M$11:$M$170,0)),"")</f>
        <v/>
      </c>
      <c r="T218" s="16" t="e">
        <f t="shared" si="186"/>
        <v>#VALUE!</v>
      </c>
      <c r="U218" s="16" t="e">
        <f t="shared" si="168"/>
        <v>#VALUE!</v>
      </c>
      <c r="V218" s="16" t="e">
        <f t="shared" si="169"/>
        <v>#VALUE!</v>
      </c>
      <c r="W218" s="10" t="str">
        <f t="shared" si="187"/>
        <v>-</v>
      </c>
      <c r="X218" s="10" t="str">
        <f t="shared" si="188"/>
        <v>-</v>
      </c>
      <c r="Y218" s="13" t="str">
        <f t="shared" si="170"/>
        <v>-</v>
      </c>
      <c r="Z218" s="9" t="str">
        <f t="shared" si="189"/>
        <v>-</v>
      </c>
      <c r="AA218" s="16" t="str">
        <f t="shared" si="171"/>
        <v>-</v>
      </c>
      <c r="AB218" s="16" t="str">
        <f t="shared" si="190"/>
        <v>-</v>
      </c>
      <c r="AC218" s="16" t="str">
        <f t="shared" si="191"/>
        <v>-</v>
      </c>
      <c r="AD218" s="16" t="str">
        <f t="shared" si="172"/>
        <v>-</v>
      </c>
      <c r="AE218" s="16"/>
      <c r="AF218" s="31" t="str">
        <f>IFERROR(INDEX(Supermarket!$P$11:$P$170,MATCH('Calculations - Supermarket'!C218,Supermarket!$M$11:$M$170,0)),"")</f>
        <v/>
      </c>
      <c r="AG218" s="23" t="str">
        <f t="shared" si="173"/>
        <v/>
      </c>
      <c r="AH218" s="23" t="str">
        <f t="shared" si="174"/>
        <v/>
      </c>
      <c r="AI218" s="9" t="str">
        <f t="shared" si="192"/>
        <v/>
      </c>
      <c r="AJ218" s="4" t="str">
        <f t="shared" si="193"/>
        <v/>
      </c>
      <c r="AK218" s="4"/>
      <c r="AL218" s="4"/>
      <c r="AM218" s="4"/>
      <c r="AN218" s="4"/>
      <c r="AO218" s="4"/>
      <c r="AP218" s="20" t="str">
        <f t="shared" si="194"/>
        <v>-</v>
      </c>
      <c r="AQ218" s="13" t="str">
        <f t="shared" si="175"/>
        <v>-</v>
      </c>
      <c r="AR218" s="13" t="str">
        <f t="shared" si="176"/>
        <v>-</v>
      </c>
      <c r="AS218" s="13" t="str">
        <f t="shared" si="195"/>
        <v>-</v>
      </c>
      <c r="AT218" s="16" t="str">
        <f t="shared" si="177"/>
        <v>-</v>
      </c>
      <c r="AU218" s="16" t="str">
        <f t="shared" si="196"/>
        <v>-</v>
      </c>
      <c r="AV218" s="16" t="str">
        <f t="shared" si="197"/>
        <v>-</v>
      </c>
      <c r="AW218" s="16" t="str">
        <f t="shared" si="178"/>
        <v>-</v>
      </c>
      <c r="AX218" s="13" t="str">
        <f t="shared" si="179"/>
        <v>-</v>
      </c>
      <c r="AY218" s="10" t="str">
        <f t="shared" si="180"/>
        <v>-</v>
      </c>
      <c r="AZ218" s="9" t="str">
        <f t="shared" si="181"/>
        <v>-</v>
      </c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</row>
    <row r="219" spans="2:68" x14ac:dyDescent="0.3">
      <c r="B219" s="108" t="str">
        <f t="shared" si="165"/>
        <v/>
      </c>
      <c r="C219" s="108" t="str">
        <f t="shared" si="182"/>
        <v/>
      </c>
      <c r="D219" s="3"/>
      <c r="E219" s="3"/>
      <c r="F219" s="3"/>
      <c r="G219" s="20">
        <f>IFERROR(INDEX('Input - Supermarket'!F$2:F$200,MATCH('Calculations - Supermarket'!$C219,'Input - Supermarket'!$B$2:$B$200,0)),"")</f>
        <v>0</v>
      </c>
      <c r="H219" s="20">
        <f>IFERROR(INDEX('Input - Supermarket'!G$2:G$200,MATCH('Calculations - Supermarket'!$C219,'Input - Supermarket'!$B$2:$B$200,0)),"")</f>
        <v>0</v>
      </c>
      <c r="I219" s="21">
        <f>IFERROR(INDEX('Input - Supermarket'!H$2:H$200,MATCH('Calculations - Supermarket'!$C219,'Input - Supermarket'!$B$2:$B$200,0)),"")</f>
        <v>0</v>
      </c>
      <c r="J219" s="21">
        <f>IFERROR(INDEX('Input - Supermarket'!I$2:I$200,MATCH('Calculations - Supermarket'!$C219,'Input - Supermarket'!$B$2:$B$200,0)),"")</f>
        <v>0</v>
      </c>
      <c r="K219" s="20">
        <f>IFERROR(INDEX('Input - Supermarket'!J$2:J$200,MATCH('Calculations - Supermarket'!$C219,'Input - Supermarket'!$B$2:$B$200,0)),"")</f>
        <v>0</v>
      </c>
      <c r="L219" s="20">
        <f>IFERROR(INDEX('Input - Supermarket'!K$2:K$200,MATCH('Calculations - Supermarket'!$C219,'Input - Supermarket'!$B$2:$B$200,0)),"")</f>
        <v>0</v>
      </c>
      <c r="M219" s="21" t="str">
        <f t="shared" si="166"/>
        <v/>
      </c>
      <c r="N219" s="21" t="str">
        <f t="shared" si="183"/>
        <v/>
      </c>
      <c r="O219" s="21">
        <f t="shared" si="167"/>
        <v>0</v>
      </c>
      <c r="P219" s="9">
        <f t="shared" si="184"/>
        <v>0</v>
      </c>
      <c r="Q219" s="9">
        <f t="shared" si="185"/>
        <v>0</v>
      </c>
      <c r="R219" s="22" t="str">
        <f>IFERROR(INDEX(Supermarket!$Q$11:$Q$170,MATCH('Calculations - Supermarket'!$C219,Supermarket!$M$11:$M$170,0)),"")</f>
        <v/>
      </c>
      <c r="S219" s="22" t="str">
        <f>IFERROR(INDEX(Supermarket!$R$11:$R$170,MATCH('Calculations - Supermarket'!$C219,Supermarket!$M$11:$M$170,0)),"")</f>
        <v/>
      </c>
      <c r="T219" s="16" t="e">
        <f t="shared" si="186"/>
        <v>#VALUE!</v>
      </c>
      <c r="U219" s="16" t="e">
        <f t="shared" si="168"/>
        <v>#VALUE!</v>
      </c>
      <c r="V219" s="16" t="e">
        <f t="shared" si="169"/>
        <v>#VALUE!</v>
      </c>
      <c r="W219" s="10" t="str">
        <f t="shared" si="187"/>
        <v>-</v>
      </c>
      <c r="X219" s="10" t="str">
        <f t="shared" si="188"/>
        <v>-</v>
      </c>
      <c r="Y219" s="13" t="str">
        <f t="shared" si="170"/>
        <v>-</v>
      </c>
      <c r="Z219" s="9" t="str">
        <f t="shared" si="189"/>
        <v>-</v>
      </c>
      <c r="AA219" s="16" t="str">
        <f t="shared" si="171"/>
        <v>-</v>
      </c>
      <c r="AB219" s="16" t="str">
        <f t="shared" si="190"/>
        <v>-</v>
      </c>
      <c r="AC219" s="16" t="str">
        <f t="shared" si="191"/>
        <v>-</v>
      </c>
      <c r="AD219" s="16" t="str">
        <f t="shared" si="172"/>
        <v>-</v>
      </c>
      <c r="AE219" s="16"/>
      <c r="AF219" s="31" t="str">
        <f>IFERROR(INDEX(Supermarket!$P$11:$P$170,MATCH('Calculations - Supermarket'!C219,Supermarket!$M$11:$M$170,0)),"")</f>
        <v/>
      </c>
      <c r="AG219" s="23" t="str">
        <f t="shared" si="173"/>
        <v/>
      </c>
      <c r="AH219" s="23" t="str">
        <f t="shared" si="174"/>
        <v/>
      </c>
      <c r="AI219" s="9" t="str">
        <f t="shared" si="192"/>
        <v/>
      </c>
      <c r="AJ219" s="4" t="str">
        <f t="shared" si="193"/>
        <v/>
      </c>
      <c r="AK219" s="4"/>
      <c r="AL219" s="4"/>
      <c r="AM219" s="4"/>
      <c r="AN219" s="4"/>
      <c r="AO219" s="4"/>
      <c r="AP219" s="20" t="str">
        <f t="shared" si="194"/>
        <v>-</v>
      </c>
      <c r="AQ219" s="13" t="str">
        <f t="shared" si="175"/>
        <v>-</v>
      </c>
      <c r="AR219" s="13" t="str">
        <f t="shared" si="176"/>
        <v>-</v>
      </c>
      <c r="AS219" s="13" t="str">
        <f t="shared" si="195"/>
        <v>-</v>
      </c>
      <c r="AT219" s="16" t="str">
        <f t="shared" si="177"/>
        <v>-</v>
      </c>
      <c r="AU219" s="16" t="str">
        <f t="shared" si="196"/>
        <v>-</v>
      </c>
      <c r="AV219" s="16" t="str">
        <f t="shared" si="197"/>
        <v>-</v>
      </c>
      <c r="AW219" s="16" t="str">
        <f t="shared" si="178"/>
        <v>-</v>
      </c>
      <c r="AX219" s="13" t="str">
        <f t="shared" si="179"/>
        <v>-</v>
      </c>
      <c r="AY219" s="10" t="str">
        <f t="shared" si="180"/>
        <v>-</v>
      </c>
      <c r="AZ219" s="9" t="str">
        <f t="shared" si="181"/>
        <v>-</v>
      </c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</row>
    <row r="220" spans="2:68" x14ac:dyDescent="0.3">
      <c r="B220" s="108" t="str">
        <f t="shared" si="165"/>
        <v/>
      </c>
      <c r="C220" s="108" t="str">
        <f t="shared" si="182"/>
        <v/>
      </c>
      <c r="D220" s="3"/>
      <c r="E220" s="3"/>
      <c r="F220" s="3"/>
      <c r="G220" s="20">
        <f>IFERROR(INDEX('Input - Supermarket'!F$2:F$200,MATCH('Calculations - Supermarket'!$C220,'Input - Supermarket'!$B$2:$B$200,0)),"")</f>
        <v>0</v>
      </c>
      <c r="H220" s="20">
        <f>IFERROR(INDEX('Input - Supermarket'!G$2:G$200,MATCH('Calculations - Supermarket'!$C220,'Input - Supermarket'!$B$2:$B$200,0)),"")</f>
        <v>0</v>
      </c>
      <c r="I220" s="21">
        <f>IFERROR(INDEX('Input - Supermarket'!H$2:H$200,MATCH('Calculations - Supermarket'!$C220,'Input - Supermarket'!$B$2:$B$200,0)),"")</f>
        <v>0</v>
      </c>
      <c r="J220" s="21">
        <f>IFERROR(INDEX('Input - Supermarket'!I$2:I$200,MATCH('Calculations - Supermarket'!$C220,'Input - Supermarket'!$B$2:$B$200,0)),"")</f>
        <v>0</v>
      </c>
      <c r="K220" s="20">
        <f>IFERROR(INDEX('Input - Supermarket'!J$2:J$200,MATCH('Calculations - Supermarket'!$C220,'Input - Supermarket'!$B$2:$B$200,0)),"")</f>
        <v>0</v>
      </c>
      <c r="L220" s="20">
        <f>IFERROR(INDEX('Input - Supermarket'!K$2:K$200,MATCH('Calculations - Supermarket'!$C220,'Input - Supermarket'!$B$2:$B$200,0)),"")</f>
        <v>0</v>
      </c>
      <c r="M220" s="21" t="str">
        <f t="shared" si="166"/>
        <v/>
      </c>
      <c r="N220" s="21" t="str">
        <f t="shared" si="183"/>
        <v/>
      </c>
      <c r="O220" s="21">
        <f t="shared" si="167"/>
        <v>0</v>
      </c>
      <c r="P220" s="9">
        <f t="shared" si="184"/>
        <v>0</v>
      </c>
      <c r="Q220" s="9">
        <f t="shared" si="185"/>
        <v>0</v>
      </c>
      <c r="R220" s="22" t="str">
        <f>IFERROR(INDEX(Supermarket!$Q$11:$Q$170,MATCH('Calculations - Supermarket'!$C220,Supermarket!$M$11:$M$170,0)),"")</f>
        <v/>
      </c>
      <c r="S220" s="22" t="str">
        <f>IFERROR(INDEX(Supermarket!$R$11:$R$170,MATCH('Calculations - Supermarket'!$C220,Supermarket!$M$11:$M$170,0)),"")</f>
        <v/>
      </c>
      <c r="T220" s="16" t="e">
        <f t="shared" si="186"/>
        <v>#VALUE!</v>
      </c>
      <c r="U220" s="16" t="e">
        <f t="shared" si="168"/>
        <v>#VALUE!</v>
      </c>
      <c r="V220" s="16" t="e">
        <f t="shared" si="169"/>
        <v>#VALUE!</v>
      </c>
      <c r="W220" s="10" t="str">
        <f t="shared" si="187"/>
        <v>-</v>
      </c>
      <c r="X220" s="10" t="str">
        <f t="shared" si="188"/>
        <v>-</v>
      </c>
      <c r="Y220" s="13" t="str">
        <f t="shared" si="170"/>
        <v>-</v>
      </c>
      <c r="Z220" s="9" t="str">
        <f t="shared" si="189"/>
        <v>-</v>
      </c>
      <c r="AA220" s="16" t="str">
        <f t="shared" si="171"/>
        <v>-</v>
      </c>
      <c r="AB220" s="16" t="str">
        <f t="shared" si="190"/>
        <v>-</v>
      </c>
      <c r="AC220" s="16" t="str">
        <f t="shared" si="191"/>
        <v>-</v>
      </c>
      <c r="AD220" s="16" t="str">
        <f t="shared" si="172"/>
        <v>-</v>
      </c>
      <c r="AE220" s="16"/>
      <c r="AF220" s="31" t="str">
        <f>IFERROR(INDEX(Supermarket!$P$11:$P$170,MATCH('Calculations - Supermarket'!C220,Supermarket!$M$11:$M$170,0)),"")</f>
        <v/>
      </c>
      <c r="AG220" s="23" t="str">
        <f t="shared" si="173"/>
        <v/>
      </c>
      <c r="AH220" s="23" t="str">
        <f t="shared" si="174"/>
        <v/>
      </c>
      <c r="AI220" s="9" t="str">
        <f t="shared" si="192"/>
        <v/>
      </c>
      <c r="AJ220" s="4" t="str">
        <f t="shared" si="193"/>
        <v/>
      </c>
      <c r="AK220" s="4"/>
      <c r="AL220" s="4"/>
      <c r="AM220" s="4"/>
      <c r="AN220" s="4"/>
      <c r="AO220" s="4"/>
      <c r="AP220" s="20" t="str">
        <f t="shared" si="194"/>
        <v>-</v>
      </c>
      <c r="AQ220" s="13" t="str">
        <f t="shared" si="175"/>
        <v>-</v>
      </c>
      <c r="AR220" s="13" t="str">
        <f t="shared" si="176"/>
        <v>-</v>
      </c>
      <c r="AS220" s="13" t="str">
        <f t="shared" si="195"/>
        <v>-</v>
      </c>
      <c r="AT220" s="16" t="str">
        <f t="shared" si="177"/>
        <v>-</v>
      </c>
      <c r="AU220" s="16" t="str">
        <f t="shared" si="196"/>
        <v>-</v>
      </c>
      <c r="AV220" s="16" t="str">
        <f t="shared" si="197"/>
        <v>-</v>
      </c>
      <c r="AW220" s="16" t="str">
        <f t="shared" si="178"/>
        <v>-</v>
      </c>
      <c r="AX220" s="13" t="str">
        <f t="shared" si="179"/>
        <v>-</v>
      </c>
      <c r="AY220" s="10" t="str">
        <f t="shared" si="180"/>
        <v>-</v>
      </c>
      <c r="AZ220" s="9" t="str">
        <f t="shared" si="181"/>
        <v>-</v>
      </c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</row>
    <row r="221" spans="2:68" x14ac:dyDescent="0.3">
      <c r="B221" s="108" t="str">
        <f t="shared" si="165"/>
        <v/>
      </c>
      <c r="C221" s="108" t="str">
        <f t="shared" si="182"/>
        <v/>
      </c>
      <c r="D221" s="3"/>
      <c r="E221" s="3"/>
      <c r="F221" s="3"/>
      <c r="G221" s="20">
        <f>IFERROR(INDEX('Input - Supermarket'!F$2:F$200,MATCH('Calculations - Supermarket'!$C221,'Input - Supermarket'!$B$2:$B$200,0)),"")</f>
        <v>0</v>
      </c>
      <c r="H221" s="20">
        <f>IFERROR(INDEX('Input - Supermarket'!G$2:G$200,MATCH('Calculations - Supermarket'!$C221,'Input - Supermarket'!$B$2:$B$200,0)),"")</f>
        <v>0</v>
      </c>
      <c r="I221" s="21">
        <f>IFERROR(INDEX('Input - Supermarket'!H$2:H$200,MATCH('Calculations - Supermarket'!$C221,'Input - Supermarket'!$B$2:$B$200,0)),"")</f>
        <v>0</v>
      </c>
      <c r="J221" s="21">
        <f>IFERROR(INDEX('Input - Supermarket'!I$2:I$200,MATCH('Calculations - Supermarket'!$C221,'Input - Supermarket'!$B$2:$B$200,0)),"")</f>
        <v>0</v>
      </c>
      <c r="K221" s="20">
        <f>IFERROR(INDEX('Input - Supermarket'!J$2:J$200,MATCH('Calculations - Supermarket'!$C221,'Input - Supermarket'!$B$2:$B$200,0)),"")</f>
        <v>0</v>
      </c>
      <c r="L221" s="20">
        <f>IFERROR(INDEX('Input - Supermarket'!K$2:K$200,MATCH('Calculations - Supermarket'!$C221,'Input - Supermarket'!$B$2:$B$200,0)),"")</f>
        <v>0</v>
      </c>
      <c r="M221" s="21" t="str">
        <f t="shared" si="166"/>
        <v/>
      </c>
      <c r="N221" s="21" t="str">
        <f t="shared" si="183"/>
        <v/>
      </c>
      <c r="O221" s="21">
        <f t="shared" si="167"/>
        <v>0</v>
      </c>
      <c r="P221" s="9">
        <f t="shared" si="184"/>
        <v>0</v>
      </c>
      <c r="Q221" s="9">
        <f t="shared" si="185"/>
        <v>0</v>
      </c>
      <c r="R221" s="22" t="str">
        <f>IFERROR(INDEX(Supermarket!$Q$11:$Q$170,MATCH('Calculations - Supermarket'!$C221,Supermarket!$M$11:$M$170,0)),"")</f>
        <v/>
      </c>
      <c r="S221" s="22" t="str">
        <f>IFERROR(INDEX(Supermarket!$R$11:$R$170,MATCH('Calculations - Supermarket'!$C221,Supermarket!$M$11:$M$170,0)),"")</f>
        <v/>
      </c>
      <c r="T221" s="16" t="e">
        <f t="shared" si="186"/>
        <v>#VALUE!</v>
      </c>
      <c r="U221" s="16" t="e">
        <f t="shared" si="168"/>
        <v>#VALUE!</v>
      </c>
      <c r="V221" s="16" t="e">
        <f t="shared" si="169"/>
        <v>#VALUE!</v>
      </c>
      <c r="W221" s="10" t="str">
        <f t="shared" si="187"/>
        <v>-</v>
      </c>
      <c r="X221" s="10" t="str">
        <f t="shared" si="188"/>
        <v>-</v>
      </c>
      <c r="Y221" s="13" t="str">
        <f t="shared" si="170"/>
        <v>-</v>
      </c>
      <c r="Z221" s="9" t="str">
        <f t="shared" si="189"/>
        <v>-</v>
      </c>
      <c r="AA221" s="16" t="str">
        <f t="shared" si="171"/>
        <v>-</v>
      </c>
      <c r="AB221" s="16" t="str">
        <f t="shared" si="190"/>
        <v>-</v>
      </c>
      <c r="AC221" s="16" t="str">
        <f t="shared" si="191"/>
        <v>-</v>
      </c>
      <c r="AD221" s="16" t="str">
        <f t="shared" si="172"/>
        <v>-</v>
      </c>
      <c r="AE221" s="16"/>
      <c r="AF221" s="31" t="str">
        <f>IFERROR(INDEX(Supermarket!$P$11:$P$170,MATCH('Calculations - Supermarket'!C221,Supermarket!$M$11:$M$170,0)),"")</f>
        <v/>
      </c>
      <c r="AG221" s="23" t="str">
        <f t="shared" si="173"/>
        <v/>
      </c>
      <c r="AH221" s="23" t="str">
        <f t="shared" si="174"/>
        <v/>
      </c>
      <c r="AI221" s="9" t="str">
        <f t="shared" si="192"/>
        <v/>
      </c>
      <c r="AJ221" s="4" t="str">
        <f t="shared" si="193"/>
        <v/>
      </c>
      <c r="AK221" s="4"/>
      <c r="AL221" s="4"/>
      <c r="AM221" s="4"/>
      <c r="AN221" s="4"/>
      <c r="AO221" s="4"/>
      <c r="AP221" s="20" t="str">
        <f t="shared" si="194"/>
        <v>-</v>
      </c>
      <c r="AQ221" s="13" t="str">
        <f t="shared" si="175"/>
        <v>-</v>
      </c>
      <c r="AR221" s="13" t="str">
        <f t="shared" si="176"/>
        <v>-</v>
      </c>
      <c r="AS221" s="13" t="str">
        <f t="shared" si="195"/>
        <v>-</v>
      </c>
      <c r="AT221" s="16" t="str">
        <f t="shared" si="177"/>
        <v>-</v>
      </c>
      <c r="AU221" s="16" t="str">
        <f t="shared" si="196"/>
        <v>-</v>
      </c>
      <c r="AV221" s="16" t="str">
        <f t="shared" si="197"/>
        <v>-</v>
      </c>
      <c r="AW221" s="16" t="str">
        <f t="shared" si="178"/>
        <v>-</v>
      </c>
      <c r="AX221" s="13" t="str">
        <f t="shared" si="179"/>
        <v>-</v>
      </c>
      <c r="AY221" s="10" t="str">
        <f t="shared" si="180"/>
        <v>-</v>
      </c>
      <c r="AZ221" s="9" t="str">
        <f t="shared" si="181"/>
        <v>-</v>
      </c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</row>
    <row r="222" spans="2:68" x14ac:dyDescent="0.3">
      <c r="B222" s="108" t="str">
        <f t="shared" si="165"/>
        <v/>
      </c>
      <c r="C222" s="108" t="str">
        <f t="shared" si="182"/>
        <v/>
      </c>
      <c r="D222" s="3"/>
      <c r="E222" s="3"/>
      <c r="F222" s="3"/>
      <c r="G222" s="20">
        <f>IFERROR(INDEX('Input - Supermarket'!F$2:F$200,MATCH('Calculations - Supermarket'!$C222,'Input - Supermarket'!$B$2:$B$200,0)),"")</f>
        <v>0</v>
      </c>
      <c r="H222" s="20">
        <f>IFERROR(INDEX('Input - Supermarket'!G$2:G$200,MATCH('Calculations - Supermarket'!$C222,'Input - Supermarket'!$B$2:$B$200,0)),"")</f>
        <v>0</v>
      </c>
      <c r="I222" s="21">
        <f>IFERROR(INDEX('Input - Supermarket'!H$2:H$200,MATCH('Calculations - Supermarket'!$C222,'Input - Supermarket'!$B$2:$B$200,0)),"")</f>
        <v>0</v>
      </c>
      <c r="J222" s="21">
        <f>IFERROR(INDEX('Input - Supermarket'!I$2:I$200,MATCH('Calculations - Supermarket'!$C222,'Input - Supermarket'!$B$2:$B$200,0)),"")</f>
        <v>0</v>
      </c>
      <c r="K222" s="20">
        <f>IFERROR(INDEX('Input - Supermarket'!J$2:J$200,MATCH('Calculations - Supermarket'!$C222,'Input - Supermarket'!$B$2:$B$200,0)),"")</f>
        <v>0</v>
      </c>
      <c r="L222" s="20">
        <f>IFERROR(INDEX('Input - Supermarket'!K$2:K$200,MATCH('Calculations - Supermarket'!$C222,'Input - Supermarket'!$B$2:$B$200,0)),"")</f>
        <v>0</v>
      </c>
      <c r="M222" s="21" t="str">
        <f t="shared" si="166"/>
        <v/>
      </c>
      <c r="N222" s="21" t="str">
        <f t="shared" si="183"/>
        <v/>
      </c>
      <c r="O222" s="21">
        <f t="shared" si="167"/>
        <v>0</v>
      </c>
      <c r="P222" s="9">
        <f t="shared" si="184"/>
        <v>0</v>
      </c>
      <c r="Q222" s="9">
        <f t="shared" si="185"/>
        <v>0</v>
      </c>
      <c r="R222" s="22" t="str">
        <f>IFERROR(INDEX(Supermarket!$Q$11:$Q$170,MATCH('Calculations - Supermarket'!$C222,Supermarket!$M$11:$M$170,0)),"")</f>
        <v/>
      </c>
      <c r="S222" s="22" t="str">
        <f>IFERROR(INDEX(Supermarket!$R$11:$R$170,MATCH('Calculations - Supermarket'!$C222,Supermarket!$M$11:$M$170,0)),"")</f>
        <v/>
      </c>
      <c r="T222" s="16" t="e">
        <f t="shared" si="186"/>
        <v>#VALUE!</v>
      </c>
      <c r="U222" s="16" t="e">
        <f t="shared" si="168"/>
        <v>#VALUE!</v>
      </c>
      <c r="V222" s="16" t="e">
        <f t="shared" si="169"/>
        <v>#VALUE!</v>
      </c>
      <c r="W222" s="10" t="str">
        <f t="shared" si="187"/>
        <v>-</v>
      </c>
      <c r="X222" s="10" t="str">
        <f t="shared" si="188"/>
        <v>-</v>
      </c>
      <c r="Y222" s="13" t="str">
        <f t="shared" si="170"/>
        <v>-</v>
      </c>
      <c r="Z222" s="9" t="str">
        <f t="shared" si="189"/>
        <v>-</v>
      </c>
      <c r="AA222" s="16" t="str">
        <f t="shared" si="171"/>
        <v>-</v>
      </c>
      <c r="AB222" s="16" t="str">
        <f t="shared" si="190"/>
        <v>-</v>
      </c>
      <c r="AC222" s="16" t="str">
        <f t="shared" si="191"/>
        <v>-</v>
      </c>
      <c r="AD222" s="16" t="str">
        <f t="shared" si="172"/>
        <v>-</v>
      </c>
      <c r="AE222" s="16"/>
      <c r="AF222" s="31" t="str">
        <f>IFERROR(INDEX(Supermarket!$P$11:$P$170,MATCH('Calculations - Supermarket'!C222,Supermarket!$M$11:$M$170,0)),"")</f>
        <v/>
      </c>
      <c r="AG222" s="23" t="str">
        <f t="shared" si="173"/>
        <v/>
      </c>
      <c r="AH222" s="23" t="str">
        <f t="shared" si="174"/>
        <v/>
      </c>
      <c r="AI222" s="9" t="str">
        <f t="shared" si="192"/>
        <v/>
      </c>
      <c r="AJ222" s="4" t="str">
        <f t="shared" si="193"/>
        <v/>
      </c>
      <c r="AK222" s="4"/>
      <c r="AL222" s="4"/>
      <c r="AM222" s="4"/>
      <c r="AN222" s="4"/>
      <c r="AO222" s="4"/>
      <c r="AP222" s="20" t="str">
        <f t="shared" si="194"/>
        <v>-</v>
      </c>
      <c r="AQ222" s="13" t="str">
        <f t="shared" si="175"/>
        <v>-</v>
      </c>
      <c r="AR222" s="13" t="str">
        <f t="shared" si="176"/>
        <v>-</v>
      </c>
      <c r="AS222" s="13" t="str">
        <f t="shared" si="195"/>
        <v>-</v>
      </c>
      <c r="AT222" s="16" t="str">
        <f t="shared" si="177"/>
        <v>-</v>
      </c>
      <c r="AU222" s="16" t="str">
        <f t="shared" si="196"/>
        <v>-</v>
      </c>
      <c r="AV222" s="16" t="str">
        <f t="shared" si="197"/>
        <v>-</v>
      </c>
      <c r="AW222" s="16" t="str">
        <f t="shared" si="178"/>
        <v>-</v>
      </c>
      <c r="AX222" s="13" t="str">
        <f t="shared" si="179"/>
        <v>-</v>
      </c>
      <c r="AY222" s="10" t="str">
        <f t="shared" si="180"/>
        <v>-</v>
      </c>
      <c r="AZ222" s="9" t="str">
        <f t="shared" si="181"/>
        <v>-</v>
      </c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</row>
    <row r="223" spans="2:68" x14ac:dyDescent="0.3">
      <c r="B223" s="108" t="str">
        <f t="shared" si="165"/>
        <v/>
      </c>
      <c r="C223" s="108" t="str">
        <f t="shared" si="182"/>
        <v/>
      </c>
      <c r="D223" s="3"/>
      <c r="E223" s="3"/>
      <c r="F223" s="3"/>
      <c r="G223" s="20">
        <f>IFERROR(INDEX('Input - Supermarket'!F$2:F$200,MATCH('Calculations - Supermarket'!$C223,'Input - Supermarket'!$B$2:$B$200,0)),"")</f>
        <v>0</v>
      </c>
      <c r="H223" s="20">
        <f>IFERROR(INDEX('Input - Supermarket'!G$2:G$200,MATCH('Calculations - Supermarket'!$C223,'Input - Supermarket'!$B$2:$B$200,0)),"")</f>
        <v>0</v>
      </c>
      <c r="I223" s="21">
        <f>IFERROR(INDEX('Input - Supermarket'!H$2:H$200,MATCH('Calculations - Supermarket'!$C223,'Input - Supermarket'!$B$2:$B$200,0)),"")</f>
        <v>0</v>
      </c>
      <c r="J223" s="21">
        <f>IFERROR(INDEX('Input - Supermarket'!I$2:I$200,MATCH('Calculations - Supermarket'!$C223,'Input - Supermarket'!$B$2:$B$200,0)),"")</f>
        <v>0</v>
      </c>
      <c r="K223" s="20">
        <f>IFERROR(INDEX('Input - Supermarket'!J$2:J$200,MATCH('Calculations - Supermarket'!$C223,'Input - Supermarket'!$B$2:$B$200,0)),"")</f>
        <v>0</v>
      </c>
      <c r="L223" s="20">
        <f>IFERROR(INDEX('Input - Supermarket'!K$2:K$200,MATCH('Calculations - Supermarket'!$C223,'Input - Supermarket'!$B$2:$B$200,0)),"")</f>
        <v>0</v>
      </c>
      <c r="M223" s="21" t="str">
        <f t="shared" si="166"/>
        <v/>
      </c>
      <c r="N223" s="21" t="str">
        <f t="shared" si="183"/>
        <v/>
      </c>
      <c r="O223" s="21">
        <f t="shared" si="167"/>
        <v>0</v>
      </c>
      <c r="P223" s="9">
        <f t="shared" si="184"/>
        <v>0</v>
      </c>
      <c r="Q223" s="9">
        <f t="shared" si="185"/>
        <v>0</v>
      </c>
      <c r="R223" s="22" t="str">
        <f>IFERROR(INDEX(Supermarket!$Q$11:$Q$170,MATCH('Calculations - Supermarket'!$C223,Supermarket!$M$11:$M$170,0)),"")</f>
        <v/>
      </c>
      <c r="S223" s="22" t="str">
        <f>IFERROR(INDEX(Supermarket!$R$11:$R$170,MATCH('Calculations - Supermarket'!$C223,Supermarket!$M$11:$M$170,0)),"")</f>
        <v/>
      </c>
      <c r="T223" s="16" t="e">
        <f t="shared" si="186"/>
        <v>#VALUE!</v>
      </c>
      <c r="U223" s="16" t="e">
        <f t="shared" si="168"/>
        <v>#VALUE!</v>
      </c>
      <c r="V223" s="16" t="e">
        <f t="shared" si="169"/>
        <v>#VALUE!</v>
      </c>
      <c r="W223" s="10" t="str">
        <f t="shared" si="187"/>
        <v>-</v>
      </c>
      <c r="X223" s="10" t="str">
        <f t="shared" si="188"/>
        <v>-</v>
      </c>
      <c r="Y223" s="13" t="str">
        <f t="shared" si="170"/>
        <v>-</v>
      </c>
      <c r="Z223" s="9" t="str">
        <f t="shared" si="189"/>
        <v>-</v>
      </c>
      <c r="AA223" s="16" t="str">
        <f t="shared" si="171"/>
        <v>-</v>
      </c>
      <c r="AB223" s="16" t="str">
        <f t="shared" si="190"/>
        <v>-</v>
      </c>
      <c r="AC223" s="16" t="str">
        <f t="shared" si="191"/>
        <v>-</v>
      </c>
      <c r="AD223" s="16" t="str">
        <f t="shared" si="172"/>
        <v>-</v>
      </c>
      <c r="AE223" s="16"/>
      <c r="AF223" s="31" t="str">
        <f>IFERROR(INDEX(Supermarket!$P$11:$P$170,MATCH('Calculations - Supermarket'!C223,Supermarket!$M$11:$M$170,0)),"")</f>
        <v/>
      </c>
      <c r="AG223" s="23" t="str">
        <f t="shared" si="173"/>
        <v/>
      </c>
      <c r="AH223" s="23" t="str">
        <f t="shared" si="174"/>
        <v/>
      </c>
      <c r="AI223" s="9" t="str">
        <f t="shared" si="192"/>
        <v/>
      </c>
      <c r="AJ223" s="4" t="str">
        <f t="shared" si="193"/>
        <v/>
      </c>
      <c r="AK223" s="4"/>
      <c r="AL223" s="4"/>
      <c r="AM223" s="4"/>
      <c r="AN223" s="4"/>
      <c r="AO223" s="4"/>
      <c r="AP223" s="20" t="str">
        <f t="shared" si="194"/>
        <v>-</v>
      </c>
      <c r="AQ223" s="13" t="str">
        <f t="shared" si="175"/>
        <v>-</v>
      </c>
      <c r="AR223" s="13" t="str">
        <f t="shared" si="176"/>
        <v>-</v>
      </c>
      <c r="AS223" s="13" t="str">
        <f t="shared" si="195"/>
        <v>-</v>
      </c>
      <c r="AT223" s="16" t="str">
        <f t="shared" si="177"/>
        <v>-</v>
      </c>
      <c r="AU223" s="16" t="str">
        <f t="shared" si="196"/>
        <v>-</v>
      </c>
      <c r="AV223" s="16" t="str">
        <f t="shared" si="197"/>
        <v>-</v>
      </c>
      <c r="AW223" s="16" t="str">
        <f t="shared" si="178"/>
        <v>-</v>
      </c>
      <c r="AX223" s="13" t="str">
        <f t="shared" si="179"/>
        <v>-</v>
      </c>
      <c r="AY223" s="10" t="str">
        <f t="shared" si="180"/>
        <v>-</v>
      </c>
      <c r="AZ223" s="9" t="str">
        <f t="shared" si="181"/>
        <v>-</v>
      </c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</row>
    <row r="224" spans="2:68" x14ac:dyDescent="0.3">
      <c r="B224" s="108" t="str">
        <f t="shared" si="165"/>
        <v/>
      </c>
      <c r="C224" s="108" t="str">
        <f t="shared" ref="C224:C229" si="198">IFERROR(D224&amp;E224&amp;F224,"")</f>
        <v/>
      </c>
      <c r="D224" s="3"/>
      <c r="E224" s="3"/>
      <c r="F224" s="3"/>
      <c r="G224" s="20">
        <f>IFERROR(INDEX('Input - Supermarket'!F$2:F$200,MATCH('Calculations - Supermarket'!$C224,'Input - Supermarket'!$B$2:$B$200,0)),"")</f>
        <v>0</v>
      </c>
      <c r="H224" s="20">
        <f>IFERROR(INDEX('Input - Supermarket'!G$2:G$200,MATCH('Calculations - Supermarket'!$C224,'Input - Supermarket'!$B$2:$B$200,0)),"")</f>
        <v>0</v>
      </c>
      <c r="I224" s="21">
        <f>IFERROR(INDEX('Input - Supermarket'!H$2:H$200,MATCH('Calculations - Supermarket'!$C224,'Input - Supermarket'!$B$2:$B$200,0)),"")</f>
        <v>0</v>
      </c>
      <c r="J224" s="21">
        <f>IFERROR(INDEX('Input - Supermarket'!I$2:I$200,MATCH('Calculations - Supermarket'!$C224,'Input - Supermarket'!$B$2:$B$200,0)),"")</f>
        <v>0</v>
      </c>
      <c r="K224" s="20">
        <f>IFERROR(INDEX('Input - Supermarket'!J$2:J$200,MATCH('Calculations - Supermarket'!$C224,'Input - Supermarket'!$B$2:$B$200,0)),"")</f>
        <v>0</v>
      </c>
      <c r="L224" s="20">
        <f>IFERROR(INDEX('Input - Supermarket'!K$2:K$200,MATCH('Calculations - Supermarket'!$C224,'Input - Supermarket'!$B$2:$B$200,0)),"")</f>
        <v>0</v>
      </c>
      <c r="M224" s="21" t="str">
        <f t="shared" si="166"/>
        <v/>
      </c>
      <c r="N224" s="21" t="str">
        <f t="shared" ref="N224:N229" si="199">IFERROR(K224/L224,"")</f>
        <v/>
      </c>
      <c r="O224" s="21">
        <f t="shared" si="167"/>
        <v>0</v>
      </c>
      <c r="P224" s="9">
        <f t="shared" ref="P224:P229" si="200">G224/SUM(G$32:G$229)</f>
        <v>0</v>
      </c>
      <c r="Q224" s="9">
        <f t="shared" ref="Q224:Q229" si="201">H224/SUM(H$32:H$229)</f>
        <v>0</v>
      </c>
      <c r="R224" s="22" t="str">
        <f>IFERROR(INDEX(Supermarket!$Q$11:$Q$170,MATCH('Calculations - Supermarket'!$C224,Supermarket!$M$11:$M$170,0)),"")</f>
        <v/>
      </c>
      <c r="S224" s="22" t="str">
        <f>IFERROR(INDEX(Supermarket!$R$11:$R$170,MATCH('Calculations - Supermarket'!$C224,Supermarket!$M$11:$M$170,0)),"")</f>
        <v/>
      </c>
      <c r="T224" s="16" t="e">
        <f t="shared" ref="T224:T229" si="202">R224*G224</f>
        <v>#VALUE!</v>
      </c>
      <c r="U224" s="16" t="e">
        <f t="shared" si="168"/>
        <v>#VALUE!</v>
      </c>
      <c r="V224" s="16" t="e">
        <f t="shared" si="169"/>
        <v>#VALUE!</v>
      </c>
      <c r="W224" s="10" t="str">
        <f t="shared" ref="W224:W229" si="203">IFERROR(V224/H224,"-")</f>
        <v>-</v>
      </c>
      <c r="X224" s="10" t="str">
        <f t="shared" ref="X224:X229" si="204">IFERROR((J224+M224)*H224*0.5,"-")</f>
        <v>-</v>
      </c>
      <c r="Y224" s="13" t="str">
        <f t="shared" si="170"/>
        <v>-</v>
      </c>
      <c r="Z224" s="9" t="str">
        <f t="shared" ref="Z224:Z229" si="205">IFERROR(Y224-P224,"-")</f>
        <v>-</v>
      </c>
      <c r="AA224" s="16" t="str">
        <f t="shared" si="171"/>
        <v>-</v>
      </c>
      <c r="AB224" s="16" t="str">
        <f t="shared" ref="AB224:AB229" si="206">IFERROR(AA224/M224,"-")</f>
        <v>-</v>
      </c>
      <c r="AC224" s="16" t="str">
        <f t="shared" ref="AC224:AC229" si="207">IFERROR(R224*AA224,"-")</f>
        <v>-</v>
      </c>
      <c r="AD224" s="16" t="str">
        <f t="shared" si="172"/>
        <v>-</v>
      </c>
      <c r="AE224" s="16"/>
      <c r="AF224" s="31" t="str">
        <f>IFERROR(INDEX(Supermarket!$P$11:$P$170,MATCH('Calculations - Supermarket'!C224,Supermarket!$M$11:$M$170,0)),"")</f>
        <v/>
      </c>
      <c r="AG224" s="23" t="str">
        <f t="shared" si="173"/>
        <v/>
      </c>
      <c r="AH224" s="23" t="str">
        <f t="shared" si="174"/>
        <v/>
      </c>
      <c r="AI224" s="9" t="str">
        <f t="shared" ref="AI224:AI229" si="208">IFERROR((AF224-M224)/M224,"")</f>
        <v/>
      </c>
      <c r="AJ224" s="4" t="str">
        <f t="shared" ref="AJ224:AJ229" si="209">IFERROR(MAX((1+AI224*O224/5)*H224,0),"")</f>
        <v/>
      </c>
      <c r="AK224" s="4"/>
      <c r="AL224" s="4"/>
      <c r="AM224" s="4"/>
      <c r="AN224" s="4"/>
      <c r="AO224" s="4"/>
      <c r="AP224" s="20" t="str">
        <f t="shared" ref="AP224:AP229" si="210">IFERROR(0.5*(J224+AF224)*AJ224,"-")</f>
        <v>-</v>
      </c>
      <c r="AQ224" s="13" t="str">
        <f t="shared" si="175"/>
        <v>-</v>
      </c>
      <c r="AR224" s="13" t="str">
        <f t="shared" si="176"/>
        <v>-</v>
      </c>
      <c r="AS224" s="13" t="str">
        <f t="shared" ref="AS224:AS229" si="211">IFERROR(AR224-P224,"-")</f>
        <v>-</v>
      </c>
      <c r="AT224" s="16" t="str">
        <f t="shared" si="177"/>
        <v>-</v>
      </c>
      <c r="AU224" s="16" t="str">
        <f t="shared" ref="AU224:AU229" si="212">IFERROR(AT224/AF224,"-")</f>
        <v>-</v>
      </c>
      <c r="AV224" s="16" t="str">
        <f t="shared" ref="AV224:AV229" si="213">IFERROR(AG224*AT224,"-")</f>
        <v>-</v>
      </c>
      <c r="AW224" s="16" t="str">
        <f t="shared" si="178"/>
        <v>-</v>
      </c>
      <c r="AX224" s="13" t="str">
        <f t="shared" si="179"/>
        <v>-</v>
      </c>
      <c r="AY224" s="10" t="str">
        <f t="shared" si="180"/>
        <v>-</v>
      </c>
      <c r="AZ224" s="9" t="str">
        <f t="shared" si="181"/>
        <v>-</v>
      </c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</row>
    <row r="225" spans="2:68" x14ac:dyDescent="0.3">
      <c r="B225" s="108" t="str">
        <f t="shared" ref="B225:B229" si="214">IFERROR(D225&amp;E225,"")</f>
        <v/>
      </c>
      <c r="C225" s="108" t="str">
        <f t="shared" si="198"/>
        <v/>
      </c>
      <c r="D225" s="3"/>
      <c r="E225" s="3"/>
      <c r="F225" s="3"/>
      <c r="G225" s="20">
        <f>IFERROR(INDEX('Input - Supermarket'!F$2:F$200,MATCH('Calculations - Supermarket'!$C225,'Input - Supermarket'!$B$2:$B$200,0)),"")</f>
        <v>0</v>
      </c>
      <c r="H225" s="20">
        <f>IFERROR(INDEX('Input - Supermarket'!G$2:G$200,MATCH('Calculations - Supermarket'!$C225,'Input - Supermarket'!$B$2:$B$200,0)),"")</f>
        <v>0</v>
      </c>
      <c r="I225" s="21">
        <f>IFERROR(INDEX('Input - Supermarket'!H$2:H$200,MATCH('Calculations - Supermarket'!$C225,'Input - Supermarket'!$B$2:$B$200,0)),"")</f>
        <v>0</v>
      </c>
      <c r="J225" s="21">
        <f>IFERROR(INDEX('Input - Supermarket'!I$2:I$200,MATCH('Calculations - Supermarket'!$C225,'Input - Supermarket'!$B$2:$B$200,0)),"")</f>
        <v>0</v>
      </c>
      <c r="K225" s="20">
        <f>IFERROR(INDEX('Input - Supermarket'!J$2:J$200,MATCH('Calculations - Supermarket'!$C225,'Input - Supermarket'!$B$2:$B$200,0)),"")</f>
        <v>0</v>
      </c>
      <c r="L225" s="20">
        <f>IFERROR(INDEX('Input - Supermarket'!K$2:K$200,MATCH('Calculations - Supermarket'!$C225,'Input - Supermarket'!$B$2:$B$200,0)),"")</f>
        <v>0</v>
      </c>
      <c r="M225" s="21" t="str">
        <f t="shared" ref="M225:M229" si="215">IFERROR(G225/H225,"")</f>
        <v/>
      </c>
      <c r="N225" s="21" t="str">
        <f t="shared" si="199"/>
        <v/>
      </c>
      <c r="O225" s="21">
        <f t="shared" ref="O225:O229" si="216">IFERROR((M225/(M225-J225)*5),0)</f>
        <v>0</v>
      </c>
      <c r="P225" s="9">
        <f t="shared" si="200"/>
        <v>0</v>
      </c>
      <c r="Q225" s="9">
        <f t="shared" si="201"/>
        <v>0</v>
      </c>
      <c r="R225" s="22" t="str">
        <f>IFERROR(INDEX(Supermarket!$Q$11:$Q$170,MATCH('Calculations - Supermarket'!$C225,Supermarket!$M$11:$M$170,0)),"")</f>
        <v/>
      </c>
      <c r="S225" s="22" t="str">
        <f>IFERROR(INDEX(Supermarket!$R$11:$R$170,MATCH('Calculations - Supermarket'!$C225,Supermarket!$M$11:$M$170,0)),"")</f>
        <v/>
      </c>
      <c r="T225" s="16" t="e">
        <f t="shared" si="202"/>
        <v>#VALUE!</v>
      </c>
      <c r="U225" s="16" t="e">
        <f t="shared" ref="U225:U229" si="217">S225*T225</f>
        <v>#VALUE!</v>
      </c>
      <c r="V225" s="16" t="e">
        <f t="shared" ref="V225:V229" si="218">T225-U225</f>
        <v>#VALUE!</v>
      </c>
      <c r="W225" s="10" t="str">
        <f t="shared" si="203"/>
        <v>-</v>
      </c>
      <c r="X225" s="10" t="str">
        <f t="shared" si="204"/>
        <v>-</v>
      </c>
      <c r="Y225" s="13" t="str">
        <f t="shared" ref="Y225:Y229" si="219">IFERROR(X225/$X$30,"-")</f>
        <v>-</v>
      </c>
      <c r="Z225" s="9" t="str">
        <f t="shared" si="205"/>
        <v>-</v>
      </c>
      <c r="AA225" s="16" t="str">
        <f t="shared" ref="AA225:AA229" si="220">IFERROR(Y225*$G$30,"-")</f>
        <v>-</v>
      </c>
      <c r="AB225" s="16" t="str">
        <f t="shared" si="206"/>
        <v>-</v>
      </c>
      <c r="AC225" s="16" t="str">
        <f t="shared" si="207"/>
        <v>-</v>
      </c>
      <c r="AD225" s="16" t="str">
        <f t="shared" ref="AD225:AD229" si="221">IFERROR(AC225-(W225)*AB225,"-")</f>
        <v>-</v>
      </c>
      <c r="AE225" s="16"/>
      <c r="AF225" s="31" t="str">
        <f>IFERROR(INDEX(Supermarket!$P$11:$P$170,MATCH('Calculations - Supermarket'!C225,Supermarket!$M$11:$M$170,0)),"")</f>
        <v/>
      </c>
      <c r="AG225" s="23" t="str">
        <f t="shared" ref="AG225:AG229" si="222">R225</f>
        <v/>
      </c>
      <c r="AH225" s="23" t="str">
        <f t="shared" ref="AH225:AH229" si="223">S225</f>
        <v/>
      </c>
      <c r="AI225" s="9" t="str">
        <f t="shared" si="208"/>
        <v/>
      </c>
      <c r="AJ225" s="4" t="str">
        <f t="shared" si="209"/>
        <v/>
      </c>
      <c r="AK225" s="4"/>
      <c r="AL225" s="4"/>
      <c r="AM225" s="4"/>
      <c r="AN225" s="4"/>
      <c r="AO225" s="4"/>
      <c r="AP225" s="20" t="str">
        <f t="shared" si="210"/>
        <v>-</v>
      </c>
      <c r="AQ225" s="13" t="str">
        <f t="shared" ref="AQ225:AQ229" si="224">IFERROR(AP225/AP$30,"-")</f>
        <v>-</v>
      </c>
      <c r="AR225" s="13" t="str">
        <f t="shared" ref="AR225:AR229" si="225">IFERROR(AQ225*$P$30,"-")</f>
        <v>-</v>
      </c>
      <c r="AS225" s="13" t="str">
        <f t="shared" si="211"/>
        <v>-</v>
      </c>
      <c r="AT225" s="16" t="str">
        <f t="shared" ref="AT225:AT229" si="226">IFERROR(AR225*AO$32,"-")</f>
        <v>-</v>
      </c>
      <c r="AU225" s="16" t="str">
        <f t="shared" si="212"/>
        <v>-</v>
      </c>
      <c r="AV225" s="16" t="str">
        <f t="shared" si="213"/>
        <v>-</v>
      </c>
      <c r="AW225" s="16" t="str">
        <f t="shared" ref="AW225:AW229" si="227">IFERROR(AV225-(W225*AU225),"-")</f>
        <v>-</v>
      </c>
      <c r="AX225" s="13" t="str">
        <f t="shared" ref="AX225:AX229" si="228">IFERROR(AU225/SUMIFS($AU$32:$AU$229,$B$32:$B$229,$B225),"-")</f>
        <v>-</v>
      </c>
      <c r="AY225" s="10" t="str">
        <f t="shared" ref="AY225:AY229" si="229">IFERROR(AX225*INDEX($AU$4:$AU$24,MATCH($B225,$D$4:$D$24,0)),"-")</f>
        <v>-</v>
      </c>
      <c r="AZ225" s="9" t="str">
        <f t="shared" ref="AZ225:AZ229" si="230">IFERROR(AY225/SUM($AY$32:$AY$229),"-")</f>
        <v>-</v>
      </c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</row>
    <row r="226" spans="2:68" x14ac:dyDescent="0.3">
      <c r="B226" s="108" t="str">
        <f t="shared" si="214"/>
        <v/>
      </c>
      <c r="C226" s="108" t="str">
        <f t="shared" si="198"/>
        <v/>
      </c>
      <c r="D226" s="3"/>
      <c r="E226" s="3"/>
      <c r="F226" s="3"/>
      <c r="G226" s="20">
        <f>IFERROR(INDEX('Input - Supermarket'!F$2:F$200,MATCH('Calculations - Supermarket'!$C226,'Input - Supermarket'!$B$2:$B$200,0)),"")</f>
        <v>0</v>
      </c>
      <c r="H226" s="20">
        <f>IFERROR(INDEX('Input - Supermarket'!G$2:G$200,MATCH('Calculations - Supermarket'!$C226,'Input - Supermarket'!$B$2:$B$200,0)),"")</f>
        <v>0</v>
      </c>
      <c r="I226" s="21">
        <f>IFERROR(INDEX('Input - Supermarket'!H$2:H$200,MATCH('Calculations - Supermarket'!$C226,'Input - Supermarket'!$B$2:$B$200,0)),"")</f>
        <v>0</v>
      </c>
      <c r="J226" s="21">
        <f>IFERROR(INDEX('Input - Supermarket'!I$2:I$200,MATCH('Calculations - Supermarket'!$C226,'Input - Supermarket'!$B$2:$B$200,0)),"")</f>
        <v>0</v>
      </c>
      <c r="K226" s="20">
        <f>IFERROR(INDEX('Input - Supermarket'!J$2:J$200,MATCH('Calculations - Supermarket'!$C226,'Input - Supermarket'!$B$2:$B$200,0)),"")</f>
        <v>0</v>
      </c>
      <c r="L226" s="20">
        <f>IFERROR(INDEX('Input - Supermarket'!K$2:K$200,MATCH('Calculations - Supermarket'!$C226,'Input - Supermarket'!$B$2:$B$200,0)),"")</f>
        <v>0</v>
      </c>
      <c r="M226" s="21" t="str">
        <f t="shared" si="215"/>
        <v/>
      </c>
      <c r="N226" s="21" t="str">
        <f t="shared" si="199"/>
        <v/>
      </c>
      <c r="O226" s="21">
        <f t="shared" si="216"/>
        <v>0</v>
      </c>
      <c r="P226" s="9">
        <f t="shared" si="200"/>
        <v>0</v>
      </c>
      <c r="Q226" s="9">
        <f t="shared" si="201"/>
        <v>0</v>
      </c>
      <c r="R226" s="22" t="str">
        <f>IFERROR(INDEX(Supermarket!$Q$11:$Q$170,MATCH('Calculations - Supermarket'!$C226,Supermarket!$M$11:$M$170,0)),"")</f>
        <v/>
      </c>
      <c r="S226" s="22" t="str">
        <f>IFERROR(INDEX(Supermarket!$R$11:$R$170,MATCH('Calculations - Supermarket'!$C226,Supermarket!$M$11:$M$170,0)),"")</f>
        <v/>
      </c>
      <c r="T226" s="16" t="e">
        <f t="shared" si="202"/>
        <v>#VALUE!</v>
      </c>
      <c r="U226" s="16" t="e">
        <f t="shared" si="217"/>
        <v>#VALUE!</v>
      </c>
      <c r="V226" s="16" t="e">
        <f t="shared" si="218"/>
        <v>#VALUE!</v>
      </c>
      <c r="W226" s="10" t="str">
        <f t="shared" si="203"/>
        <v>-</v>
      </c>
      <c r="X226" s="10" t="str">
        <f t="shared" si="204"/>
        <v>-</v>
      </c>
      <c r="Y226" s="13" t="str">
        <f t="shared" si="219"/>
        <v>-</v>
      </c>
      <c r="Z226" s="9" t="str">
        <f t="shared" si="205"/>
        <v>-</v>
      </c>
      <c r="AA226" s="16" t="str">
        <f t="shared" si="220"/>
        <v>-</v>
      </c>
      <c r="AB226" s="16" t="str">
        <f t="shared" si="206"/>
        <v>-</v>
      </c>
      <c r="AC226" s="16" t="str">
        <f t="shared" si="207"/>
        <v>-</v>
      </c>
      <c r="AD226" s="16" t="str">
        <f t="shared" si="221"/>
        <v>-</v>
      </c>
      <c r="AE226" s="16"/>
      <c r="AF226" s="31" t="str">
        <f>IFERROR(INDEX(Supermarket!$P$11:$P$170,MATCH('Calculations - Supermarket'!C226,Supermarket!$M$11:$M$170,0)),"")</f>
        <v/>
      </c>
      <c r="AG226" s="23" t="str">
        <f t="shared" si="222"/>
        <v/>
      </c>
      <c r="AH226" s="23" t="str">
        <f t="shared" si="223"/>
        <v/>
      </c>
      <c r="AI226" s="9" t="str">
        <f t="shared" si="208"/>
        <v/>
      </c>
      <c r="AJ226" s="4" t="str">
        <f t="shared" si="209"/>
        <v/>
      </c>
      <c r="AK226" s="4"/>
      <c r="AL226" s="4"/>
      <c r="AM226" s="4"/>
      <c r="AN226" s="4"/>
      <c r="AO226" s="4"/>
      <c r="AP226" s="20" t="str">
        <f t="shared" si="210"/>
        <v>-</v>
      </c>
      <c r="AQ226" s="13" t="str">
        <f t="shared" si="224"/>
        <v>-</v>
      </c>
      <c r="AR226" s="13" t="str">
        <f t="shared" si="225"/>
        <v>-</v>
      </c>
      <c r="AS226" s="13" t="str">
        <f t="shared" si="211"/>
        <v>-</v>
      </c>
      <c r="AT226" s="16" t="str">
        <f t="shared" si="226"/>
        <v>-</v>
      </c>
      <c r="AU226" s="16" t="str">
        <f t="shared" si="212"/>
        <v>-</v>
      </c>
      <c r="AV226" s="16" t="str">
        <f t="shared" si="213"/>
        <v>-</v>
      </c>
      <c r="AW226" s="16" t="str">
        <f t="shared" si="227"/>
        <v>-</v>
      </c>
      <c r="AX226" s="13" t="str">
        <f t="shared" si="228"/>
        <v>-</v>
      </c>
      <c r="AY226" s="10" t="str">
        <f t="shared" si="229"/>
        <v>-</v>
      </c>
      <c r="AZ226" s="9" t="str">
        <f t="shared" si="230"/>
        <v>-</v>
      </c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</row>
    <row r="227" spans="2:68" x14ac:dyDescent="0.3">
      <c r="B227" s="108" t="str">
        <f t="shared" si="214"/>
        <v/>
      </c>
      <c r="C227" s="108" t="str">
        <f t="shared" si="198"/>
        <v/>
      </c>
      <c r="D227" s="3"/>
      <c r="E227" s="3"/>
      <c r="F227" s="3"/>
      <c r="G227" s="20">
        <f>IFERROR(INDEX('Input - Supermarket'!F$2:F$200,MATCH('Calculations - Supermarket'!$C227,'Input - Supermarket'!$B$2:$B$200,0)),"")</f>
        <v>0</v>
      </c>
      <c r="H227" s="20">
        <f>IFERROR(INDEX('Input - Supermarket'!G$2:G$200,MATCH('Calculations - Supermarket'!$C227,'Input - Supermarket'!$B$2:$B$200,0)),"")</f>
        <v>0</v>
      </c>
      <c r="I227" s="21">
        <f>IFERROR(INDEX('Input - Supermarket'!H$2:H$200,MATCH('Calculations - Supermarket'!$C227,'Input - Supermarket'!$B$2:$B$200,0)),"")</f>
        <v>0</v>
      </c>
      <c r="J227" s="21">
        <f>IFERROR(INDEX('Input - Supermarket'!I$2:I$200,MATCH('Calculations - Supermarket'!$C227,'Input - Supermarket'!$B$2:$B$200,0)),"")</f>
        <v>0</v>
      </c>
      <c r="K227" s="20">
        <f>IFERROR(INDEX('Input - Supermarket'!J$2:J$200,MATCH('Calculations - Supermarket'!$C227,'Input - Supermarket'!$B$2:$B$200,0)),"")</f>
        <v>0</v>
      </c>
      <c r="L227" s="20">
        <f>IFERROR(INDEX('Input - Supermarket'!K$2:K$200,MATCH('Calculations - Supermarket'!$C227,'Input - Supermarket'!$B$2:$B$200,0)),"")</f>
        <v>0</v>
      </c>
      <c r="M227" s="21" t="str">
        <f t="shared" si="215"/>
        <v/>
      </c>
      <c r="N227" s="21" t="str">
        <f t="shared" si="199"/>
        <v/>
      </c>
      <c r="O227" s="21">
        <f t="shared" si="216"/>
        <v>0</v>
      </c>
      <c r="P227" s="9">
        <f t="shared" si="200"/>
        <v>0</v>
      </c>
      <c r="Q227" s="9">
        <f t="shared" si="201"/>
        <v>0</v>
      </c>
      <c r="R227" s="22" t="str">
        <f>IFERROR(INDEX(Supermarket!$Q$11:$Q$170,MATCH('Calculations - Supermarket'!$C227,Supermarket!$M$11:$M$170,0)),"")</f>
        <v/>
      </c>
      <c r="S227" s="22" t="str">
        <f>IFERROR(INDEX(Supermarket!$R$11:$R$170,MATCH('Calculations - Supermarket'!$C227,Supermarket!$M$11:$M$170,0)),"")</f>
        <v/>
      </c>
      <c r="T227" s="16" t="e">
        <f t="shared" si="202"/>
        <v>#VALUE!</v>
      </c>
      <c r="U227" s="16" t="e">
        <f t="shared" si="217"/>
        <v>#VALUE!</v>
      </c>
      <c r="V227" s="16" t="e">
        <f t="shared" si="218"/>
        <v>#VALUE!</v>
      </c>
      <c r="W227" s="10" t="str">
        <f t="shared" si="203"/>
        <v>-</v>
      </c>
      <c r="X227" s="10" t="str">
        <f t="shared" si="204"/>
        <v>-</v>
      </c>
      <c r="Y227" s="13" t="str">
        <f t="shared" si="219"/>
        <v>-</v>
      </c>
      <c r="Z227" s="9" t="str">
        <f t="shared" si="205"/>
        <v>-</v>
      </c>
      <c r="AA227" s="16" t="str">
        <f t="shared" si="220"/>
        <v>-</v>
      </c>
      <c r="AB227" s="16" t="str">
        <f t="shared" si="206"/>
        <v>-</v>
      </c>
      <c r="AC227" s="16" t="str">
        <f t="shared" si="207"/>
        <v>-</v>
      </c>
      <c r="AD227" s="16" t="str">
        <f t="shared" si="221"/>
        <v>-</v>
      </c>
      <c r="AE227" s="16"/>
      <c r="AF227" s="31" t="str">
        <f>IFERROR(INDEX(Supermarket!$P$11:$P$170,MATCH('Calculations - Supermarket'!C227,Supermarket!$M$11:$M$170,0)),"")</f>
        <v/>
      </c>
      <c r="AG227" s="23" t="str">
        <f t="shared" si="222"/>
        <v/>
      </c>
      <c r="AH227" s="23" t="str">
        <f t="shared" si="223"/>
        <v/>
      </c>
      <c r="AI227" s="9" t="str">
        <f t="shared" si="208"/>
        <v/>
      </c>
      <c r="AJ227" s="4" t="str">
        <f t="shared" si="209"/>
        <v/>
      </c>
      <c r="AK227" s="4"/>
      <c r="AL227" s="4"/>
      <c r="AM227" s="4"/>
      <c r="AN227" s="4"/>
      <c r="AO227" s="4"/>
      <c r="AP227" s="20" t="str">
        <f t="shared" si="210"/>
        <v>-</v>
      </c>
      <c r="AQ227" s="13" t="str">
        <f t="shared" si="224"/>
        <v>-</v>
      </c>
      <c r="AR227" s="13" t="str">
        <f t="shared" si="225"/>
        <v>-</v>
      </c>
      <c r="AS227" s="13" t="str">
        <f t="shared" si="211"/>
        <v>-</v>
      </c>
      <c r="AT227" s="16" t="str">
        <f t="shared" si="226"/>
        <v>-</v>
      </c>
      <c r="AU227" s="16" t="str">
        <f t="shared" si="212"/>
        <v>-</v>
      </c>
      <c r="AV227" s="16" t="str">
        <f t="shared" si="213"/>
        <v>-</v>
      </c>
      <c r="AW227" s="16" t="str">
        <f t="shared" si="227"/>
        <v>-</v>
      </c>
      <c r="AX227" s="13" t="str">
        <f t="shared" si="228"/>
        <v>-</v>
      </c>
      <c r="AY227" s="10" t="str">
        <f t="shared" si="229"/>
        <v>-</v>
      </c>
      <c r="AZ227" s="9" t="str">
        <f t="shared" si="230"/>
        <v>-</v>
      </c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</row>
    <row r="228" spans="2:68" x14ac:dyDescent="0.3">
      <c r="B228" s="108" t="str">
        <f t="shared" si="214"/>
        <v/>
      </c>
      <c r="C228" s="108" t="str">
        <f t="shared" si="198"/>
        <v/>
      </c>
      <c r="D228" s="3"/>
      <c r="E228" s="3"/>
      <c r="F228" s="3"/>
      <c r="G228" s="20">
        <f>IFERROR(INDEX('Input - Supermarket'!F$2:F$200,MATCH('Calculations - Supermarket'!$C228,'Input - Supermarket'!$B$2:$B$200,0)),"")</f>
        <v>0</v>
      </c>
      <c r="H228" s="20">
        <f>IFERROR(INDEX('Input - Supermarket'!G$2:G$200,MATCH('Calculations - Supermarket'!$C228,'Input - Supermarket'!$B$2:$B$200,0)),"")</f>
        <v>0</v>
      </c>
      <c r="I228" s="21">
        <f>IFERROR(INDEX('Input - Supermarket'!H$2:H$200,MATCH('Calculations - Supermarket'!$C228,'Input - Supermarket'!$B$2:$B$200,0)),"")</f>
        <v>0</v>
      </c>
      <c r="J228" s="21">
        <f>IFERROR(INDEX('Input - Supermarket'!I$2:I$200,MATCH('Calculations - Supermarket'!$C228,'Input - Supermarket'!$B$2:$B$200,0)),"")</f>
        <v>0</v>
      </c>
      <c r="K228" s="20">
        <f>IFERROR(INDEX('Input - Supermarket'!J$2:J$200,MATCH('Calculations - Supermarket'!$C228,'Input - Supermarket'!$B$2:$B$200,0)),"")</f>
        <v>0</v>
      </c>
      <c r="L228" s="20">
        <f>IFERROR(INDEX('Input - Supermarket'!K$2:K$200,MATCH('Calculations - Supermarket'!$C228,'Input - Supermarket'!$B$2:$B$200,0)),"")</f>
        <v>0</v>
      </c>
      <c r="M228" s="21" t="str">
        <f t="shared" si="215"/>
        <v/>
      </c>
      <c r="N228" s="21" t="str">
        <f t="shared" si="199"/>
        <v/>
      </c>
      <c r="O228" s="21">
        <f t="shared" si="216"/>
        <v>0</v>
      </c>
      <c r="P228" s="9">
        <f t="shared" si="200"/>
        <v>0</v>
      </c>
      <c r="Q228" s="9">
        <f t="shared" si="201"/>
        <v>0</v>
      </c>
      <c r="R228" s="22" t="str">
        <f>IFERROR(INDEX(Supermarket!$Q$11:$Q$170,MATCH('Calculations - Supermarket'!$C228,Supermarket!$M$11:$M$170,0)),"")</f>
        <v/>
      </c>
      <c r="S228" s="22" t="str">
        <f>IFERROR(INDEX(Supermarket!$R$11:$R$170,MATCH('Calculations - Supermarket'!$C228,Supermarket!$M$11:$M$170,0)),"")</f>
        <v/>
      </c>
      <c r="T228" s="16" t="e">
        <f t="shared" si="202"/>
        <v>#VALUE!</v>
      </c>
      <c r="U228" s="16" t="e">
        <f t="shared" si="217"/>
        <v>#VALUE!</v>
      </c>
      <c r="V228" s="16" t="e">
        <f t="shared" si="218"/>
        <v>#VALUE!</v>
      </c>
      <c r="W228" s="10" t="str">
        <f t="shared" si="203"/>
        <v>-</v>
      </c>
      <c r="X228" s="10" t="str">
        <f t="shared" si="204"/>
        <v>-</v>
      </c>
      <c r="Y228" s="13" t="str">
        <f t="shared" si="219"/>
        <v>-</v>
      </c>
      <c r="Z228" s="9" t="str">
        <f t="shared" si="205"/>
        <v>-</v>
      </c>
      <c r="AA228" s="16" t="str">
        <f t="shared" si="220"/>
        <v>-</v>
      </c>
      <c r="AB228" s="16" t="str">
        <f t="shared" si="206"/>
        <v>-</v>
      </c>
      <c r="AC228" s="16" t="str">
        <f t="shared" si="207"/>
        <v>-</v>
      </c>
      <c r="AD228" s="16" t="str">
        <f t="shared" si="221"/>
        <v>-</v>
      </c>
      <c r="AE228" s="16"/>
      <c r="AF228" s="31" t="str">
        <f>IFERROR(INDEX(Supermarket!$P$11:$P$170,MATCH('Calculations - Supermarket'!C228,Supermarket!$M$11:$M$170,0)),"")</f>
        <v/>
      </c>
      <c r="AG228" s="23" t="str">
        <f t="shared" si="222"/>
        <v/>
      </c>
      <c r="AH228" s="23" t="str">
        <f t="shared" si="223"/>
        <v/>
      </c>
      <c r="AI228" s="9" t="str">
        <f t="shared" si="208"/>
        <v/>
      </c>
      <c r="AJ228" s="4" t="str">
        <f t="shared" si="209"/>
        <v/>
      </c>
      <c r="AK228" s="4"/>
      <c r="AL228" s="4"/>
      <c r="AM228" s="4"/>
      <c r="AN228" s="4"/>
      <c r="AO228" s="4"/>
      <c r="AP228" s="20" t="str">
        <f t="shared" si="210"/>
        <v>-</v>
      </c>
      <c r="AQ228" s="13" t="str">
        <f t="shared" si="224"/>
        <v>-</v>
      </c>
      <c r="AR228" s="13" t="str">
        <f t="shared" si="225"/>
        <v>-</v>
      </c>
      <c r="AS228" s="13" t="str">
        <f t="shared" si="211"/>
        <v>-</v>
      </c>
      <c r="AT228" s="16" t="str">
        <f t="shared" si="226"/>
        <v>-</v>
      </c>
      <c r="AU228" s="16" t="str">
        <f t="shared" si="212"/>
        <v>-</v>
      </c>
      <c r="AV228" s="16" t="str">
        <f t="shared" si="213"/>
        <v>-</v>
      </c>
      <c r="AW228" s="16" t="str">
        <f t="shared" si="227"/>
        <v>-</v>
      </c>
      <c r="AX228" s="13" t="str">
        <f t="shared" si="228"/>
        <v>-</v>
      </c>
      <c r="AY228" s="10" t="str">
        <f t="shared" si="229"/>
        <v>-</v>
      </c>
      <c r="AZ228" s="9" t="str">
        <f t="shared" si="230"/>
        <v>-</v>
      </c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</row>
    <row r="229" spans="2:68" x14ac:dyDescent="0.3">
      <c r="B229" s="108" t="str">
        <f t="shared" si="214"/>
        <v/>
      </c>
      <c r="C229" s="108" t="str">
        <f t="shared" si="198"/>
        <v/>
      </c>
      <c r="D229" s="3"/>
      <c r="E229" s="3"/>
      <c r="F229" s="3"/>
      <c r="G229" s="20">
        <f>IFERROR(INDEX('Input - Supermarket'!F$2:F$200,MATCH('Calculations - Supermarket'!$C229,'Input - Supermarket'!$B$2:$B$200,0)),"")</f>
        <v>0</v>
      </c>
      <c r="H229" s="20">
        <f>IFERROR(INDEX('Input - Supermarket'!G$2:G$200,MATCH('Calculations - Supermarket'!$C229,'Input - Supermarket'!$B$2:$B$200,0)),"")</f>
        <v>0</v>
      </c>
      <c r="I229" s="21">
        <f>IFERROR(INDEX('Input - Supermarket'!H$2:H$200,MATCH('Calculations - Supermarket'!$C229,'Input - Supermarket'!$B$2:$B$200,0)),"")</f>
        <v>0</v>
      </c>
      <c r="J229" s="21">
        <f>IFERROR(INDEX('Input - Supermarket'!I$2:I$200,MATCH('Calculations - Supermarket'!$C229,'Input - Supermarket'!$B$2:$B$200,0)),"")</f>
        <v>0</v>
      </c>
      <c r="K229" s="20">
        <f>IFERROR(INDEX('Input - Supermarket'!J$2:J$200,MATCH('Calculations - Supermarket'!$C229,'Input - Supermarket'!$B$2:$B$200,0)),"")</f>
        <v>0</v>
      </c>
      <c r="L229" s="20">
        <f>IFERROR(INDEX('Input - Supermarket'!K$2:K$200,MATCH('Calculations - Supermarket'!$C229,'Input - Supermarket'!$B$2:$B$200,0)),"")</f>
        <v>0</v>
      </c>
      <c r="M229" s="21" t="str">
        <f t="shared" si="215"/>
        <v/>
      </c>
      <c r="N229" s="21" t="str">
        <f t="shared" si="199"/>
        <v/>
      </c>
      <c r="O229" s="21">
        <f t="shared" si="216"/>
        <v>0</v>
      </c>
      <c r="P229" s="9">
        <f t="shared" si="200"/>
        <v>0</v>
      </c>
      <c r="Q229" s="9">
        <f t="shared" si="201"/>
        <v>0</v>
      </c>
      <c r="R229" s="22" t="str">
        <f>IFERROR(INDEX(Supermarket!$Q$11:$Q$170,MATCH('Calculations - Supermarket'!$C229,Supermarket!$M$11:$M$170,0)),"")</f>
        <v/>
      </c>
      <c r="S229" s="22" t="str">
        <f>IFERROR(INDEX(Supermarket!$R$11:$R$170,MATCH('Calculations - Supermarket'!$C229,Supermarket!$M$11:$M$170,0)),"")</f>
        <v/>
      </c>
      <c r="T229" s="16" t="e">
        <f t="shared" si="202"/>
        <v>#VALUE!</v>
      </c>
      <c r="U229" s="16" t="e">
        <f t="shared" si="217"/>
        <v>#VALUE!</v>
      </c>
      <c r="V229" s="16" t="e">
        <f t="shared" si="218"/>
        <v>#VALUE!</v>
      </c>
      <c r="W229" s="10" t="str">
        <f t="shared" si="203"/>
        <v>-</v>
      </c>
      <c r="X229" s="10" t="str">
        <f t="shared" si="204"/>
        <v>-</v>
      </c>
      <c r="Y229" s="13" t="str">
        <f t="shared" si="219"/>
        <v>-</v>
      </c>
      <c r="Z229" s="9" t="str">
        <f t="shared" si="205"/>
        <v>-</v>
      </c>
      <c r="AA229" s="16" t="str">
        <f t="shared" si="220"/>
        <v>-</v>
      </c>
      <c r="AB229" s="16" t="str">
        <f t="shared" si="206"/>
        <v>-</v>
      </c>
      <c r="AC229" s="16" t="str">
        <f t="shared" si="207"/>
        <v>-</v>
      </c>
      <c r="AD229" s="16" t="str">
        <f t="shared" si="221"/>
        <v>-</v>
      </c>
      <c r="AE229" s="16"/>
      <c r="AF229" s="31" t="str">
        <f>IFERROR(INDEX(Supermarket!$P$11:$P$170,MATCH('Calculations - Supermarket'!C229,Supermarket!$M$11:$M$170,0)),"")</f>
        <v/>
      </c>
      <c r="AG229" s="23" t="str">
        <f t="shared" si="222"/>
        <v/>
      </c>
      <c r="AH229" s="23" t="str">
        <f t="shared" si="223"/>
        <v/>
      </c>
      <c r="AI229" s="9" t="str">
        <f t="shared" si="208"/>
        <v/>
      </c>
      <c r="AJ229" s="4" t="str">
        <f t="shared" si="209"/>
        <v/>
      </c>
      <c r="AK229" s="4"/>
      <c r="AL229" s="4"/>
      <c r="AM229" s="4"/>
      <c r="AN229" s="4"/>
      <c r="AO229" s="4"/>
      <c r="AP229" s="20" t="str">
        <f t="shared" si="210"/>
        <v>-</v>
      </c>
      <c r="AQ229" s="13" t="str">
        <f t="shared" si="224"/>
        <v>-</v>
      </c>
      <c r="AR229" s="13" t="str">
        <f t="shared" si="225"/>
        <v>-</v>
      </c>
      <c r="AS229" s="13" t="str">
        <f t="shared" si="211"/>
        <v>-</v>
      </c>
      <c r="AT229" s="16" t="str">
        <f t="shared" si="226"/>
        <v>-</v>
      </c>
      <c r="AU229" s="16" t="str">
        <f t="shared" si="212"/>
        <v>-</v>
      </c>
      <c r="AV229" s="16" t="str">
        <f t="shared" si="213"/>
        <v>-</v>
      </c>
      <c r="AW229" s="16" t="str">
        <f t="shared" si="227"/>
        <v>-</v>
      </c>
      <c r="AX229" s="13" t="str">
        <f t="shared" si="228"/>
        <v>-</v>
      </c>
      <c r="AY229" s="10" t="str">
        <f t="shared" si="229"/>
        <v>-</v>
      </c>
      <c r="AZ229" s="9" t="str">
        <f t="shared" si="230"/>
        <v>-</v>
      </c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66831-2FDA-446B-A68E-F1CE0A447F81}">
  <sheetPr codeName="Sheet3"/>
  <dimension ref="A1:AE125"/>
  <sheetViews>
    <sheetView showGridLines="0" topLeftCell="J1" zoomScale="55" zoomScaleNormal="55" workbookViewId="0">
      <selection activeCell="O11" sqref="O11:P11"/>
    </sheetView>
  </sheetViews>
  <sheetFormatPr defaultColWidth="15.77734375" defaultRowHeight="14.4" x14ac:dyDescent="0.3"/>
  <cols>
    <col min="1" max="1" width="8.88671875" style="103" customWidth="1"/>
    <col min="2" max="2" width="43.88671875" style="103" bestFit="1" customWidth="1"/>
    <col min="3" max="3" width="33.44140625" style="103" bestFit="1" customWidth="1"/>
    <col min="4" max="4" width="32.109375" style="103" bestFit="1" customWidth="1"/>
    <col min="5" max="5" width="34.88671875" style="103" bestFit="1" customWidth="1"/>
    <col min="6" max="6" width="23.5546875" style="103" bestFit="1" customWidth="1"/>
    <col min="7" max="7" width="33.44140625" style="103" bestFit="1" customWidth="1"/>
    <col min="8" max="8" width="25.77734375" style="103" customWidth="1"/>
    <col min="9" max="9" width="29.33203125" style="103" bestFit="1" customWidth="1"/>
    <col min="10" max="10" width="25.77734375" style="103" customWidth="1"/>
    <col min="11" max="11" width="34.88671875" style="103" bestFit="1" customWidth="1"/>
    <col min="12" max="12" width="27.88671875" style="103" customWidth="1"/>
    <col min="13" max="13" width="23.5546875" style="103" hidden="1" customWidth="1"/>
    <col min="14" max="14" width="23.5546875" style="103" bestFit="1" customWidth="1"/>
    <col min="15" max="15" width="31.6640625" style="103" customWidth="1"/>
    <col min="16" max="16" width="35.21875" style="103" customWidth="1"/>
    <col min="17" max="17" width="26.88671875" style="103" customWidth="1"/>
    <col min="18" max="18" width="34.6640625" style="103" customWidth="1"/>
    <col min="19" max="21" width="30.77734375" style="103" customWidth="1"/>
    <col min="22" max="22" width="45.77734375" style="103" customWidth="1"/>
    <col min="23" max="23" width="33.44140625" style="103" bestFit="1" customWidth="1"/>
    <col min="24" max="26" width="29.33203125" style="103" bestFit="1" customWidth="1"/>
    <col min="27" max="27" width="34.88671875" style="103" bestFit="1" customWidth="1"/>
    <col min="28" max="28" width="25.77734375" style="103" customWidth="1"/>
    <col min="29" max="16384" width="15.77734375" style="103"/>
  </cols>
  <sheetData>
    <row r="1" spans="1:29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pans="1:29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25.05" customHeight="1" x14ac:dyDescent="0.3">
      <c r="A6"/>
      <c r="B6" s="160" t="s">
        <v>114</v>
      </c>
      <c r="C6" s="160"/>
      <c r="D6"/>
      <c r="E6"/>
      <c r="F6"/>
      <c r="G6"/>
      <c r="H6"/>
      <c r="I6"/>
      <c r="J6"/>
      <c r="K6"/>
      <c r="L6"/>
      <c r="M6"/>
      <c r="N6" s="69" t="s">
        <v>64</v>
      </c>
      <c r="O6" s="116" t="s">
        <v>105</v>
      </c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ht="25.8" x14ac:dyDescent="0.5">
      <c r="A8"/>
      <c r="B8" s="159" t="s">
        <v>49</v>
      </c>
      <c r="C8" s="159"/>
      <c r="D8" s="159"/>
      <c r="E8" s="159"/>
      <c r="F8" s="159"/>
      <c r="G8" s="159"/>
      <c r="H8" s="159"/>
      <c r="I8" s="159"/>
      <c r="J8" s="159"/>
      <c r="K8" s="159"/>
      <c r="L8" s="34"/>
      <c r="M8"/>
      <c r="N8" s="159" t="s">
        <v>50</v>
      </c>
      <c r="O8" s="159"/>
      <c r="P8" s="159"/>
      <c r="Q8" s="159"/>
      <c r="R8" s="159"/>
      <c r="S8" s="159"/>
      <c r="T8" s="159"/>
      <c r="U8"/>
      <c r="V8" s="159" t="s">
        <v>65</v>
      </c>
      <c r="W8" s="159"/>
      <c r="X8" s="159"/>
      <c r="Y8" s="159"/>
      <c r="Z8" s="159"/>
      <c r="AA8" s="159"/>
      <c r="AB8" s="159"/>
      <c r="AC8"/>
    </row>
    <row r="9" spans="1:29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117" t="s">
        <v>100</v>
      </c>
      <c r="U9" s="117"/>
      <c r="V9"/>
      <c r="W9"/>
      <c r="X9"/>
      <c r="Y9"/>
      <c r="Z9"/>
      <c r="AA9"/>
      <c r="AB9"/>
      <c r="AC9"/>
    </row>
    <row r="10" spans="1:29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 s="42"/>
      <c r="O10" s="32" t="s">
        <v>10</v>
      </c>
      <c r="P10" s="32" t="s">
        <v>51</v>
      </c>
      <c r="Q10" s="32" t="s">
        <v>52</v>
      </c>
      <c r="R10" s="32" t="s">
        <v>53</v>
      </c>
      <c r="S10" s="32" t="s">
        <v>54</v>
      </c>
      <c r="T10" s="32" t="s">
        <v>19</v>
      </c>
      <c r="U10" s="32"/>
      <c r="V10"/>
      <c r="W10"/>
      <c r="X10"/>
      <c r="Y10"/>
      <c r="Z10"/>
      <c r="AA10"/>
      <c r="AB10"/>
      <c r="AC10"/>
    </row>
    <row r="11" spans="1:29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 s="47" t="s">
        <v>9</v>
      </c>
      <c r="N11" s="42"/>
      <c r="O11" s="165" t="str">
        <f>'Calculations - Supermarket'!F4</f>
        <v>HP</v>
      </c>
      <c r="P11" s="165"/>
      <c r="Q11" s="42"/>
      <c r="R11" s="42"/>
      <c r="S11" s="41">
        <f>P12/O12-1</f>
        <v>0</v>
      </c>
      <c r="T11"/>
      <c r="U11"/>
      <c r="V11"/>
      <c r="W11"/>
      <c r="X11"/>
      <c r="Y11"/>
      <c r="Z11"/>
      <c r="AA11"/>
      <c r="AB11"/>
      <c r="AC11"/>
    </row>
    <row r="12" spans="1:29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 t="str">
        <f>$O$6&amp;O11&amp;N12</f>
        <v>SupermarketHP</v>
      </c>
      <c r="N12" s="42"/>
      <c r="O12" s="48">
        <f>INDEX('Calculations - Supermarket'!$M$3:$M$24,MATCH(M12,'Calculations - Supermarket'!$D$3:$D$24,0))</f>
        <v>6.0157913242866154</v>
      </c>
      <c r="P12" s="49">
        <f>INDEX('Calculations - Supermarket'!$AF$3:$AF$24,MATCH(M12,'Calculations - Supermarket'!$D$3:$D$24,0))</f>
        <v>6.0157913242866137</v>
      </c>
      <c r="Q12" s="64">
        <f>INDEX('Calculations - Supermarket'!$R$3:$R$24,MATCH(Supermarket!$O$6&amp;Supermarket!$O11,'Calculations - Supermarket'!$D$3:$D$24,0))</f>
        <v>0.8</v>
      </c>
      <c r="R12" s="64">
        <f>INDEX('Calculations - Supermarket'!$S$3:$S$24,MATCH(Supermarket!$O$6&amp;Supermarket!$O11,'Calculations - Supermarket'!$D$3:$D$24,0))</f>
        <v>0.3</v>
      </c>
      <c r="S12" s="42"/>
      <c r="T12" s="121">
        <f>SUM(T13:T15)</f>
        <v>0.62911028270711689</v>
      </c>
      <c r="U12"/>
      <c r="V12"/>
      <c r="W12"/>
      <c r="X12"/>
      <c r="Y12"/>
      <c r="Z12"/>
      <c r="AA12"/>
      <c r="AB12"/>
      <c r="AC12"/>
    </row>
    <row r="13" spans="1:29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 t="str">
        <f>$O$6&amp;O11&amp;N13</f>
        <v>SupermarketHPSmall</v>
      </c>
      <c r="N13" s="33" t="s">
        <v>113</v>
      </c>
      <c r="O13" s="50">
        <f>IFERROR(INDEX('Calculations - Supermarket'!$M$32:$M$229,MATCH($M13,'Calculations - Supermarket'!$C$32:$C$229,0)),0)</f>
        <v>7.0185357774823416</v>
      </c>
      <c r="P13" s="51">
        <f>O13</f>
        <v>7.0185357774823416</v>
      </c>
      <c r="Q13" s="65">
        <v>0.8</v>
      </c>
      <c r="R13" s="65">
        <v>0.3</v>
      </c>
      <c r="S13" s="41">
        <f>IFERROR(P13/O13-1,0)</f>
        <v>0</v>
      </c>
      <c r="T13" s="122">
        <f>IFERROR(INDEX('Calculations - Supermarket'!$AZ$32:$AZ$229,MATCH($M13,'Calculations - Supermarket'!$C$32:$C$229,0)),"-")</f>
        <v>6.7542370695344162E-2</v>
      </c>
      <c r="U13"/>
      <c r="V13"/>
      <c r="W13"/>
      <c r="X13"/>
      <c r="Y13"/>
      <c r="Z13"/>
      <c r="AA13"/>
      <c r="AB13"/>
      <c r="AC13"/>
    </row>
    <row r="14" spans="1:29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 t="str">
        <f>$O$6&amp;O11&amp;N14</f>
        <v>SupermarketHPMedium</v>
      </c>
      <c r="N14" s="33" t="s">
        <v>111</v>
      </c>
      <c r="O14" s="50">
        <f>IFERROR(INDEX('Calculations - Supermarket'!$M$32:$M$229,MATCH($M14,'Calculations - Supermarket'!$C$32:$C$229,0)),0)</f>
        <v>5.9729463859979459</v>
      </c>
      <c r="P14" s="51">
        <f>O14</f>
        <v>5.9729463859979459</v>
      </c>
      <c r="Q14" s="65">
        <v>0.8</v>
      </c>
      <c r="R14" s="65">
        <v>0.3</v>
      </c>
      <c r="S14" s="41">
        <f t="shared" ref="S14:S15" si="0">IFERROR(P14/O14-1,0)</f>
        <v>0</v>
      </c>
      <c r="T14" s="122">
        <f>IFERROR(INDEX('Calculations - Supermarket'!$AZ$32:$AZ$229,MATCH($M14,'Calculations - Supermarket'!$C$32:$C$229,0)),"-")</f>
        <v>0.3833980971474451</v>
      </c>
      <c r="U14"/>
      <c r="V14"/>
      <c r="W14"/>
      <c r="X14"/>
      <c r="Y14"/>
      <c r="Z14"/>
      <c r="AA14"/>
      <c r="AB14"/>
      <c r="AC14"/>
    </row>
    <row r="15" spans="1:29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 t="str">
        <f>$O$6&amp;O11&amp;N15</f>
        <v>SupermarketHPLarge</v>
      </c>
      <c r="N15" s="33" t="s">
        <v>112</v>
      </c>
      <c r="O15" s="50">
        <f>IFERROR(INDEX('Calculations - Supermarket'!$M$32:$M$229,MATCH($M15,'Calculations - Supermarket'!$C$32:$C$229,0)),0)</f>
        <v>5.7325536848574936</v>
      </c>
      <c r="P15" s="51">
        <f>O15</f>
        <v>5.7325536848574936</v>
      </c>
      <c r="Q15" s="65">
        <v>0.8</v>
      </c>
      <c r="R15" s="65">
        <v>0.3</v>
      </c>
      <c r="S15" s="41">
        <f t="shared" si="0"/>
        <v>0</v>
      </c>
      <c r="T15" s="122">
        <f>IFERROR(INDEX('Calculations - Supermarket'!$AZ$32:$AZ$229,MATCH($M15,'Calculations - Supermarket'!$C$32:$C$229,0)),"-")</f>
        <v>0.17816981486432759</v>
      </c>
      <c r="U15"/>
      <c r="V15"/>
      <c r="W15"/>
      <c r="X15"/>
      <c r="Y15"/>
      <c r="Z15"/>
      <c r="AA15"/>
      <c r="AB15"/>
      <c r="AC15"/>
    </row>
    <row r="16" spans="1:29" ht="25.05" customHeight="1" x14ac:dyDescent="0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 s="52"/>
      <c r="P16" s="52"/>
      <c r="Q16" s="52"/>
      <c r="R16" s="52"/>
      <c r="S16"/>
      <c r="T16"/>
      <c r="U16"/>
      <c r="V16"/>
      <c r="W16"/>
      <c r="X16"/>
      <c r="Y16"/>
      <c r="Z16"/>
      <c r="AA16"/>
      <c r="AB16"/>
      <c r="AC16"/>
    </row>
    <row r="17" spans="1:31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s="42"/>
      <c r="O17" s="163" t="str">
        <f>'Calculations - Supermarket'!F5</f>
        <v>DADDIES</v>
      </c>
      <c r="P17" s="163"/>
      <c r="Q17" s="66"/>
      <c r="R17" s="66"/>
      <c r="S17" s="41">
        <f>P18/O18-1</f>
        <v>0</v>
      </c>
      <c r="T17" s="118"/>
      <c r="U17"/>
      <c r="V17"/>
      <c r="W17"/>
      <c r="X17"/>
      <c r="Y17"/>
      <c r="Z17"/>
      <c r="AA17"/>
      <c r="AB17"/>
      <c r="AC17"/>
    </row>
    <row r="18" spans="1:31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 t="str">
        <f>$O$6&amp;O17&amp;N18</f>
        <v>SupermarketDADDIES</v>
      </c>
      <c r="N18" s="42"/>
      <c r="O18" s="48">
        <f>INDEX('Calculations - Supermarket'!$M$3:$M$24,MATCH(M18,'Calculations - Supermarket'!$D$3:$D$24,0))</f>
        <v>4.2297949320913055</v>
      </c>
      <c r="P18" s="53">
        <f>INDEX('Calculations - Supermarket'!$AF$3:$AF$24,MATCH(M18,'Calculations - Supermarket'!$D$3:$D$24,0))</f>
        <v>4.2297949320913064</v>
      </c>
      <c r="Q18" s="64">
        <f>INDEX('Calculations - Supermarket'!$R$3:$R$24,MATCH(Supermarket!$O$6&amp;Supermarket!$O17,'Calculations - Supermarket'!$D$3:$D$24,0))</f>
        <v>0.8</v>
      </c>
      <c r="R18" s="64">
        <f>INDEX('Calculations - Supermarket'!$S$3:$S$24,MATCH(Supermarket!$O$6&amp;Supermarket!$O17,'Calculations - Supermarket'!$D$3:$D$24,0))</f>
        <v>0.3</v>
      </c>
      <c r="S18" s="42"/>
      <c r="T18" s="121">
        <f>SUM(T19:T21)</f>
        <v>0.11484921308717978</v>
      </c>
      <c r="U18"/>
      <c r="V18"/>
      <c r="W18"/>
      <c r="X18"/>
      <c r="Y18"/>
      <c r="Z18"/>
      <c r="AA18"/>
      <c r="AB18"/>
      <c r="AC18"/>
    </row>
    <row r="19" spans="1:31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 t="str">
        <f>$O$6&amp;O17&amp;N19</f>
        <v>SupermarketDADDIESSmall</v>
      </c>
      <c r="N19" s="33" t="s">
        <v>113</v>
      </c>
      <c r="O19" s="50">
        <f>IFERROR(INDEX('Calculations - Supermarket'!$M$32:$M$229,MATCH($M19,'Calculations - Supermarket'!$C$32:$C$229,0)),0)</f>
        <v>0</v>
      </c>
      <c r="P19" s="54">
        <f>O19</f>
        <v>0</v>
      </c>
      <c r="Q19" s="65">
        <v>0.8</v>
      </c>
      <c r="R19" s="65">
        <v>0.3</v>
      </c>
      <c r="S19" s="41">
        <f t="shared" ref="S19:S21" si="1">IFERROR(P19/O19-1,0)</f>
        <v>0</v>
      </c>
      <c r="T19" s="122" t="str">
        <f>IFERROR(INDEX('Calculations - Supermarket'!$AZ$32:$AZ$229,MATCH($M19,'Calculations - Supermarket'!$C$32:$C$229,0)),"-")</f>
        <v>-</v>
      </c>
      <c r="U19"/>
      <c r="V19"/>
      <c r="W19"/>
      <c r="X19"/>
      <c r="Y19"/>
      <c r="Z19"/>
      <c r="AA19"/>
      <c r="AB19"/>
      <c r="AC19"/>
    </row>
    <row r="20" spans="1:31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 t="str">
        <f>$O$6&amp;O17&amp;N20</f>
        <v>SupermarketDADDIESMedium</v>
      </c>
      <c r="N20" s="33" t="s">
        <v>111</v>
      </c>
      <c r="O20" s="50">
        <f>IFERROR(INDEX('Calculations - Supermarket'!$M$32:$M$229,MATCH($M20,'Calculations - Supermarket'!$C$32:$C$229,0)),0)</f>
        <v>4.2403951782731202</v>
      </c>
      <c r="P20" s="54">
        <f>O20</f>
        <v>4.2403951782731202</v>
      </c>
      <c r="Q20" s="65">
        <v>0.8</v>
      </c>
      <c r="R20" s="65">
        <v>0.3</v>
      </c>
      <c r="S20" s="41">
        <f t="shared" si="1"/>
        <v>0</v>
      </c>
      <c r="T20" s="122">
        <f>IFERROR(INDEX('Calculations - Supermarket'!$AZ$32:$AZ$229,MATCH($M20,'Calculations - Supermarket'!$C$32:$C$229,0)),"-")</f>
        <v>0.11280472028921215</v>
      </c>
      <c r="U20"/>
      <c r="V20"/>
      <c r="W20"/>
      <c r="X20"/>
      <c r="Y20"/>
      <c r="Z20"/>
      <c r="AA20"/>
      <c r="AB20"/>
      <c r="AC20"/>
    </row>
    <row r="21" spans="1:31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 t="str">
        <f>$O$6&amp;O17&amp;N21</f>
        <v>SupermarketDADDIESLarge</v>
      </c>
      <c r="N21" s="33" t="s">
        <v>112</v>
      </c>
      <c r="O21" s="50">
        <f>IFERROR(INDEX('Calculations - Supermarket'!$M$32:$M$229,MATCH($M21,'Calculations - Supermarket'!$C$32:$C$229,0)),0)</f>
        <v>3.6484739822477517</v>
      </c>
      <c r="P21" s="54">
        <f>O21</f>
        <v>3.6484739822477517</v>
      </c>
      <c r="Q21" s="65">
        <v>0.8</v>
      </c>
      <c r="R21" s="65">
        <v>0.3</v>
      </c>
      <c r="S21" s="41">
        <f t="shared" si="1"/>
        <v>0</v>
      </c>
      <c r="T21" s="122">
        <f>IFERROR(INDEX('Calculations - Supermarket'!$AZ$32:$AZ$229,MATCH($M21,'Calculations - Supermarket'!$C$32:$C$229,0)),"-")</f>
        <v>2.0444927979676357E-3</v>
      </c>
      <c r="U21"/>
      <c r="V21"/>
      <c r="W21"/>
      <c r="X21"/>
      <c r="Y21"/>
      <c r="Z21"/>
      <c r="AA21"/>
      <c r="AB21"/>
      <c r="AC21"/>
    </row>
    <row r="22" spans="1:31" ht="25.05" customHeight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 s="52"/>
      <c r="P22" s="5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31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s="42"/>
      <c r="O23" s="164" t="str">
        <f>'Calculations - Supermarket'!F6</f>
        <v>PRIVATE LABEL</v>
      </c>
      <c r="P23" s="164"/>
      <c r="Q23" s="42"/>
      <c r="R23" s="42"/>
      <c r="S23" s="41">
        <f>P24/O24-1</f>
        <v>0</v>
      </c>
      <c r="T23" s="118"/>
      <c r="U23"/>
      <c r="V23"/>
      <c r="W23"/>
      <c r="X23"/>
      <c r="Y23"/>
      <c r="Z23"/>
      <c r="AA23"/>
      <c r="AB23"/>
      <c r="AC23"/>
    </row>
    <row r="24" spans="1:31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 t="str">
        <f>$O$6&amp;O23&amp;N24</f>
        <v>SupermarketPRIVATE LABEL</v>
      </c>
      <c r="N24" s="42"/>
      <c r="O24" s="48">
        <f>INDEX('Calculations - Supermarket'!$M$3:$M$24,MATCH(M24,'Calculations - Supermarket'!$D$3:$D$24,0))</f>
        <v>2.2713770430092883</v>
      </c>
      <c r="P24" s="55">
        <f>INDEX('Calculations - Supermarket'!$AF$3:$AF$24,MATCH(M24,'Calculations - Supermarket'!$D$3:$D$24,0))</f>
        <v>2.2713770430092883</v>
      </c>
      <c r="Q24"/>
      <c r="R24"/>
      <c r="S24" s="42"/>
      <c r="T24" s="121">
        <f>SUM(T25:T27)</f>
        <v>0.20848587529968571</v>
      </c>
      <c r="U24"/>
      <c r="V24"/>
      <c r="W24"/>
      <c r="X24"/>
      <c r="Y24"/>
      <c r="Z24"/>
      <c r="AA24"/>
      <c r="AB24"/>
      <c r="AC24"/>
    </row>
    <row r="25" spans="1:31" ht="25.0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 t="str">
        <f>$O$6&amp;O23&amp;N25</f>
        <v>SupermarketPRIVATE LABELSmall</v>
      </c>
      <c r="N25" s="33" t="s">
        <v>113</v>
      </c>
      <c r="O25" s="50">
        <f>IFERROR(INDEX('Calculations - Supermarket'!$M$32:$M$229,MATCH($M25,'Calculations - Supermarket'!$C$32:$C$229,0)),0)</f>
        <v>0</v>
      </c>
      <c r="P25" s="56">
        <f>O25</f>
        <v>0</v>
      </c>
      <c r="Q25"/>
      <c r="R25"/>
      <c r="S25" s="41">
        <f t="shared" ref="S25:S27" si="2">IFERROR(P25/O25-1,0)</f>
        <v>0</v>
      </c>
      <c r="T25" s="122" t="str">
        <f>IFERROR(INDEX('Calculations - Supermarket'!$AZ$32:$AZ$229,MATCH($M25,'Calculations - Supermarket'!$C$32:$C$229,0)),"-")</f>
        <v>-</v>
      </c>
      <c r="U25"/>
      <c r="V25"/>
      <c r="W25"/>
      <c r="X25"/>
      <c r="Y25"/>
      <c r="Z25"/>
      <c r="AA25"/>
      <c r="AB25"/>
      <c r="AC25"/>
    </row>
    <row r="26" spans="1:31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 t="str">
        <f>$O$6&amp;O23&amp;N26</f>
        <v>SupermarketPRIVATE LABELMedium</v>
      </c>
      <c r="N26" s="33" t="s">
        <v>111</v>
      </c>
      <c r="O26" s="50">
        <f>IFERROR(INDEX('Calculations - Supermarket'!$M$32:$M$229,MATCH($M26,'Calculations - Supermarket'!$C$32:$C$229,0)),0)</f>
        <v>2.2713797695231257</v>
      </c>
      <c r="P26" s="56">
        <f>O26</f>
        <v>2.2713797695231257</v>
      </c>
      <c r="Q26"/>
      <c r="R26"/>
      <c r="S26" s="41">
        <f t="shared" si="2"/>
        <v>0</v>
      </c>
      <c r="T26" s="122">
        <f>IFERROR(INDEX('Calculations - Supermarket'!$AZ$32:$AZ$229,MATCH($M26,'Calculations - Supermarket'!$C$32:$C$229,0)),"-")</f>
        <v>0.20848303575342444</v>
      </c>
      <c r="U26"/>
      <c r="V26"/>
      <c r="W26"/>
      <c r="X26"/>
      <c r="Y26"/>
      <c r="Z26"/>
      <c r="AA26"/>
      <c r="AB26"/>
      <c r="AC26"/>
    </row>
    <row r="27" spans="1:31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 t="str">
        <f>$O$6&amp;O23&amp;N27</f>
        <v>SupermarketPRIVATE LABELLarge</v>
      </c>
      <c r="N27" s="33" t="s">
        <v>112</v>
      </c>
      <c r="O27" s="50">
        <f>IFERROR(INDEX('Calculations - Supermarket'!$M$32:$M$229,MATCH($M27,'Calculations - Supermarket'!$C$32:$C$229,0)),0)</f>
        <v>2.08084738434933</v>
      </c>
      <c r="P27" s="56">
        <f>O27</f>
        <v>2.08084738434933</v>
      </c>
      <c r="Q27"/>
      <c r="R27"/>
      <c r="S27" s="41">
        <f t="shared" si="2"/>
        <v>0</v>
      </c>
      <c r="T27" s="122">
        <f>IFERROR(INDEX('Calculations - Supermarket'!$AZ$32:$AZ$229,MATCH($M27,'Calculations - Supermarket'!$C$32:$C$229,0)),"-")</f>
        <v>2.8395462612492577E-6</v>
      </c>
      <c r="U27"/>
      <c r="V27"/>
      <c r="W27"/>
      <c r="X27"/>
      <c r="Y27"/>
      <c r="Z27"/>
      <c r="AA27"/>
      <c r="AB27"/>
      <c r="AC27"/>
    </row>
    <row r="28" spans="1:31" ht="25.05" customHeight="1" x14ac:dyDescent="0.4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 s="52"/>
      <c r="P28" s="52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31" ht="25.05" customHeight="1" x14ac:dyDescent="0.5">
      <c r="A29"/>
      <c r="B29" s="159" t="s">
        <v>77</v>
      </c>
      <c r="C29" s="159"/>
      <c r="D29" s="159"/>
      <c r="E29" s="159"/>
      <c r="F29" s="159"/>
      <c r="G29" s="159"/>
      <c r="H29" s="159"/>
      <c r="I29" s="159"/>
      <c r="J29" s="159"/>
      <c r="K29" s="159"/>
      <c r="L29" s="34"/>
      <c r="M29"/>
      <c r="N29" s="42"/>
      <c r="O29" s="166" t="str">
        <f>'Calculations - Supermarket'!F7</f>
        <v>BRANSTON</v>
      </c>
      <c r="P29" s="166"/>
      <c r="Q29"/>
      <c r="R29"/>
      <c r="S29" s="41">
        <f>P30/O30-1</f>
        <v>0</v>
      </c>
      <c r="T29" s="118"/>
      <c r="U29"/>
      <c r="V29" s="158" t="s">
        <v>78</v>
      </c>
      <c r="W29" s="158"/>
      <c r="X29" s="158"/>
      <c r="Y29" s="158"/>
      <c r="Z29" s="158"/>
      <c r="AA29" s="158"/>
      <c r="AB29" s="158"/>
      <c r="AC29"/>
    </row>
    <row r="30" spans="1:31" ht="25.05" customHeight="1" x14ac:dyDescent="0.5">
      <c r="A30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/>
      <c r="M30" t="str">
        <f>$O$6&amp;O29&amp;N30</f>
        <v>SupermarketBRANSTON</v>
      </c>
      <c r="N30" s="42"/>
      <c r="O30" s="48">
        <f>INDEX('Calculations - Supermarket'!$M$3:$M$24,MATCH(M30,'Calculations - Supermarket'!$D$3:$D$24,0))</f>
        <v>4.4864866071709466</v>
      </c>
      <c r="P30" s="57">
        <f>INDEX('Calculations - Supermarket'!$AF$3:$AF$24,MATCH(M30,'Calculations - Supermarket'!$D$3:$D$24,0))</f>
        <v>4.4864866071709466</v>
      </c>
      <c r="Q30"/>
      <c r="R30"/>
      <c r="S30" s="42"/>
      <c r="T30" s="121">
        <f>SUM(T31:T33)</f>
        <v>1.5191413397860367E-2</v>
      </c>
      <c r="U30"/>
      <c r="V30" s="34"/>
      <c r="W30" s="34"/>
      <c r="X30" s="34"/>
      <c r="Y30" s="34"/>
      <c r="Z30" s="34"/>
      <c r="AA30" s="34"/>
      <c r="AB30" s="34"/>
      <c r="AC30" s="34"/>
      <c r="AD30" s="104"/>
      <c r="AE30" s="104"/>
    </row>
    <row r="31" spans="1:31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 s="43"/>
      <c r="M31" t="str">
        <f>$O$6&amp;O29&amp;N31</f>
        <v>SupermarketBRANSTONSmall</v>
      </c>
      <c r="N31" s="33" t="s">
        <v>113</v>
      </c>
      <c r="O31" s="50">
        <f>IFERROR(INDEX('Calculations - Supermarket'!$M$32:$M$229,MATCH($M31,'Calculations - Supermarket'!$C$32:$C$229,0)),0)</f>
        <v>4.4864866071709466</v>
      </c>
      <c r="P31" s="58">
        <f>O31</f>
        <v>4.4864866071709466</v>
      </c>
      <c r="Q31"/>
      <c r="R31"/>
      <c r="S31" s="41">
        <f t="shared" ref="S31:S33" si="3">IFERROR(P31/O31-1,0)</f>
        <v>0</v>
      </c>
      <c r="T31" s="122">
        <f>IFERROR(INDEX('Calculations - Supermarket'!$AZ$32:$AZ$229,MATCH($M31,'Calculations - Supermarket'!$C$32:$C$229,0)),"-")</f>
        <v>1.5191413397860367E-2</v>
      </c>
      <c r="U31"/>
      <c r="V31"/>
      <c r="W31"/>
      <c r="X31"/>
      <c r="Y31"/>
      <c r="Z31"/>
      <c r="AA31"/>
      <c r="AB31"/>
      <c r="AC31"/>
    </row>
    <row r="32" spans="1:31" ht="25.05" customHeight="1" x14ac:dyDescent="0.3">
      <c r="A32"/>
      <c r="B32" s="161" t="s">
        <v>55</v>
      </c>
      <c r="C32" s="135" t="s">
        <v>107</v>
      </c>
      <c r="D32" s="87" t="s">
        <v>106</v>
      </c>
      <c r="E32" s="67" t="s">
        <v>56</v>
      </c>
      <c r="F32" s="62"/>
      <c r="G32" s="152" t="s">
        <v>107</v>
      </c>
      <c r="H32" s="153"/>
      <c r="I32" s="154" t="s">
        <v>106</v>
      </c>
      <c r="J32" s="155"/>
      <c r="K32" s="61" t="s">
        <v>56</v>
      </c>
      <c r="L32" s="44"/>
      <c r="M32" t="str">
        <f>$O$6&amp;O29&amp;N32</f>
        <v>SupermarketBRANSTONMedium</v>
      </c>
      <c r="N32" s="33" t="s">
        <v>111</v>
      </c>
      <c r="O32" s="50">
        <f>IFERROR(INDEX('Calculations - Supermarket'!$M$32:$M$229,MATCH($M32,'Calculations - Supermarket'!$C$32:$C$229,0)),0)</f>
        <v>0</v>
      </c>
      <c r="P32" s="58">
        <f>O32</f>
        <v>0</v>
      </c>
      <c r="Q32"/>
      <c r="R32"/>
      <c r="S32" s="41">
        <f t="shared" si="3"/>
        <v>0</v>
      </c>
      <c r="T32" s="122" t="str">
        <f>IFERROR(INDEX('Calculations - Supermarket'!$AZ$32:$AZ$229,MATCH($M32,'Calculations - Supermarket'!$C$32:$C$229,0)),"-")</f>
        <v>-</v>
      </c>
      <c r="U32"/>
      <c r="V32" s="150" t="s">
        <v>67</v>
      </c>
      <c r="W32" s="152" t="s">
        <v>107</v>
      </c>
      <c r="X32" s="153"/>
      <c r="Y32" s="154" t="s">
        <v>106</v>
      </c>
      <c r="Z32" s="155"/>
      <c r="AA32" s="156" t="s">
        <v>56</v>
      </c>
      <c r="AB32" s="157"/>
      <c r="AC32"/>
    </row>
    <row r="33" spans="1:29" ht="25.05" customHeight="1" thickBot="1" x14ac:dyDescent="0.35">
      <c r="A33"/>
      <c r="B33" s="162"/>
      <c r="C33" s="136" t="s">
        <v>57</v>
      </c>
      <c r="D33" s="88" t="s">
        <v>57</v>
      </c>
      <c r="E33" s="68" t="s">
        <v>57</v>
      </c>
      <c r="F33" s="62"/>
      <c r="G33" s="78" t="s">
        <v>57</v>
      </c>
      <c r="H33" s="80" t="s">
        <v>66</v>
      </c>
      <c r="I33" s="81" t="s">
        <v>57</v>
      </c>
      <c r="J33" s="82" t="s">
        <v>66</v>
      </c>
      <c r="K33" s="63" t="s">
        <v>57</v>
      </c>
      <c r="L33" s="35"/>
      <c r="M33" t="str">
        <f>$O$6&amp;O29&amp;N33</f>
        <v>SupermarketBRANSTONLarge</v>
      </c>
      <c r="N33" s="33" t="s">
        <v>112</v>
      </c>
      <c r="O33" s="50">
        <f>IFERROR(INDEX('Calculations - Supermarket'!$M$32:$M$229,MATCH($M33,'Calculations - Supermarket'!$C$32:$C$229,0)),0)</f>
        <v>0</v>
      </c>
      <c r="P33" s="58">
        <f>O33</f>
        <v>0</v>
      </c>
      <c r="Q33"/>
      <c r="R33"/>
      <c r="S33" s="41">
        <f t="shared" si="3"/>
        <v>0</v>
      </c>
      <c r="T33" s="122" t="str">
        <f>IFERROR(INDEX('Calculations - Supermarket'!$AZ$32:$AZ$229,MATCH($M33,'Calculations - Supermarket'!$C$32:$C$229,0)),"-")</f>
        <v>-</v>
      </c>
      <c r="U33"/>
      <c r="V33" s="151"/>
      <c r="W33" s="78" t="s">
        <v>57</v>
      </c>
      <c r="X33" s="80" t="s">
        <v>66</v>
      </c>
      <c r="Y33" s="81" t="s">
        <v>57</v>
      </c>
      <c r="Z33" s="82" t="s">
        <v>66</v>
      </c>
      <c r="AA33" s="79" t="s">
        <v>57</v>
      </c>
      <c r="AB33" s="68" t="s">
        <v>66</v>
      </c>
      <c r="AC33"/>
    </row>
    <row r="34" spans="1:29" ht="25.05" customHeight="1" x14ac:dyDescent="0.45">
      <c r="A34"/>
      <c r="B34" s="130" t="s">
        <v>58</v>
      </c>
      <c r="C34" s="131">
        <f>INDEX('Calculations - Supermarket'!$H$4:$H$24,MATCH(Supermarket!C$32,'Calculations - Supermarket'!$F$4:$F$24,0))</f>
        <v>4952521.0539999995</v>
      </c>
      <c r="D34" s="131">
        <f>INDEX('Calculations - Supermarket'!$H$4:$H$24,MATCH(Supermarket!D$32,'Calculations - Supermarket'!$F$4:$F$24,0))</f>
        <v>943062.96499999997</v>
      </c>
      <c r="E34" s="132">
        <f>INDEX('Calculations - Supermarket'!$H$4:$H$24,MATCH(Supermarket!E$32,'Calculations - Supermarket'!$F$4:$F$24,0))</f>
        <v>7900102.0359999994</v>
      </c>
      <c r="F34" s="36"/>
      <c r="G34" s="73">
        <f>INDEX('Calculations - Supermarket'!$AB$4:$AB$24,MATCH(Supermarket!G$32,'Calculations - Supermarket'!$F$4:$F$24,0))</f>
        <v>4971920.6771493629</v>
      </c>
      <c r="H34" s="137">
        <f>G34/C34-1</f>
        <v>3.9171207830999144E-3</v>
      </c>
      <c r="I34" s="73">
        <f>INDEX('Calculations - Supermarket'!$AB$4:$AB$24,MATCH(Supermarket!I$32,'Calculations - Supermarket'!$F$4:$F$24,0))</f>
        <v>907664.67024720763</v>
      </c>
      <c r="J34" s="137">
        <f>I34/D34-1</f>
        <v>-3.7535452102916977E-2</v>
      </c>
      <c r="K34" s="89">
        <f>INDEX('Calculations - Supermarket'!$AB$4:$AB$24,MATCH(Supermarket!K$32,'Calculations - Supermarket'!$F$4:$F$24,0))</f>
        <v>7903098.7313619358</v>
      </c>
      <c r="L34" s="35"/>
      <c r="M34"/>
      <c r="N34"/>
      <c r="O34" s="52"/>
      <c r="P34" s="52"/>
      <c r="Q34"/>
      <c r="R34"/>
      <c r="S34"/>
      <c r="T34"/>
      <c r="U34"/>
      <c r="V34" s="125" t="s">
        <v>58</v>
      </c>
      <c r="W34" s="126">
        <f>INDEX('Calculations - Supermarket'!$AU$4:$AU$24,MATCH(Supermarket!W$32,'Calculations - Supermarket'!$F$4:$F$24,0))</f>
        <v>4971920.6771493647</v>
      </c>
      <c r="X34" s="137">
        <f>W34/C34-1</f>
        <v>3.9171207831003585E-3</v>
      </c>
      <c r="Y34" s="126">
        <f>INDEX('Calculations - Supermarket'!$AU$4:$AU$24,MATCH(Supermarket!Y$32,'Calculations - Supermarket'!$F$4:$F$24,0))</f>
        <v>907664.67024720728</v>
      </c>
      <c r="Z34" s="137">
        <f>Y34/D34-1</f>
        <v>-3.753545210291731E-2</v>
      </c>
      <c r="AA34" s="127">
        <f>INDEX('Calculations - Supermarket'!$AU$4:$AU$24,MATCH(Supermarket!AA$32,'Calculations - Supermarket'!$F$4:$F$24,0))</f>
        <v>7903098.7313619368</v>
      </c>
      <c r="AB34" s="137">
        <f>AA34/E34-1</f>
        <v>3.7932362750270343E-4</v>
      </c>
      <c r="AC34"/>
    </row>
    <row r="35" spans="1:29" ht="25.05" customHeight="1" x14ac:dyDescent="0.45">
      <c r="A35"/>
      <c r="B35" s="83" t="s">
        <v>3</v>
      </c>
      <c r="C35" s="90">
        <f>INDEX('Calculations - Supermarket'!$G$4:$G$24,MATCH(Supermarket!C$32,'Calculations - Supermarket'!$F$4:$F$24,0))</f>
        <v>29793333.190000001</v>
      </c>
      <c r="D35" s="90">
        <f>INDEX('Calculations - Supermarket'!$G$4:$G$24,MATCH(Supermarket!D$32,'Calculations - Supermarket'!$F$4:$F$24,0))</f>
        <v>3988962.95</v>
      </c>
      <c r="E35" s="85">
        <f>INDEX('Calculations - Supermarket'!$G$4:$G$24,MATCH(Supermarket!E$32,'Calculations - Supermarket'!$F$4:$F$24,0))</f>
        <v>38700922.159999996</v>
      </c>
      <c r="F35" s="37"/>
      <c r="G35" s="74">
        <f>INDEX('Calculations - Supermarket'!$AA$4:$AA$24,MATCH(Supermarket!G$32,'Calculations - Supermarket'!$F$4:$F$24,0))</f>
        <v>29910037.274636373</v>
      </c>
      <c r="H35" s="138">
        <f>G35/C35-1</f>
        <v>3.9171207830999144E-3</v>
      </c>
      <c r="I35" s="74">
        <f>INDEX('Calculations - Supermarket'!$AA$4:$AA$24,MATCH(Supermarket!I$32,'Calculations - Supermarket'!$F$4:$F$24,0))</f>
        <v>3839235.4222499649</v>
      </c>
      <c r="J35" s="138">
        <f>I35/D35-1</f>
        <v>-3.7535452102916977E-2</v>
      </c>
      <c r="K35" s="90">
        <f>INDEX('Calculations - Supermarket'!$AA$4:$AA$24,MATCH(Supermarket!K$32,'Calculations - Supermarket'!$F$4:$F$24,0))</f>
        <v>38700922.159999996</v>
      </c>
      <c r="L35" s="35"/>
      <c r="M35"/>
      <c r="N35" s="42"/>
      <c r="O35" s="149" t="str">
        <f>'Calculations - Supermarket'!F8</f>
        <v>RESTOFCATEGORY</v>
      </c>
      <c r="P35" s="149"/>
      <c r="Q35"/>
      <c r="R35"/>
      <c r="S35" s="41">
        <f>P36/O36-1</f>
        <v>0</v>
      </c>
      <c r="T35" s="118"/>
      <c r="U35"/>
      <c r="V35" s="70" t="s">
        <v>3</v>
      </c>
      <c r="W35" s="74">
        <f>INDEX('Calculations - Supermarket'!$AT$4:$AT$24,MATCH(Supermarket!W$32,'Calculations - Supermarket'!$F$4:$F$24,0))</f>
        <v>29910037.274636373</v>
      </c>
      <c r="X35" s="138">
        <f>W35/C35-1</f>
        <v>3.9171207830999144E-3</v>
      </c>
      <c r="Y35" s="74">
        <f>INDEX('Calculations - Supermarket'!$AT$4:$AT$24,MATCH(Supermarket!Y$32,'Calculations - Supermarket'!$F$4:$F$24,0))</f>
        <v>3839235.422249964</v>
      </c>
      <c r="Z35" s="138">
        <f>Y35/D35-1</f>
        <v>-3.7535452102917199E-2</v>
      </c>
      <c r="AA35" s="72">
        <f>INDEX('Calculations - Supermarket'!$AT$4:$AT$24,MATCH(Supermarket!AA$32,'Calculations - Supermarket'!$F$4:$F$24,0))</f>
        <v>38700922.159999996</v>
      </c>
      <c r="AB35" s="138">
        <f>AA35/E35-1</f>
        <v>0</v>
      </c>
      <c r="AC35"/>
    </row>
    <row r="36" spans="1:29" ht="25.05" customHeight="1" x14ac:dyDescent="0.3">
      <c r="A36"/>
      <c r="B36" s="83" t="s">
        <v>59</v>
      </c>
      <c r="C36" s="90">
        <f>INDEX('Calculations - Supermarket'!$T$4:$T$24,MATCH(Supermarket!C$32,'Calculations - Supermarket'!$F$4:$F$24,0))</f>
        <v>23834666.552000001</v>
      </c>
      <c r="D36" s="90">
        <f>INDEX('Calculations - Supermarket'!$T$4:$T$24,MATCH(Supermarket!D$32,'Calculations - Supermarket'!$F$4:$F$24,0))</f>
        <v>3191170.3600000003</v>
      </c>
      <c r="E36" s="85">
        <f>INDEX('Calculations - Supermarket'!$T$4:$T$24,MATCH(Supermarket!E$32,'Calculations - Supermarket'!$F$4:$F$24,0))</f>
        <v>27025836.912</v>
      </c>
      <c r="F36" s="38"/>
      <c r="G36" s="74">
        <f>INDEX('Calculations - Supermarket'!$AC$4:$AC$24,MATCH(Supermarket!G$32,'Calculations - Supermarket'!$F$4:$F$24,0))</f>
        <v>23928029.8197091</v>
      </c>
      <c r="H36" s="138">
        <f>G36/C36-1</f>
        <v>3.9171207831001364E-3</v>
      </c>
      <c r="I36" s="74">
        <f>INDEX('Calculations - Supermarket'!$AC$4:$AC$24,MATCH(Supermarket!I$32,'Calculations - Supermarket'!$F$4:$F$24,0))</f>
        <v>3071388.3377999719</v>
      </c>
      <c r="J36" s="138">
        <f>I36/D36-1</f>
        <v>-3.7535452102916977E-2</v>
      </c>
      <c r="K36" s="90" t="s">
        <v>62</v>
      </c>
      <c r="L36" s="45"/>
      <c r="M36" t="str">
        <f>$O$6&amp;O35&amp;N36</f>
        <v>SupermarketRESTOFCATEGORY</v>
      </c>
      <c r="N36" s="42"/>
      <c r="O36" s="48">
        <f>INDEX('Calculations - Supermarket'!$M$3:$M$24,MATCH(M36,'Calculations - Supermarket'!$D$3:$D$24,0))</f>
        <v>2.6214703115663216</v>
      </c>
      <c r="P36" s="59">
        <f>INDEX('Calculations - Supermarket'!$AF$3:$AF$24,MATCH(M36,'Calculations - Supermarket'!$D$3:$D$24,0))</f>
        <v>2.6214703115663216</v>
      </c>
      <c r="Q36"/>
      <c r="R36"/>
      <c r="S36" s="42"/>
      <c r="T36" s="121">
        <f>SUM(T37:T39)</f>
        <v>3.2363215508157218E-2</v>
      </c>
      <c r="U36"/>
      <c r="V36" s="70" t="s">
        <v>59</v>
      </c>
      <c r="W36" s="74">
        <f>INDEX('Calculations - Supermarket'!$AV$4:$AV$24,MATCH(Supermarket!W$32,'Calculations - Supermarket'!$F$4:$F$24,0))</f>
        <v>23928029.819709096</v>
      </c>
      <c r="X36" s="138">
        <f>W36/C36-1</f>
        <v>3.9171207830999144E-3</v>
      </c>
      <c r="Y36" s="74">
        <f>INDEX('Calculations - Supermarket'!$AV$4:$AV$24,MATCH(Supermarket!Y$32,'Calculations - Supermarket'!$F$4:$F$24,0))</f>
        <v>3071388.3377999719</v>
      </c>
      <c r="Z36" s="138">
        <f>Y36/D36-1</f>
        <v>-3.7535452102916977E-2</v>
      </c>
      <c r="AA36" s="72" t="s">
        <v>62</v>
      </c>
      <c r="AB36" s="138" t="s">
        <v>62</v>
      </c>
      <c r="AC36"/>
    </row>
    <row r="37" spans="1:29" ht="25.05" customHeight="1" x14ac:dyDescent="0.3">
      <c r="A37"/>
      <c r="B37" s="83" t="s">
        <v>60</v>
      </c>
      <c r="C37" s="91">
        <f>C36/C34</f>
        <v>4.8126330594292925</v>
      </c>
      <c r="D37" s="91">
        <f>D36/D34</f>
        <v>3.3838359456730447</v>
      </c>
      <c r="E37" s="86">
        <f>E36/E34</f>
        <v>3.4209478293882638</v>
      </c>
      <c r="F37" s="38"/>
      <c r="G37" s="75">
        <f>G36/G34</f>
        <v>4.8126330594292925</v>
      </c>
      <c r="H37" s="138">
        <f>G37/C37-1</f>
        <v>0</v>
      </c>
      <c r="I37" s="75">
        <f>I36/I34</f>
        <v>3.3838359456730447</v>
      </c>
      <c r="J37" s="138">
        <f>I37/D37-1</f>
        <v>0</v>
      </c>
      <c r="K37" s="90" t="s">
        <v>62</v>
      </c>
      <c r="L37" s="35"/>
      <c r="M37" t="str">
        <f>$O$6&amp;O35&amp;N37</f>
        <v>SupermarketRESTOFCATEGORYSmall</v>
      </c>
      <c r="N37" s="33" t="s">
        <v>113</v>
      </c>
      <c r="O37" s="50">
        <f>IFERROR(INDEX('Calculations - Supermarket'!$M$32:$M$229,MATCH($M37,'Calculations - Supermarket'!$C$32:$C$229,0)),0)</f>
        <v>7.2426926417956325</v>
      </c>
      <c r="P37" s="60">
        <f>O37</f>
        <v>7.2426926417956325</v>
      </c>
      <c r="Q37"/>
      <c r="R37"/>
      <c r="S37" s="41">
        <f t="shared" ref="S37:S39" si="4">IFERROR(P37/O37-1,0)</f>
        <v>0</v>
      </c>
      <c r="T37" s="122">
        <f>IFERROR(INDEX('Calculations - Supermarket'!$AZ$32:$AZ$229,MATCH($M37,'Calculations - Supermarket'!$C$32:$C$229,0)),"-")</f>
        <v>2.0997048906811967E-3</v>
      </c>
      <c r="U37"/>
      <c r="V37" s="70" t="s">
        <v>60</v>
      </c>
      <c r="W37" s="75">
        <f>W36/W34</f>
        <v>4.8126330594292908</v>
      </c>
      <c r="X37" s="138">
        <f>W37/C37-1</f>
        <v>0</v>
      </c>
      <c r="Y37" s="75">
        <f>Y36/Y34</f>
        <v>3.383835945673046</v>
      </c>
      <c r="Z37" s="138">
        <f>Y37/D37-1</f>
        <v>0</v>
      </c>
      <c r="AA37" s="72" t="s">
        <v>62</v>
      </c>
      <c r="AB37" s="138" t="s">
        <v>62</v>
      </c>
      <c r="AC37"/>
    </row>
    <row r="38" spans="1:29" ht="25.05" customHeight="1" x14ac:dyDescent="0.3">
      <c r="A38"/>
      <c r="B38" s="83" t="s">
        <v>61</v>
      </c>
      <c r="C38" s="92">
        <f>INDEX('Calculations - Supermarket'!$S$4:$S$24,MATCH(Supermarket!C$32,'Calculations - Supermarket'!$F$4:$F$24,0))</f>
        <v>0.3</v>
      </c>
      <c r="D38" s="92">
        <f>INDEX('Calculations - Supermarket'!$S$4:$S$24,MATCH(Supermarket!D$32,'Calculations - Supermarket'!$F$4:$F$24,0))</f>
        <v>0.3</v>
      </c>
      <c r="E38" s="85" t="s">
        <v>62</v>
      </c>
      <c r="F38" s="38"/>
      <c r="G38" s="76">
        <f>INDEX('Calculations - Supermarket'!$AD$4:$AD$24,MATCH(Supermarket!G$32,'Calculations - Supermarket'!$F$4:$F$24,0))/G36</f>
        <v>0.3000000000000001</v>
      </c>
      <c r="H38" s="139">
        <f>(G38-C38)*10000</f>
        <v>1.1102230246251565E-12</v>
      </c>
      <c r="I38" s="76">
        <f>INDEX('Calculations - Supermarket'!$AD$4:$AD$24,MATCH(Supermarket!I$32,'Calculations - Supermarket'!$F$4:$F$24,0))/I36</f>
        <v>0.3</v>
      </c>
      <c r="J38" s="139">
        <f>(I38-D38)*10000</f>
        <v>0</v>
      </c>
      <c r="K38" s="90" t="s">
        <v>62</v>
      </c>
      <c r="L38" s="46"/>
      <c r="M38" t="str">
        <f>$O$6&amp;O35&amp;N38</f>
        <v>SupermarketRESTOFCATEGORYMedium</v>
      </c>
      <c r="N38" s="33" t="s">
        <v>111</v>
      </c>
      <c r="O38" s="50">
        <f>IFERROR(INDEX('Calculations - Supermarket'!$M$32:$M$229,MATCH($M38,'Calculations - Supermarket'!$C$32:$C$229,0)),0)</f>
        <v>1.7794420600858367</v>
      </c>
      <c r="P38" s="60">
        <f>O38</f>
        <v>1.7794420600858367</v>
      </c>
      <c r="Q38"/>
      <c r="R38"/>
      <c r="S38" s="41">
        <f t="shared" si="4"/>
        <v>0</v>
      </c>
      <c r="T38" s="122">
        <f>IFERROR(INDEX('Calculations - Supermarket'!$AZ$32:$AZ$229,MATCH($M38,'Calculations - Supermarket'!$C$32:$C$229,0)),"-")</f>
        <v>1.1253451109317911E-4</v>
      </c>
      <c r="U38"/>
      <c r="V38" s="70" t="s">
        <v>61</v>
      </c>
      <c r="W38" s="76">
        <f>INDEX('Calculations - Supermarket'!$AH$4:$AH$24,MATCH(Supermarket!W$32,'Calculations - Supermarket'!$F$4:$F$24,0))</f>
        <v>0.29999999999999993</v>
      </c>
      <c r="X38" s="139">
        <f>(W38-C38)*10000</f>
        <v>-5.5511151231257827E-13</v>
      </c>
      <c r="Y38" s="76">
        <f>INDEX('Calculations - Supermarket'!$AH$4:$AH$24,MATCH(Supermarket!Y$32,'Calculations - Supermarket'!$F$4:$F$24,0))</f>
        <v>0.29999999999999993</v>
      </c>
      <c r="Z38" s="139">
        <f>(Y38-D38)*10000</f>
        <v>-5.5511151231257827E-13</v>
      </c>
      <c r="AA38" s="72" t="s">
        <v>62</v>
      </c>
      <c r="AB38" s="139" t="s">
        <v>62</v>
      </c>
      <c r="AC38"/>
    </row>
    <row r="39" spans="1:29" ht="25.05" customHeight="1" x14ac:dyDescent="0.3">
      <c r="A39"/>
      <c r="B39" s="83" t="s">
        <v>79</v>
      </c>
      <c r="C39" s="93">
        <f>C35/$E$35</f>
        <v>0.76983522684101346</v>
      </c>
      <c r="D39" s="93">
        <f>D35/$E$35</f>
        <v>0.10307152200427051</v>
      </c>
      <c r="E39" s="85" t="s">
        <v>62</v>
      </c>
      <c r="F39" s="38"/>
      <c r="G39" s="77">
        <f>G35/$K$35</f>
        <v>0.77285076440763489</v>
      </c>
      <c r="H39" s="139">
        <f t="shared" ref="H39:H40" si="5">(G39-C39)*10000</f>
        <v>30.15537566621429</v>
      </c>
      <c r="I39" s="77">
        <f>I35/$K$35</f>
        <v>9.9202685826904474E-2</v>
      </c>
      <c r="J39" s="139">
        <f>(I39-D39)*10000</f>
        <v>-38.68836177366039</v>
      </c>
      <c r="K39" s="93" t="s">
        <v>62</v>
      </c>
      <c r="L39" s="46"/>
      <c r="M39" t="str">
        <f>$O$6&amp;O35&amp;N39</f>
        <v>SupermarketRESTOFCATEGORYLarge</v>
      </c>
      <c r="N39" s="33" t="s">
        <v>112</v>
      </c>
      <c r="O39" s="50">
        <f>IFERROR(INDEX('Calculations - Supermarket'!$M$32:$M$229,MATCH($M39,'Calculations - Supermarket'!$C$32:$C$229,0)),0)</f>
        <v>2.0543112388286775</v>
      </c>
      <c r="P39" s="60">
        <f>O39</f>
        <v>2.0543112388286775</v>
      </c>
      <c r="Q39"/>
      <c r="R39"/>
      <c r="S39" s="41">
        <f t="shared" si="4"/>
        <v>0</v>
      </c>
      <c r="T39" s="122">
        <f>IFERROR(INDEX('Calculations - Supermarket'!$AZ$32:$AZ$229,MATCH($M39,'Calculations - Supermarket'!$C$32:$C$229,0)),"-")</f>
        <v>3.015097610638284E-2</v>
      </c>
      <c r="U39"/>
      <c r="V39" s="70" t="s">
        <v>79</v>
      </c>
      <c r="W39" s="77">
        <f>W35/$AA$35</f>
        <v>0.77285076440763489</v>
      </c>
      <c r="X39" s="139">
        <f>(W39-C39)*10000</f>
        <v>30.15537566621429</v>
      </c>
      <c r="Y39" s="77">
        <f>Y35/$AA$35</f>
        <v>9.9202685826904446E-2</v>
      </c>
      <c r="Z39" s="139">
        <f>(Y39-D39)*10000</f>
        <v>-38.688361773660667</v>
      </c>
      <c r="AA39" s="72" t="s">
        <v>62</v>
      </c>
      <c r="AB39" s="139" t="s">
        <v>62</v>
      </c>
      <c r="AC39"/>
    </row>
    <row r="40" spans="1:29" ht="25.05" customHeight="1" x14ac:dyDescent="0.3">
      <c r="A40"/>
      <c r="B40" s="83" t="s">
        <v>80</v>
      </c>
      <c r="C40" s="93">
        <f>C34/$E$34</f>
        <v>0.62689330231835505</v>
      </c>
      <c r="D40" s="93">
        <f>D34/$E$34</f>
        <v>0.11937351703845765</v>
      </c>
      <c r="E40" s="85" t="s">
        <v>62</v>
      </c>
      <c r="F40" s="38"/>
      <c r="G40" s="77">
        <f>G34/$K$34</f>
        <v>0.62911028270711666</v>
      </c>
      <c r="H40" s="139">
        <f t="shared" si="5"/>
        <v>22.169803887616133</v>
      </c>
      <c r="I40" s="77">
        <f>I34/$K$34</f>
        <v>0.11484921308717984</v>
      </c>
      <c r="J40" s="139">
        <f>(I40-D40)*10000</f>
        <v>-45.24303951277814</v>
      </c>
      <c r="K40" s="93" t="s">
        <v>62</v>
      </c>
      <c r="L40" s="45"/>
      <c r="M40"/>
      <c r="N40"/>
      <c r="O40"/>
      <c r="P40"/>
      <c r="Q40"/>
      <c r="R40"/>
      <c r="S40"/>
      <c r="T40"/>
      <c r="U40"/>
      <c r="V40" s="70" t="s">
        <v>80</v>
      </c>
      <c r="W40" s="77">
        <f>W34/$AA$34</f>
        <v>0.62911028270711689</v>
      </c>
      <c r="X40" s="139">
        <f>(W40-C40)*10000</f>
        <v>22.169803887618357</v>
      </c>
      <c r="Y40" s="77">
        <f>Y34/$AA$34</f>
        <v>0.11484921308717978</v>
      </c>
      <c r="Z40" s="139">
        <f>(Y40-D40)*10000</f>
        <v>-45.243039512778694</v>
      </c>
      <c r="AA40" s="72" t="s">
        <v>62</v>
      </c>
      <c r="AB40" s="139" t="s">
        <v>62</v>
      </c>
      <c r="AC40"/>
    </row>
    <row r="41" spans="1:29" ht="25.05" customHeight="1" thickBot="1" x14ac:dyDescent="0.35">
      <c r="A41"/>
      <c r="B41" s="84" t="s">
        <v>63</v>
      </c>
      <c r="C41" s="133">
        <f>C35/C34</f>
        <v>6.0157913242866154</v>
      </c>
      <c r="D41" s="133">
        <f>D35/D34</f>
        <v>4.2297949320913055</v>
      </c>
      <c r="E41" s="134">
        <f>E35/E34</f>
        <v>4.8987876338360747</v>
      </c>
      <c r="F41" s="39"/>
      <c r="G41" s="128">
        <f>G35/G34</f>
        <v>6.0157913242866154</v>
      </c>
      <c r="H41" s="140">
        <f t="shared" ref="H41" si="6">G41/C41-1</f>
        <v>0</v>
      </c>
      <c r="I41" s="128">
        <f>I35/I34</f>
        <v>4.2297949320913055</v>
      </c>
      <c r="J41" s="140">
        <f>I41/D41-1</f>
        <v>0</v>
      </c>
      <c r="K41" s="133">
        <f>K35/K34</f>
        <v>4.8969301125421589</v>
      </c>
      <c r="L41" s="35"/>
      <c r="M41"/>
      <c r="N41"/>
      <c r="O41"/>
      <c r="P41"/>
      <c r="Q41"/>
      <c r="R41"/>
      <c r="S41"/>
      <c r="T41"/>
      <c r="U41"/>
      <c r="V41" s="71" t="s">
        <v>63</v>
      </c>
      <c r="W41" s="128">
        <f>W35/W34</f>
        <v>6.0157913242866137</v>
      </c>
      <c r="X41" s="140">
        <f>W41/C41-1</f>
        <v>0</v>
      </c>
      <c r="Y41" s="128">
        <f>Y35/Y34</f>
        <v>4.2297949320913064</v>
      </c>
      <c r="Z41" s="140">
        <f>Y41/D41-1</f>
        <v>0</v>
      </c>
      <c r="AA41" s="129">
        <f>AA35/AA34</f>
        <v>4.896930112542158</v>
      </c>
      <c r="AB41" s="140">
        <f>AA41/E41-1</f>
        <v>-3.7917979564716653E-4</v>
      </c>
      <c r="AC41"/>
    </row>
    <row r="42" spans="1:29" ht="25.05" customHeight="1" x14ac:dyDescent="0.3">
      <c r="A42"/>
      <c r="B42"/>
      <c r="C42"/>
      <c r="D42"/>
      <c r="E42"/>
      <c r="F42" s="40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ht="25.0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ht="25.0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ht="25.05" customHeight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47" t="s">
        <v>76</v>
      </c>
      <c r="W63" s="143" t="str">
        <f>$O$11</f>
        <v>HP</v>
      </c>
      <c r="X63" s="144"/>
      <c r="Y63" s="145" t="str">
        <f>$O$17</f>
        <v>DADDIES</v>
      </c>
      <c r="Z63" s="146"/>
      <c r="AA63"/>
      <c r="AB63"/>
      <c r="AC63"/>
    </row>
    <row r="64" spans="1:29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48"/>
      <c r="W64" s="99" t="s">
        <v>71</v>
      </c>
      <c r="X64" s="98" t="s">
        <v>86</v>
      </c>
      <c r="Y64" s="99" t="s">
        <v>71</v>
      </c>
      <c r="Z64" s="98" t="s">
        <v>86</v>
      </c>
      <c r="AA64"/>
      <c r="AB64"/>
      <c r="AC64"/>
    </row>
    <row r="65" spans="1:29" ht="25.05" customHeigh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05" t="str">
        <f>$O$11</f>
        <v>HP</v>
      </c>
      <c r="W65" s="100">
        <f>INDEX('Calculations - Supermarket'!$AZ$4:$AZ$24,MATCH(Supermarket!$V65,'Calculations - Supermarket'!$F$4:$F$24,0))</f>
        <v>100</v>
      </c>
      <c r="X65" s="97">
        <f>INDEX('Calculations - Supermarket'!$BB$4:$BB$24,MATCH(Supermarket!$V65,'Calculations - Supermarket'!$F$4:$F$24,0))</f>
        <v>100</v>
      </c>
      <c r="Y65" s="100">
        <f>INDEX('Calculations - Supermarket'!$BA$4:$BA$24,MATCH(Supermarket!$V65,'Calculations - Supermarket'!$F$4:$F$24,0))</f>
        <v>70.311530172514708</v>
      </c>
      <c r="Z65" s="97">
        <f>INDEX('Calculations - Supermarket'!$BC$4:$BC$24,MATCH(Supermarket!$V65,'Calculations - Supermarket'!$F$4:$F$24,0))</f>
        <v>70.311530172514736</v>
      </c>
      <c r="AA65"/>
      <c r="AB65"/>
      <c r="AC65"/>
    </row>
    <row r="66" spans="1:29" ht="25.05" customHeigh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06" t="str">
        <f>$O$17</f>
        <v>DADDIES</v>
      </c>
      <c r="W66" s="101">
        <f>INDEX('Calculations - Supermarket'!$AZ$4:$AZ$24,MATCH(Supermarket!$V66,'Calculations - Supermarket'!$F$4:$F$24,0))</f>
        <v>142.22418393489997</v>
      </c>
      <c r="X66" s="95">
        <f>INDEX('Calculations - Supermarket'!$BB$4:$BB$24,MATCH(Supermarket!$V66,'Calculations - Supermarket'!$F$4:$F$24,0))</f>
        <v>142.22418393489991</v>
      </c>
      <c r="Y66" s="101">
        <f>INDEX('Calculations - Supermarket'!$BA$4:$BA$24,MATCH(Supermarket!$V66,'Calculations - Supermarket'!$F$4:$F$24,0))</f>
        <v>100</v>
      </c>
      <c r="Z66" s="95">
        <f>INDEX('Calculations - Supermarket'!$BC$4:$BC$24,MATCH(Supermarket!$V66,'Calculations - Supermarket'!$F$4:$F$24,0))</f>
        <v>100</v>
      </c>
      <c r="AA66"/>
      <c r="AB66"/>
      <c r="AC66"/>
    </row>
    <row r="67" spans="1:29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06" t="str">
        <f>$O$23</f>
        <v>PRIVATE LABEL</v>
      </c>
      <c r="W67" s="101">
        <f>INDEX('Calculations - Supermarket'!$AZ$4:$AZ$24,MATCH(Supermarket!$V67,'Calculations - Supermarket'!$F$4:$F$24,0))</f>
        <v>264.85216722611801</v>
      </c>
      <c r="X67" s="95">
        <f>INDEX('Calculations - Supermarket'!$BB$4:$BB$24,MATCH(Supermarket!$V67,'Calculations - Supermarket'!$F$4:$F$24,0))</f>
        <v>264.85216722611796</v>
      </c>
      <c r="Y67" s="101">
        <f>INDEX('Calculations - Supermarket'!$BA$4:$BA$24,MATCH(Supermarket!$V67,'Calculations - Supermarket'!$F$4:$F$24,0))</f>
        <v>186.22161147175109</v>
      </c>
      <c r="Z67" s="95">
        <f>INDEX('Calculations - Supermarket'!$BC$4:$BC$24,MATCH(Supermarket!$V67,'Calculations - Supermarket'!$F$4:$F$24,0))</f>
        <v>186.22161147175112</v>
      </c>
      <c r="AA67"/>
      <c r="AB67"/>
      <c r="AC67"/>
    </row>
    <row r="68" spans="1:29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06" t="str">
        <f>$O$29</f>
        <v>BRANSTON</v>
      </c>
      <c r="W68" s="101">
        <f>INDEX('Calculations - Supermarket'!$AZ$4:$AZ$24,MATCH(Supermarket!$V68,'Calculations - Supermarket'!$F$4:$F$24,0))</f>
        <v>134.08691145252311</v>
      </c>
      <c r="X68" s="95">
        <f>INDEX('Calculations - Supermarket'!$BB$4:$BB$24,MATCH(Supermarket!$V68,'Calculations - Supermarket'!$F$4:$F$24,0))</f>
        <v>134.08691145252308</v>
      </c>
      <c r="Y68" s="101">
        <f>INDEX('Calculations - Supermarket'!$BA$4:$BA$24,MATCH(Supermarket!$V68,'Calculations - Supermarket'!$F$4:$F$24,0))</f>
        <v>94.27855920333387</v>
      </c>
      <c r="Z68" s="95">
        <f>INDEX('Calculations - Supermarket'!$BC$4:$BC$24,MATCH(Supermarket!$V68,'Calculations - Supermarket'!$F$4:$F$24,0))</f>
        <v>94.27855920333387</v>
      </c>
      <c r="AA68"/>
      <c r="AB68"/>
      <c r="AC68"/>
    </row>
    <row r="69" spans="1:29" ht="25.05" customHeight="1" x14ac:dyDescent="0.4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06" t="str">
        <f>$O$35</f>
        <v>RESTOFCATEGORY</v>
      </c>
      <c r="W69" s="101">
        <f>INDEX('Calculations - Supermarket'!$AZ$4:$AZ$24,MATCH(Supermarket!$V69,'Calculations - Supermarket'!$F$4:$F$24,0))</f>
        <v>229.48157367047182</v>
      </c>
      <c r="X69" s="95">
        <f>INDEX('Calculations - Supermarket'!$BB$4:$BB$24,MATCH(Supermarket!$V69,'Calculations - Supermarket'!$F$4:$F$24,0))</f>
        <v>229.48157367047176</v>
      </c>
      <c r="Y69" s="101">
        <f>INDEX('Calculations - Supermarket'!$BA$4:$BA$24,MATCH(Supermarket!$V69,'Calculations - Supermarket'!$F$4:$F$24,0))</f>
        <v>161.35200591167535</v>
      </c>
      <c r="Z69" s="95">
        <f>INDEX('Calculations - Supermarket'!$BC$4:$BC$24,MATCH(Supermarket!$V69,'Calculations - Supermarket'!$F$4:$F$24,0))</f>
        <v>161.35200591167538</v>
      </c>
      <c r="AA69"/>
      <c r="AB69"/>
      <c r="AC69"/>
    </row>
    <row r="70" spans="1:29" ht="25.05" customHeight="1" thickBot="1" x14ac:dyDescent="0.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07" t="s">
        <v>56</v>
      </c>
      <c r="W70" s="102">
        <f>INDEX('Calculations - Supermarket'!$AZ$4:$AZ$24,MATCH(Supermarket!$V70,'Calculations - Supermarket'!$F$4:$F$24,0))</f>
        <v>122.8016353012603</v>
      </c>
      <c r="X70" s="96">
        <f>INDEX('Calculations - Supermarket'!$BB$4:$BB$24,MATCH(Supermarket!$V70,'Calculations - Supermarket'!$F$4:$F$24,0))</f>
        <v>122.84821686302601</v>
      </c>
      <c r="Y70" s="102">
        <f>INDEX('Calculations - Supermarket'!$BA$4:$BA$24,MATCH(Supermarket!$V70,'Calculations - Supermarket'!$F$4:$F$24,0))</f>
        <v>86.34370885718711</v>
      </c>
      <c r="Z70" s="96">
        <f>INDEX('Calculations - Supermarket'!$BC$4:$BC$24,MATCH(Supermarket!$V70,'Calculations - Supermarket'!$F$4:$F$24,0))</f>
        <v>86.376461066042864</v>
      </c>
      <c r="AA70"/>
      <c r="AB70"/>
      <c r="AC70"/>
    </row>
    <row r="71" spans="1:29" ht="25.05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ht="25.05" customHeight="1" x14ac:dyDescent="0.3"/>
    <row r="74" spans="1:29" ht="25.05" customHeight="1" x14ac:dyDescent="0.3"/>
    <row r="75" spans="1:29" ht="25.05" customHeight="1" x14ac:dyDescent="0.3"/>
    <row r="76" spans="1:29" ht="25.05" customHeight="1" x14ac:dyDescent="0.3"/>
    <row r="77" spans="1:29" ht="25.05" customHeight="1" x14ac:dyDescent="0.3"/>
    <row r="78" spans="1:29" ht="25.05" customHeight="1" x14ac:dyDescent="0.3"/>
    <row r="79" spans="1:29" ht="25.05" customHeight="1" x14ac:dyDescent="0.3"/>
    <row r="80" spans="1:29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</sheetData>
  <mergeCells count="21">
    <mergeCell ref="AA32:AB32"/>
    <mergeCell ref="V29:AB29"/>
    <mergeCell ref="V8:AB8"/>
    <mergeCell ref="B6:C6"/>
    <mergeCell ref="B32:B33"/>
    <mergeCell ref="O17:P17"/>
    <mergeCell ref="O23:P23"/>
    <mergeCell ref="B8:K8"/>
    <mergeCell ref="O11:P11"/>
    <mergeCell ref="B29:K29"/>
    <mergeCell ref="N8:T8"/>
    <mergeCell ref="O29:P29"/>
    <mergeCell ref="G32:H32"/>
    <mergeCell ref="I32:J32"/>
    <mergeCell ref="W63:X63"/>
    <mergeCell ref="Y63:Z63"/>
    <mergeCell ref="V63:V64"/>
    <mergeCell ref="O35:P35"/>
    <mergeCell ref="V32:V33"/>
    <mergeCell ref="W32:X32"/>
    <mergeCell ref="Y32:Z32"/>
  </mergeCells>
  <conditionalFormatting sqref="X65:X70 Z65:Z70">
    <cfRule type="cellIs" dxfId="5" priority="20" operator="lessThan">
      <formula>W65*0.99</formula>
    </cfRule>
    <cfRule type="cellIs" dxfId="4" priority="22" operator="greaterThan">
      <formula>W65*1.01</formula>
    </cfRule>
  </conditionalFormatting>
  <conditionalFormatting sqref="H34:H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4:X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8:X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X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4:Z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8:Z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Z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4:AB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8:AB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B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7" id="{5967127F-887A-4F30-A767-D5A3C2BD098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S11</xm:sqref>
        </x14:conditionalFormatting>
        <x14:conditionalFormatting xmlns:xm="http://schemas.microsoft.com/office/excel/2006/main">
          <x14:cfRule type="iconSet" priority="31" id="{0C92BDF2-A219-48C7-BAF0-C84E23A375C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70" id="{703B6633-04EE-471A-9B63-104EEAC60DB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S13:S15</xm:sqref>
        </x14:conditionalFormatting>
        <x14:conditionalFormatting xmlns:xm="http://schemas.microsoft.com/office/excel/2006/main">
          <x14:cfRule type="iconSet" priority="71" id="{6112AF17-B6DC-41B7-B826-7F73BC19AE3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S14:S15</xm:sqref>
        </x14:conditionalFormatting>
        <x14:conditionalFormatting xmlns:xm="http://schemas.microsoft.com/office/excel/2006/main">
          <x14:cfRule type="iconSet" priority="72" id="{089FCA37-506C-4CE3-92AD-5C4B67E4006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73" id="{808E753D-A643-47BB-8632-0A5BABC2D53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S19:S21</xm:sqref>
        </x14:conditionalFormatting>
        <x14:conditionalFormatting xmlns:xm="http://schemas.microsoft.com/office/excel/2006/main">
          <x14:cfRule type="iconSet" priority="74" id="{1D68C3DA-8E3C-4F6C-8AA9-37B3901665A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75" id="{AF604768-8112-43CF-8BAF-7A0B3403C1D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S25:S27</xm:sqref>
        </x14:conditionalFormatting>
        <x14:conditionalFormatting xmlns:xm="http://schemas.microsoft.com/office/excel/2006/main">
          <x14:cfRule type="iconSet" priority="76" id="{7380C6E5-EB05-4B47-8172-AF103963E1F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77" id="{69C29E9C-95CF-43E1-9D8C-A38CCB89912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S31:S33</xm:sqref>
        </x14:conditionalFormatting>
        <x14:conditionalFormatting xmlns:xm="http://schemas.microsoft.com/office/excel/2006/main">
          <x14:cfRule type="iconSet" priority="78" id="{F076B950-B3F2-4B1E-AF2F-8D90360FA08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79" id="{165ACEF6-A031-4955-9363-0BC6CB043BE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S37:S39</xm:sqref>
        </x14:conditionalFormatting>
        <x14:conditionalFormatting xmlns:xm="http://schemas.microsoft.com/office/excel/2006/main">
          <x14:cfRule type="iconSet" priority="80" id="{2EBB829B-FC28-4C26-9BD5-E21D744CBC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S35 S29 S23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3A2AF-D97D-4523-81A7-E3CF5E6DF1A8}">
  <sheetPr codeName="Sheet4"/>
  <dimension ref="B1:Z200"/>
  <sheetViews>
    <sheetView workbookViewId="0">
      <selection activeCell="N1" sqref="N1"/>
    </sheetView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4.21875" bestFit="1" customWidth="1"/>
    <col min="6" max="6" width="15.88671875" bestFit="1" customWidth="1"/>
    <col min="7" max="9" width="14.33203125" bestFit="1" customWidth="1"/>
    <col min="10" max="10" width="16.88671875" bestFit="1" customWidth="1"/>
    <col min="11" max="11" width="15.88671875" bestFit="1" customWidth="1"/>
    <col min="16" max="16" width="8" bestFit="1" customWidth="1"/>
    <col min="17" max="17" width="19.33203125" bestFit="1" customWidth="1"/>
    <col min="18" max="18" width="15.88671875" bestFit="1" customWidth="1"/>
    <col min="19" max="21" width="14.33203125" bestFit="1" customWidth="1"/>
    <col min="22" max="22" width="16.88671875" bestFit="1" customWidth="1"/>
    <col min="23" max="23" width="15.88671875" bestFit="1" customWidth="1"/>
    <col min="25" max="25" width="21.6640625" bestFit="1" customWidth="1"/>
    <col min="26" max="26" width="15.44140625" bestFit="1" customWidth="1"/>
  </cols>
  <sheetData>
    <row r="1" spans="2:26" ht="18" x14ac:dyDescent="0.35">
      <c r="B1" s="112" t="s">
        <v>84</v>
      </c>
      <c r="O1" s="112" t="s">
        <v>85</v>
      </c>
    </row>
    <row r="2" spans="2:26" x14ac:dyDescent="0.3">
      <c r="B2" t="s">
        <v>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1"/>
      <c r="M2" t="s">
        <v>33</v>
      </c>
      <c r="O2" t="s">
        <v>9</v>
      </c>
      <c r="P2" s="1" t="s">
        <v>0</v>
      </c>
      <c r="Q2" s="1" t="s">
        <v>1</v>
      </c>
      <c r="R2" s="1" t="s">
        <v>3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Y2" t="s">
        <v>81</v>
      </c>
      <c r="Z2" t="s">
        <v>82</v>
      </c>
    </row>
    <row r="3" spans="2:26" x14ac:dyDescent="0.3">
      <c r="B3" s="2" t="str">
        <f>C3&amp;D3&amp;E3</f>
        <v>TescoDADDIESMedium</v>
      </c>
      <c r="C3" s="1" t="s">
        <v>115</v>
      </c>
      <c r="D3" s="1" t="s">
        <v>106</v>
      </c>
      <c r="E3" s="1" t="s">
        <v>111</v>
      </c>
      <c r="F3" s="110">
        <v>1834864.89</v>
      </c>
      <c r="G3" s="110">
        <v>488458</v>
      </c>
      <c r="H3" s="111">
        <v>2.02197018046675</v>
      </c>
      <c r="I3" s="111">
        <v>7.5954167866334696</v>
      </c>
      <c r="J3" s="110">
        <v>5145186.84</v>
      </c>
      <c r="K3" s="110">
        <v>1370212.4</v>
      </c>
      <c r="M3" s="28">
        <v>11.664993089999999</v>
      </c>
      <c r="O3" s="2" t="str">
        <f>P3&amp;Q3</f>
        <v>TescoDADDIES</v>
      </c>
      <c r="P3" s="1" t="s">
        <v>115</v>
      </c>
      <c r="Q3" s="1" t="s">
        <v>106</v>
      </c>
      <c r="R3" s="110">
        <v>1839330.52</v>
      </c>
      <c r="S3" s="110">
        <v>490244.37</v>
      </c>
      <c r="T3" s="111">
        <v>2.02306946178981</v>
      </c>
      <c r="U3" s="111">
        <v>7.5902827913148103</v>
      </c>
      <c r="V3" s="110">
        <v>5154990.3</v>
      </c>
      <c r="W3" s="110">
        <v>1374147.4550000001</v>
      </c>
      <c r="Y3" t="str" cm="1">
        <f t="array" ref="Y3:Y7">_xlfn.UNIQUE($Q$3:$Q$200)</f>
        <v>DADDIES</v>
      </c>
      <c r="Z3" s="103">
        <v>2</v>
      </c>
    </row>
    <row r="4" spans="2:26" x14ac:dyDescent="0.3">
      <c r="B4" s="2" t="str">
        <f t="shared" ref="B4:B67" si="0">C4&amp;D4&amp;E4</f>
        <v>TescoDADDIESLarge</v>
      </c>
      <c r="C4" s="1" t="s">
        <v>115</v>
      </c>
      <c r="D4" s="1" t="s">
        <v>106</v>
      </c>
      <c r="E4" s="1" t="s">
        <v>112</v>
      </c>
      <c r="F4" s="110">
        <v>4465.63</v>
      </c>
      <c r="G4" s="110">
        <v>1786.37</v>
      </c>
      <c r="H4" s="111">
        <v>2.4747487777894701</v>
      </c>
      <c r="I4" s="111">
        <v>6.1864632660423098</v>
      </c>
      <c r="J4" s="110">
        <v>9803.4599999999991</v>
      </c>
      <c r="K4" s="110">
        <v>3935.0549999999998</v>
      </c>
      <c r="O4" s="2" t="str">
        <f t="shared" ref="O4:O67" si="1">P4&amp;Q4</f>
        <v>TescoHP</v>
      </c>
      <c r="P4" s="1" t="s">
        <v>115</v>
      </c>
      <c r="Q4" s="1" t="s">
        <v>107</v>
      </c>
      <c r="R4" s="110">
        <v>12277179.699999999</v>
      </c>
      <c r="S4" s="110">
        <v>2069063.425</v>
      </c>
      <c r="T4" s="111">
        <v>2.24632220726998</v>
      </c>
      <c r="U4" s="111">
        <v>13.3289782563114</v>
      </c>
      <c r="V4" s="110">
        <v>36556298.960000001</v>
      </c>
      <c r="W4" s="110">
        <v>6392867.6349999998</v>
      </c>
      <c r="Y4" t="str">
        <v>HP</v>
      </c>
      <c r="Z4" s="103">
        <v>1</v>
      </c>
    </row>
    <row r="5" spans="2:26" x14ac:dyDescent="0.3">
      <c r="B5" s="2" t="str">
        <f t="shared" si="0"/>
        <v>TescoHPMedium</v>
      </c>
      <c r="C5" s="1" t="s">
        <v>115</v>
      </c>
      <c r="D5" s="1" t="s">
        <v>107</v>
      </c>
      <c r="E5" s="1" t="s">
        <v>111</v>
      </c>
      <c r="F5" s="110">
        <v>7868551.6399999997</v>
      </c>
      <c r="G5" s="110">
        <v>1320241.8999999999</v>
      </c>
      <c r="H5" s="111">
        <v>2.3189125395988599</v>
      </c>
      <c r="I5" s="111">
        <v>13.8205605097651</v>
      </c>
      <c r="J5" s="110">
        <v>22331658.699999999</v>
      </c>
      <c r="K5" s="110">
        <v>3856865.9350000001</v>
      </c>
      <c r="O5" s="2" t="str">
        <f t="shared" si="1"/>
        <v>TescoPRIVATE LABEL</v>
      </c>
      <c r="P5" s="1" t="s">
        <v>115</v>
      </c>
      <c r="Q5" s="1" t="s">
        <v>108</v>
      </c>
      <c r="R5" s="110">
        <v>1151865.44</v>
      </c>
      <c r="S5" s="110">
        <v>480353.92499999999</v>
      </c>
      <c r="T5" s="111">
        <v>2.4382279942634799</v>
      </c>
      <c r="U5" s="111">
        <v>5.8467526031615504</v>
      </c>
      <c r="V5" s="110">
        <v>2651701.2200000002</v>
      </c>
      <c r="W5" s="110">
        <v>1244392.71</v>
      </c>
      <c r="Y5" t="str">
        <v>PRIVATE LABEL</v>
      </c>
      <c r="Z5" s="103">
        <v>3</v>
      </c>
    </row>
    <row r="6" spans="2:26" x14ac:dyDescent="0.3">
      <c r="B6" s="2" t="str">
        <f t="shared" si="0"/>
        <v>TescoHPLarge</v>
      </c>
      <c r="C6" s="1" t="s">
        <v>115</v>
      </c>
      <c r="D6" s="1" t="s">
        <v>107</v>
      </c>
      <c r="E6" s="1" t="s">
        <v>112</v>
      </c>
      <c r="F6" s="110">
        <v>3113873.62</v>
      </c>
      <c r="G6" s="110">
        <v>568627.19999999995</v>
      </c>
      <c r="H6" s="111">
        <v>2.05562141310129</v>
      </c>
      <c r="I6" s="111">
        <v>11.256839790575</v>
      </c>
      <c r="J6" s="110">
        <v>10334117.300000001</v>
      </c>
      <c r="K6" s="110">
        <v>1963389</v>
      </c>
      <c r="O6" s="2" t="str">
        <f t="shared" si="1"/>
        <v>TescoRESTOFCATEGORY</v>
      </c>
      <c r="P6" s="1" t="s">
        <v>115</v>
      </c>
      <c r="Q6" s="1" t="s">
        <v>109</v>
      </c>
      <c r="R6" s="110">
        <v>101780.63</v>
      </c>
      <c r="S6" s="110">
        <v>68065.3</v>
      </c>
      <c r="T6" s="111">
        <v>1.8585905720881299</v>
      </c>
      <c r="U6" s="111">
        <v>2.77922112058847</v>
      </c>
      <c r="V6" s="110">
        <v>265658.86</v>
      </c>
      <c r="W6" s="110">
        <v>174058.48</v>
      </c>
      <c r="Y6" t="str">
        <v>RESTOFCATEGORY</v>
      </c>
      <c r="Z6" s="103">
        <v>4</v>
      </c>
    </row>
    <row r="7" spans="2:26" x14ac:dyDescent="0.3">
      <c r="B7" s="2" t="str">
        <f t="shared" si="0"/>
        <v>TescoHPSmall</v>
      </c>
      <c r="C7" s="1" t="s">
        <v>115</v>
      </c>
      <c r="D7" s="1" t="s">
        <v>107</v>
      </c>
      <c r="E7" s="1" t="s">
        <v>113</v>
      </c>
      <c r="F7" s="110">
        <v>1294754.44</v>
      </c>
      <c r="G7" s="110">
        <v>180194.32500000001</v>
      </c>
      <c r="H7" s="111">
        <v>2.2638061355586201</v>
      </c>
      <c r="I7" s="111">
        <v>16.266178445485199</v>
      </c>
      <c r="J7" s="110">
        <v>3890522.96</v>
      </c>
      <c r="K7" s="110">
        <v>572612.69999999995</v>
      </c>
      <c r="O7" s="2" t="str">
        <f t="shared" si="1"/>
        <v>Tesco</v>
      </c>
      <c r="P7" s="1" t="s">
        <v>115</v>
      </c>
      <c r="Q7" s="1"/>
      <c r="R7" s="110"/>
      <c r="S7" s="110"/>
      <c r="T7" s="111"/>
      <c r="U7" s="111"/>
      <c r="V7" s="110"/>
      <c r="W7" s="110"/>
      <c r="Y7">
        <v>0</v>
      </c>
    </row>
    <row r="8" spans="2:26" x14ac:dyDescent="0.3">
      <c r="B8" s="2" t="str">
        <f t="shared" si="0"/>
        <v>TescoPRIVATE LABELMedium</v>
      </c>
      <c r="C8" s="1" t="s">
        <v>115</v>
      </c>
      <c r="D8" s="1" t="s">
        <v>108</v>
      </c>
      <c r="E8" s="1" t="s">
        <v>111</v>
      </c>
      <c r="F8" s="110">
        <v>1151849.8400000001</v>
      </c>
      <c r="G8" s="110">
        <v>480345.97499999998</v>
      </c>
      <c r="H8" s="111">
        <v>2.4382281478704799</v>
      </c>
      <c r="I8" s="111">
        <v>5.8467705532623802</v>
      </c>
      <c r="J8" s="110">
        <v>2249319.5699999998</v>
      </c>
      <c r="K8" s="110">
        <v>983099.53</v>
      </c>
      <c r="O8" s="2" t="str">
        <f t="shared" si="1"/>
        <v>Tesco</v>
      </c>
      <c r="P8" s="1" t="s">
        <v>115</v>
      </c>
      <c r="Q8" s="1"/>
      <c r="R8" s="110"/>
      <c r="S8" s="110"/>
      <c r="T8" s="111"/>
      <c r="U8" s="111"/>
      <c r="V8" s="110"/>
      <c r="W8" s="110"/>
    </row>
    <row r="9" spans="2:26" x14ac:dyDescent="0.3">
      <c r="B9" s="2" t="str">
        <f t="shared" si="0"/>
        <v>TescoPRIVATE LABELLarge</v>
      </c>
      <c r="C9" s="1" t="s">
        <v>115</v>
      </c>
      <c r="D9" s="1" t="s">
        <v>108</v>
      </c>
      <c r="E9" s="1" t="s">
        <v>112</v>
      </c>
      <c r="F9" s="110">
        <v>15.6</v>
      </c>
      <c r="G9" s="110">
        <v>7.95</v>
      </c>
      <c r="H9" s="111">
        <v>2.4268861865697899</v>
      </c>
      <c r="I9" s="111">
        <v>4.76219176232562</v>
      </c>
      <c r="J9" s="110">
        <v>402381.65</v>
      </c>
      <c r="K9" s="110">
        <v>261293.18</v>
      </c>
      <c r="O9" s="2" t="str">
        <f t="shared" si="1"/>
        <v>Tesco</v>
      </c>
      <c r="P9" s="1" t="s">
        <v>115</v>
      </c>
      <c r="Q9" s="1"/>
      <c r="R9" s="110"/>
      <c r="S9" s="110"/>
      <c r="T9" s="111"/>
      <c r="U9" s="111"/>
      <c r="V9" s="110"/>
      <c r="W9" s="110"/>
    </row>
    <row r="10" spans="2:26" x14ac:dyDescent="0.3">
      <c r="B10" s="2" t="str">
        <f t="shared" si="0"/>
        <v>TescoRESTOFCATEGORYLarge</v>
      </c>
      <c r="C10" s="1" t="s">
        <v>115</v>
      </c>
      <c r="D10" s="1" t="s">
        <v>109</v>
      </c>
      <c r="E10" s="1" t="s">
        <v>112</v>
      </c>
      <c r="F10" s="110">
        <v>101780.63</v>
      </c>
      <c r="G10" s="110">
        <v>68065.3</v>
      </c>
      <c r="H10" s="111">
        <v>1.8585905720881299</v>
      </c>
      <c r="I10" s="111">
        <v>2.77922112058847</v>
      </c>
      <c r="J10" s="110">
        <v>265644.46000000002</v>
      </c>
      <c r="K10" s="110">
        <v>174056.62</v>
      </c>
      <c r="O10" s="2" t="str">
        <f t="shared" si="1"/>
        <v>Tesco</v>
      </c>
      <c r="P10" s="1" t="s">
        <v>115</v>
      </c>
      <c r="Q10" s="1"/>
      <c r="R10" s="110"/>
      <c r="S10" s="110"/>
      <c r="T10" s="111"/>
      <c r="U10" s="111"/>
      <c r="V10" s="110"/>
      <c r="W10" s="110"/>
    </row>
    <row r="11" spans="2:26" x14ac:dyDescent="0.3">
      <c r="B11" s="2" t="str">
        <f t="shared" si="0"/>
        <v/>
      </c>
      <c r="C11" s="1"/>
      <c r="D11" s="1"/>
      <c r="E11" s="1"/>
      <c r="F11" s="110"/>
      <c r="G11" s="110"/>
      <c r="H11" s="111"/>
      <c r="I11" s="111"/>
      <c r="J11" s="110"/>
      <c r="K11" s="110"/>
      <c r="O11" s="2" t="str">
        <f t="shared" si="1"/>
        <v>Tesco</v>
      </c>
      <c r="P11" s="1" t="s">
        <v>115</v>
      </c>
      <c r="Q11" s="1"/>
      <c r="R11" s="110"/>
      <c r="S11" s="110"/>
      <c r="T11" s="111"/>
      <c r="U11" s="111"/>
      <c r="V11" s="110"/>
      <c r="W11" s="110"/>
    </row>
    <row r="12" spans="2:26" x14ac:dyDescent="0.3">
      <c r="B12" s="2" t="str">
        <f t="shared" si="0"/>
        <v/>
      </c>
      <c r="C12" s="1"/>
      <c r="D12" s="1"/>
      <c r="E12" s="1"/>
      <c r="F12" s="110"/>
      <c r="G12" s="110"/>
      <c r="H12" s="111"/>
      <c r="I12" s="111"/>
      <c r="J12" s="110"/>
      <c r="K12" s="110"/>
      <c r="O12" s="2" t="str">
        <f t="shared" si="1"/>
        <v>Tesco</v>
      </c>
      <c r="P12" s="1" t="s">
        <v>115</v>
      </c>
      <c r="Q12" s="1"/>
      <c r="R12" s="110"/>
      <c r="S12" s="110"/>
      <c r="T12" s="111"/>
      <c r="U12" s="111"/>
      <c r="V12" s="110"/>
      <c r="W12" s="110"/>
    </row>
    <row r="13" spans="2:26" x14ac:dyDescent="0.3">
      <c r="B13" s="2" t="str">
        <f t="shared" si="0"/>
        <v/>
      </c>
      <c r="C13" s="1"/>
      <c r="D13" s="1"/>
      <c r="E13" s="1"/>
      <c r="F13" s="110"/>
      <c r="G13" s="110"/>
      <c r="H13" s="111"/>
      <c r="I13" s="111"/>
      <c r="J13" s="110"/>
      <c r="K13" s="110"/>
      <c r="O13" s="2" t="str">
        <f t="shared" si="1"/>
        <v>Tesco</v>
      </c>
      <c r="P13" s="1" t="s">
        <v>115</v>
      </c>
      <c r="Q13" s="1"/>
      <c r="R13" s="110"/>
      <c r="S13" s="110"/>
      <c r="T13" s="111"/>
      <c r="U13" s="111"/>
      <c r="V13" s="110"/>
      <c r="W13" s="110"/>
    </row>
    <row r="14" spans="2:26" x14ac:dyDescent="0.3">
      <c r="B14" s="2" t="str">
        <f t="shared" si="0"/>
        <v/>
      </c>
      <c r="C14" s="1"/>
      <c r="D14" s="1"/>
      <c r="E14" s="1"/>
      <c r="F14" s="110"/>
      <c r="G14" s="110"/>
      <c r="H14" s="111"/>
      <c r="I14" s="111"/>
      <c r="J14" s="110"/>
      <c r="K14" s="110"/>
      <c r="O14" s="2" t="str">
        <f t="shared" si="1"/>
        <v>Tesco</v>
      </c>
      <c r="P14" s="1" t="s">
        <v>115</v>
      </c>
      <c r="Q14" s="1"/>
      <c r="R14" s="110"/>
      <c r="S14" s="110"/>
      <c r="T14" s="111"/>
      <c r="U14" s="111"/>
      <c r="V14" s="110"/>
      <c r="W14" s="110"/>
    </row>
    <row r="15" spans="2:26" x14ac:dyDescent="0.3">
      <c r="B15" s="2" t="str">
        <f t="shared" si="0"/>
        <v/>
      </c>
      <c r="C15" s="1"/>
      <c r="D15" s="1"/>
      <c r="E15" s="1"/>
      <c r="F15" s="110"/>
      <c r="G15" s="110"/>
      <c r="H15" s="111"/>
      <c r="I15" s="111"/>
      <c r="J15" s="110"/>
      <c r="K15" s="110"/>
      <c r="O15" s="2" t="str">
        <f t="shared" si="1"/>
        <v>Tesco</v>
      </c>
      <c r="P15" s="1" t="s">
        <v>115</v>
      </c>
      <c r="Q15" s="1"/>
      <c r="R15" s="110"/>
      <c r="S15" s="110"/>
      <c r="T15" s="111"/>
      <c r="U15" s="111"/>
      <c r="V15" s="110"/>
      <c r="W15" s="110"/>
    </row>
    <row r="16" spans="2:26" x14ac:dyDescent="0.3">
      <c r="B16" s="2" t="str">
        <f t="shared" si="0"/>
        <v/>
      </c>
      <c r="C16" s="1"/>
      <c r="D16" s="1"/>
      <c r="E16" s="1"/>
      <c r="F16" s="110"/>
      <c r="G16" s="110"/>
      <c r="H16" s="111"/>
      <c r="I16" s="111"/>
      <c r="J16" s="110"/>
      <c r="K16" s="110"/>
      <c r="O16" s="2" t="str">
        <f t="shared" si="1"/>
        <v>Tesco</v>
      </c>
      <c r="P16" s="1" t="s">
        <v>115</v>
      </c>
      <c r="Q16" s="1"/>
      <c r="R16" s="110"/>
      <c r="S16" s="110"/>
      <c r="T16" s="111"/>
      <c r="U16" s="111"/>
      <c r="V16" s="110"/>
      <c r="W16" s="110"/>
    </row>
    <row r="17" spans="2:23" x14ac:dyDescent="0.3">
      <c r="B17" s="2" t="str">
        <f t="shared" si="0"/>
        <v/>
      </c>
      <c r="C17" s="1"/>
      <c r="D17" s="1"/>
      <c r="E17" s="1"/>
      <c r="F17" s="110"/>
      <c r="G17" s="110"/>
      <c r="H17" s="111"/>
      <c r="I17" s="111"/>
      <c r="J17" s="110"/>
      <c r="K17" s="110"/>
      <c r="O17" s="2" t="str">
        <f t="shared" si="1"/>
        <v>Tesco</v>
      </c>
      <c r="P17" s="1" t="s">
        <v>115</v>
      </c>
      <c r="Q17" s="1"/>
      <c r="R17" s="110"/>
      <c r="S17" s="110"/>
      <c r="T17" s="111"/>
      <c r="U17" s="111"/>
      <c r="V17" s="110"/>
      <c r="W17" s="110"/>
    </row>
    <row r="18" spans="2:23" x14ac:dyDescent="0.3">
      <c r="B18" s="2" t="str">
        <f t="shared" si="0"/>
        <v/>
      </c>
      <c r="C18" s="1"/>
      <c r="D18" s="1"/>
      <c r="E18" s="1"/>
      <c r="F18" s="110"/>
      <c r="G18" s="110"/>
      <c r="H18" s="111"/>
      <c r="I18" s="111"/>
      <c r="J18" s="110"/>
      <c r="K18" s="110"/>
      <c r="O18" s="2" t="str">
        <f t="shared" si="1"/>
        <v>Tesco</v>
      </c>
      <c r="P18" s="1" t="s">
        <v>115</v>
      </c>
      <c r="Q18" s="1"/>
      <c r="R18" s="110"/>
      <c r="S18" s="110"/>
      <c r="T18" s="111"/>
      <c r="U18" s="111"/>
      <c r="V18" s="110"/>
      <c r="W18" s="110"/>
    </row>
    <row r="19" spans="2:23" x14ac:dyDescent="0.3">
      <c r="B19" s="2" t="str">
        <f t="shared" si="0"/>
        <v/>
      </c>
      <c r="C19" s="1"/>
      <c r="D19" s="1"/>
      <c r="E19" s="1"/>
      <c r="F19" s="110"/>
      <c r="G19" s="110"/>
      <c r="H19" s="111"/>
      <c r="I19" s="111"/>
      <c r="J19" s="110"/>
      <c r="K19" s="110"/>
      <c r="O19" s="2" t="str">
        <f t="shared" si="1"/>
        <v>Tesco</v>
      </c>
      <c r="P19" s="1" t="s">
        <v>115</v>
      </c>
      <c r="Q19" s="1"/>
      <c r="R19" s="110"/>
      <c r="S19" s="110"/>
      <c r="T19" s="111"/>
      <c r="U19" s="111"/>
      <c r="V19" s="110"/>
      <c r="W19" s="110"/>
    </row>
    <row r="20" spans="2:23" x14ac:dyDescent="0.3">
      <c r="B20" s="2" t="str">
        <f t="shared" si="0"/>
        <v/>
      </c>
      <c r="C20" s="1"/>
      <c r="D20" s="1"/>
      <c r="E20" s="1"/>
      <c r="F20" s="110"/>
      <c r="G20" s="110"/>
      <c r="H20" s="111"/>
      <c r="I20" s="111"/>
      <c r="J20" s="110"/>
      <c r="K20" s="110"/>
      <c r="O20" s="2" t="str">
        <f t="shared" si="1"/>
        <v>Tesco</v>
      </c>
      <c r="P20" s="1" t="s">
        <v>115</v>
      </c>
      <c r="Q20" s="1"/>
      <c r="R20" s="110"/>
      <c r="S20" s="110"/>
      <c r="T20" s="111"/>
      <c r="U20" s="111"/>
      <c r="V20" s="110"/>
      <c r="W20" s="110"/>
    </row>
    <row r="21" spans="2:23" x14ac:dyDescent="0.3">
      <c r="B21" s="2" t="str">
        <f t="shared" si="0"/>
        <v/>
      </c>
      <c r="C21" s="1"/>
      <c r="D21" s="1"/>
      <c r="E21" s="1"/>
      <c r="F21" s="110"/>
      <c r="G21" s="110"/>
      <c r="H21" s="111"/>
      <c r="I21" s="111"/>
      <c r="J21" s="110"/>
      <c r="K21" s="110"/>
      <c r="O21" s="2" t="str">
        <f t="shared" si="1"/>
        <v>Tesco</v>
      </c>
      <c r="P21" s="1" t="s">
        <v>115</v>
      </c>
      <c r="Q21" s="1"/>
      <c r="R21" s="110"/>
      <c r="S21" s="110"/>
      <c r="T21" s="111"/>
      <c r="U21" s="111"/>
      <c r="V21" s="110"/>
      <c r="W21" s="110"/>
    </row>
    <row r="22" spans="2:23" x14ac:dyDescent="0.3">
      <c r="B22" s="2" t="str">
        <f t="shared" si="0"/>
        <v/>
      </c>
      <c r="C22" s="1"/>
      <c r="D22" s="1"/>
      <c r="E22" s="1"/>
      <c r="F22" s="110"/>
      <c r="G22" s="110"/>
      <c r="H22" s="111"/>
      <c r="I22" s="111"/>
      <c r="J22" s="110"/>
      <c r="K22" s="110"/>
      <c r="O22" s="2" t="str">
        <f t="shared" si="1"/>
        <v>Tesco</v>
      </c>
      <c r="P22" s="1" t="s">
        <v>115</v>
      </c>
      <c r="Q22" s="1"/>
      <c r="R22" s="110"/>
      <c r="S22" s="110"/>
      <c r="T22" s="111"/>
      <c r="U22" s="111"/>
      <c r="V22" s="110"/>
      <c r="W22" s="110"/>
    </row>
    <row r="23" spans="2:23" x14ac:dyDescent="0.3">
      <c r="B23" s="2" t="str">
        <f t="shared" si="0"/>
        <v/>
      </c>
      <c r="C23" s="1"/>
      <c r="D23" s="1"/>
      <c r="E23" s="1"/>
      <c r="F23" s="110"/>
      <c r="G23" s="110"/>
      <c r="H23" s="111"/>
      <c r="I23" s="111"/>
      <c r="J23" s="110"/>
      <c r="K23" s="110"/>
      <c r="O23" s="2" t="str">
        <f t="shared" si="1"/>
        <v>Tesco</v>
      </c>
      <c r="P23" s="1" t="s">
        <v>115</v>
      </c>
      <c r="Q23" s="1"/>
      <c r="R23" s="110"/>
      <c r="S23" s="110"/>
      <c r="T23" s="111"/>
      <c r="U23" s="111"/>
      <c r="V23" s="110"/>
      <c r="W23" s="110"/>
    </row>
    <row r="24" spans="2:23" x14ac:dyDescent="0.3">
      <c r="B24" s="2" t="str">
        <f t="shared" si="0"/>
        <v/>
      </c>
      <c r="C24" s="1"/>
      <c r="D24" s="1"/>
      <c r="E24" s="1"/>
      <c r="F24" s="110"/>
      <c r="G24" s="110"/>
      <c r="H24" s="111"/>
      <c r="I24" s="111"/>
      <c r="J24" s="110"/>
      <c r="K24" s="110"/>
      <c r="O24" s="2" t="str">
        <f t="shared" si="1"/>
        <v>Tesco</v>
      </c>
      <c r="P24" s="1" t="s">
        <v>115</v>
      </c>
      <c r="Q24" s="1"/>
      <c r="R24" s="110"/>
      <c r="S24" s="110"/>
      <c r="T24" s="111"/>
      <c r="U24" s="111"/>
      <c r="V24" s="110"/>
      <c r="W24" s="110"/>
    </row>
    <row r="25" spans="2:23" x14ac:dyDescent="0.3">
      <c r="B25" s="2" t="str">
        <f t="shared" si="0"/>
        <v/>
      </c>
      <c r="C25" s="1"/>
      <c r="D25" s="1"/>
      <c r="E25" s="1"/>
      <c r="F25" s="110"/>
      <c r="G25" s="110"/>
      <c r="H25" s="111"/>
      <c r="I25" s="111"/>
      <c r="J25" s="110"/>
      <c r="K25" s="110"/>
      <c r="O25" s="2" t="str">
        <f t="shared" si="1"/>
        <v>Tesco</v>
      </c>
      <c r="P25" s="1" t="s">
        <v>115</v>
      </c>
      <c r="Q25" s="1"/>
      <c r="R25" s="110"/>
      <c r="S25" s="110"/>
      <c r="T25" s="111"/>
      <c r="U25" s="111"/>
      <c r="V25" s="110"/>
      <c r="W25" s="110"/>
    </row>
    <row r="26" spans="2:23" x14ac:dyDescent="0.3">
      <c r="B26" s="2" t="str">
        <f t="shared" si="0"/>
        <v/>
      </c>
      <c r="C26" s="1"/>
      <c r="D26" s="1"/>
      <c r="E26" s="1"/>
      <c r="F26" s="110"/>
      <c r="G26" s="110"/>
      <c r="H26" s="111"/>
      <c r="I26" s="111"/>
      <c r="J26" s="110"/>
      <c r="K26" s="110"/>
      <c r="O26" s="2" t="str">
        <f t="shared" si="1"/>
        <v>Tesco</v>
      </c>
      <c r="P26" s="1" t="s">
        <v>115</v>
      </c>
      <c r="Q26" s="1"/>
      <c r="R26" s="110"/>
      <c r="S26" s="110"/>
      <c r="T26" s="111"/>
      <c r="U26" s="111"/>
      <c r="V26" s="110"/>
      <c r="W26" s="110"/>
    </row>
    <row r="27" spans="2:23" x14ac:dyDescent="0.3">
      <c r="B27" s="2" t="str">
        <f t="shared" si="0"/>
        <v/>
      </c>
      <c r="C27" s="1"/>
      <c r="D27" s="1"/>
      <c r="E27" s="1"/>
      <c r="F27" s="110"/>
      <c r="G27" s="110"/>
      <c r="H27" s="111"/>
      <c r="I27" s="111"/>
      <c r="J27" s="110"/>
      <c r="K27" s="110"/>
      <c r="O27" s="2" t="str">
        <f t="shared" si="1"/>
        <v>Tesco</v>
      </c>
      <c r="P27" s="1" t="s">
        <v>115</v>
      </c>
      <c r="Q27" s="1"/>
      <c r="R27" s="110"/>
      <c r="S27" s="110"/>
      <c r="T27" s="111"/>
      <c r="U27" s="111"/>
      <c r="V27" s="110"/>
      <c r="W27" s="110"/>
    </row>
    <row r="28" spans="2:23" x14ac:dyDescent="0.3">
      <c r="B28" s="2" t="str">
        <f t="shared" si="0"/>
        <v/>
      </c>
      <c r="C28" s="1"/>
      <c r="D28" s="1"/>
      <c r="E28" s="1"/>
      <c r="F28" s="110"/>
      <c r="G28" s="110"/>
      <c r="H28" s="111"/>
      <c r="I28" s="111"/>
      <c r="J28" s="110"/>
      <c r="K28" s="110"/>
      <c r="O28" s="2" t="str">
        <f t="shared" si="1"/>
        <v>Tesco</v>
      </c>
      <c r="P28" s="1" t="s">
        <v>115</v>
      </c>
      <c r="Q28" s="1"/>
      <c r="R28" s="110"/>
      <c r="S28" s="110"/>
      <c r="T28" s="111"/>
      <c r="U28" s="111"/>
      <c r="V28" s="110"/>
      <c r="W28" s="110"/>
    </row>
    <row r="29" spans="2:23" x14ac:dyDescent="0.3">
      <c r="B29" s="2" t="str">
        <f t="shared" si="0"/>
        <v/>
      </c>
      <c r="C29" s="1"/>
      <c r="D29" s="1"/>
      <c r="E29" s="1"/>
      <c r="F29" s="110"/>
      <c r="G29" s="110"/>
      <c r="H29" s="111"/>
      <c r="I29" s="111"/>
      <c r="J29" s="110"/>
      <c r="K29" s="110"/>
      <c r="O29" s="2" t="str">
        <f t="shared" si="1"/>
        <v>Tesco</v>
      </c>
      <c r="P29" s="1" t="s">
        <v>115</v>
      </c>
      <c r="Q29" s="1"/>
      <c r="R29" s="110"/>
      <c r="S29" s="110"/>
      <c r="T29" s="111"/>
      <c r="U29" s="111"/>
      <c r="V29" s="110"/>
      <c r="W29" s="110"/>
    </row>
    <row r="30" spans="2:23" x14ac:dyDescent="0.3">
      <c r="B30" s="2" t="str">
        <f t="shared" si="0"/>
        <v/>
      </c>
      <c r="C30" s="1"/>
      <c r="D30" s="1"/>
      <c r="E30" s="1"/>
      <c r="F30" s="110"/>
      <c r="G30" s="110"/>
      <c r="H30" s="111"/>
      <c r="I30" s="111"/>
      <c r="J30" s="110"/>
      <c r="K30" s="110"/>
      <c r="O30" s="2" t="str">
        <f t="shared" si="1"/>
        <v>Tesco</v>
      </c>
      <c r="P30" s="1" t="s">
        <v>115</v>
      </c>
      <c r="Q30" s="1"/>
      <c r="R30" s="110"/>
      <c r="S30" s="110"/>
      <c r="T30" s="111"/>
      <c r="U30" s="111"/>
      <c r="V30" s="110"/>
      <c r="W30" s="110"/>
    </row>
    <row r="31" spans="2:23" x14ac:dyDescent="0.3">
      <c r="B31" s="2" t="str">
        <f t="shared" si="0"/>
        <v/>
      </c>
      <c r="C31" s="1"/>
      <c r="D31" s="1"/>
      <c r="E31" s="1"/>
      <c r="F31" s="110"/>
      <c r="G31" s="110"/>
      <c r="H31" s="111"/>
      <c r="I31" s="111"/>
      <c r="J31" s="110"/>
      <c r="K31" s="110"/>
      <c r="O31" s="2" t="str">
        <f t="shared" si="1"/>
        <v>Tesco</v>
      </c>
      <c r="P31" s="1" t="s">
        <v>115</v>
      </c>
      <c r="Q31" s="1"/>
      <c r="R31" s="110"/>
      <c r="S31" s="110"/>
      <c r="T31" s="111"/>
      <c r="U31" s="111"/>
      <c r="V31" s="110"/>
      <c r="W31" s="110"/>
    </row>
    <row r="32" spans="2:23" x14ac:dyDescent="0.3">
      <c r="B32" s="2" t="str">
        <f t="shared" si="0"/>
        <v/>
      </c>
      <c r="C32" s="1"/>
      <c r="D32" s="1"/>
      <c r="E32" s="1"/>
      <c r="F32" s="110"/>
      <c r="G32" s="110"/>
      <c r="H32" s="111"/>
      <c r="I32" s="111"/>
      <c r="J32" s="110"/>
      <c r="K32" s="110"/>
      <c r="O32" s="2" t="str">
        <f t="shared" si="1"/>
        <v>Tesco</v>
      </c>
      <c r="P32" s="1" t="s">
        <v>115</v>
      </c>
      <c r="Q32" s="1"/>
      <c r="R32" s="110"/>
      <c r="S32" s="110"/>
      <c r="T32" s="111"/>
      <c r="U32" s="111"/>
      <c r="V32" s="110"/>
      <c r="W32" s="110"/>
    </row>
    <row r="33" spans="2:23" x14ac:dyDescent="0.3">
      <c r="B33" s="2" t="str">
        <f t="shared" si="0"/>
        <v/>
      </c>
      <c r="C33" s="1"/>
      <c r="D33" s="1"/>
      <c r="E33" s="1"/>
      <c r="F33" s="110"/>
      <c r="G33" s="110"/>
      <c r="H33" s="111"/>
      <c r="I33" s="111"/>
      <c r="J33" s="110"/>
      <c r="K33" s="110"/>
      <c r="O33" s="2" t="str">
        <f t="shared" si="1"/>
        <v>Tesco</v>
      </c>
      <c r="P33" s="1" t="s">
        <v>115</v>
      </c>
      <c r="Q33" s="1"/>
      <c r="R33" s="110"/>
      <c r="S33" s="110"/>
      <c r="T33" s="111"/>
      <c r="U33" s="111"/>
      <c r="V33" s="110"/>
      <c r="W33" s="110"/>
    </row>
    <row r="34" spans="2:23" x14ac:dyDescent="0.3">
      <c r="B34" s="2" t="str">
        <f t="shared" si="0"/>
        <v/>
      </c>
      <c r="C34" s="1"/>
      <c r="D34" s="1"/>
      <c r="E34" s="1"/>
      <c r="F34" s="110"/>
      <c r="G34" s="110"/>
      <c r="H34" s="111"/>
      <c r="I34" s="111"/>
      <c r="J34" s="110"/>
      <c r="K34" s="110"/>
      <c r="O34" s="2" t="str">
        <f t="shared" si="1"/>
        <v>Tesco</v>
      </c>
      <c r="P34" s="1" t="s">
        <v>115</v>
      </c>
      <c r="Q34" s="1"/>
      <c r="R34" s="110"/>
      <c r="S34" s="110"/>
      <c r="T34" s="111"/>
      <c r="U34" s="111"/>
      <c r="V34" s="110"/>
      <c r="W34" s="110"/>
    </row>
    <row r="35" spans="2:23" x14ac:dyDescent="0.3">
      <c r="B35" s="2" t="str">
        <f t="shared" si="0"/>
        <v/>
      </c>
      <c r="C35" s="1"/>
      <c r="D35" s="1"/>
      <c r="E35" s="1"/>
      <c r="F35" s="110"/>
      <c r="G35" s="110"/>
      <c r="H35" s="111"/>
      <c r="I35" s="111"/>
      <c r="J35" s="110"/>
      <c r="K35" s="110"/>
      <c r="O35" s="2" t="str">
        <f t="shared" si="1"/>
        <v>Tesco</v>
      </c>
      <c r="P35" s="1" t="s">
        <v>115</v>
      </c>
      <c r="Q35" s="1"/>
      <c r="R35" s="110"/>
      <c r="S35" s="110"/>
      <c r="T35" s="111"/>
      <c r="U35" s="111"/>
      <c r="V35" s="110"/>
      <c r="W35" s="110"/>
    </row>
    <row r="36" spans="2:23" x14ac:dyDescent="0.3">
      <c r="B36" s="2" t="str">
        <f t="shared" si="0"/>
        <v/>
      </c>
      <c r="C36" s="1"/>
      <c r="D36" s="1"/>
      <c r="E36" s="1"/>
      <c r="F36" s="110"/>
      <c r="G36" s="110"/>
      <c r="H36" s="111"/>
      <c r="I36" s="111"/>
      <c r="J36" s="110"/>
      <c r="K36" s="110"/>
      <c r="O36" s="2" t="str">
        <f t="shared" si="1"/>
        <v>Tesco</v>
      </c>
      <c r="P36" s="1" t="s">
        <v>115</v>
      </c>
      <c r="Q36" s="1"/>
      <c r="R36" s="110"/>
      <c r="S36" s="110"/>
      <c r="T36" s="111"/>
      <c r="U36" s="111"/>
      <c r="V36" s="110"/>
      <c r="W36" s="110"/>
    </row>
    <row r="37" spans="2:23" x14ac:dyDescent="0.3">
      <c r="B37" s="2" t="str">
        <f t="shared" si="0"/>
        <v/>
      </c>
      <c r="C37" s="1"/>
      <c r="D37" s="1"/>
      <c r="E37" s="1"/>
      <c r="F37" s="110"/>
      <c r="G37" s="110"/>
      <c r="H37" s="111"/>
      <c r="I37" s="111"/>
      <c r="J37" s="110"/>
      <c r="K37" s="110"/>
      <c r="O37" s="2" t="str">
        <f t="shared" si="1"/>
        <v>Tesco</v>
      </c>
      <c r="P37" s="1" t="s">
        <v>115</v>
      </c>
      <c r="Q37" s="1"/>
      <c r="R37" s="110"/>
      <c r="S37" s="110"/>
      <c r="T37" s="111"/>
      <c r="U37" s="111"/>
      <c r="V37" s="110"/>
      <c r="W37" s="110"/>
    </row>
    <row r="38" spans="2:23" x14ac:dyDescent="0.3">
      <c r="B38" s="2" t="str">
        <f t="shared" si="0"/>
        <v/>
      </c>
      <c r="C38" s="1"/>
      <c r="D38" s="1"/>
      <c r="E38" s="1"/>
      <c r="F38" s="110"/>
      <c r="G38" s="110"/>
      <c r="H38" s="111"/>
      <c r="I38" s="111"/>
      <c r="J38" s="110"/>
      <c r="K38" s="110"/>
      <c r="O38" s="2" t="str">
        <f t="shared" si="1"/>
        <v>Tesco</v>
      </c>
      <c r="P38" s="1" t="s">
        <v>115</v>
      </c>
      <c r="Q38" s="1"/>
      <c r="R38" s="110"/>
      <c r="S38" s="110"/>
      <c r="T38" s="111"/>
      <c r="U38" s="111"/>
      <c r="V38" s="110"/>
      <c r="W38" s="110"/>
    </row>
    <row r="39" spans="2:23" x14ac:dyDescent="0.3">
      <c r="B39" s="2" t="str">
        <f t="shared" si="0"/>
        <v/>
      </c>
      <c r="C39" s="1"/>
      <c r="D39" s="1"/>
      <c r="E39" s="1"/>
      <c r="F39" s="110"/>
      <c r="G39" s="110"/>
      <c r="H39" s="111"/>
      <c r="I39" s="111"/>
      <c r="J39" s="110"/>
      <c r="K39" s="110"/>
      <c r="O39" s="2" t="str">
        <f t="shared" si="1"/>
        <v>Tesco</v>
      </c>
      <c r="P39" s="1" t="s">
        <v>115</v>
      </c>
      <c r="Q39" s="1"/>
      <c r="R39" s="110"/>
      <c r="S39" s="110"/>
      <c r="T39" s="111"/>
      <c r="U39" s="111"/>
      <c r="V39" s="110"/>
      <c r="W39" s="110"/>
    </row>
    <row r="40" spans="2:23" x14ac:dyDescent="0.3">
      <c r="B40" s="2" t="str">
        <f t="shared" si="0"/>
        <v/>
      </c>
      <c r="C40" s="1"/>
      <c r="D40" s="1"/>
      <c r="E40" s="1"/>
      <c r="F40" s="110"/>
      <c r="G40" s="110"/>
      <c r="H40" s="111"/>
      <c r="I40" s="111"/>
      <c r="J40" s="110"/>
      <c r="K40" s="110"/>
      <c r="O40" s="2" t="str">
        <f t="shared" si="1"/>
        <v>Tesco</v>
      </c>
      <c r="P40" s="1" t="s">
        <v>115</v>
      </c>
      <c r="Q40" s="1"/>
      <c r="R40" s="110"/>
      <c r="S40" s="110"/>
      <c r="T40" s="111"/>
      <c r="U40" s="111"/>
      <c r="V40" s="110"/>
      <c r="W40" s="110"/>
    </row>
    <row r="41" spans="2:23" x14ac:dyDescent="0.3">
      <c r="B41" s="2" t="str">
        <f t="shared" si="0"/>
        <v/>
      </c>
      <c r="C41" s="1"/>
      <c r="D41" s="1"/>
      <c r="E41" s="1"/>
      <c r="F41" s="110"/>
      <c r="G41" s="110"/>
      <c r="H41" s="111"/>
      <c r="I41" s="111"/>
      <c r="J41" s="110"/>
      <c r="K41" s="110"/>
      <c r="O41" s="2" t="str">
        <f t="shared" si="1"/>
        <v>Tesco</v>
      </c>
      <c r="P41" s="1" t="s">
        <v>115</v>
      </c>
      <c r="Q41" s="1"/>
      <c r="R41" s="110"/>
      <c r="S41" s="110"/>
      <c r="T41" s="111"/>
      <c r="U41" s="111"/>
      <c r="V41" s="110"/>
      <c r="W41" s="110"/>
    </row>
    <row r="42" spans="2:23" x14ac:dyDescent="0.3">
      <c r="B42" s="2" t="str">
        <f t="shared" si="0"/>
        <v/>
      </c>
      <c r="C42" s="1"/>
      <c r="D42" s="1"/>
      <c r="E42" s="1"/>
      <c r="F42" s="110"/>
      <c r="G42" s="110"/>
      <c r="H42" s="111"/>
      <c r="I42" s="111"/>
      <c r="J42" s="110"/>
      <c r="K42" s="110"/>
      <c r="O42" s="2" t="str">
        <f t="shared" si="1"/>
        <v>Tesco</v>
      </c>
      <c r="P42" s="1" t="s">
        <v>115</v>
      </c>
      <c r="Q42" s="1"/>
      <c r="R42" s="110"/>
      <c r="S42" s="110"/>
      <c r="T42" s="111"/>
      <c r="U42" s="111"/>
      <c r="V42" s="110"/>
      <c r="W42" s="110"/>
    </row>
    <row r="43" spans="2:23" x14ac:dyDescent="0.3">
      <c r="B43" s="2" t="str">
        <f t="shared" si="0"/>
        <v/>
      </c>
      <c r="C43" s="1"/>
      <c r="D43" s="1"/>
      <c r="E43" s="1"/>
      <c r="F43" s="110"/>
      <c r="G43" s="110"/>
      <c r="H43" s="111"/>
      <c r="I43" s="111"/>
      <c r="J43" s="110"/>
      <c r="K43" s="110"/>
      <c r="O43" s="2" t="str">
        <f t="shared" si="1"/>
        <v>Tesco</v>
      </c>
      <c r="P43" s="1" t="s">
        <v>115</v>
      </c>
      <c r="Q43" s="1"/>
      <c r="R43" s="110"/>
      <c r="S43" s="110"/>
      <c r="T43" s="111"/>
      <c r="U43" s="111"/>
      <c r="V43" s="110"/>
      <c r="W43" s="110"/>
    </row>
    <row r="44" spans="2:23" x14ac:dyDescent="0.3">
      <c r="B44" s="2" t="str">
        <f t="shared" si="0"/>
        <v/>
      </c>
      <c r="C44" s="1"/>
      <c r="D44" s="1"/>
      <c r="E44" s="1"/>
      <c r="F44" s="110"/>
      <c r="G44" s="110"/>
      <c r="H44" s="111"/>
      <c r="I44" s="111"/>
      <c r="J44" s="110"/>
      <c r="K44" s="110"/>
      <c r="O44" s="2" t="str">
        <f t="shared" si="1"/>
        <v>Tesco</v>
      </c>
      <c r="P44" s="1" t="s">
        <v>115</v>
      </c>
      <c r="Q44" s="1"/>
      <c r="R44" s="110"/>
      <c r="S44" s="110"/>
      <c r="T44" s="111"/>
      <c r="U44" s="111"/>
      <c r="V44" s="110"/>
      <c r="W44" s="110"/>
    </row>
    <row r="45" spans="2:23" x14ac:dyDescent="0.3">
      <c r="B45" s="2" t="str">
        <f t="shared" si="0"/>
        <v/>
      </c>
      <c r="C45" s="1"/>
      <c r="D45" s="1"/>
      <c r="E45" s="1"/>
      <c r="F45" s="110"/>
      <c r="G45" s="110"/>
      <c r="H45" s="111"/>
      <c r="I45" s="111"/>
      <c r="J45" s="110"/>
      <c r="K45" s="110"/>
      <c r="O45" s="2" t="str">
        <f t="shared" si="1"/>
        <v>Tesco</v>
      </c>
      <c r="P45" s="1" t="s">
        <v>115</v>
      </c>
      <c r="Q45" s="1"/>
      <c r="R45" s="110"/>
      <c r="S45" s="110"/>
      <c r="T45" s="111"/>
      <c r="U45" s="111"/>
      <c r="V45" s="110"/>
      <c r="W45" s="110"/>
    </row>
    <row r="46" spans="2:23" x14ac:dyDescent="0.3">
      <c r="B46" s="2" t="str">
        <f t="shared" si="0"/>
        <v/>
      </c>
      <c r="C46" s="1"/>
      <c r="D46" s="1"/>
      <c r="E46" s="1"/>
      <c r="F46" s="110"/>
      <c r="G46" s="110"/>
      <c r="H46" s="111"/>
      <c r="I46" s="111"/>
      <c r="J46" s="110"/>
      <c r="K46" s="110"/>
      <c r="O46" s="2" t="str">
        <f t="shared" si="1"/>
        <v>Tesco</v>
      </c>
      <c r="P46" s="1" t="s">
        <v>115</v>
      </c>
      <c r="Q46" s="1"/>
      <c r="R46" s="110"/>
      <c r="S46" s="110"/>
      <c r="T46" s="111"/>
      <c r="U46" s="111"/>
      <c r="V46" s="110"/>
      <c r="W46" s="110"/>
    </row>
    <row r="47" spans="2:23" x14ac:dyDescent="0.3">
      <c r="B47" s="2" t="str">
        <f t="shared" si="0"/>
        <v/>
      </c>
      <c r="C47" s="1"/>
      <c r="D47" s="1"/>
      <c r="E47" s="1"/>
      <c r="F47" s="110"/>
      <c r="G47" s="110"/>
      <c r="H47" s="111"/>
      <c r="I47" s="111"/>
      <c r="J47" s="110"/>
      <c r="K47" s="110"/>
      <c r="O47" s="2" t="str">
        <f t="shared" si="1"/>
        <v>Tesco</v>
      </c>
      <c r="P47" s="1" t="s">
        <v>115</v>
      </c>
      <c r="Q47" s="1"/>
      <c r="R47" s="110"/>
      <c r="S47" s="110"/>
      <c r="T47" s="111"/>
      <c r="U47" s="111"/>
      <c r="V47" s="110"/>
      <c r="W47" s="110"/>
    </row>
    <row r="48" spans="2:23" x14ac:dyDescent="0.3">
      <c r="B48" s="2" t="str">
        <f t="shared" si="0"/>
        <v/>
      </c>
      <c r="C48" s="1"/>
      <c r="D48" s="1"/>
      <c r="E48" s="1"/>
      <c r="F48" s="110"/>
      <c r="G48" s="110"/>
      <c r="H48" s="111"/>
      <c r="I48" s="111"/>
      <c r="J48" s="110"/>
      <c r="K48" s="110"/>
      <c r="O48" s="2" t="str">
        <f t="shared" si="1"/>
        <v>Tesco</v>
      </c>
      <c r="P48" s="1" t="s">
        <v>115</v>
      </c>
      <c r="Q48" s="1"/>
      <c r="R48" s="110"/>
      <c r="S48" s="110"/>
      <c r="T48" s="111"/>
      <c r="U48" s="111"/>
      <c r="V48" s="110"/>
      <c r="W48" s="110"/>
    </row>
    <row r="49" spans="2:23" x14ac:dyDescent="0.3">
      <c r="B49" s="2" t="str">
        <f t="shared" si="0"/>
        <v/>
      </c>
      <c r="C49" s="1"/>
      <c r="D49" s="1"/>
      <c r="E49" s="1"/>
      <c r="F49" s="110"/>
      <c r="G49" s="110"/>
      <c r="H49" s="111"/>
      <c r="I49" s="111"/>
      <c r="J49" s="110"/>
      <c r="K49" s="110"/>
      <c r="O49" s="2" t="str">
        <f t="shared" si="1"/>
        <v>Tesco</v>
      </c>
      <c r="P49" s="1" t="s">
        <v>115</v>
      </c>
      <c r="Q49" s="1"/>
      <c r="R49" s="110"/>
      <c r="S49" s="110"/>
      <c r="T49" s="111"/>
      <c r="U49" s="111"/>
      <c r="V49" s="110"/>
      <c r="W49" s="110"/>
    </row>
    <row r="50" spans="2:23" x14ac:dyDescent="0.3">
      <c r="B50" s="2" t="str">
        <f t="shared" si="0"/>
        <v/>
      </c>
      <c r="C50" s="1"/>
      <c r="D50" s="1"/>
      <c r="E50" s="1"/>
      <c r="F50" s="110"/>
      <c r="G50" s="110"/>
      <c r="H50" s="111"/>
      <c r="I50" s="111"/>
      <c r="J50" s="110"/>
      <c r="K50" s="110"/>
      <c r="O50" s="2" t="str">
        <f t="shared" si="1"/>
        <v>Tesco</v>
      </c>
      <c r="P50" s="1" t="s">
        <v>115</v>
      </c>
      <c r="Q50" s="1"/>
      <c r="R50" s="110"/>
      <c r="S50" s="110"/>
      <c r="T50" s="111"/>
      <c r="U50" s="111"/>
      <c r="V50" s="110"/>
      <c r="W50" s="110"/>
    </row>
    <row r="51" spans="2:23" x14ac:dyDescent="0.3">
      <c r="B51" s="2" t="str">
        <f t="shared" si="0"/>
        <v/>
      </c>
      <c r="C51" s="1"/>
      <c r="D51" s="1"/>
      <c r="E51" s="1"/>
      <c r="F51" s="110"/>
      <c r="G51" s="110"/>
      <c r="H51" s="111"/>
      <c r="I51" s="111"/>
      <c r="J51" s="110"/>
      <c r="K51" s="110"/>
      <c r="O51" s="2" t="str">
        <f t="shared" si="1"/>
        <v>Tesco</v>
      </c>
      <c r="P51" s="1" t="s">
        <v>115</v>
      </c>
      <c r="Q51" s="1"/>
      <c r="R51" s="110"/>
      <c r="S51" s="110"/>
      <c r="T51" s="111"/>
      <c r="U51" s="111"/>
      <c r="V51" s="110"/>
      <c r="W51" s="110"/>
    </row>
    <row r="52" spans="2:23" x14ac:dyDescent="0.3">
      <c r="B52" s="2" t="str">
        <f t="shared" si="0"/>
        <v/>
      </c>
      <c r="C52" s="1"/>
      <c r="D52" s="1"/>
      <c r="E52" s="1"/>
      <c r="F52" s="110"/>
      <c r="G52" s="110"/>
      <c r="H52" s="111"/>
      <c r="I52" s="111"/>
      <c r="J52" s="110"/>
      <c r="K52" s="110"/>
      <c r="O52" s="2" t="str">
        <f t="shared" si="1"/>
        <v>Tesco</v>
      </c>
      <c r="P52" s="1" t="s">
        <v>115</v>
      </c>
      <c r="Q52" s="1"/>
      <c r="R52" s="110"/>
      <c r="S52" s="110"/>
      <c r="T52" s="111"/>
      <c r="U52" s="111"/>
      <c r="V52" s="110"/>
      <c r="W52" s="110"/>
    </row>
    <row r="53" spans="2:23" x14ac:dyDescent="0.3">
      <c r="B53" s="2" t="str">
        <f t="shared" si="0"/>
        <v/>
      </c>
      <c r="C53" s="1"/>
      <c r="D53" s="1"/>
      <c r="E53" s="1"/>
      <c r="F53" s="110"/>
      <c r="G53" s="110"/>
      <c r="H53" s="111"/>
      <c r="I53" s="111"/>
      <c r="J53" s="110"/>
      <c r="K53" s="110"/>
      <c r="O53" s="2" t="str">
        <f t="shared" si="1"/>
        <v>Tesco</v>
      </c>
      <c r="P53" s="1" t="s">
        <v>115</v>
      </c>
      <c r="Q53" s="1"/>
      <c r="R53" s="110"/>
      <c r="S53" s="110"/>
      <c r="T53" s="111"/>
      <c r="U53" s="111"/>
      <c r="V53" s="110"/>
      <c r="W53" s="110"/>
    </row>
    <row r="54" spans="2:23" x14ac:dyDescent="0.3">
      <c r="B54" s="2" t="str">
        <f t="shared" si="0"/>
        <v/>
      </c>
      <c r="C54" s="1"/>
      <c r="D54" s="1"/>
      <c r="E54" s="1"/>
      <c r="F54" s="110"/>
      <c r="G54" s="110"/>
      <c r="H54" s="111"/>
      <c r="I54" s="111"/>
      <c r="J54" s="110"/>
      <c r="K54" s="110"/>
      <c r="O54" s="2" t="str">
        <f t="shared" si="1"/>
        <v>Tesco</v>
      </c>
      <c r="P54" s="1" t="s">
        <v>115</v>
      </c>
      <c r="Q54" s="1"/>
      <c r="R54" s="110"/>
      <c r="S54" s="110"/>
      <c r="T54" s="111"/>
      <c r="U54" s="111"/>
      <c r="V54" s="110"/>
      <c r="W54" s="110"/>
    </row>
    <row r="55" spans="2:23" x14ac:dyDescent="0.3">
      <c r="B55" s="2" t="str">
        <f t="shared" si="0"/>
        <v/>
      </c>
      <c r="C55" s="1"/>
      <c r="D55" s="1"/>
      <c r="E55" s="1"/>
      <c r="F55" s="110"/>
      <c r="G55" s="110"/>
      <c r="H55" s="111"/>
      <c r="I55" s="111"/>
      <c r="J55" s="110"/>
      <c r="K55" s="110"/>
      <c r="O55" s="2" t="str">
        <f t="shared" si="1"/>
        <v>Tesco</v>
      </c>
      <c r="P55" s="1" t="s">
        <v>115</v>
      </c>
      <c r="Q55" s="1"/>
      <c r="R55" s="110"/>
      <c r="S55" s="110"/>
      <c r="T55" s="111"/>
      <c r="U55" s="111"/>
      <c r="V55" s="110"/>
      <c r="W55" s="110"/>
    </row>
    <row r="56" spans="2:23" x14ac:dyDescent="0.3">
      <c r="B56" s="2" t="str">
        <f t="shared" si="0"/>
        <v/>
      </c>
      <c r="C56" s="1"/>
      <c r="D56" s="1"/>
      <c r="E56" s="1"/>
      <c r="F56" s="110"/>
      <c r="G56" s="110"/>
      <c r="H56" s="111"/>
      <c r="I56" s="111"/>
      <c r="J56" s="110"/>
      <c r="K56" s="110"/>
      <c r="O56" s="2" t="str">
        <f t="shared" si="1"/>
        <v>Tesco</v>
      </c>
      <c r="P56" s="1" t="s">
        <v>115</v>
      </c>
      <c r="Q56" s="1"/>
      <c r="R56" s="110"/>
      <c r="S56" s="110"/>
      <c r="T56" s="111"/>
      <c r="U56" s="111"/>
      <c r="V56" s="110"/>
      <c r="W56" s="110"/>
    </row>
    <row r="57" spans="2:23" x14ac:dyDescent="0.3">
      <c r="B57" s="2" t="str">
        <f t="shared" si="0"/>
        <v/>
      </c>
      <c r="C57" s="1"/>
      <c r="D57" s="1"/>
      <c r="E57" s="1"/>
      <c r="F57" s="110"/>
      <c r="G57" s="110"/>
      <c r="H57" s="111"/>
      <c r="I57" s="111"/>
      <c r="J57" s="110"/>
      <c r="K57" s="110"/>
      <c r="O57" s="2" t="str">
        <f t="shared" si="1"/>
        <v>Tesco</v>
      </c>
      <c r="P57" s="1" t="s">
        <v>115</v>
      </c>
      <c r="Q57" s="1"/>
      <c r="R57" s="110"/>
      <c r="S57" s="110"/>
      <c r="T57" s="111"/>
      <c r="U57" s="111"/>
      <c r="V57" s="110"/>
      <c r="W57" s="110"/>
    </row>
    <row r="58" spans="2:23" x14ac:dyDescent="0.3">
      <c r="B58" s="2" t="str">
        <f t="shared" si="0"/>
        <v/>
      </c>
      <c r="C58" s="1"/>
      <c r="D58" s="1"/>
      <c r="E58" s="1"/>
      <c r="F58" s="110"/>
      <c r="G58" s="110"/>
      <c r="H58" s="111"/>
      <c r="I58" s="111"/>
      <c r="J58" s="110"/>
      <c r="K58" s="110"/>
      <c r="O58" s="2" t="str">
        <f t="shared" si="1"/>
        <v>Tesco</v>
      </c>
      <c r="P58" s="1" t="s">
        <v>115</v>
      </c>
      <c r="Q58" s="1"/>
      <c r="R58" s="110"/>
      <c r="S58" s="110"/>
      <c r="T58" s="111"/>
      <c r="U58" s="111"/>
      <c r="V58" s="110"/>
      <c r="W58" s="110"/>
    </row>
    <row r="59" spans="2:23" x14ac:dyDescent="0.3">
      <c r="B59" s="2" t="str">
        <f t="shared" si="0"/>
        <v/>
      </c>
      <c r="C59" s="1"/>
      <c r="D59" s="1"/>
      <c r="E59" s="1"/>
      <c r="F59" s="110"/>
      <c r="G59" s="110"/>
      <c r="H59" s="111"/>
      <c r="I59" s="111"/>
      <c r="J59" s="110"/>
      <c r="K59" s="110"/>
      <c r="O59" s="2" t="str">
        <f t="shared" si="1"/>
        <v>Tesco</v>
      </c>
      <c r="P59" s="1" t="s">
        <v>115</v>
      </c>
      <c r="Q59" s="1"/>
      <c r="R59" s="110"/>
      <c r="S59" s="110"/>
      <c r="T59" s="111"/>
      <c r="U59" s="111"/>
      <c r="V59" s="110"/>
      <c r="W59" s="110"/>
    </row>
    <row r="60" spans="2:23" x14ac:dyDescent="0.3">
      <c r="B60" s="2" t="str">
        <f t="shared" si="0"/>
        <v/>
      </c>
      <c r="C60" s="1"/>
      <c r="D60" s="1"/>
      <c r="E60" s="1"/>
      <c r="F60" s="110"/>
      <c r="G60" s="110"/>
      <c r="H60" s="111"/>
      <c r="I60" s="111"/>
      <c r="J60" s="110"/>
      <c r="K60" s="110"/>
      <c r="O60" s="2" t="str">
        <f t="shared" si="1"/>
        <v>Tesco</v>
      </c>
      <c r="P60" s="1" t="s">
        <v>115</v>
      </c>
      <c r="Q60" s="1"/>
      <c r="R60" s="110"/>
      <c r="S60" s="110"/>
      <c r="T60" s="111"/>
      <c r="U60" s="111"/>
      <c r="V60" s="110"/>
      <c r="W60" s="110"/>
    </row>
    <row r="61" spans="2:23" x14ac:dyDescent="0.3">
      <c r="B61" s="2" t="str">
        <f t="shared" si="0"/>
        <v/>
      </c>
      <c r="C61" s="1"/>
      <c r="D61" s="1"/>
      <c r="E61" s="1"/>
      <c r="F61" s="110"/>
      <c r="G61" s="110"/>
      <c r="H61" s="111"/>
      <c r="I61" s="111"/>
      <c r="J61" s="110"/>
      <c r="K61" s="110"/>
      <c r="O61" s="2" t="str">
        <f t="shared" si="1"/>
        <v>Tesco</v>
      </c>
      <c r="P61" s="1" t="s">
        <v>115</v>
      </c>
      <c r="Q61" s="1"/>
      <c r="R61" s="110"/>
      <c r="S61" s="110"/>
      <c r="T61" s="111"/>
      <c r="U61" s="111"/>
      <c r="V61" s="110"/>
      <c r="W61" s="110"/>
    </row>
    <row r="62" spans="2:23" x14ac:dyDescent="0.3">
      <c r="B62" s="2" t="str">
        <f t="shared" si="0"/>
        <v/>
      </c>
      <c r="C62" s="1"/>
      <c r="D62" s="1"/>
      <c r="E62" s="1"/>
      <c r="F62" s="110"/>
      <c r="G62" s="110"/>
      <c r="H62" s="111"/>
      <c r="I62" s="111"/>
      <c r="J62" s="110"/>
      <c r="K62" s="110"/>
      <c r="O62" s="2" t="str">
        <f t="shared" si="1"/>
        <v>Tesco</v>
      </c>
      <c r="P62" s="1" t="s">
        <v>115</v>
      </c>
      <c r="Q62" s="1"/>
      <c r="R62" s="110"/>
      <c r="S62" s="110"/>
      <c r="T62" s="111"/>
      <c r="U62" s="111"/>
      <c r="V62" s="110"/>
      <c r="W62" s="110"/>
    </row>
    <row r="63" spans="2:23" x14ac:dyDescent="0.3">
      <c r="B63" s="2" t="str">
        <f t="shared" si="0"/>
        <v/>
      </c>
      <c r="C63" s="1"/>
      <c r="D63" s="1"/>
      <c r="E63" s="1"/>
      <c r="F63" s="110"/>
      <c r="G63" s="110"/>
      <c r="H63" s="111"/>
      <c r="I63" s="111"/>
      <c r="J63" s="110"/>
      <c r="K63" s="110"/>
      <c r="O63" s="2" t="str">
        <f t="shared" si="1"/>
        <v>Tesco</v>
      </c>
      <c r="P63" s="1" t="s">
        <v>115</v>
      </c>
      <c r="Q63" s="1"/>
      <c r="R63" s="110"/>
      <c r="S63" s="110"/>
      <c r="T63" s="111"/>
      <c r="U63" s="111"/>
      <c r="V63" s="110"/>
      <c r="W63" s="110"/>
    </row>
    <row r="64" spans="2:23" x14ac:dyDescent="0.3">
      <c r="B64" s="2" t="str">
        <f t="shared" si="0"/>
        <v/>
      </c>
      <c r="C64" s="1"/>
      <c r="D64" s="1"/>
      <c r="E64" s="1"/>
      <c r="F64" s="110"/>
      <c r="G64" s="110"/>
      <c r="H64" s="111"/>
      <c r="I64" s="111"/>
      <c r="J64" s="110"/>
      <c r="K64" s="110"/>
      <c r="O64" s="2" t="str">
        <f t="shared" si="1"/>
        <v>Tesco</v>
      </c>
      <c r="P64" s="1" t="s">
        <v>115</v>
      </c>
      <c r="Q64" s="1"/>
      <c r="R64" s="110"/>
      <c r="S64" s="110"/>
      <c r="T64" s="111"/>
      <c r="U64" s="111"/>
      <c r="V64" s="110"/>
      <c r="W64" s="110"/>
    </row>
    <row r="65" spans="2:23" x14ac:dyDescent="0.3">
      <c r="B65" s="2" t="str">
        <f t="shared" si="0"/>
        <v/>
      </c>
      <c r="C65" s="1"/>
      <c r="D65" s="1"/>
      <c r="E65" s="1"/>
      <c r="F65" s="110"/>
      <c r="G65" s="110"/>
      <c r="H65" s="111"/>
      <c r="I65" s="111"/>
      <c r="J65" s="110"/>
      <c r="K65" s="110"/>
      <c r="O65" s="2" t="str">
        <f t="shared" si="1"/>
        <v>Tesco</v>
      </c>
      <c r="P65" s="1" t="s">
        <v>115</v>
      </c>
      <c r="Q65" s="1"/>
      <c r="R65" s="110"/>
      <c r="S65" s="110"/>
      <c r="T65" s="111"/>
      <c r="U65" s="111"/>
      <c r="V65" s="110"/>
      <c r="W65" s="110"/>
    </row>
    <row r="66" spans="2:23" x14ac:dyDescent="0.3">
      <c r="B66" s="2" t="str">
        <f t="shared" si="0"/>
        <v/>
      </c>
      <c r="C66" s="1"/>
      <c r="D66" s="1"/>
      <c r="E66" s="1"/>
      <c r="F66" s="110"/>
      <c r="G66" s="110"/>
      <c r="H66" s="111"/>
      <c r="I66" s="111"/>
      <c r="J66" s="110"/>
      <c r="K66" s="110"/>
      <c r="O66" s="2" t="str">
        <f t="shared" si="1"/>
        <v>Tesco</v>
      </c>
      <c r="P66" s="1" t="s">
        <v>115</v>
      </c>
      <c r="Q66" s="1"/>
      <c r="R66" s="110"/>
      <c r="S66" s="110"/>
      <c r="T66" s="111"/>
      <c r="U66" s="111"/>
      <c r="V66" s="110"/>
      <c r="W66" s="110"/>
    </row>
    <row r="67" spans="2:23" x14ac:dyDescent="0.3">
      <c r="B67" s="2" t="str">
        <f t="shared" si="0"/>
        <v/>
      </c>
      <c r="C67" s="1"/>
      <c r="D67" s="1"/>
      <c r="E67" s="1"/>
      <c r="F67" s="110"/>
      <c r="G67" s="110"/>
      <c r="H67" s="111"/>
      <c r="I67" s="111"/>
      <c r="J67" s="110"/>
      <c r="K67" s="110"/>
      <c r="O67" s="2" t="str">
        <f t="shared" si="1"/>
        <v>Tesco</v>
      </c>
      <c r="P67" s="1" t="s">
        <v>115</v>
      </c>
      <c r="Q67" s="1"/>
      <c r="R67" s="110"/>
      <c r="S67" s="110"/>
      <c r="T67" s="111"/>
      <c r="U67" s="111"/>
      <c r="V67" s="110"/>
      <c r="W67" s="110"/>
    </row>
    <row r="68" spans="2:23" x14ac:dyDescent="0.3">
      <c r="B68" s="2" t="str">
        <f t="shared" ref="B68:B131" si="2">C68&amp;D68&amp;E68</f>
        <v/>
      </c>
      <c r="C68" s="1"/>
      <c r="D68" s="1"/>
      <c r="E68" s="1"/>
      <c r="F68" s="110"/>
      <c r="G68" s="110"/>
      <c r="H68" s="111"/>
      <c r="I68" s="111"/>
      <c r="J68" s="110"/>
      <c r="K68" s="110"/>
      <c r="O68" s="2" t="str">
        <f t="shared" ref="O68:O131" si="3">P68&amp;Q68</f>
        <v>Tesco</v>
      </c>
      <c r="P68" s="1" t="s">
        <v>115</v>
      </c>
      <c r="Q68" s="1"/>
      <c r="R68" s="110"/>
      <c r="S68" s="110"/>
      <c r="T68" s="111"/>
      <c r="U68" s="111"/>
      <c r="V68" s="110"/>
      <c r="W68" s="110"/>
    </row>
    <row r="69" spans="2:23" x14ac:dyDescent="0.3">
      <c r="B69" s="2" t="str">
        <f t="shared" si="2"/>
        <v/>
      </c>
      <c r="C69" s="1"/>
      <c r="D69" s="1"/>
      <c r="E69" s="1"/>
      <c r="F69" s="110"/>
      <c r="G69" s="110"/>
      <c r="H69" s="111"/>
      <c r="I69" s="111"/>
      <c r="J69" s="110"/>
      <c r="K69" s="110"/>
      <c r="O69" s="2" t="str">
        <f t="shared" si="3"/>
        <v>Tesco</v>
      </c>
      <c r="P69" s="1" t="s">
        <v>115</v>
      </c>
      <c r="Q69" s="1"/>
      <c r="R69" s="110"/>
      <c r="S69" s="110"/>
      <c r="T69" s="111"/>
      <c r="U69" s="111"/>
      <c r="V69" s="110"/>
      <c r="W69" s="110"/>
    </row>
    <row r="70" spans="2:23" x14ac:dyDescent="0.3">
      <c r="B70" s="2" t="str">
        <f t="shared" si="2"/>
        <v/>
      </c>
      <c r="C70" s="1"/>
      <c r="D70" s="1"/>
      <c r="E70" s="1"/>
      <c r="F70" s="110"/>
      <c r="G70" s="110"/>
      <c r="H70" s="111"/>
      <c r="I70" s="111"/>
      <c r="J70" s="110"/>
      <c r="K70" s="110"/>
      <c r="O70" s="2" t="str">
        <f t="shared" si="3"/>
        <v>Tesco</v>
      </c>
      <c r="P70" s="1" t="s">
        <v>115</v>
      </c>
      <c r="Q70" s="1"/>
      <c r="R70" s="110"/>
      <c r="S70" s="110"/>
      <c r="T70" s="111"/>
      <c r="U70" s="111"/>
      <c r="V70" s="110"/>
      <c r="W70" s="110"/>
    </row>
    <row r="71" spans="2:23" x14ac:dyDescent="0.3">
      <c r="B71" s="2" t="str">
        <f t="shared" si="2"/>
        <v/>
      </c>
      <c r="C71" s="1"/>
      <c r="D71" s="1"/>
      <c r="E71" s="1"/>
      <c r="F71" s="110"/>
      <c r="G71" s="110"/>
      <c r="H71" s="111"/>
      <c r="I71" s="111"/>
      <c r="J71" s="110"/>
      <c r="K71" s="110"/>
      <c r="O71" s="2" t="str">
        <f t="shared" si="3"/>
        <v>Tesco</v>
      </c>
      <c r="P71" s="1" t="s">
        <v>115</v>
      </c>
      <c r="Q71" s="1"/>
      <c r="R71" s="110"/>
      <c r="S71" s="110"/>
      <c r="T71" s="111"/>
      <c r="U71" s="111"/>
      <c r="V71" s="110"/>
      <c r="W71" s="110"/>
    </row>
    <row r="72" spans="2:23" x14ac:dyDescent="0.3">
      <c r="B72" s="2" t="str">
        <f t="shared" si="2"/>
        <v/>
      </c>
      <c r="C72" s="1"/>
      <c r="D72" s="1"/>
      <c r="E72" s="1"/>
      <c r="F72" s="110"/>
      <c r="G72" s="110"/>
      <c r="H72" s="111"/>
      <c r="I72" s="111"/>
      <c r="J72" s="110"/>
      <c r="K72" s="110"/>
      <c r="O72" s="2" t="str">
        <f t="shared" si="3"/>
        <v>Tesco</v>
      </c>
      <c r="P72" s="1" t="s">
        <v>115</v>
      </c>
      <c r="Q72" s="1"/>
      <c r="R72" s="110"/>
      <c r="S72" s="110"/>
      <c r="T72" s="111"/>
      <c r="U72" s="111"/>
      <c r="V72" s="110"/>
      <c r="W72" s="110"/>
    </row>
    <row r="73" spans="2:23" x14ac:dyDescent="0.3">
      <c r="B73" s="2" t="str">
        <f t="shared" si="2"/>
        <v/>
      </c>
      <c r="C73" s="1"/>
      <c r="D73" s="1"/>
      <c r="E73" s="1"/>
      <c r="F73" s="110"/>
      <c r="G73" s="110"/>
      <c r="H73" s="111"/>
      <c r="I73" s="111"/>
      <c r="J73" s="110"/>
      <c r="K73" s="110"/>
      <c r="O73" s="2" t="str">
        <f t="shared" si="3"/>
        <v>Tesco</v>
      </c>
      <c r="P73" s="1" t="s">
        <v>115</v>
      </c>
      <c r="Q73" s="1"/>
      <c r="R73" s="110"/>
      <c r="S73" s="110"/>
      <c r="T73" s="111"/>
      <c r="U73" s="111"/>
      <c r="V73" s="110"/>
      <c r="W73" s="110"/>
    </row>
    <row r="74" spans="2:23" x14ac:dyDescent="0.3">
      <c r="B74" s="2" t="str">
        <f t="shared" si="2"/>
        <v/>
      </c>
      <c r="C74" s="1"/>
      <c r="D74" s="1"/>
      <c r="E74" s="1"/>
      <c r="F74" s="110"/>
      <c r="G74" s="110"/>
      <c r="H74" s="111"/>
      <c r="I74" s="111"/>
      <c r="J74" s="110"/>
      <c r="K74" s="110"/>
      <c r="O74" s="2" t="str">
        <f t="shared" si="3"/>
        <v>Tesco</v>
      </c>
      <c r="P74" s="1" t="s">
        <v>115</v>
      </c>
      <c r="Q74" s="1"/>
      <c r="R74" s="110"/>
      <c r="S74" s="110"/>
      <c r="T74" s="111"/>
      <c r="U74" s="111"/>
      <c r="V74" s="110"/>
      <c r="W74" s="110"/>
    </row>
    <row r="75" spans="2:23" x14ac:dyDescent="0.3">
      <c r="B75" s="2" t="str">
        <f t="shared" si="2"/>
        <v/>
      </c>
      <c r="C75" s="1"/>
      <c r="D75" s="1"/>
      <c r="E75" s="1"/>
      <c r="F75" s="110"/>
      <c r="G75" s="110"/>
      <c r="H75" s="111"/>
      <c r="I75" s="111"/>
      <c r="J75" s="110"/>
      <c r="K75" s="110"/>
      <c r="O75" s="2" t="str">
        <f t="shared" si="3"/>
        <v>Tesco</v>
      </c>
      <c r="P75" s="1" t="s">
        <v>115</v>
      </c>
      <c r="Q75" s="1"/>
      <c r="R75" s="110"/>
      <c r="S75" s="110"/>
      <c r="T75" s="111"/>
      <c r="U75" s="111"/>
      <c r="V75" s="110"/>
      <c r="W75" s="110"/>
    </row>
    <row r="76" spans="2:23" x14ac:dyDescent="0.3">
      <c r="B76" s="2" t="str">
        <f t="shared" si="2"/>
        <v/>
      </c>
      <c r="C76" s="1"/>
      <c r="D76" s="1"/>
      <c r="E76" s="1"/>
      <c r="F76" s="110"/>
      <c r="G76" s="110"/>
      <c r="H76" s="111"/>
      <c r="I76" s="111"/>
      <c r="J76" s="110"/>
      <c r="K76" s="110"/>
      <c r="O76" s="2" t="str">
        <f t="shared" si="3"/>
        <v>Tesco</v>
      </c>
      <c r="P76" s="1" t="s">
        <v>115</v>
      </c>
      <c r="Q76" s="1"/>
      <c r="R76" s="110"/>
      <c r="S76" s="110"/>
      <c r="T76" s="111"/>
      <c r="U76" s="111"/>
      <c r="V76" s="110"/>
      <c r="W76" s="110"/>
    </row>
    <row r="77" spans="2:23" x14ac:dyDescent="0.3">
      <c r="B77" s="2" t="str">
        <f t="shared" si="2"/>
        <v/>
      </c>
      <c r="C77" s="1"/>
      <c r="D77" s="1"/>
      <c r="E77" s="1"/>
      <c r="F77" s="110"/>
      <c r="G77" s="110"/>
      <c r="H77" s="111"/>
      <c r="I77" s="111"/>
      <c r="J77" s="110"/>
      <c r="K77" s="110"/>
      <c r="O77" s="2" t="str">
        <f t="shared" si="3"/>
        <v>Tesco</v>
      </c>
      <c r="P77" s="1" t="s">
        <v>115</v>
      </c>
      <c r="Q77" s="1"/>
      <c r="R77" s="110"/>
      <c r="S77" s="110"/>
      <c r="T77" s="111"/>
      <c r="U77" s="111"/>
      <c r="V77" s="110"/>
      <c r="W77" s="110"/>
    </row>
    <row r="78" spans="2:23" x14ac:dyDescent="0.3">
      <c r="B78" s="2" t="str">
        <f t="shared" si="2"/>
        <v/>
      </c>
      <c r="C78" s="1"/>
      <c r="D78" s="1"/>
      <c r="E78" s="1"/>
      <c r="F78" s="110"/>
      <c r="G78" s="110"/>
      <c r="H78" s="111"/>
      <c r="I78" s="111"/>
      <c r="J78" s="110"/>
      <c r="K78" s="110"/>
      <c r="O78" s="2" t="str">
        <f t="shared" si="3"/>
        <v>Tesco</v>
      </c>
      <c r="P78" s="1" t="s">
        <v>115</v>
      </c>
      <c r="Q78" s="1"/>
      <c r="R78" s="110"/>
      <c r="S78" s="110"/>
      <c r="T78" s="111"/>
      <c r="U78" s="111"/>
      <c r="V78" s="110"/>
      <c r="W78" s="110"/>
    </row>
    <row r="79" spans="2:23" x14ac:dyDescent="0.3">
      <c r="B79" s="2" t="str">
        <f t="shared" si="2"/>
        <v/>
      </c>
      <c r="C79" s="1"/>
      <c r="D79" s="1"/>
      <c r="E79" s="1"/>
      <c r="F79" s="110"/>
      <c r="G79" s="110"/>
      <c r="H79" s="111"/>
      <c r="I79" s="111"/>
      <c r="J79" s="110"/>
      <c r="K79" s="110"/>
      <c r="O79" s="2" t="str">
        <f t="shared" si="3"/>
        <v>Tesco</v>
      </c>
      <c r="P79" s="1" t="s">
        <v>115</v>
      </c>
      <c r="Q79" s="1"/>
      <c r="R79" s="110"/>
      <c r="S79" s="110"/>
      <c r="T79" s="111"/>
      <c r="U79" s="111"/>
      <c r="V79" s="110"/>
      <c r="W79" s="110"/>
    </row>
    <row r="80" spans="2:23" x14ac:dyDescent="0.3">
      <c r="B80" s="2" t="str">
        <f t="shared" si="2"/>
        <v/>
      </c>
      <c r="C80" s="1"/>
      <c r="D80" s="1"/>
      <c r="E80" s="1"/>
      <c r="F80" s="110"/>
      <c r="G80" s="110"/>
      <c r="H80" s="111"/>
      <c r="I80" s="111"/>
      <c r="J80" s="110"/>
      <c r="K80" s="110"/>
      <c r="O80" s="2" t="str">
        <f t="shared" si="3"/>
        <v>Tesco</v>
      </c>
      <c r="P80" s="1" t="s">
        <v>115</v>
      </c>
      <c r="Q80" s="1"/>
      <c r="R80" s="110"/>
      <c r="S80" s="110"/>
      <c r="T80" s="111"/>
      <c r="U80" s="111"/>
      <c r="V80" s="110"/>
      <c r="W80" s="110"/>
    </row>
    <row r="81" spans="2:23" x14ac:dyDescent="0.3">
      <c r="B81" s="2" t="str">
        <f t="shared" si="2"/>
        <v/>
      </c>
      <c r="C81" s="1"/>
      <c r="D81" s="1"/>
      <c r="E81" s="1"/>
      <c r="F81" s="110"/>
      <c r="G81" s="110"/>
      <c r="H81" s="111"/>
      <c r="I81" s="111"/>
      <c r="J81" s="110"/>
      <c r="K81" s="110"/>
      <c r="O81" s="2" t="str">
        <f t="shared" si="3"/>
        <v>Tesco</v>
      </c>
      <c r="P81" s="1" t="s">
        <v>115</v>
      </c>
      <c r="Q81" s="1"/>
      <c r="R81" s="110"/>
      <c r="S81" s="110"/>
      <c r="T81" s="111"/>
      <c r="U81" s="111"/>
      <c r="V81" s="110"/>
      <c r="W81" s="110"/>
    </row>
    <row r="82" spans="2:23" x14ac:dyDescent="0.3">
      <c r="B82" s="2" t="str">
        <f t="shared" si="2"/>
        <v/>
      </c>
      <c r="C82" s="1"/>
      <c r="D82" s="1"/>
      <c r="E82" s="1"/>
      <c r="F82" s="110"/>
      <c r="G82" s="110"/>
      <c r="H82" s="111"/>
      <c r="I82" s="111"/>
      <c r="J82" s="110"/>
      <c r="K82" s="110"/>
      <c r="O82" s="2" t="str">
        <f t="shared" si="3"/>
        <v>Tesco</v>
      </c>
      <c r="P82" s="1" t="s">
        <v>115</v>
      </c>
      <c r="Q82" s="1"/>
      <c r="R82" s="110"/>
      <c r="S82" s="110"/>
      <c r="T82" s="111"/>
      <c r="U82" s="111"/>
      <c r="V82" s="110"/>
      <c r="W82" s="110"/>
    </row>
    <row r="83" spans="2:23" x14ac:dyDescent="0.3">
      <c r="B83" s="2" t="str">
        <f t="shared" si="2"/>
        <v/>
      </c>
      <c r="C83" s="1"/>
      <c r="D83" s="1"/>
      <c r="E83" s="1"/>
      <c r="F83" s="110"/>
      <c r="G83" s="110"/>
      <c r="H83" s="111"/>
      <c r="I83" s="111"/>
      <c r="J83" s="110"/>
      <c r="K83" s="110"/>
      <c r="O83" s="2" t="str">
        <f t="shared" si="3"/>
        <v>Tesco</v>
      </c>
      <c r="P83" s="1" t="s">
        <v>115</v>
      </c>
      <c r="Q83" s="1"/>
      <c r="R83" s="110"/>
      <c r="S83" s="110"/>
      <c r="T83" s="111"/>
      <c r="U83" s="111"/>
      <c r="V83" s="110"/>
      <c r="W83" s="110"/>
    </row>
    <row r="84" spans="2:23" x14ac:dyDescent="0.3">
      <c r="B84" s="2" t="str">
        <f t="shared" si="2"/>
        <v/>
      </c>
      <c r="C84" s="1"/>
      <c r="D84" s="1"/>
      <c r="E84" s="1"/>
      <c r="F84" s="110"/>
      <c r="G84" s="110"/>
      <c r="H84" s="111"/>
      <c r="I84" s="111"/>
      <c r="J84" s="110"/>
      <c r="K84" s="110"/>
      <c r="O84" s="2" t="str">
        <f t="shared" si="3"/>
        <v>Tesco</v>
      </c>
      <c r="P84" s="1" t="s">
        <v>115</v>
      </c>
      <c r="Q84" s="1"/>
      <c r="R84" s="110"/>
      <c r="S84" s="110"/>
      <c r="T84" s="111"/>
      <c r="U84" s="111"/>
      <c r="V84" s="110"/>
      <c r="W84" s="110"/>
    </row>
    <row r="85" spans="2:23" x14ac:dyDescent="0.3">
      <c r="B85" s="2" t="str">
        <f t="shared" si="2"/>
        <v/>
      </c>
      <c r="C85" s="1"/>
      <c r="D85" s="1"/>
      <c r="E85" s="1"/>
      <c r="F85" s="110"/>
      <c r="G85" s="110"/>
      <c r="H85" s="111"/>
      <c r="I85" s="111"/>
      <c r="J85" s="110"/>
      <c r="K85" s="110"/>
      <c r="O85" s="2" t="str">
        <f t="shared" si="3"/>
        <v>Tesco</v>
      </c>
      <c r="P85" s="1" t="s">
        <v>115</v>
      </c>
      <c r="Q85" s="1"/>
      <c r="R85" s="110"/>
      <c r="S85" s="110"/>
      <c r="T85" s="111"/>
      <c r="U85" s="111"/>
      <c r="V85" s="110"/>
      <c r="W85" s="110"/>
    </row>
    <row r="86" spans="2:23" x14ac:dyDescent="0.3">
      <c r="B86" s="2" t="str">
        <f t="shared" si="2"/>
        <v/>
      </c>
      <c r="C86" s="1"/>
      <c r="D86" s="1"/>
      <c r="E86" s="1"/>
      <c r="F86" s="110"/>
      <c r="G86" s="110"/>
      <c r="H86" s="111"/>
      <c r="I86" s="111"/>
      <c r="J86" s="110"/>
      <c r="K86" s="110"/>
      <c r="O86" s="2" t="str">
        <f t="shared" si="3"/>
        <v>Tesco</v>
      </c>
      <c r="P86" s="1" t="s">
        <v>115</v>
      </c>
      <c r="Q86" s="1"/>
      <c r="R86" s="110"/>
      <c r="S86" s="110"/>
      <c r="T86" s="111"/>
      <c r="U86" s="111"/>
      <c r="V86" s="110"/>
      <c r="W86" s="110"/>
    </row>
    <row r="87" spans="2:23" x14ac:dyDescent="0.3">
      <c r="B87" s="2" t="str">
        <f t="shared" si="2"/>
        <v/>
      </c>
      <c r="C87" s="1"/>
      <c r="D87" s="1"/>
      <c r="E87" s="1"/>
      <c r="F87" s="110"/>
      <c r="G87" s="110"/>
      <c r="H87" s="111"/>
      <c r="I87" s="111"/>
      <c r="J87" s="110"/>
      <c r="K87" s="110"/>
      <c r="O87" s="2" t="str">
        <f t="shared" si="3"/>
        <v>Tesco</v>
      </c>
      <c r="P87" s="1" t="s">
        <v>115</v>
      </c>
      <c r="Q87" s="1"/>
      <c r="R87" s="110"/>
      <c r="S87" s="110"/>
      <c r="T87" s="111"/>
      <c r="U87" s="111"/>
      <c r="V87" s="110"/>
      <c r="W87" s="110"/>
    </row>
    <row r="88" spans="2:23" x14ac:dyDescent="0.3">
      <c r="B88" s="2" t="str">
        <f t="shared" si="2"/>
        <v/>
      </c>
      <c r="C88" s="1"/>
      <c r="D88" s="1"/>
      <c r="E88" s="1"/>
      <c r="F88" s="110"/>
      <c r="G88" s="110"/>
      <c r="H88" s="111"/>
      <c r="I88" s="111"/>
      <c r="J88" s="110"/>
      <c r="K88" s="110"/>
      <c r="O88" s="2" t="str">
        <f t="shared" si="3"/>
        <v>Tesco</v>
      </c>
      <c r="P88" s="1" t="s">
        <v>115</v>
      </c>
      <c r="Q88" s="1"/>
      <c r="R88" s="110"/>
      <c r="S88" s="110"/>
      <c r="T88" s="111"/>
      <c r="U88" s="111"/>
      <c r="V88" s="110"/>
      <c r="W88" s="110"/>
    </row>
    <row r="89" spans="2:23" x14ac:dyDescent="0.3">
      <c r="B89" s="2" t="str">
        <f t="shared" si="2"/>
        <v/>
      </c>
      <c r="C89" s="1"/>
      <c r="D89" s="1"/>
      <c r="E89" s="1"/>
      <c r="F89" s="110"/>
      <c r="G89" s="110"/>
      <c r="H89" s="111"/>
      <c r="I89" s="111"/>
      <c r="J89" s="110"/>
      <c r="K89" s="110"/>
      <c r="O89" s="2" t="str">
        <f t="shared" si="3"/>
        <v>Tesco</v>
      </c>
      <c r="P89" s="1" t="s">
        <v>115</v>
      </c>
      <c r="Q89" s="1"/>
      <c r="R89" s="110"/>
      <c r="S89" s="110"/>
      <c r="T89" s="111"/>
      <c r="U89" s="111"/>
      <c r="V89" s="110"/>
      <c r="W89" s="110"/>
    </row>
    <row r="90" spans="2:23" x14ac:dyDescent="0.3">
      <c r="B90" s="2" t="str">
        <f t="shared" si="2"/>
        <v/>
      </c>
      <c r="C90" s="1"/>
      <c r="D90" s="1"/>
      <c r="E90" s="1"/>
      <c r="F90" s="110"/>
      <c r="G90" s="110"/>
      <c r="H90" s="111"/>
      <c r="I90" s="111"/>
      <c r="J90" s="110"/>
      <c r="K90" s="110"/>
      <c r="O90" s="2" t="str">
        <f t="shared" si="3"/>
        <v>Tesco</v>
      </c>
      <c r="P90" s="1" t="s">
        <v>115</v>
      </c>
      <c r="Q90" s="1"/>
      <c r="R90" s="110"/>
      <c r="S90" s="110"/>
      <c r="T90" s="111"/>
      <c r="U90" s="111"/>
      <c r="V90" s="110"/>
      <c r="W90" s="110"/>
    </row>
    <row r="91" spans="2:23" x14ac:dyDescent="0.3">
      <c r="B91" s="2" t="str">
        <f t="shared" si="2"/>
        <v/>
      </c>
      <c r="C91" s="1"/>
      <c r="D91" s="1"/>
      <c r="E91" s="1"/>
      <c r="F91" s="110"/>
      <c r="G91" s="110"/>
      <c r="H91" s="111"/>
      <c r="I91" s="111"/>
      <c r="J91" s="110"/>
      <c r="K91" s="110"/>
      <c r="O91" s="2" t="str">
        <f t="shared" si="3"/>
        <v>Tesco</v>
      </c>
      <c r="P91" s="1" t="s">
        <v>115</v>
      </c>
      <c r="Q91" s="1"/>
      <c r="R91" s="110"/>
      <c r="S91" s="110"/>
      <c r="T91" s="111"/>
      <c r="U91" s="111"/>
      <c r="V91" s="110"/>
      <c r="W91" s="110"/>
    </row>
    <row r="92" spans="2:23" x14ac:dyDescent="0.3">
      <c r="B92" s="2" t="str">
        <f t="shared" si="2"/>
        <v/>
      </c>
      <c r="C92" s="1"/>
      <c r="D92" s="1"/>
      <c r="E92" s="1"/>
      <c r="F92" s="110"/>
      <c r="G92" s="110"/>
      <c r="H92" s="111"/>
      <c r="I92" s="111"/>
      <c r="J92" s="110"/>
      <c r="K92" s="110"/>
      <c r="O92" s="2" t="str">
        <f t="shared" si="3"/>
        <v>Tesco</v>
      </c>
      <c r="P92" s="1" t="s">
        <v>115</v>
      </c>
      <c r="Q92" s="1"/>
      <c r="R92" s="110"/>
      <c r="S92" s="110"/>
      <c r="T92" s="111"/>
      <c r="U92" s="111"/>
      <c r="V92" s="110"/>
      <c r="W92" s="110"/>
    </row>
    <row r="93" spans="2:23" x14ac:dyDescent="0.3">
      <c r="B93" s="2" t="str">
        <f t="shared" si="2"/>
        <v/>
      </c>
      <c r="C93" s="1"/>
      <c r="D93" s="1"/>
      <c r="E93" s="1"/>
      <c r="F93" s="110"/>
      <c r="G93" s="110"/>
      <c r="H93" s="111"/>
      <c r="I93" s="111"/>
      <c r="J93" s="110"/>
      <c r="K93" s="110"/>
      <c r="O93" s="2" t="str">
        <f t="shared" si="3"/>
        <v>Tesco</v>
      </c>
      <c r="P93" s="1" t="s">
        <v>115</v>
      </c>
      <c r="Q93" s="1"/>
      <c r="R93" s="110"/>
      <c r="S93" s="110"/>
      <c r="T93" s="111"/>
      <c r="U93" s="111"/>
      <c r="V93" s="110"/>
      <c r="W93" s="110"/>
    </row>
    <row r="94" spans="2:23" x14ac:dyDescent="0.3">
      <c r="B94" s="2" t="str">
        <f t="shared" si="2"/>
        <v/>
      </c>
      <c r="C94" s="1"/>
      <c r="D94" s="1"/>
      <c r="E94" s="1"/>
      <c r="F94" s="110"/>
      <c r="G94" s="110"/>
      <c r="H94" s="111"/>
      <c r="I94" s="111"/>
      <c r="J94" s="110"/>
      <c r="K94" s="110"/>
      <c r="O94" s="2" t="str">
        <f t="shared" si="3"/>
        <v>Tesco</v>
      </c>
      <c r="P94" s="1" t="s">
        <v>115</v>
      </c>
      <c r="Q94" s="1"/>
      <c r="R94" s="110"/>
      <c r="S94" s="110"/>
      <c r="T94" s="111"/>
      <c r="U94" s="111"/>
      <c r="V94" s="110"/>
      <c r="W94" s="110"/>
    </row>
    <row r="95" spans="2:23" x14ac:dyDescent="0.3">
      <c r="B95" s="2" t="str">
        <f t="shared" si="2"/>
        <v/>
      </c>
      <c r="C95" s="1"/>
      <c r="D95" s="1"/>
      <c r="E95" s="1"/>
      <c r="F95" s="110"/>
      <c r="G95" s="110"/>
      <c r="H95" s="111"/>
      <c r="I95" s="111"/>
      <c r="J95" s="110"/>
      <c r="K95" s="110"/>
      <c r="O95" s="2" t="str">
        <f t="shared" si="3"/>
        <v>Tesco</v>
      </c>
      <c r="P95" s="1" t="s">
        <v>115</v>
      </c>
      <c r="Q95" s="1"/>
      <c r="R95" s="110"/>
      <c r="S95" s="110"/>
      <c r="T95" s="111"/>
      <c r="U95" s="111"/>
      <c r="V95" s="110"/>
      <c r="W95" s="110"/>
    </row>
    <row r="96" spans="2:23" x14ac:dyDescent="0.3">
      <c r="B96" s="2" t="str">
        <f t="shared" si="2"/>
        <v/>
      </c>
      <c r="C96" s="1"/>
      <c r="D96" s="1"/>
      <c r="E96" s="1"/>
      <c r="F96" s="110"/>
      <c r="G96" s="110"/>
      <c r="H96" s="111"/>
      <c r="I96" s="111"/>
      <c r="J96" s="110"/>
      <c r="K96" s="110"/>
      <c r="O96" s="2" t="str">
        <f t="shared" si="3"/>
        <v>Tesco</v>
      </c>
      <c r="P96" s="1" t="s">
        <v>115</v>
      </c>
      <c r="Q96" s="1"/>
      <c r="R96" s="110"/>
      <c r="S96" s="110"/>
      <c r="T96" s="111"/>
      <c r="U96" s="111"/>
      <c r="V96" s="110"/>
      <c r="W96" s="110"/>
    </row>
    <row r="97" spans="2:23" x14ac:dyDescent="0.3">
      <c r="B97" s="2" t="str">
        <f t="shared" si="2"/>
        <v/>
      </c>
      <c r="C97" s="1"/>
      <c r="D97" s="1"/>
      <c r="E97" s="1"/>
      <c r="F97" s="110"/>
      <c r="G97" s="110"/>
      <c r="H97" s="111"/>
      <c r="I97" s="111"/>
      <c r="J97" s="110"/>
      <c r="K97" s="110"/>
      <c r="O97" s="2" t="str">
        <f t="shared" si="3"/>
        <v>Tesco</v>
      </c>
      <c r="P97" s="1" t="s">
        <v>115</v>
      </c>
      <c r="Q97" s="1"/>
      <c r="R97" s="110"/>
      <c r="S97" s="110"/>
      <c r="T97" s="111"/>
      <c r="U97" s="111"/>
      <c r="V97" s="110"/>
      <c r="W97" s="110"/>
    </row>
    <row r="98" spans="2:23" x14ac:dyDescent="0.3">
      <c r="B98" s="2" t="str">
        <f t="shared" si="2"/>
        <v/>
      </c>
      <c r="C98" s="1"/>
      <c r="D98" s="1"/>
      <c r="E98" s="1"/>
      <c r="F98" s="110"/>
      <c r="G98" s="110"/>
      <c r="H98" s="111"/>
      <c r="I98" s="111"/>
      <c r="J98" s="110"/>
      <c r="K98" s="110"/>
      <c r="O98" s="2" t="str">
        <f t="shared" si="3"/>
        <v>Tesco</v>
      </c>
      <c r="P98" s="1" t="s">
        <v>115</v>
      </c>
      <c r="Q98" s="1"/>
      <c r="R98" s="110"/>
      <c r="S98" s="110"/>
      <c r="T98" s="111"/>
      <c r="U98" s="111"/>
      <c r="V98" s="110"/>
      <c r="W98" s="110"/>
    </row>
    <row r="99" spans="2:23" x14ac:dyDescent="0.3">
      <c r="B99" s="2" t="str">
        <f t="shared" si="2"/>
        <v/>
      </c>
      <c r="C99" s="1"/>
      <c r="D99" s="1"/>
      <c r="E99" s="1"/>
      <c r="F99" s="110"/>
      <c r="G99" s="110"/>
      <c r="H99" s="111"/>
      <c r="I99" s="111"/>
      <c r="J99" s="110"/>
      <c r="K99" s="110"/>
      <c r="O99" s="2" t="str">
        <f t="shared" si="3"/>
        <v>Tesco</v>
      </c>
      <c r="P99" s="1" t="s">
        <v>115</v>
      </c>
      <c r="Q99" s="1"/>
      <c r="R99" s="110"/>
      <c r="S99" s="110"/>
      <c r="T99" s="111"/>
      <c r="U99" s="111"/>
      <c r="V99" s="110"/>
      <c r="W99" s="110"/>
    </row>
    <row r="100" spans="2:23" x14ac:dyDescent="0.3">
      <c r="B100" s="2" t="str">
        <f t="shared" si="2"/>
        <v/>
      </c>
      <c r="C100" s="1"/>
      <c r="D100" s="1"/>
      <c r="E100" s="1"/>
      <c r="F100" s="110"/>
      <c r="G100" s="110"/>
      <c r="H100" s="111"/>
      <c r="I100" s="111"/>
      <c r="J100" s="110"/>
      <c r="K100" s="110"/>
      <c r="O100" s="2" t="str">
        <f t="shared" si="3"/>
        <v>Tesco</v>
      </c>
      <c r="P100" s="1" t="s">
        <v>115</v>
      </c>
      <c r="Q100" s="1"/>
      <c r="R100" s="110"/>
      <c r="S100" s="110"/>
      <c r="T100" s="111"/>
      <c r="U100" s="111"/>
      <c r="V100" s="110"/>
      <c r="W100" s="110"/>
    </row>
    <row r="101" spans="2:23" x14ac:dyDescent="0.3">
      <c r="B101" s="2" t="str">
        <f t="shared" si="2"/>
        <v/>
      </c>
      <c r="C101" s="1"/>
      <c r="D101" s="1"/>
      <c r="E101" s="1"/>
      <c r="F101" s="110"/>
      <c r="G101" s="110"/>
      <c r="H101" s="111"/>
      <c r="I101" s="111"/>
      <c r="J101" s="110"/>
      <c r="K101" s="110"/>
      <c r="O101" s="2" t="str">
        <f t="shared" si="3"/>
        <v>Tesco</v>
      </c>
      <c r="P101" s="1" t="s">
        <v>115</v>
      </c>
      <c r="Q101" s="1"/>
      <c r="R101" s="110"/>
      <c r="S101" s="110"/>
      <c r="T101" s="111"/>
      <c r="U101" s="111"/>
      <c r="V101" s="110"/>
      <c r="W101" s="110"/>
    </row>
    <row r="102" spans="2:23" x14ac:dyDescent="0.3">
      <c r="B102" s="2" t="str">
        <f t="shared" si="2"/>
        <v/>
      </c>
      <c r="C102" s="1"/>
      <c r="D102" s="1"/>
      <c r="E102" s="1"/>
      <c r="F102" s="110"/>
      <c r="G102" s="110"/>
      <c r="H102" s="111"/>
      <c r="I102" s="111"/>
      <c r="J102" s="110"/>
      <c r="K102" s="110"/>
      <c r="O102" s="2" t="str">
        <f t="shared" si="3"/>
        <v>Tesco</v>
      </c>
      <c r="P102" s="1" t="s">
        <v>115</v>
      </c>
      <c r="Q102" s="1"/>
      <c r="R102" s="110"/>
      <c r="S102" s="110"/>
      <c r="T102" s="111"/>
      <c r="U102" s="111"/>
      <c r="V102" s="110"/>
      <c r="W102" s="110"/>
    </row>
    <row r="103" spans="2:23" x14ac:dyDescent="0.3">
      <c r="B103" s="2" t="str">
        <f t="shared" si="2"/>
        <v/>
      </c>
      <c r="C103" s="1"/>
      <c r="D103" s="1"/>
      <c r="E103" s="1"/>
      <c r="F103" s="110"/>
      <c r="G103" s="110"/>
      <c r="H103" s="111"/>
      <c r="I103" s="111"/>
      <c r="J103" s="110"/>
      <c r="K103" s="110"/>
      <c r="O103" s="2" t="str">
        <f t="shared" si="3"/>
        <v>Tesco</v>
      </c>
      <c r="P103" s="1" t="s">
        <v>115</v>
      </c>
      <c r="Q103" s="1"/>
      <c r="R103" s="110"/>
      <c r="S103" s="110"/>
      <c r="T103" s="111"/>
      <c r="U103" s="111"/>
      <c r="V103" s="110"/>
      <c r="W103" s="110"/>
    </row>
    <row r="104" spans="2:23" x14ac:dyDescent="0.3">
      <c r="B104" s="2" t="str">
        <f t="shared" si="2"/>
        <v/>
      </c>
      <c r="C104" s="1"/>
      <c r="D104" s="1"/>
      <c r="E104" s="1"/>
      <c r="F104" s="110"/>
      <c r="G104" s="110"/>
      <c r="H104" s="111"/>
      <c r="I104" s="111"/>
      <c r="J104" s="110"/>
      <c r="K104" s="110"/>
      <c r="O104" s="2" t="str">
        <f t="shared" si="3"/>
        <v>Tesco</v>
      </c>
      <c r="P104" s="1" t="s">
        <v>115</v>
      </c>
      <c r="Q104" s="1"/>
      <c r="R104" s="110"/>
      <c r="S104" s="110"/>
      <c r="T104" s="111"/>
      <c r="U104" s="111"/>
      <c r="V104" s="110"/>
      <c r="W104" s="110"/>
    </row>
    <row r="105" spans="2:23" x14ac:dyDescent="0.3">
      <c r="B105" s="2" t="str">
        <f t="shared" si="2"/>
        <v/>
      </c>
      <c r="C105" s="1"/>
      <c r="D105" s="1"/>
      <c r="E105" s="1"/>
      <c r="F105" s="110"/>
      <c r="G105" s="110"/>
      <c r="H105" s="111"/>
      <c r="I105" s="111"/>
      <c r="J105" s="110"/>
      <c r="K105" s="110"/>
      <c r="O105" s="2" t="str">
        <f t="shared" si="3"/>
        <v>Tesco</v>
      </c>
      <c r="P105" s="1" t="s">
        <v>115</v>
      </c>
      <c r="Q105" s="1"/>
      <c r="R105" s="110"/>
      <c r="S105" s="110"/>
      <c r="T105" s="111"/>
      <c r="U105" s="111"/>
      <c r="V105" s="110"/>
      <c r="W105" s="110"/>
    </row>
    <row r="106" spans="2:23" x14ac:dyDescent="0.3">
      <c r="B106" s="2" t="str">
        <f t="shared" si="2"/>
        <v/>
      </c>
      <c r="C106" s="1"/>
      <c r="D106" s="1"/>
      <c r="E106" s="1"/>
      <c r="F106" s="110"/>
      <c r="G106" s="110"/>
      <c r="H106" s="111"/>
      <c r="I106" s="111"/>
      <c r="J106" s="110"/>
      <c r="K106" s="110"/>
      <c r="O106" s="2" t="str">
        <f t="shared" si="3"/>
        <v>Tesco</v>
      </c>
      <c r="P106" s="1" t="s">
        <v>115</v>
      </c>
      <c r="Q106" s="1"/>
      <c r="R106" s="110"/>
      <c r="S106" s="110"/>
      <c r="T106" s="111"/>
      <c r="U106" s="111"/>
      <c r="V106" s="110"/>
      <c r="W106" s="110"/>
    </row>
    <row r="107" spans="2:23" x14ac:dyDescent="0.3">
      <c r="B107" s="2" t="str">
        <f t="shared" si="2"/>
        <v/>
      </c>
      <c r="C107" s="1"/>
      <c r="D107" s="1"/>
      <c r="E107" s="1"/>
      <c r="F107" s="110"/>
      <c r="G107" s="110"/>
      <c r="H107" s="111"/>
      <c r="I107" s="111"/>
      <c r="J107" s="110"/>
      <c r="K107" s="110"/>
      <c r="O107" s="2" t="str">
        <f t="shared" si="3"/>
        <v>Tesco</v>
      </c>
      <c r="P107" s="1" t="s">
        <v>115</v>
      </c>
      <c r="Q107" s="1"/>
      <c r="R107" s="110"/>
      <c r="S107" s="110"/>
      <c r="T107" s="111"/>
      <c r="U107" s="111"/>
      <c r="V107" s="110"/>
      <c r="W107" s="110"/>
    </row>
    <row r="108" spans="2:23" x14ac:dyDescent="0.3">
      <c r="B108" s="2" t="str">
        <f t="shared" si="2"/>
        <v/>
      </c>
      <c r="C108" s="1"/>
      <c r="D108" s="1"/>
      <c r="E108" s="1"/>
      <c r="F108" s="110"/>
      <c r="G108" s="110"/>
      <c r="H108" s="111"/>
      <c r="I108" s="111"/>
      <c r="J108" s="110"/>
      <c r="K108" s="110"/>
      <c r="O108" s="2" t="str">
        <f t="shared" si="3"/>
        <v>Tesco</v>
      </c>
      <c r="P108" s="1" t="s">
        <v>115</v>
      </c>
      <c r="Q108" s="1"/>
      <c r="R108" s="110"/>
      <c r="S108" s="110"/>
      <c r="T108" s="111"/>
      <c r="U108" s="111"/>
      <c r="V108" s="110"/>
      <c r="W108" s="110"/>
    </row>
    <row r="109" spans="2:23" x14ac:dyDescent="0.3">
      <c r="B109" s="2" t="str">
        <f t="shared" si="2"/>
        <v/>
      </c>
      <c r="C109" s="1"/>
      <c r="D109" s="1"/>
      <c r="E109" s="1"/>
      <c r="F109" s="110"/>
      <c r="G109" s="110"/>
      <c r="H109" s="111"/>
      <c r="I109" s="111"/>
      <c r="J109" s="110"/>
      <c r="K109" s="110"/>
      <c r="O109" s="2" t="str">
        <f t="shared" si="3"/>
        <v>Tesco</v>
      </c>
      <c r="P109" s="1" t="s">
        <v>115</v>
      </c>
      <c r="Q109" s="1"/>
      <c r="R109" s="110"/>
      <c r="S109" s="110"/>
      <c r="T109" s="111"/>
      <c r="U109" s="111"/>
      <c r="V109" s="110"/>
      <c r="W109" s="110"/>
    </row>
    <row r="110" spans="2:23" x14ac:dyDescent="0.3">
      <c r="B110" s="2" t="str">
        <f t="shared" si="2"/>
        <v/>
      </c>
      <c r="C110" s="1"/>
      <c r="D110" s="1"/>
      <c r="E110" s="1"/>
      <c r="F110" s="110"/>
      <c r="G110" s="110"/>
      <c r="H110" s="111"/>
      <c r="I110" s="111"/>
      <c r="J110" s="110"/>
      <c r="K110" s="110"/>
      <c r="O110" s="2" t="str">
        <f t="shared" si="3"/>
        <v>Tesco</v>
      </c>
      <c r="P110" s="1" t="s">
        <v>115</v>
      </c>
      <c r="Q110" s="1"/>
      <c r="R110" s="110"/>
      <c r="S110" s="110"/>
      <c r="T110" s="111"/>
      <c r="U110" s="111"/>
      <c r="V110" s="110"/>
      <c r="W110" s="110"/>
    </row>
    <row r="111" spans="2:23" x14ac:dyDescent="0.3">
      <c r="B111" s="2" t="str">
        <f t="shared" si="2"/>
        <v/>
      </c>
      <c r="C111" s="1"/>
      <c r="D111" s="1"/>
      <c r="E111" s="1"/>
      <c r="F111" s="110"/>
      <c r="G111" s="110"/>
      <c r="H111" s="111"/>
      <c r="I111" s="111"/>
      <c r="J111" s="110"/>
      <c r="K111" s="110"/>
      <c r="O111" s="2" t="str">
        <f t="shared" si="3"/>
        <v>Tesco</v>
      </c>
      <c r="P111" s="1" t="s">
        <v>115</v>
      </c>
      <c r="Q111" s="1"/>
      <c r="R111" s="110"/>
      <c r="S111" s="110"/>
      <c r="T111" s="111"/>
      <c r="U111" s="111"/>
      <c r="V111" s="110"/>
      <c r="W111" s="110"/>
    </row>
    <row r="112" spans="2:23" x14ac:dyDescent="0.3">
      <c r="B112" s="2" t="str">
        <f t="shared" si="2"/>
        <v/>
      </c>
      <c r="C112" s="1"/>
      <c r="D112" s="1"/>
      <c r="E112" s="1"/>
      <c r="F112" s="110"/>
      <c r="G112" s="110"/>
      <c r="H112" s="111"/>
      <c r="I112" s="111"/>
      <c r="J112" s="110"/>
      <c r="K112" s="110"/>
      <c r="O112" s="2" t="str">
        <f t="shared" si="3"/>
        <v>Tesco</v>
      </c>
      <c r="P112" s="1" t="s">
        <v>115</v>
      </c>
      <c r="Q112" s="1"/>
      <c r="R112" s="110"/>
      <c r="S112" s="110"/>
      <c r="T112" s="111"/>
      <c r="U112" s="111"/>
      <c r="V112" s="110"/>
      <c r="W112" s="110"/>
    </row>
    <row r="113" spans="2:23" x14ac:dyDescent="0.3">
      <c r="B113" s="2" t="str">
        <f t="shared" si="2"/>
        <v/>
      </c>
      <c r="C113" s="1"/>
      <c r="D113" s="1"/>
      <c r="E113" s="1"/>
      <c r="F113" s="110"/>
      <c r="G113" s="110"/>
      <c r="H113" s="111"/>
      <c r="I113" s="111"/>
      <c r="J113" s="110"/>
      <c r="K113" s="110"/>
      <c r="O113" s="2" t="str">
        <f t="shared" si="3"/>
        <v>Tesco</v>
      </c>
      <c r="P113" s="1" t="s">
        <v>115</v>
      </c>
      <c r="Q113" s="1"/>
      <c r="R113" s="110"/>
      <c r="S113" s="110"/>
      <c r="T113" s="111"/>
      <c r="U113" s="111"/>
      <c r="V113" s="110"/>
      <c r="W113" s="110"/>
    </row>
    <row r="114" spans="2:23" x14ac:dyDescent="0.3">
      <c r="B114" s="2" t="str">
        <f t="shared" si="2"/>
        <v/>
      </c>
      <c r="C114" s="1"/>
      <c r="D114" s="1"/>
      <c r="E114" s="1"/>
      <c r="F114" s="110"/>
      <c r="G114" s="110"/>
      <c r="H114" s="111"/>
      <c r="I114" s="111"/>
      <c r="J114" s="110"/>
      <c r="K114" s="110"/>
      <c r="O114" s="2" t="str">
        <f t="shared" si="3"/>
        <v>Tesco</v>
      </c>
      <c r="P114" s="1" t="s">
        <v>115</v>
      </c>
      <c r="Q114" s="1"/>
      <c r="R114" s="110"/>
      <c r="S114" s="110"/>
      <c r="T114" s="111"/>
      <c r="U114" s="111"/>
      <c r="V114" s="110"/>
      <c r="W114" s="110"/>
    </row>
    <row r="115" spans="2:23" x14ac:dyDescent="0.3">
      <c r="B115" s="2" t="str">
        <f t="shared" si="2"/>
        <v/>
      </c>
      <c r="C115" s="1"/>
      <c r="D115" s="1"/>
      <c r="E115" s="1"/>
      <c r="F115" s="110"/>
      <c r="G115" s="110"/>
      <c r="H115" s="111"/>
      <c r="I115" s="111"/>
      <c r="J115" s="110"/>
      <c r="K115" s="110"/>
      <c r="O115" s="2" t="str">
        <f t="shared" si="3"/>
        <v>Tesco</v>
      </c>
      <c r="P115" s="1" t="s">
        <v>115</v>
      </c>
      <c r="Q115" s="1"/>
      <c r="R115" s="110"/>
      <c r="S115" s="110"/>
      <c r="T115" s="111"/>
      <c r="U115" s="111"/>
      <c r="V115" s="110"/>
      <c r="W115" s="110"/>
    </row>
    <row r="116" spans="2:23" x14ac:dyDescent="0.3">
      <c r="B116" s="2" t="str">
        <f t="shared" si="2"/>
        <v/>
      </c>
      <c r="C116" s="1"/>
      <c r="D116" s="1"/>
      <c r="E116" s="1"/>
      <c r="F116" s="110"/>
      <c r="G116" s="110"/>
      <c r="H116" s="111"/>
      <c r="I116" s="111"/>
      <c r="J116" s="110"/>
      <c r="K116" s="110"/>
      <c r="O116" s="2" t="str">
        <f t="shared" si="3"/>
        <v>Tesco</v>
      </c>
      <c r="P116" s="1" t="s">
        <v>115</v>
      </c>
      <c r="Q116" s="1"/>
      <c r="R116" s="110"/>
      <c r="S116" s="110"/>
      <c r="T116" s="111"/>
      <c r="U116" s="111"/>
      <c r="V116" s="110"/>
      <c r="W116" s="110"/>
    </row>
    <row r="117" spans="2:23" x14ac:dyDescent="0.3">
      <c r="B117" s="2" t="str">
        <f t="shared" si="2"/>
        <v/>
      </c>
      <c r="C117" s="1"/>
      <c r="D117" s="1"/>
      <c r="E117" s="1"/>
      <c r="F117" s="110"/>
      <c r="G117" s="110"/>
      <c r="H117" s="111"/>
      <c r="I117" s="111"/>
      <c r="J117" s="110"/>
      <c r="K117" s="110"/>
      <c r="O117" s="2" t="str">
        <f t="shared" si="3"/>
        <v>Tesco</v>
      </c>
      <c r="P117" s="1" t="s">
        <v>115</v>
      </c>
      <c r="Q117" s="1"/>
      <c r="R117" s="110"/>
      <c r="S117" s="110"/>
      <c r="T117" s="111"/>
      <c r="U117" s="111"/>
      <c r="V117" s="110"/>
      <c r="W117" s="110"/>
    </row>
    <row r="118" spans="2:23" x14ac:dyDescent="0.3">
      <c r="B118" s="2" t="str">
        <f t="shared" si="2"/>
        <v/>
      </c>
      <c r="C118" s="1"/>
      <c r="D118" s="1"/>
      <c r="E118" s="1"/>
      <c r="F118" s="110"/>
      <c r="G118" s="110"/>
      <c r="H118" s="111"/>
      <c r="I118" s="111"/>
      <c r="J118" s="110"/>
      <c r="K118" s="110"/>
      <c r="O118" s="2" t="str">
        <f t="shared" si="3"/>
        <v>Tesco</v>
      </c>
      <c r="P118" s="1" t="s">
        <v>115</v>
      </c>
      <c r="Q118" s="1"/>
      <c r="R118" s="110"/>
      <c r="S118" s="110"/>
      <c r="T118" s="111"/>
      <c r="U118" s="111"/>
      <c r="V118" s="110"/>
      <c r="W118" s="110"/>
    </row>
    <row r="119" spans="2:23" x14ac:dyDescent="0.3">
      <c r="B119" s="2" t="str">
        <f t="shared" si="2"/>
        <v/>
      </c>
      <c r="C119" s="1"/>
      <c r="D119" s="1"/>
      <c r="E119" s="1"/>
      <c r="F119" s="110"/>
      <c r="G119" s="110"/>
      <c r="H119" s="111"/>
      <c r="I119" s="111"/>
      <c r="J119" s="110"/>
      <c r="K119" s="110"/>
      <c r="O119" s="2" t="str">
        <f t="shared" si="3"/>
        <v>Tesco</v>
      </c>
      <c r="P119" s="1" t="s">
        <v>115</v>
      </c>
      <c r="Q119" s="1"/>
      <c r="R119" s="110"/>
      <c r="S119" s="110"/>
      <c r="T119" s="111"/>
      <c r="U119" s="111"/>
      <c r="V119" s="110"/>
      <c r="W119" s="110"/>
    </row>
    <row r="120" spans="2:23" x14ac:dyDescent="0.3">
      <c r="B120" s="2" t="str">
        <f t="shared" si="2"/>
        <v/>
      </c>
      <c r="C120" s="1"/>
      <c r="D120" s="1"/>
      <c r="E120" s="1"/>
      <c r="F120" s="110"/>
      <c r="G120" s="110"/>
      <c r="H120" s="111"/>
      <c r="I120" s="111"/>
      <c r="J120" s="110"/>
      <c r="K120" s="110"/>
      <c r="O120" s="2" t="str">
        <f t="shared" si="3"/>
        <v>Tesco</v>
      </c>
      <c r="P120" s="1" t="s">
        <v>115</v>
      </c>
      <c r="Q120" s="1"/>
      <c r="R120" s="110"/>
      <c r="S120" s="110"/>
      <c r="T120" s="111"/>
      <c r="U120" s="111"/>
      <c r="V120" s="110"/>
      <c r="W120" s="110"/>
    </row>
    <row r="121" spans="2:23" x14ac:dyDescent="0.3">
      <c r="B121" s="2" t="str">
        <f t="shared" si="2"/>
        <v/>
      </c>
      <c r="C121" s="1"/>
      <c r="D121" s="1"/>
      <c r="E121" s="1"/>
      <c r="F121" s="110"/>
      <c r="G121" s="110"/>
      <c r="H121" s="111"/>
      <c r="I121" s="111"/>
      <c r="J121" s="110"/>
      <c r="K121" s="110"/>
      <c r="O121" s="2" t="str">
        <f t="shared" si="3"/>
        <v>Tesco</v>
      </c>
      <c r="P121" s="1" t="s">
        <v>115</v>
      </c>
      <c r="Q121" s="1"/>
      <c r="R121" s="110"/>
      <c r="S121" s="110"/>
      <c r="T121" s="111"/>
      <c r="U121" s="111"/>
      <c r="V121" s="110"/>
      <c r="W121" s="110"/>
    </row>
    <row r="122" spans="2:23" x14ac:dyDescent="0.3">
      <c r="B122" s="2" t="str">
        <f t="shared" si="2"/>
        <v/>
      </c>
      <c r="C122" s="1"/>
      <c r="D122" s="1"/>
      <c r="E122" s="1"/>
      <c r="F122" s="110"/>
      <c r="G122" s="110"/>
      <c r="H122" s="111"/>
      <c r="I122" s="111"/>
      <c r="J122" s="110"/>
      <c r="K122" s="110"/>
      <c r="O122" s="2" t="str">
        <f t="shared" si="3"/>
        <v>Tesco</v>
      </c>
      <c r="P122" s="1" t="s">
        <v>115</v>
      </c>
      <c r="Q122" s="1"/>
      <c r="R122" s="110"/>
      <c r="S122" s="110"/>
      <c r="T122" s="111"/>
      <c r="U122" s="111"/>
      <c r="V122" s="110"/>
      <c r="W122" s="110"/>
    </row>
    <row r="123" spans="2:23" x14ac:dyDescent="0.3">
      <c r="B123" s="2" t="str">
        <f t="shared" si="2"/>
        <v/>
      </c>
      <c r="C123" s="1"/>
      <c r="D123" s="1"/>
      <c r="E123" s="1"/>
      <c r="F123" s="110"/>
      <c r="G123" s="110"/>
      <c r="H123" s="111"/>
      <c r="I123" s="111"/>
      <c r="J123" s="110"/>
      <c r="K123" s="110"/>
      <c r="O123" s="2" t="str">
        <f t="shared" si="3"/>
        <v>Tesco</v>
      </c>
      <c r="P123" s="1" t="s">
        <v>115</v>
      </c>
      <c r="Q123" s="1"/>
      <c r="R123" s="110"/>
      <c r="S123" s="110"/>
      <c r="T123" s="111"/>
      <c r="U123" s="111"/>
      <c r="V123" s="110"/>
      <c r="W123" s="110"/>
    </row>
    <row r="124" spans="2:23" x14ac:dyDescent="0.3">
      <c r="B124" s="2" t="str">
        <f t="shared" si="2"/>
        <v/>
      </c>
      <c r="C124" s="1"/>
      <c r="D124" s="1"/>
      <c r="E124" s="1"/>
      <c r="F124" s="110"/>
      <c r="G124" s="110"/>
      <c r="H124" s="111"/>
      <c r="I124" s="111"/>
      <c r="J124" s="110"/>
      <c r="K124" s="110"/>
      <c r="O124" s="2" t="str">
        <f t="shared" si="3"/>
        <v>Tesco</v>
      </c>
      <c r="P124" s="1" t="s">
        <v>115</v>
      </c>
      <c r="Q124" s="1"/>
      <c r="R124" s="110"/>
      <c r="S124" s="110"/>
      <c r="T124" s="111"/>
      <c r="U124" s="111"/>
      <c r="V124" s="110"/>
      <c r="W124" s="110"/>
    </row>
    <row r="125" spans="2:23" x14ac:dyDescent="0.3">
      <c r="B125" s="2" t="str">
        <f t="shared" si="2"/>
        <v/>
      </c>
      <c r="C125" s="1"/>
      <c r="D125" s="1"/>
      <c r="E125" s="1"/>
      <c r="F125" s="110"/>
      <c r="G125" s="110"/>
      <c r="H125" s="111"/>
      <c r="I125" s="111"/>
      <c r="J125" s="110"/>
      <c r="K125" s="110"/>
      <c r="O125" s="2" t="str">
        <f t="shared" si="3"/>
        <v>Tesco</v>
      </c>
      <c r="P125" s="1" t="s">
        <v>115</v>
      </c>
      <c r="Q125" s="1"/>
      <c r="R125" s="110"/>
      <c r="S125" s="110"/>
      <c r="T125" s="111"/>
      <c r="U125" s="111"/>
      <c r="V125" s="110"/>
      <c r="W125" s="110"/>
    </row>
    <row r="126" spans="2:23" x14ac:dyDescent="0.3">
      <c r="B126" s="2" t="str">
        <f t="shared" si="2"/>
        <v/>
      </c>
      <c r="C126" s="1"/>
      <c r="D126" s="1"/>
      <c r="E126" s="1"/>
      <c r="F126" s="110"/>
      <c r="G126" s="110"/>
      <c r="H126" s="111"/>
      <c r="I126" s="111"/>
      <c r="J126" s="110"/>
      <c r="K126" s="110"/>
      <c r="O126" s="2" t="str">
        <f t="shared" si="3"/>
        <v>Tesco</v>
      </c>
      <c r="P126" s="1" t="s">
        <v>115</v>
      </c>
      <c r="Q126" s="1"/>
      <c r="R126" s="110"/>
      <c r="S126" s="110"/>
      <c r="T126" s="111"/>
      <c r="U126" s="111"/>
      <c r="V126" s="110"/>
      <c r="W126" s="110"/>
    </row>
    <row r="127" spans="2:23" x14ac:dyDescent="0.3">
      <c r="B127" s="2" t="str">
        <f t="shared" si="2"/>
        <v/>
      </c>
      <c r="C127" s="1"/>
      <c r="D127" s="1"/>
      <c r="E127" s="1"/>
      <c r="F127" s="110"/>
      <c r="G127" s="110"/>
      <c r="H127" s="111"/>
      <c r="I127" s="111"/>
      <c r="J127" s="110"/>
      <c r="K127" s="110"/>
      <c r="O127" s="2" t="str">
        <f t="shared" si="3"/>
        <v>Tesco</v>
      </c>
      <c r="P127" s="1" t="s">
        <v>115</v>
      </c>
      <c r="Q127" s="1"/>
      <c r="R127" s="110"/>
      <c r="S127" s="110"/>
      <c r="T127" s="111"/>
      <c r="U127" s="111"/>
      <c r="V127" s="110"/>
      <c r="W127" s="110"/>
    </row>
    <row r="128" spans="2:23" x14ac:dyDescent="0.3">
      <c r="B128" s="2" t="str">
        <f t="shared" si="2"/>
        <v/>
      </c>
      <c r="C128" s="1"/>
      <c r="D128" s="1"/>
      <c r="E128" s="1"/>
      <c r="F128" s="110"/>
      <c r="G128" s="110"/>
      <c r="H128" s="111"/>
      <c r="I128" s="111"/>
      <c r="J128" s="110"/>
      <c r="K128" s="110"/>
      <c r="O128" s="2" t="str">
        <f t="shared" si="3"/>
        <v>Tesco</v>
      </c>
      <c r="P128" s="1" t="s">
        <v>115</v>
      </c>
      <c r="Q128" s="1"/>
      <c r="R128" s="110"/>
      <c r="S128" s="110"/>
      <c r="T128" s="111"/>
      <c r="U128" s="111"/>
      <c r="V128" s="110"/>
      <c r="W128" s="110"/>
    </row>
    <row r="129" spans="2:23" x14ac:dyDescent="0.3">
      <c r="B129" s="2" t="str">
        <f t="shared" si="2"/>
        <v/>
      </c>
      <c r="C129" s="1"/>
      <c r="D129" s="1"/>
      <c r="E129" s="1"/>
      <c r="F129" s="110"/>
      <c r="G129" s="110"/>
      <c r="H129" s="111"/>
      <c r="I129" s="111"/>
      <c r="J129" s="110"/>
      <c r="K129" s="110"/>
      <c r="O129" s="2" t="str">
        <f t="shared" si="3"/>
        <v>Tesco</v>
      </c>
      <c r="P129" s="1" t="s">
        <v>115</v>
      </c>
      <c r="Q129" s="1"/>
      <c r="R129" s="110"/>
      <c r="S129" s="110"/>
      <c r="T129" s="111"/>
      <c r="U129" s="111"/>
      <c r="V129" s="110"/>
      <c r="W129" s="110"/>
    </row>
    <row r="130" spans="2:23" x14ac:dyDescent="0.3">
      <c r="B130" s="2" t="str">
        <f t="shared" si="2"/>
        <v/>
      </c>
      <c r="C130" s="1"/>
      <c r="D130" s="1"/>
      <c r="E130" s="1"/>
      <c r="F130" s="110"/>
      <c r="G130" s="110"/>
      <c r="H130" s="111"/>
      <c r="I130" s="111"/>
      <c r="J130" s="110"/>
      <c r="K130" s="110"/>
      <c r="O130" s="2" t="str">
        <f t="shared" si="3"/>
        <v>Tesco</v>
      </c>
      <c r="P130" s="1" t="s">
        <v>115</v>
      </c>
      <c r="Q130" s="1"/>
      <c r="R130" s="110"/>
      <c r="S130" s="110"/>
      <c r="T130" s="111"/>
      <c r="U130" s="111"/>
      <c r="V130" s="110"/>
      <c r="W130" s="110"/>
    </row>
    <row r="131" spans="2:23" x14ac:dyDescent="0.3">
      <c r="B131" s="2" t="str">
        <f t="shared" si="2"/>
        <v/>
      </c>
      <c r="C131" s="1"/>
      <c r="D131" s="1"/>
      <c r="E131" s="1"/>
      <c r="F131" s="110"/>
      <c r="G131" s="110"/>
      <c r="H131" s="111"/>
      <c r="I131" s="111"/>
      <c r="J131" s="110"/>
      <c r="K131" s="110"/>
      <c r="O131" s="2" t="str">
        <f t="shared" si="3"/>
        <v>Tesco</v>
      </c>
      <c r="P131" s="1" t="s">
        <v>115</v>
      </c>
      <c r="Q131" s="1"/>
      <c r="R131" s="110"/>
      <c r="S131" s="110"/>
      <c r="T131" s="111"/>
      <c r="U131" s="111"/>
      <c r="V131" s="110"/>
      <c r="W131" s="110"/>
    </row>
    <row r="132" spans="2:23" x14ac:dyDescent="0.3">
      <c r="B132" s="2" t="str">
        <f t="shared" ref="B132:B195" si="4">C132&amp;D132&amp;E132</f>
        <v/>
      </c>
      <c r="C132" s="1"/>
      <c r="D132" s="1"/>
      <c r="E132" s="1"/>
      <c r="F132" s="110"/>
      <c r="G132" s="110"/>
      <c r="H132" s="111"/>
      <c r="I132" s="111"/>
      <c r="J132" s="110"/>
      <c r="K132" s="110"/>
      <c r="O132" s="2" t="str">
        <f t="shared" ref="O132:O195" si="5">P132&amp;Q132</f>
        <v>Tesco</v>
      </c>
      <c r="P132" s="1" t="s">
        <v>115</v>
      </c>
      <c r="Q132" s="1"/>
      <c r="R132" s="110"/>
      <c r="S132" s="110"/>
      <c r="T132" s="111"/>
      <c r="U132" s="111"/>
      <c r="V132" s="110"/>
      <c r="W132" s="110"/>
    </row>
    <row r="133" spans="2:23" x14ac:dyDescent="0.3">
      <c r="B133" s="2" t="str">
        <f t="shared" si="4"/>
        <v/>
      </c>
      <c r="C133" s="1"/>
      <c r="D133" s="1"/>
      <c r="E133" s="1"/>
      <c r="F133" s="110"/>
      <c r="G133" s="110"/>
      <c r="H133" s="111"/>
      <c r="I133" s="111"/>
      <c r="J133" s="110"/>
      <c r="K133" s="110"/>
      <c r="O133" s="2" t="str">
        <f t="shared" si="5"/>
        <v>Tesco</v>
      </c>
      <c r="P133" s="1" t="s">
        <v>115</v>
      </c>
      <c r="Q133" s="1"/>
      <c r="R133" s="110"/>
      <c r="S133" s="110"/>
      <c r="T133" s="111"/>
      <c r="U133" s="111"/>
      <c r="V133" s="110"/>
      <c r="W133" s="110"/>
    </row>
    <row r="134" spans="2:23" x14ac:dyDescent="0.3">
      <c r="B134" s="2" t="str">
        <f t="shared" si="4"/>
        <v/>
      </c>
      <c r="C134" s="1"/>
      <c r="D134" s="1"/>
      <c r="E134" s="1"/>
      <c r="F134" s="110"/>
      <c r="G134" s="110"/>
      <c r="H134" s="111"/>
      <c r="I134" s="111"/>
      <c r="J134" s="110"/>
      <c r="K134" s="110"/>
      <c r="O134" s="2" t="str">
        <f t="shared" si="5"/>
        <v>Tesco</v>
      </c>
      <c r="P134" s="1" t="s">
        <v>115</v>
      </c>
      <c r="Q134" s="1"/>
      <c r="R134" s="110"/>
      <c r="S134" s="110"/>
      <c r="T134" s="111"/>
      <c r="U134" s="111"/>
      <c r="V134" s="110"/>
      <c r="W134" s="110"/>
    </row>
    <row r="135" spans="2:23" x14ac:dyDescent="0.3">
      <c r="B135" s="2" t="str">
        <f t="shared" si="4"/>
        <v/>
      </c>
      <c r="C135" s="1"/>
      <c r="D135" s="1"/>
      <c r="E135" s="1"/>
      <c r="F135" s="110"/>
      <c r="G135" s="110"/>
      <c r="H135" s="111"/>
      <c r="I135" s="111"/>
      <c r="J135" s="110"/>
      <c r="K135" s="110"/>
      <c r="O135" s="2" t="str">
        <f t="shared" si="5"/>
        <v>Tesco</v>
      </c>
      <c r="P135" s="1" t="s">
        <v>115</v>
      </c>
      <c r="Q135" s="1"/>
      <c r="R135" s="110"/>
      <c r="S135" s="110"/>
      <c r="T135" s="111"/>
      <c r="U135" s="111"/>
      <c r="V135" s="110"/>
      <c r="W135" s="110"/>
    </row>
    <row r="136" spans="2:23" x14ac:dyDescent="0.3">
      <c r="B136" s="2" t="str">
        <f t="shared" si="4"/>
        <v/>
      </c>
      <c r="C136" s="1"/>
      <c r="D136" s="1"/>
      <c r="E136" s="1"/>
      <c r="F136" s="110"/>
      <c r="G136" s="110"/>
      <c r="H136" s="111"/>
      <c r="I136" s="111"/>
      <c r="J136" s="110"/>
      <c r="K136" s="110"/>
      <c r="O136" s="2" t="str">
        <f t="shared" si="5"/>
        <v>Tesco</v>
      </c>
      <c r="P136" s="1" t="s">
        <v>115</v>
      </c>
      <c r="Q136" s="1"/>
      <c r="R136" s="110"/>
      <c r="S136" s="110"/>
      <c r="T136" s="111"/>
      <c r="U136" s="111"/>
      <c r="V136" s="110"/>
      <c r="W136" s="110"/>
    </row>
    <row r="137" spans="2:23" x14ac:dyDescent="0.3">
      <c r="B137" s="2" t="str">
        <f t="shared" si="4"/>
        <v/>
      </c>
      <c r="C137" s="1"/>
      <c r="D137" s="1"/>
      <c r="E137" s="1"/>
      <c r="F137" s="110"/>
      <c r="G137" s="110"/>
      <c r="H137" s="111"/>
      <c r="I137" s="111"/>
      <c r="J137" s="110"/>
      <c r="K137" s="110"/>
      <c r="O137" s="2" t="str">
        <f t="shared" si="5"/>
        <v>Tesco</v>
      </c>
      <c r="P137" s="1" t="s">
        <v>115</v>
      </c>
      <c r="Q137" s="1"/>
      <c r="R137" s="110"/>
      <c r="S137" s="110"/>
      <c r="T137" s="111"/>
      <c r="U137" s="111"/>
      <c r="V137" s="110"/>
      <c r="W137" s="110"/>
    </row>
    <row r="138" spans="2:23" x14ac:dyDescent="0.3">
      <c r="B138" s="2" t="str">
        <f t="shared" si="4"/>
        <v/>
      </c>
      <c r="C138" s="1"/>
      <c r="D138" s="1"/>
      <c r="E138" s="1"/>
      <c r="F138" s="110"/>
      <c r="G138" s="110"/>
      <c r="H138" s="111"/>
      <c r="I138" s="111"/>
      <c r="J138" s="110"/>
      <c r="K138" s="110"/>
      <c r="O138" s="2" t="str">
        <f t="shared" si="5"/>
        <v>Tesco</v>
      </c>
      <c r="P138" s="1" t="s">
        <v>115</v>
      </c>
      <c r="Q138" s="1"/>
      <c r="R138" s="110"/>
      <c r="S138" s="110"/>
      <c r="T138" s="111"/>
      <c r="U138" s="111"/>
      <c r="V138" s="110"/>
      <c r="W138" s="110"/>
    </row>
    <row r="139" spans="2:23" x14ac:dyDescent="0.3">
      <c r="B139" s="2" t="str">
        <f t="shared" si="4"/>
        <v/>
      </c>
      <c r="C139" s="1"/>
      <c r="D139" s="1"/>
      <c r="E139" s="1"/>
      <c r="F139" s="110"/>
      <c r="G139" s="110"/>
      <c r="H139" s="111"/>
      <c r="I139" s="111"/>
      <c r="J139" s="110"/>
      <c r="K139" s="110"/>
      <c r="O139" s="2" t="str">
        <f t="shared" si="5"/>
        <v>Tesco</v>
      </c>
      <c r="P139" s="1" t="s">
        <v>115</v>
      </c>
      <c r="Q139" s="1"/>
      <c r="R139" s="110"/>
      <c r="S139" s="110"/>
      <c r="T139" s="111"/>
      <c r="U139" s="111"/>
      <c r="V139" s="110"/>
      <c r="W139" s="110"/>
    </row>
    <row r="140" spans="2:23" x14ac:dyDescent="0.3">
      <c r="B140" s="2" t="str">
        <f t="shared" si="4"/>
        <v/>
      </c>
      <c r="C140" s="1"/>
      <c r="D140" s="1"/>
      <c r="E140" s="1"/>
      <c r="F140" s="110"/>
      <c r="G140" s="110"/>
      <c r="H140" s="111"/>
      <c r="I140" s="111"/>
      <c r="J140" s="110"/>
      <c r="K140" s="110"/>
      <c r="O140" s="2" t="str">
        <f t="shared" si="5"/>
        <v>Tesco</v>
      </c>
      <c r="P140" s="1" t="s">
        <v>115</v>
      </c>
      <c r="Q140" s="1"/>
      <c r="R140" s="110"/>
      <c r="S140" s="110"/>
      <c r="T140" s="111"/>
      <c r="U140" s="111"/>
      <c r="V140" s="110"/>
      <c r="W140" s="110"/>
    </row>
    <row r="141" spans="2:23" x14ac:dyDescent="0.3">
      <c r="B141" s="2" t="str">
        <f t="shared" si="4"/>
        <v/>
      </c>
      <c r="C141" s="1"/>
      <c r="D141" s="1"/>
      <c r="E141" s="1"/>
      <c r="F141" s="110"/>
      <c r="G141" s="110"/>
      <c r="H141" s="111"/>
      <c r="I141" s="111"/>
      <c r="J141" s="110"/>
      <c r="K141" s="110"/>
      <c r="O141" s="2" t="str">
        <f t="shared" si="5"/>
        <v>Tesco</v>
      </c>
      <c r="P141" s="1" t="s">
        <v>115</v>
      </c>
      <c r="Q141" s="1"/>
      <c r="R141" s="110"/>
      <c r="S141" s="110"/>
      <c r="T141" s="111"/>
      <c r="U141" s="111"/>
      <c r="V141" s="110"/>
      <c r="W141" s="110"/>
    </row>
    <row r="142" spans="2:23" x14ac:dyDescent="0.3">
      <c r="B142" s="2" t="str">
        <f t="shared" si="4"/>
        <v/>
      </c>
      <c r="C142" s="1"/>
      <c r="D142" s="1"/>
      <c r="E142" s="1"/>
      <c r="F142" s="110"/>
      <c r="G142" s="110"/>
      <c r="H142" s="111"/>
      <c r="I142" s="111"/>
      <c r="J142" s="110"/>
      <c r="K142" s="110"/>
      <c r="O142" s="2" t="str">
        <f t="shared" si="5"/>
        <v>Tesco</v>
      </c>
      <c r="P142" s="1" t="s">
        <v>115</v>
      </c>
      <c r="Q142" s="1"/>
      <c r="R142" s="110"/>
      <c r="S142" s="110"/>
      <c r="T142" s="111"/>
      <c r="U142" s="111"/>
      <c r="V142" s="110"/>
      <c r="W142" s="110"/>
    </row>
    <row r="143" spans="2:23" x14ac:dyDescent="0.3">
      <c r="B143" s="2" t="str">
        <f t="shared" si="4"/>
        <v/>
      </c>
      <c r="C143" s="1"/>
      <c r="D143" s="1"/>
      <c r="E143" s="1"/>
      <c r="F143" s="110"/>
      <c r="G143" s="110"/>
      <c r="H143" s="111"/>
      <c r="I143" s="111"/>
      <c r="J143" s="110"/>
      <c r="K143" s="110"/>
      <c r="O143" s="2" t="str">
        <f t="shared" si="5"/>
        <v>Tesco</v>
      </c>
      <c r="P143" s="1" t="s">
        <v>115</v>
      </c>
      <c r="Q143" s="1"/>
      <c r="R143" s="110"/>
      <c r="S143" s="110"/>
      <c r="T143" s="111"/>
      <c r="U143" s="111"/>
      <c r="V143" s="110"/>
      <c r="W143" s="110"/>
    </row>
    <row r="144" spans="2:23" x14ac:dyDescent="0.3">
      <c r="B144" s="2" t="str">
        <f t="shared" si="4"/>
        <v/>
      </c>
      <c r="C144" s="1"/>
      <c r="D144" s="1"/>
      <c r="E144" s="1"/>
      <c r="F144" s="110"/>
      <c r="G144" s="110"/>
      <c r="H144" s="111"/>
      <c r="I144" s="111"/>
      <c r="J144" s="110"/>
      <c r="K144" s="110"/>
      <c r="O144" s="2" t="str">
        <f t="shared" si="5"/>
        <v>Tesco</v>
      </c>
      <c r="P144" s="1" t="s">
        <v>115</v>
      </c>
      <c r="Q144" s="1"/>
      <c r="R144" s="110"/>
      <c r="S144" s="110"/>
      <c r="T144" s="111"/>
      <c r="U144" s="111"/>
      <c r="V144" s="110"/>
      <c r="W144" s="110"/>
    </row>
    <row r="145" spans="2:23" x14ac:dyDescent="0.3">
      <c r="B145" s="2" t="str">
        <f t="shared" si="4"/>
        <v/>
      </c>
      <c r="C145" s="1"/>
      <c r="D145" s="1"/>
      <c r="E145" s="1"/>
      <c r="F145" s="110"/>
      <c r="G145" s="110"/>
      <c r="H145" s="111"/>
      <c r="I145" s="111"/>
      <c r="J145" s="110"/>
      <c r="K145" s="110"/>
      <c r="O145" s="2" t="str">
        <f t="shared" si="5"/>
        <v>Tesco</v>
      </c>
      <c r="P145" s="1" t="s">
        <v>115</v>
      </c>
      <c r="Q145" s="1"/>
      <c r="R145" s="110"/>
      <c r="S145" s="110"/>
      <c r="T145" s="111"/>
      <c r="U145" s="111"/>
      <c r="V145" s="110"/>
      <c r="W145" s="110"/>
    </row>
    <row r="146" spans="2:23" x14ac:dyDescent="0.3">
      <c r="B146" s="2" t="str">
        <f t="shared" si="4"/>
        <v/>
      </c>
      <c r="C146" s="1"/>
      <c r="D146" s="1"/>
      <c r="E146" s="1"/>
      <c r="F146" s="110"/>
      <c r="G146" s="110"/>
      <c r="H146" s="111"/>
      <c r="I146" s="111"/>
      <c r="J146" s="110"/>
      <c r="K146" s="110"/>
      <c r="O146" s="2" t="str">
        <f t="shared" si="5"/>
        <v>Tesco</v>
      </c>
      <c r="P146" s="1" t="s">
        <v>115</v>
      </c>
      <c r="Q146" s="1"/>
      <c r="R146" s="110"/>
      <c r="S146" s="110"/>
      <c r="T146" s="111"/>
      <c r="U146" s="111"/>
      <c r="V146" s="110"/>
      <c r="W146" s="110"/>
    </row>
    <row r="147" spans="2:23" x14ac:dyDescent="0.3">
      <c r="B147" s="2" t="str">
        <f t="shared" si="4"/>
        <v/>
      </c>
      <c r="C147" s="1"/>
      <c r="D147" s="1"/>
      <c r="E147" s="1"/>
      <c r="F147" s="110"/>
      <c r="G147" s="110"/>
      <c r="H147" s="111"/>
      <c r="I147" s="111"/>
      <c r="J147" s="110"/>
      <c r="K147" s="110"/>
      <c r="O147" s="2" t="str">
        <f t="shared" si="5"/>
        <v>Tesco</v>
      </c>
      <c r="P147" s="1" t="s">
        <v>115</v>
      </c>
      <c r="Q147" s="1"/>
      <c r="R147" s="110"/>
      <c r="S147" s="110"/>
      <c r="T147" s="111"/>
      <c r="U147" s="111"/>
      <c r="V147" s="110"/>
      <c r="W147" s="110"/>
    </row>
    <row r="148" spans="2:23" x14ac:dyDescent="0.3">
      <c r="B148" s="2" t="str">
        <f t="shared" si="4"/>
        <v/>
      </c>
      <c r="C148" s="1"/>
      <c r="D148" s="1"/>
      <c r="E148" s="1"/>
      <c r="F148" s="110"/>
      <c r="G148" s="110"/>
      <c r="H148" s="111"/>
      <c r="I148" s="111"/>
      <c r="J148" s="110"/>
      <c r="K148" s="110"/>
      <c r="O148" s="2" t="str">
        <f t="shared" si="5"/>
        <v>Tesco</v>
      </c>
      <c r="P148" s="1" t="s">
        <v>115</v>
      </c>
      <c r="Q148" s="1"/>
      <c r="R148" s="110"/>
      <c r="S148" s="110"/>
      <c r="T148" s="111"/>
      <c r="U148" s="111"/>
      <c r="V148" s="110"/>
      <c r="W148" s="110"/>
    </row>
    <row r="149" spans="2:23" x14ac:dyDescent="0.3">
      <c r="B149" s="2" t="str">
        <f t="shared" si="4"/>
        <v/>
      </c>
      <c r="C149" s="1"/>
      <c r="D149" s="1"/>
      <c r="E149" s="1"/>
      <c r="F149" s="110"/>
      <c r="G149" s="110"/>
      <c r="H149" s="111"/>
      <c r="I149" s="111"/>
      <c r="J149" s="110"/>
      <c r="K149" s="110"/>
      <c r="O149" s="2" t="str">
        <f t="shared" si="5"/>
        <v>Tesco</v>
      </c>
      <c r="P149" s="1" t="s">
        <v>115</v>
      </c>
      <c r="Q149" s="1"/>
      <c r="R149" s="110"/>
      <c r="S149" s="110"/>
      <c r="T149" s="111"/>
      <c r="U149" s="111"/>
      <c r="V149" s="110"/>
      <c r="W149" s="110"/>
    </row>
    <row r="150" spans="2:23" x14ac:dyDescent="0.3">
      <c r="B150" s="2" t="str">
        <f t="shared" si="4"/>
        <v/>
      </c>
      <c r="C150" s="1"/>
      <c r="D150" s="1"/>
      <c r="E150" s="1"/>
      <c r="F150" s="110"/>
      <c r="G150" s="110"/>
      <c r="H150" s="111"/>
      <c r="I150" s="111"/>
      <c r="J150" s="110"/>
      <c r="K150" s="110"/>
      <c r="O150" s="2" t="str">
        <f t="shared" si="5"/>
        <v>Tesco</v>
      </c>
      <c r="P150" s="1" t="s">
        <v>115</v>
      </c>
      <c r="Q150" s="1"/>
      <c r="R150" s="110"/>
      <c r="S150" s="110"/>
      <c r="T150" s="111"/>
      <c r="U150" s="111"/>
      <c r="V150" s="110"/>
      <c r="W150" s="110"/>
    </row>
    <row r="151" spans="2:23" x14ac:dyDescent="0.3">
      <c r="B151" s="2" t="str">
        <f t="shared" si="4"/>
        <v/>
      </c>
      <c r="C151" s="1"/>
      <c r="D151" s="1"/>
      <c r="E151" s="1"/>
      <c r="F151" s="110"/>
      <c r="G151" s="110"/>
      <c r="H151" s="111"/>
      <c r="I151" s="111"/>
      <c r="J151" s="110"/>
      <c r="K151" s="110"/>
      <c r="O151" s="2" t="str">
        <f t="shared" si="5"/>
        <v>Tesco</v>
      </c>
      <c r="P151" s="1" t="s">
        <v>115</v>
      </c>
      <c r="Q151" s="1"/>
      <c r="R151" s="110"/>
      <c r="S151" s="110"/>
      <c r="T151" s="111"/>
      <c r="U151" s="111"/>
      <c r="V151" s="110"/>
      <c r="W151" s="110"/>
    </row>
    <row r="152" spans="2:23" x14ac:dyDescent="0.3">
      <c r="B152" s="2" t="str">
        <f t="shared" si="4"/>
        <v/>
      </c>
      <c r="C152" s="1"/>
      <c r="D152" s="1"/>
      <c r="E152" s="1"/>
      <c r="F152" s="110"/>
      <c r="G152" s="110"/>
      <c r="H152" s="111"/>
      <c r="I152" s="111"/>
      <c r="J152" s="110"/>
      <c r="K152" s="110"/>
      <c r="O152" s="2" t="str">
        <f t="shared" si="5"/>
        <v>Tesco</v>
      </c>
      <c r="P152" s="1" t="s">
        <v>115</v>
      </c>
      <c r="Q152" s="1"/>
      <c r="R152" s="110"/>
      <c r="S152" s="110"/>
      <c r="T152" s="111"/>
      <c r="U152" s="111"/>
      <c r="V152" s="110"/>
      <c r="W152" s="110"/>
    </row>
    <row r="153" spans="2:23" x14ac:dyDescent="0.3">
      <c r="B153" s="2" t="str">
        <f t="shared" si="4"/>
        <v/>
      </c>
      <c r="C153" s="1"/>
      <c r="D153" s="1"/>
      <c r="E153" s="1"/>
      <c r="F153" s="110"/>
      <c r="G153" s="110"/>
      <c r="H153" s="111"/>
      <c r="I153" s="111"/>
      <c r="J153" s="110"/>
      <c r="K153" s="110"/>
      <c r="O153" s="2" t="str">
        <f t="shared" si="5"/>
        <v>Tesco</v>
      </c>
      <c r="P153" s="1" t="s">
        <v>115</v>
      </c>
      <c r="Q153" s="1"/>
      <c r="R153" s="110"/>
      <c r="S153" s="110"/>
      <c r="T153" s="111"/>
      <c r="U153" s="111"/>
      <c r="V153" s="110"/>
      <c r="W153" s="110"/>
    </row>
    <row r="154" spans="2:23" x14ac:dyDescent="0.3">
      <c r="B154" s="2" t="str">
        <f t="shared" si="4"/>
        <v/>
      </c>
      <c r="C154" s="1"/>
      <c r="D154" s="1"/>
      <c r="E154" s="1"/>
      <c r="F154" s="110"/>
      <c r="G154" s="110"/>
      <c r="H154" s="111"/>
      <c r="I154" s="111"/>
      <c r="J154" s="110"/>
      <c r="K154" s="110"/>
      <c r="O154" s="2" t="str">
        <f t="shared" si="5"/>
        <v>Tesco</v>
      </c>
      <c r="P154" s="1" t="s">
        <v>115</v>
      </c>
      <c r="Q154" s="1"/>
      <c r="R154" s="110"/>
      <c r="S154" s="110"/>
      <c r="T154" s="111"/>
      <c r="U154" s="111"/>
      <c r="V154" s="110"/>
      <c r="W154" s="110"/>
    </row>
    <row r="155" spans="2:23" x14ac:dyDescent="0.3">
      <c r="B155" s="2" t="str">
        <f t="shared" si="4"/>
        <v/>
      </c>
      <c r="C155" s="1"/>
      <c r="D155" s="1"/>
      <c r="E155" s="1"/>
      <c r="F155" s="110"/>
      <c r="G155" s="110"/>
      <c r="H155" s="111"/>
      <c r="I155" s="111"/>
      <c r="J155" s="110"/>
      <c r="K155" s="110"/>
      <c r="O155" s="2" t="str">
        <f t="shared" si="5"/>
        <v>Tesco</v>
      </c>
      <c r="P155" s="1" t="s">
        <v>115</v>
      </c>
      <c r="Q155" s="1"/>
      <c r="R155" s="110"/>
      <c r="S155" s="110"/>
      <c r="T155" s="111"/>
      <c r="U155" s="111"/>
      <c r="V155" s="110"/>
      <c r="W155" s="110"/>
    </row>
    <row r="156" spans="2:23" x14ac:dyDescent="0.3">
      <c r="B156" s="2" t="str">
        <f t="shared" si="4"/>
        <v/>
      </c>
      <c r="C156" s="1"/>
      <c r="D156" s="1"/>
      <c r="E156" s="1"/>
      <c r="F156" s="110"/>
      <c r="G156" s="110"/>
      <c r="H156" s="111"/>
      <c r="I156" s="111"/>
      <c r="J156" s="110"/>
      <c r="K156" s="110"/>
      <c r="O156" s="2" t="str">
        <f t="shared" si="5"/>
        <v>Tesco</v>
      </c>
      <c r="P156" s="1" t="s">
        <v>115</v>
      </c>
      <c r="Q156" s="1"/>
      <c r="R156" s="110"/>
      <c r="S156" s="110"/>
      <c r="T156" s="111"/>
      <c r="U156" s="111"/>
      <c r="V156" s="110"/>
      <c r="W156" s="110"/>
    </row>
    <row r="157" spans="2:23" x14ac:dyDescent="0.3">
      <c r="B157" s="2" t="str">
        <f t="shared" si="4"/>
        <v/>
      </c>
      <c r="C157" s="1"/>
      <c r="D157" s="1"/>
      <c r="E157" s="1"/>
      <c r="F157" s="110"/>
      <c r="G157" s="110"/>
      <c r="H157" s="111"/>
      <c r="I157" s="111"/>
      <c r="J157" s="110"/>
      <c r="K157" s="110"/>
      <c r="O157" s="2" t="str">
        <f t="shared" si="5"/>
        <v>Tesco</v>
      </c>
      <c r="P157" s="1" t="s">
        <v>115</v>
      </c>
      <c r="Q157" s="1"/>
      <c r="R157" s="110"/>
      <c r="S157" s="110"/>
      <c r="T157" s="111"/>
      <c r="U157" s="111"/>
      <c r="V157" s="110"/>
      <c r="W157" s="110"/>
    </row>
    <row r="158" spans="2:23" x14ac:dyDescent="0.3">
      <c r="B158" s="2" t="str">
        <f t="shared" si="4"/>
        <v/>
      </c>
      <c r="C158" s="1"/>
      <c r="D158" s="1"/>
      <c r="E158" s="1"/>
      <c r="F158" s="110"/>
      <c r="G158" s="110"/>
      <c r="H158" s="111"/>
      <c r="I158" s="111"/>
      <c r="J158" s="110"/>
      <c r="K158" s="110"/>
      <c r="O158" s="2" t="str">
        <f t="shared" si="5"/>
        <v>Tesco</v>
      </c>
      <c r="P158" s="1" t="s">
        <v>115</v>
      </c>
      <c r="Q158" s="1"/>
      <c r="R158" s="110"/>
      <c r="S158" s="110"/>
      <c r="T158" s="111"/>
      <c r="U158" s="111"/>
      <c r="V158" s="110"/>
      <c r="W158" s="110"/>
    </row>
    <row r="159" spans="2:23" x14ac:dyDescent="0.3">
      <c r="B159" s="2" t="str">
        <f t="shared" si="4"/>
        <v/>
      </c>
      <c r="C159" s="1"/>
      <c r="D159" s="1"/>
      <c r="E159" s="1"/>
      <c r="F159" s="110"/>
      <c r="G159" s="110"/>
      <c r="H159" s="111"/>
      <c r="I159" s="111"/>
      <c r="J159" s="110"/>
      <c r="K159" s="110"/>
      <c r="O159" s="2" t="str">
        <f t="shared" si="5"/>
        <v>Tesco</v>
      </c>
      <c r="P159" s="1" t="s">
        <v>115</v>
      </c>
      <c r="Q159" s="1"/>
      <c r="R159" s="110"/>
      <c r="S159" s="110"/>
      <c r="T159" s="111"/>
      <c r="U159" s="111"/>
      <c r="V159" s="110"/>
      <c r="W159" s="110"/>
    </row>
    <row r="160" spans="2:23" x14ac:dyDescent="0.3">
      <c r="B160" s="2" t="str">
        <f t="shared" si="4"/>
        <v/>
      </c>
      <c r="C160" s="1"/>
      <c r="D160" s="1"/>
      <c r="E160" s="1"/>
      <c r="F160" s="110"/>
      <c r="G160" s="110"/>
      <c r="H160" s="111"/>
      <c r="I160" s="111"/>
      <c r="J160" s="110"/>
      <c r="K160" s="110"/>
      <c r="O160" s="2" t="str">
        <f t="shared" si="5"/>
        <v>Tesco</v>
      </c>
      <c r="P160" s="1" t="s">
        <v>115</v>
      </c>
      <c r="Q160" s="1"/>
      <c r="R160" s="110"/>
      <c r="S160" s="110"/>
      <c r="T160" s="111"/>
      <c r="U160" s="111"/>
      <c r="V160" s="110"/>
      <c r="W160" s="110"/>
    </row>
    <row r="161" spans="2:23" x14ac:dyDescent="0.3">
      <c r="B161" s="2" t="str">
        <f t="shared" si="4"/>
        <v/>
      </c>
      <c r="C161" s="1"/>
      <c r="D161" s="1"/>
      <c r="E161" s="1"/>
      <c r="F161" s="110"/>
      <c r="G161" s="110"/>
      <c r="H161" s="111"/>
      <c r="I161" s="111"/>
      <c r="J161" s="110"/>
      <c r="K161" s="110"/>
      <c r="O161" s="2" t="str">
        <f t="shared" si="5"/>
        <v>Tesco</v>
      </c>
      <c r="P161" s="1" t="s">
        <v>115</v>
      </c>
      <c r="Q161" s="1"/>
      <c r="R161" s="110"/>
      <c r="S161" s="110"/>
      <c r="T161" s="111"/>
      <c r="U161" s="111"/>
      <c r="V161" s="110"/>
      <c r="W161" s="110"/>
    </row>
    <row r="162" spans="2:23" x14ac:dyDescent="0.3">
      <c r="B162" s="2" t="str">
        <f t="shared" si="4"/>
        <v/>
      </c>
      <c r="C162" s="1"/>
      <c r="D162" s="1"/>
      <c r="E162" s="1"/>
      <c r="F162" s="110"/>
      <c r="G162" s="110"/>
      <c r="H162" s="111"/>
      <c r="I162" s="111"/>
      <c r="J162" s="110"/>
      <c r="K162" s="110"/>
      <c r="O162" s="2" t="str">
        <f t="shared" si="5"/>
        <v>Tesco</v>
      </c>
      <c r="P162" s="1" t="s">
        <v>115</v>
      </c>
      <c r="Q162" s="1"/>
      <c r="R162" s="110"/>
      <c r="S162" s="110"/>
      <c r="T162" s="111"/>
      <c r="U162" s="111"/>
      <c r="V162" s="110"/>
      <c r="W162" s="110"/>
    </row>
    <row r="163" spans="2:23" x14ac:dyDescent="0.3">
      <c r="B163" s="2" t="str">
        <f t="shared" si="4"/>
        <v/>
      </c>
      <c r="C163" s="1"/>
      <c r="D163" s="1"/>
      <c r="E163" s="1"/>
      <c r="F163" s="110"/>
      <c r="G163" s="110"/>
      <c r="H163" s="111"/>
      <c r="I163" s="111"/>
      <c r="J163" s="110"/>
      <c r="K163" s="110"/>
      <c r="O163" s="2" t="str">
        <f t="shared" si="5"/>
        <v>Tesco</v>
      </c>
      <c r="P163" s="1" t="s">
        <v>115</v>
      </c>
      <c r="Q163" s="1"/>
      <c r="R163" s="110"/>
      <c r="S163" s="110"/>
      <c r="T163" s="111"/>
      <c r="U163" s="111"/>
      <c r="V163" s="110"/>
      <c r="W163" s="110"/>
    </row>
    <row r="164" spans="2:23" x14ac:dyDescent="0.3">
      <c r="B164" s="2" t="str">
        <f t="shared" si="4"/>
        <v/>
      </c>
      <c r="C164" s="1"/>
      <c r="D164" s="1"/>
      <c r="E164" s="1"/>
      <c r="F164" s="110"/>
      <c r="G164" s="110"/>
      <c r="H164" s="111"/>
      <c r="I164" s="111"/>
      <c r="J164" s="110"/>
      <c r="K164" s="110"/>
      <c r="O164" s="2" t="str">
        <f t="shared" si="5"/>
        <v>Tesco</v>
      </c>
      <c r="P164" s="1" t="s">
        <v>115</v>
      </c>
      <c r="Q164" s="1"/>
      <c r="R164" s="110"/>
      <c r="S164" s="110"/>
      <c r="T164" s="111"/>
      <c r="U164" s="111"/>
      <c r="V164" s="110"/>
      <c r="W164" s="110"/>
    </row>
    <row r="165" spans="2:23" x14ac:dyDescent="0.3">
      <c r="B165" s="2" t="str">
        <f t="shared" si="4"/>
        <v/>
      </c>
      <c r="C165" s="1"/>
      <c r="D165" s="1"/>
      <c r="E165" s="1"/>
      <c r="F165" s="110"/>
      <c r="G165" s="110"/>
      <c r="H165" s="111"/>
      <c r="I165" s="111"/>
      <c r="J165" s="110"/>
      <c r="K165" s="110"/>
      <c r="O165" s="2" t="str">
        <f t="shared" si="5"/>
        <v>Tesco</v>
      </c>
      <c r="P165" s="1" t="s">
        <v>115</v>
      </c>
      <c r="Q165" s="1"/>
      <c r="R165" s="110"/>
      <c r="S165" s="110"/>
      <c r="T165" s="111"/>
      <c r="U165" s="111"/>
      <c r="V165" s="110"/>
      <c r="W165" s="110"/>
    </row>
    <row r="166" spans="2:23" x14ac:dyDescent="0.3">
      <c r="B166" s="2" t="str">
        <f t="shared" si="4"/>
        <v/>
      </c>
      <c r="C166" s="1"/>
      <c r="D166" s="1"/>
      <c r="E166" s="1"/>
      <c r="F166" s="110"/>
      <c r="G166" s="110"/>
      <c r="H166" s="111"/>
      <c r="I166" s="111"/>
      <c r="J166" s="110"/>
      <c r="K166" s="110"/>
      <c r="O166" s="2" t="str">
        <f t="shared" si="5"/>
        <v>Tesco</v>
      </c>
      <c r="P166" s="1" t="s">
        <v>115</v>
      </c>
      <c r="Q166" s="1"/>
      <c r="R166" s="110"/>
      <c r="S166" s="110"/>
      <c r="T166" s="111"/>
      <c r="U166" s="111"/>
      <c r="V166" s="110"/>
      <c r="W166" s="110"/>
    </row>
    <row r="167" spans="2:23" x14ac:dyDescent="0.3">
      <c r="B167" s="2" t="str">
        <f t="shared" si="4"/>
        <v/>
      </c>
      <c r="C167" s="1"/>
      <c r="D167" s="1"/>
      <c r="E167" s="1"/>
      <c r="F167" s="110"/>
      <c r="G167" s="110"/>
      <c r="H167" s="111"/>
      <c r="I167" s="111"/>
      <c r="J167" s="110"/>
      <c r="K167" s="110"/>
      <c r="O167" s="2" t="str">
        <f t="shared" si="5"/>
        <v>Tesco</v>
      </c>
      <c r="P167" s="1" t="s">
        <v>115</v>
      </c>
      <c r="Q167" s="1"/>
      <c r="R167" s="110"/>
      <c r="S167" s="110"/>
      <c r="T167" s="111"/>
      <c r="U167" s="111"/>
      <c r="V167" s="110"/>
      <c r="W167" s="110"/>
    </row>
    <row r="168" spans="2:23" x14ac:dyDescent="0.3">
      <c r="B168" s="2" t="str">
        <f t="shared" si="4"/>
        <v/>
      </c>
      <c r="C168" s="1"/>
      <c r="D168" s="1"/>
      <c r="E168" s="1"/>
      <c r="F168" s="110"/>
      <c r="G168" s="110"/>
      <c r="H168" s="111"/>
      <c r="I168" s="111"/>
      <c r="J168" s="110"/>
      <c r="K168" s="110"/>
      <c r="O168" s="2" t="str">
        <f t="shared" si="5"/>
        <v>Tesco</v>
      </c>
      <c r="P168" s="1" t="s">
        <v>115</v>
      </c>
      <c r="Q168" s="1"/>
      <c r="R168" s="110"/>
      <c r="S168" s="110"/>
      <c r="T168" s="111"/>
      <c r="U168" s="111"/>
      <c r="V168" s="110"/>
      <c r="W168" s="110"/>
    </row>
    <row r="169" spans="2:23" x14ac:dyDescent="0.3">
      <c r="B169" s="2" t="str">
        <f t="shared" si="4"/>
        <v/>
      </c>
      <c r="C169" s="1"/>
      <c r="D169" s="1"/>
      <c r="E169" s="1"/>
      <c r="F169" s="110"/>
      <c r="G169" s="110"/>
      <c r="H169" s="111"/>
      <c r="I169" s="111"/>
      <c r="J169" s="110"/>
      <c r="K169" s="110"/>
      <c r="O169" s="2" t="str">
        <f t="shared" si="5"/>
        <v>Tesco</v>
      </c>
      <c r="P169" s="1" t="s">
        <v>115</v>
      </c>
      <c r="Q169" s="1"/>
      <c r="R169" s="110"/>
      <c r="S169" s="110"/>
      <c r="T169" s="111"/>
      <c r="U169" s="111"/>
      <c r="V169" s="110"/>
      <c r="W169" s="110"/>
    </row>
    <row r="170" spans="2:23" x14ac:dyDescent="0.3">
      <c r="B170" s="2" t="str">
        <f t="shared" si="4"/>
        <v/>
      </c>
      <c r="C170" s="1"/>
      <c r="D170" s="1"/>
      <c r="E170" s="1"/>
      <c r="F170" s="110"/>
      <c r="G170" s="110"/>
      <c r="H170" s="111"/>
      <c r="I170" s="111"/>
      <c r="J170" s="110"/>
      <c r="K170" s="110"/>
      <c r="O170" s="2" t="str">
        <f t="shared" si="5"/>
        <v>Tesco</v>
      </c>
      <c r="P170" s="1" t="s">
        <v>115</v>
      </c>
      <c r="Q170" s="1"/>
      <c r="R170" s="110"/>
      <c r="S170" s="110"/>
      <c r="T170" s="111"/>
      <c r="U170" s="111"/>
      <c r="V170" s="110"/>
      <c r="W170" s="110"/>
    </row>
    <row r="171" spans="2:23" x14ac:dyDescent="0.3">
      <c r="B171" s="2" t="str">
        <f t="shared" si="4"/>
        <v/>
      </c>
      <c r="C171" s="1"/>
      <c r="D171" s="1"/>
      <c r="E171" s="1"/>
      <c r="F171" s="110"/>
      <c r="G171" s="110"/>
      <c r="H171" s="111"/>
      <c r="I171" s="111"/>
      <c r="J171" s="110"/>
      <c r="K171" s="110"/>
      <c r="O171" s="2" t="str">
        <f t="shared" si="5"/>
        <v>Tesco</v>
      </c>
      <c r="P171" s="1" t="s">
        <v>115</v>
      </c>
      <c r="Q171" s="1"/>
      <c r="R171" s="110"/>
      <c r="S171" s="110"/>
      <c r="T171" s="111"/>
      <c r="U171" s="111"/>
      <c r="V171" s="110"/>
      <c r="W171" s="110"/>
    </row>
    <row r="172" spans="2:23" x14ac:dyDescent="0.3">
      <c r="B172" s="2" t="str">
        <f t="shared" si="4"/>
        <v/>
      </c>
      <c r="C172" s="1"/>
      <c r="D172" s="1"/>
      <c r="E172" s="1"/>
      <c r="F172" s="110"/>
      <c r="G172" s="110"/>
      <c r="H172" s="111"/>
      <c r="I172" s="111"/>
      <c r="J172" s="110"/>
      <c r="K172" s="110"/>
      <c r="O172" s="2" t="str">
        <f t="shared" si="5"/>
        <v>Tesco</v>
      </c>
      <c r="P172" s="1" t="s">
        <v>115</v>
      </c>
      <c r="Q172" s="1"/>
      <c r="R172" s="110"/>
      <c r="S172" s="110"/>
      <c r="T172" s="111"/>
      <c r="U172" s="111"/>
      <c r="V172" s="110"/>
      <c r="W172" s="110"/>
    </row>
    <row r="173" spans="2:23" x14ac:dyDescent="0.3">
      <c r="B173" s="2" t="str">
        <f t="shared" si="4"/>
        <v/>
      </c>
      <c r="C173" s="1"/>
      <c r="D173" s="1"/>
      <c r="E173" s="1"/>
      <c r="F173" s="110"/>
      <c r="G173" s="110"/>
      <c r="H173" s="111"/>
      <c r="I173" s="111"/>
      <c r="J173" s="110"/>
      <c r="K173" s="110"/>
      <c r="O173" s="2" t="str">
        <f t="shared" si="5"/>
        <v>Tesco</v>
      </c>
      <c r="P173" s="1" t="s">
        <v>115</v>
      </c>
      <c r="Q173" s="1"/>
      <c r="R173" s="110"/>
      <c r="S173" s="110"/>
      <c r="T173" s="111"/>
      <c r="U173" s="111"/>
      <c r="V173" s="110"/>
      <c r="W173" s="110"/>
    </row>
    <row r="174" spans="2:23" x14ac:dyDescent="0.3">
      <c r="B174" s="2" t="str">
        <f t="shared" si="4"/>
        <v/>
      </c>
      <c r="C174" s="1"/>
      <c r="D174" s="1"/>
      <c r="E174" s="1"/>
      <c r="F174" s="110"/>
      <c r="G174" s="110"/>
      <c r="H174" s="111"/>
      <c r="I174" s="111"/>
      <c r="J174" s="110"/>
      <c r="K174" s="110"/>
      <c r="O174" s="2" t="str">
        <f t="shared" si="5"/>
        <v>Tesco</v>
      </c>
      <c r="P174" s="1" t="s">
        <v>115</v>
      </c>
      <c r="Q174" s="1"/>
      <c r="R174" s="110"/>
      <c r="S174" s="110"/>
      <c r="T174" s="111"/>
      <c r="U174" s="111"/>
      <c r="V174" s="110"/>
      <c r="W174" s="110"/>
    </row>
    <row r="175" spans="2:23" x14ac:dyDescent="0.3">
      <c r="B175" s="2" t="str">
        <f t="shared" si="4"/>
        <v/>
      </c>
      <c r="C175" s="1"/>
      <c r="D175" s="1"/>
      <c r="E175" s="1"/>
      <c r="F175" s="110"/>
      <c r="G175" s="110"/>
      <c r="H175" s="111"/>
      <c r="I175" s="111"/>
      <c r="J175" s="110"/>
      <c r="K175" s="110"/>
      <c r="O175" s="2" t="str">
        <f t="shared" si="5"/>
        <v>Tesco</v>
      </c>
      <c r="P175" s="1" t="s">
        <v>115</v>
      </c>
      <c r="Q175" s="1"/>
      <c r="R175" s="110"/>
      <c r="S175" s="110"/>
      <c r="T175" s="111"/>
      <c r="U175" s="111"/>
      <c r="V175" s="110"/>
      <c r="W175" s="110"/>
    </row>
    <row r="176" spans="2:23" x14ac:dyDescent="0.3">
      <c r="B176" s="2" t="str">
        <f t="shared" si="4"/>
        <v/>
      </c>
      <c r="C176" s="1"/>
      <c r="D176" s="1"/>
      <c r="E176" s="1"/>
      <c r="F176" s="110"/>
      <c r="G176" s="110"/>
      <c r="H176" s="111"/>
      <c r="I176" s="111"/>
      <c r="J176" s="110"/>
      <c r="K176" s="110"/>
      <c r="O176" s="2" t="str">
        <f t="shared" si="5"/>
        <v>Tesco</v>
      </c>
      <c r="P176" s="1" t="s">
        <v>115</v>
      </c>
      <c r="Q176" s="1"/>
      <c r="R176" s="110"/>
      <c r="S176" s="110"/>
      <c r="T176" s="111"/>
      <c r="U176" s="111"/>
      <c r="V176" s="110"/>
      <c r="W176" s="110"/>
    </row>
    <row r="177" spans="2:23" x14ac:dyDescent="0.3">
      <c r="B177" s="2" t="str">
        <f t="shared" si="4"/>
        <v/>
      </c>
      <c r="C177" s="1"/>
      <c r="D177" s="1"/>
      <c r="E177" s="1"/>
      <c r="F177" s="110"/>
      <c r="G177" s="110"/>
      <c r="H177" s="111"/>
      <c r="I177" s="111"/>
      <c r="J177" s="110"/>
      <c r="K177" s="110"/>
      <c r="O177" s="2" t="str">
        <f t="shared" si="5"/>
        <v>Tesco</v>
      </c>
      <c r="P177" s="1" t="s">
        <v>115</v>
      </c>
      <c r="Q177" s="1"/>
      <c r="R177" s="110"/>
      <c r="S177" s="110"/>
      <c r="T177" s="111"/>
      <c r="U177" s="111"/>
      <c r="V177" s="110"/>
      <c r="W177" s="110"/>
    </row>
    <row r="178" spans="2:23" x14ac:dyDescent="0.3">
      <c r="B178" s="2" t="str">
        <f t="shared" si="4"/>
        <v/>
      </c>
      <c r="C178" s="1"/>
      <c r="D178" s="1"/>
      <c r="E178" s="1"/>
      <c r="F178" s="110"/>
      <c r="G178" s="110"/>
      <c r="H178" s="111"/>
      <c r="I178" s="111"/>
      <c r="J178" s="110"/>
      <c r="K178" s="110"/>
      <c r="O178" s="2" t="str">
        <f t="shared" si="5"/>
        <v>Tesco</v>
      </c>
      <c r="P178" s="1" t="s">
        <v>115</v>
      </c>
      <c r="Q178" s="1"/>
      <c r="R178" s="110"/>
      <c r="S178" s="110"/>
      <c r="T178" s="111"/>
      <c r="U178" s="111"/>
      <c r="V178" s="110"/>
      <c r="W178" s="110"/>
    </row>
    <row r="179" spans="2:23" x14ac:dyDescent="0.3">
      <c r="B179" s="2" t="str">
        <f t="shared" si="4"/>
        <v/>
      </c>
      <c r="C179" s="1"/>
      <c r="D179" s="1"/>
      <c r="E179" s="1"/>
      <c r="F179" s="110"/>
      <c r="G179" s="110"/>
      <c r="H179" s="111"/>
      <c r="I179" s="111"/>
      <c r="J179" s="110"/>
      <c r="K179" s="110"/>
      <c r="O179" s="2" t="str">
        <f t="shared" si="5"/>
        <v>Tesco</v>
      </c>
      <c r="P179" s="1" t="s">
        <v>115</v>
      </c>
      <c r="Q179" s="1"/>
      <c r="R179" s="110"/>
      <c r="S179" s="110"/>
      <c r="T179" s="111"/>
      <c r="U179" s="111"/>
      <c r="V179" s="110"/>
      <c r="W179" s="110"/>
    </row>
    <row r="180" spans="2:23" x14ac:dyDescent="0.3">
      <c r="B180" s="2" t="str">
        <f t="shared" si="4"/>
        <v/>
      </c>
      <c r="C180" s="1"/>
      <c r="D180" s="1"/>
      <c r="E180" s="1"/>
      <c r="F180" s="110"/>
      <c r="G180" s="110"/>
      <c r="H180" s="111"/>
      <c r="I180" s="111"/>
      <c r="J180" s="110"/>
      <c r="K180" s="110"/>
      <c r="O180" s="2" t="str">
        <f t="shared" si="5"/>
        <v>Tesco</v>
      </c>
      <c r="P180" s="1" t="s">
        <v>115</v>
      </c>
      <c r="Q180" s="1"/>
      <c r="R180" s="110"/>
      <c r="S180" s="110"/>
      <c r="T180" s="111"/>
      <c r="U180" s="111"/>
      <c r="V180" s="110"/>
      <c r="W180" s="110"/>
    </row>
    <row r="181" spans="2:23" x14ac:dyDescent="0.3">
      <c r="B181" s="2" t="str">
        <f t="shared" si="4"/>
        <v/>
      </c>
      <c r="C181" s="1"/>
      <c r="D181" s="1"/>
      <c r="E181" s="1"/>
      <c r="F181" s="110"/>
      <c r="G181" s="110"/>
      <c r="H181" s="111"/>
      <c r="I181" s="111"/>
      <c r="J181" s="110"/>
      <c r="K181" s="110"/>
      <c r="O181" s="2" t="str">
        <f t="shared" si="5"/>
        <v>Tesco</v>
      </c>
      <c r="P181" s="1" t="s">
        <v>115</v>
      </c>
      <c r="Q181" s="1"/>
      <c r="R181" s="110"/>
      <c r="S181" s="110"/>
      <c r="T181" s="111"/>
      <c r="U181" s="111"/>
      <c r="V181" s="110"/>
      <c r="W181" s="110"/>
    </row>
    <row r="182" spans="2:23" x14ac:dyDescent="0.3">
      <c r="B182" s="2" t="str">
        <f t="shared" si="4"/>
        <v/>
      </c>
      <c r="C182" s="1"/>
      <c r="D182" s="1"/>
      <c r="E182" s="1"/>
      <c r="F182" s="110"/>
      <c r="G182" s="110"/>
      <c r="H182" s="111"/>
      <c r="I182" s="111"/>
      <c r="J182" s="110"/>
      <c r="K182" s="110"/>
      <c r="O182" s="2" t="str">
        <f t="shared" si="5"/>
        <v>Tesco</v>
      </c>
      <c r="P182" s="1" t="s">
        <v>115</v>
      </c>
      <c r="Q182" s="1"/>
      <c r="R182" s="110"/>
      <c r="S182" s="110"/>
      <c r="T182" s="111"/>
      <c r="U182" s="111"/>
      <c r="V182" s="110"/>
      <c r="W182" s="110"/>
    </row>
    <row r="183" spans="2:23" x14ac:dyDescent="0.3">
      <c r="B183" s="2" t="str">
        <f t="shared" si="4"/>
        <v/>
      </c>
      <c r="C183" s="1"/>
      <c r="D183" s="1"/>
      <c r="E183" s="1"/>
      <c r="F183" s="110"/>
      <c r="G183" s="110"/>
      <c r="H183" s="111"/>
      <c r="I183" s="111"/>
      <c r="J183" s="110"/>
      <c r="K183" s="110"/>
      <c r="O183" s="2" t="str">
        <f t="shared" si="5"/>
        <v>Tesco</v>
      </c>
      <c r="P183" s="1" t="s">
        <v>115</v>
      </c>
      <c r="Q183" s="1"/>
      <c r="R183" s="110"/>
      <c r="S183" s="110"/>
      <c r="T183" s="111"/>
      <c r="U183" s="111"/>
      <c r="V183" s="110"/>
      <c r="W183" s="110"/>
    </row>
    <row r="184" spans="2:23" x14ac:dyDescent="0.3">
      <c r="B184" s="2" t="str">
        <f t="shared" si="4"/>
        <v/>
      </c>
      <c r="C184" s="1"/>
      <c r="D184" s="1"/>
      <c r="E184" s="1"/>
      <c r="F184" s="110"/>
      <c r="G184" s="110"/>
      <c r="H184" s="111"/>
      <c r="I184" s="111"/>
      <c r="J184" s="110"/>
      <c r="K184" s="110"/>
      <c r="O184" s="2" t="str">
        <f t="shared" si="5"/>
        <v>Tesco</v>
      </c>
      <c r="P184" s="1" t="s">
        <v>115</v>
      </c>
      <c r="Q184" s="1"/>
      <c r="R184" s="110"/>
      <c r="S184" s="110"/>
      <c r="T184" s="111"/>
      <c r="U184" s="111"/>
      <c r="V184" s="110"/>
      <c r="W184" s="110"/>
    </row>
    <row r="185" spans="2:23" x14ac:dyDescent="0.3">
      <c r="B185" s="2" t="str">
        <f t="shared" si="4"/>
        <v/>
      </c>
      <c r="C185" s="1"/>
      <c r="D185" s="1"/>
      <c r="E185" s="1"/>
      <c r="F185" s="110"/>
      <c r="G185" s="110"/>
      <c r="H185" s="111"/>
      <c r="I185" s="111"/>
      <c r="J185" s="110"/>
      <c r="K185" s="110"/>
      <c r="O185" s="2" t="str">
        <f t="shared" si="5"/>
        <v>Tesco</v>
      </c>
      <c r="P185" s="1" t="s">
        <v>115</v>
      </c>
      <c r="Q185" s="1"/>
      <c r="R185" s="110"/>
      <c r="S185" s="110"/>
      <c r="T185" s="111"/>
      <c r="U185" s="111"/>
      <c r="V185" s="110"/>
      <c r="W185" s="110"/>
    </row>
    <row r="186" spans="2:23" x14ac:dyDescent="0.3">
      <c r="B186" s="2" t="str">
        <f t="shared" si="4"/>
        <v/>
      </c>
      <c r="C186" s="1"/>
      <c r="D186" s="1"/>
      <c r="E186" s="1"/>
      <c r="F186" s="110"/>
      <c r="G186" s="110"/>
      <c r="H186" s="111"/>
      <c r="I186" s="111"/>
      <c r="J186" s="110"/>
      <c r="K186" s="110"/>
      <c r="O186" s="2" t="str">
        <f t="shared" si="5"/>
        <v>Tesco</v>
      </c>
      <c r="P186" s="1" t="s">
        <v>115</v>
      </c>
      <c r="Q186" s="1"/>
      <c r="R186" s="110"/>
      <c r="S186" s="110"/>
      <c r="T186" s="111"/>
      <c r="U186" s="111"/>
      <c r="V186" s="110"/>
      <c r="W186" s="110"/>
    </row>
    <row r="187" spans="2:23" x14ac:dyDescent="0.3">
      <c r="B187" s="2" t="str">
        <f t="shared" si="4"/>
        <v/>
      </c>
      <c r="C187" s="1"/>
      <c r="D187" s="1"/>
      <c r="E187" s="1"/>
      <c r="F187" s="110"/>
      <c r="G187" s="110"/>
      <c r="H187" s="111"/>
      <c r="I187" s="111"/>
      <c r="J187" s="110"/>
      <c r="K187" s="110"/>
      <c r="O187" s="2" t="str">
        <f t="shared" si="5"/>
        <v>Tesco</v>
      </c>
      <c r="P187" s="1" t="s">
        <v>115</v>
      </c>
      <c r="Q187" s="1"/>
      <c r="R187" s="110"/>
      <c r="S187" s="110"/>
      <c r="T187" s="111"/>
      <c r="U187" s="111"/>
      <c r="V187" s="110"/>
      <c r="W187" s="110"/>
    </row>
    <row r="188" spans="2:23" x14ac:dyDescent="0.3">
      <c r="B188" s="2" t="str">
        <f t="shared" si="4"/>
        <v/>
      </c>
      <c r="C188" s="1"/>
      <c r="D188" s="1"/>
      <c r="E188" s="1"/>
      <c r="F188" s="110"/>
      <c r="G188" s="110"/>
      <c r="H188" s="111"/>
      <c r="I188" s="111"/>
      <c r="J188" s="110"/>
      <c r="K188" s="110"/>
      <c r="O188" s="2" t="str">
        <f t="shared" si="5"/>
        <v>Tesco</v>
      </c>
      <c r="P188" s="1" t="s">
        <v>115</v>
      </c>
      <c r="Q188" s="1"/>
      <c r="R188" s="110"/>
      <c r="S188" s="110"/>
      <c r="T188" s="111"/>
      <c r="U188" s="111"/>
      <c r="V188" s="110"/>
      <c r="W188" s="110"/>
    </row>
    <row r="189" spans="2:23" x14ac:dyDescent="0.3">
      <c r="B189" s="2" t="str">
        <f t="shared" si="4"/>
        <v/>
      </c>
      <c r="C189" s="1"/>
      <c r="D189" s="1"/>
      <c r="E189" s="1"/>
      <c r="F189" s="110"/>
      <c r="G189" s="110"/>
      <c r="H189" s="111"/>
      <c r="I189" s="111"/>
      <c r="J189" s="110"/>
      <c r="K189" s="110"/>
      <c r="O189" s="2" t="str">
        <f t="shared" si="5"/>
        <v>Tesco</v>
      </c>
      <c r="P189" s="1" t="s">
        <v>115</v>
      </c>
      <c r="Q189" s="1"/>
      <c r="R189" s="110"/>
      <c r="S189" s="110"/>
      <c r="T189" s="111"/>
      <c r="U189" s="111"/>
      <c r="V189" s="110"/>
      <c r="W189" s="110"/>
    </row>
    <row r="190" spans="2:23" x14ac:dyDescent="0.3">
      <c r="B190" s="2" t="str">
        <f t="shared" si="4"/>
        <v/>
      </c>
      <c r="C190" s="1"/>
      <c r="D190" s="1"/>
      <c r="E190" s="1"/>
      <c r="F190" s="110"/>
      <c r="G190" s="110"/>
      <c r="H190" s="111"/>
      <c r="I190" s="111"/>
      <c r="J190" s="110"/>
      <c r="K190" s="110"/>
      <c r="O190" s="2" t="str">
        <f t="shared" si="5"/>
        <v>Tesco</v>
      </c>
      <c r="P190" s="1" t="s">
        <v>115</v>
      </c>
      <c r="Q190" s="1"/>
      <c r="R190" s="110"/>
      <c r="S190" s="110"/>
      <c r="T190" s="111"/>
      <c r="U190" s="111"/>
      <c r="V190" s="110"/>
      <c r="W190" s="110"/>
    </row>
    <row r="191" spans="2:23" x14ac:dyDescent="0.3">
      <c r="B191" s="2" t="str">
        <f t="shared" si="4"/>
        <v/>
      </c>
      <c r="C191" s="1"/>
      <c r="D191" s="1"/>
      <c r="E191" s="1"/>
      <c r="F191" s="110"/>
      <c r="G191" s="110"/>
      <c r="H191" s="111"/>
      <c r="I191" s="111"/>
      <c r="J191" s="110"/>
      <c r="K191" s="110"/>
      <c r="O191" s="2" t="str">
        <f t="shared" si="5"/>
        <v>Tesco</v>
      </c>
      <c r="P191" s="1" t="s">
        <v>115</v>
      </c>
      <c r="Q191" s="1"/>
      <c r="R191" s="110"/>
      <c r="S191" s="110"/>
      <c r="T191" s="111"/>
      <c r="U191" s="111"/>
      <c r="V191" s="110"/>
      <c r="W191" s="110"/>
    </row>
    <row r="192" spans="2:23" x14ac:dyDescent="0.3">
      <c r="B192" s="2" t="str">
        <f t="shared" si="4"/>
        <v/>
      </c>
      <c r="C192" s="1"/>
      <c r="D192" s="1"/>
      <c r="E192" s="1"/>
      <c r="F192" s="110"/>
      <c r="G192" s="110"/>
      <c r="H192" s="111"/>
      <c r="I192" s="111"/>
      <c r="J192" s="110"/>
      <c r="K192" s="110"/>
      <c r="O192" s="2" t="str">
        <f t="shared" si="5"/>
        <v>Tesco</v>
      </c>
      <c r="P192" s="1" t="s">
        <v>115</v>
      </c>
      <c r="Q192" s="1"/>
      <c r="R192" s="110"/>
      <c r="S192" s="110"/>
      <c r="T192" s="111"/>
      <c r="U192" s="111"/>
      <c r="V192" s="110"/>
      <c r="W192" s="110"/>
    </row>
    <row r="193" spans="2:23" x14ac:dyDescent="0.3">
      <c r="B193" s="2" t="str">
        <f t="shared" si="4"/>
        <v/>
      </c>
      <c r="C193" s="1"/>
      <c r="D193" s="1"/>
      <c r="E193" s="1"/>
      <c r="F193" s="110"/>
      <c r="G193" s="110"/>
      <c r="H193" s="111"/>
      <c r="I193" s="111"/>
      <c r="J193" s="110"/>
      <c r="K193" s="110"/>
      <c r="O193" s="2" t="str">
        <f t="shared" si="5"/>
        <v>Tesco</v>
      </c>
      <c r="P193" s="1" t="s">
        <v>115</v>
      </c>
      <c r="Q193" s="1"/>
      <c r="R193" s="110"/>
      <c r="S193" s="110"/>
      <c r="T193" s="111"/>
      <c r="U193" s="111"/>
      <c r="V193" s="110"/>
      <c r="W193" s="110"/>
    </row>
    <row r="194" spans="2:23" x14ac:dyDescent="0.3">
      <c r="B194" s="2" t="str">
        <f t="shared" si="4"/>
        <v/>
      </c>
      <c r="C194" s="1"/>
      <c r="D194" s="1"/>
      <c r="E194" s="1"/>
      <c r="F194" s="110"/>
      <c r="G194" s="110"/>
      <c r="H194" s="111"/>
      <c r="I194" s="111"/>
      <c r="J194" s="110"/>
      <c r="K194" s="110"/>
      <c r="O194" s="2" t="str">
        <f t="shared" si="5"/>
        <v>Tesco</v>
      </c>
      <c r="P194" s="1" t="s">
        <v>115</v>
      </c>
      <c r="Q194" s="1"/>
      <c r="R194" s="110"/>
      <c r="S194" s="110"/>
      <c r="T194" s="111"/>
      <c r="U194" s="111"/>
      <c r="V194" s="110"/>
      <c r="W194" s="110"/>
    </row>
    <row r="195" spans="2:23" x14ac:dyDescent="0.3">
      <c r="B195" s="2" t="str">
        <f t="shared" si="4"/>
        <v/>
      </c>
      <c r="C195" s="1"/>
      <c r="D195" s="1"/>
      <c r="E195" s="1"/>
      <c r="F195" s="110"/>
      <c r="G195" s="110"/>
      <c r="H195" s="111"/>
      <c r="I195" s="111"/>
      <c r="J195" s="110"/>
      <c r="K195" s="110"/>
      <c r="O195" s="2" t="str">
        <f t="shared" si="5"/>
        <v>Tesco</v>
      </c>
      <c r="P195" s="1" t="s">
        <v>115</v>
      </c>
      <c r="Q195" s="1"/>
      <c r="R195" s="110"/>
      <c r="S195" s="110"/>
      <c r="T195" s="111"/>
      <c r="U195" s="111"/>
      <c r="V195" s="110"/>
      <c r="W195" s="110"/>
    </row>
    <row r="196" spans="2:23" x14ac:dyDescent="0.3">
      <c r="B196" s="2" t="str">
        <f t="shared" ref="B196:B200" si="6">C196&amp;D196&amp;E196</f>
        <v/>
      </c>
      <c r="C196" s="1"/>
      <c r="D196" s="1"/>
      <c r="E196" s="1"/>
      <c r="F196" s="110"/>
      <c r="G196" s="110"/>
      <c r="H196" s="111"/>
      <c r="I196" s="111"/>
      <c r="J196" s="110"/>
      <c r="K196" s="110"/>
      <c r="O196" s="2" t="str">
        <f t="shared" ref="O196:O200" si="7">P196&amp;Q196</f>
        <v>Tesco</v>
      </c>
      <c r="P196" s="1" t="s">
        <v>115</v>
      </c>
      <c r="Q196" s="1"/>
      <c r="R196" s="110"/>
      <c r="S196" s="110"/>
      <c r="T196" s="111"/>
      <c r="U196" s="111"/>
      <c r="V196" s="110"/>
      <c r="W196" s="110"/>
    </row>
    <row r="197" spans="2:23" x14ac:dyDescent="0.3">
      <c r="B197" s="2" t="str">
        <f t="shared" si="6"/>
        <v/>
      </c>
      <c r="C197" s="1"/>
      <c r="D197" s="1"/>
      <c r="E197" s="1"/>
      <c r="F197" s="110"/>
      <c r="G197" s="110"/>
      <c r="H197" s="111"/>
      <c r="I197" s="111"/>
      <c r="J197" s="110"/>
      <c r="K197" s="110"/>
      <c r="O197" s="2" t="str">
        <f t="shared" si="7"/>
        <v>Tesco</v>
      </c>
      <c r="P197" s="1" t="s">
        <v>115</v>
      </c>
      <c r="Q197" s="1"/>
      <c r="R197" s="110"/>
      <c r="S197" s="110"/>
      <c r="T197" s="111"/>
      <c r="U197" s="111"/>
      <c r="V197" s="110"/>
      <c r="W197" s="110"/>
    </row>
    <row r="198" spans="2:23" x14ac:dyDescent="0.3">
      <c r="B198" s="2" t="str">
        <f t="shared" si="6"/>
        <v/>
      </c>
      <c r="C198" s="1"/>
      <c r="D198" s="1"/>
      <c r="E198" s="1"/>
      <c r="F198" s="110"/>
      <c r="G198" s="110"/>
      <c r="H198" s="111"/>
      <c r="I198" s="111"/>
      <c r="J198" s="110"/>
      <c r="K198" s="110"/>
      <c r="O198" s="2" t="str">
        <f t="shared" si="7"/>
        <v>Tesco</v>
      </c>
      <c r="P198" s="1" t="s">
        <v>115</v>
      </c>
      <c r="Q198" s="1"/>
      <c r="R198" s="110"/>
      <c r="S198" s="110"/>
      <c r="T198" s="111"/>
      <c r="U198" s="111"/>
      <c r="V198" s="110"/>
      <c r="W198" s="110"/>
    </row>
    <row r="199" spans="2:23" x14ac:dyDescent="0.3">
      <c r="B199" s="2" t="str">
        <f t="shared" si="6"/>
        <v/>
      </c>
      <c r="C199" s="1"/>
      <c r="D199" s="1"/>
      <c r="E199" s="1"/>
      <c r="F199" s="110"/>
      <c r="G199" s="110"/>
      <c r="H199" s="111"/>
      <c r="I199" s="111"/>
      <c r="J199" s="110"/>
      <c r="K199" s="110"/>
      <c r="O199" s="2" t="str">
        <f t="shared" si="7"/>
        <v>Tesco</v>
      </c>
      <c r="P199" s="1" t="s">
        <v>115</v>
      </c>
      <c r="Q199" s="1"/>
      <c r="R199" s="110"/>
      <c r="S199" s="110"/>
      <c r="T199" s="111"/>
      <c r="U199" s="111"/>
      <c r="V199" s="110"/>
      <c r="W199" s="110"/>
    </row>
    <row r="200" spans="2:23" x14ac:dyDescent="0.3">
      <c r="B200" s="2" t="str">
        <f t="shared" si="6"/>
        <v/>
      </c>
      <c r="C200" s="1"/>
      <c r="D200" s="1"/>
      <c r="E200" s="1"/>
      <c r="F200" s="110"/>
      <c r="G200" s="110"/>
      <c r="H200" s="111"/>
      <c r="I200" s="111"/>
      <c r="J200" s="110"/>
      <c r="K200" s="110"/>
      <c r="O200" s="2" t="str">
        <f t="shared" si="7"/>
        <v>Tesco</v>
      </c>
      <c r="P200" s="1" t="s">
        <v>115</v>
      </c>
      <c r="Q200" s="1"/>
      <c r="R200" s="110"/>
      <c r="S200" s="110"/>
      <c r="T200" s="111"/>
      <c r="U200" s="111"/>
      <c r="V200" s="110"/>
      <c r="W200" s="110"/>
    </row>
  </sheetData>
  <autoFilter ref="C2:I200" xr:uid="{129FCD4A-814E-4BA7-9734-FE417110CDC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02172-A2BE-488A-A1EC-E87C2F02A349}">
  <sheetPr codeName="Sheet5"/>
  <dimension ref="B1:BP229"/>
  <sheetViews>
    <sheetView workbookViewId="0"/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3.664062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4" width="15.21875" customWidth="1"/>
    <col min="55" max="72" width="12" bestFit="1" customWidth="1"/>
  </cols>
  <sheetData>
    <row r="1" spans="2:55" x14ac:dyDescent="0.3">
      <c r="B1" s="115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1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C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94" t="str">
        <f t="shared" si="1"/>
        <v>L0_Current RPI_1</v>
      </c>
      <c r="BA2" s="94" t="str">
        <f t="shared" si="1"/>
        <v>L0_Current RPI_2</v>
      </c>
      <c r="BB2" s="94" t="str">
        <f t="shared" si="1"/>
        <v>L0_Proposed RPI_1</v>
      </c>
      <c r="BC2" s="94" t="str">
        <f t="shared" si="1"/>
        <v>L0_Proposed RPI_2</v>
      </c>
    </row>
    <row r="3" spans="2:55" x14ac:dyDescent="0.3">
      <c r="B3" s="113" t="s">
        <v>87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5"/>
      <c r="AF3" s="5" t="s">
        <v>13</v>
      </c>
      <c r="AG3" s="30" t="s">
        <v>16</v>
      </c>
      <c r="AH3" s="30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101</v>
      </c>
      <c r="AZ3" s="94" t="s">
        <v>72</v>
      </c>
      <c r="BA3" s="94" t="s">
        <v>73</v>
      </c>
      <c r="BB3" s="94" t="s">
        <v>74</v>
      </c>
      <c r="BC3" s="94" t="s">
        <v>75</v>
      </c>
    </row>
    <row r="4" spans="2:55" ht="14.4" customHeight="1" x14ac:dyDescent="0.3">
      <c r="B4" s="114" t="s">
        <v>88</v>
      </c>
      <c r="C4" s="4">
        <v>1</v>
      </c>
      <c r="D4" s="108" t="str">
        <f>IFERROR(E4&amp;F4,"")</f>
        <v>TescoHP</v>
      </c>
      <c r="E4" s="3" t="s">
        <v>115</v>
      </c>
      <c r="F4" s="109" t="str">
        <f>IFERROR(INDEX('Input - Tesco'!$Y$3:$Y$200,MATCH('Calculations - Tesco'!$C4,'Input - Tesco'!$Z$3:$Z$200,0)),"")</f>
        <v>HP</v>
      </c>
      <c r="G4" s="20">
        <f>IFERROR(INDEX('Input - Tesco'!R$2:R$200,MATCH('Calculations - Tesco'!$D4,'Input - Tesco'!$O$2:$O$200,0)),"")</f>
        <v>12277179.699999999</v>
      </c>
      <c r="H4" s="20">
        <f>IFERROR(INDEX('Input - Tesco'!S$2:S$200,MATCH('Calculations - Tesco'!$D4,'Input - Tesco'!$O$2:$O$200,0)),"")</f>
        <v>2069063.425</v>
      </c>
      <c r="I4" s="27">
        <f>IFERROR(INDEX('Input - Tesco'!T$2:T$200,MATCH('Calculations - Tesco'!$D4,'Input - Tesco'!$O$2:$O$200,0)),"")</f>
        <v>2.24632220726998</v>
      </c>
      <c r="J4" s="27">
        <f>IFERROR(INDEX('Input - Tesco'!U$2:U$200,MATCH('Calculations - Tesco'!$D4,'Input - Tesco'!$O$2:$O$200,0)),"")</f>
        <v>13.3289782563114</v>
      </c>
      <c r="K4" s="20">
        <f>IFERROR(INDEX('Input - Tesco'!V$2:V$200,MATCH('Calculations - Tesco'!$D4,'Input - Tesco'!$O$2:$O$200,0)),"")</f>
        <v>36556298.960000001</v>
      </c>
      <c r="L4" s="20">
        <f>IFERROR(INDEX('Input - Tesco'!W$2:W$200,MATCH('Calculations - Tesco'!$D4,'Input - Tesco'!$O$2:$O$200,0)),"")</f>
        <v>6392867.6349999998</v>
      </c>
      <c r="M4" s="21">
        <f>IFERROR(G4/H4,"")</f>
        <v>5.9336893937893658</v>
      </c>
      <c r="N4" s="21">
        <f t="shared" ref="N4:N24" si="2">IFERROR(K4/L4,"")</f>
        <v>5.7182943629021352</v>
      </c>
      <c r="O4" s="21">
        <f>IFERROR((M4/(M4-J4)*5),"")</f>
        <v>-4.0118036658853278</v>
      </c>
      <c r="P4" s="9">
        <f t="shared" ref="P4:P23" si="3">IFERROR(G4/SUM(G$4:G$23),"")</f>
        <v>0.79876739496706839</v>
      </c>
      <c r="Q4" s="9">
        <f t="shared" ref="Q4:Q23" si="4">IFERROR(H4/SUM(H$4:H$23),"")</f>
        <v>0.66578029913322323</v>
      </c>
      <c r="R4" s="8">
        <f t="shared" ref="R4:R23" si="5">IFERROR(T4/G4,"-")</f>
        <v>0.8</v>
      </c>
      <c r="S4" s="8">
        <f>IFERROR(U4/T4,"-")</f>
        <v>0.3</v>
      </c>
      <c r="T4">
        <f>IFERROR(SUMIFS(T$32:T$229,$B$32:$B$229,$D4),"-")</f>
        <v>9821743.7599999998</v>
      </c>
      <c r="U4">
        <f>IFERROR(SUMIFS(U$32:U$229,$B$32:$B$229,$D4),"-")</f>
        <v>2946523.1279999996</v>
      </c>
      <c r="V4">
        <f>IFERROR(T4-U4,"-")</f>
        <v>6875220.6320000002</v>
      </c>
      <c r="W4">
        <f t="shared" ref="W4:W23" si="6">IFERROR(V4/H4,"-")</f>
        <v>3.322866060522045</v>
      </c>
      <c r="X4" s="10">
        <f t="shared" ref="X4:X23" si="7">IFERROR((J4+M4)*H4*0.5,"-")</f>
        <v>19927840.551377099</v>
      </c>
      <c r="Y4" s="7">
        <f>IFERROR(X4/$X$24,"")</f>
        <v>0.80245104204859141</v>
      </c>
      <c r="Z4" s="13">
        <f>IFERROR(Y4-P4,"-")</f>
        <v>3.6836470815230227E-3</v>
      </c>
      <c r="AA4">
        <f>IFERROR(Y4*$G$24,"-")</f>
        <v>12333797.931360211</v>
      </c>
      <c r="AB4" s="16">
        <f t="shared" ref="AB4:AB23" si="8">IFERROR(AA4/M4,"-")</f>
        <v>2078605.2509370761</v>
      </c>
      <c r="AC4" s="16">
        <f>IFERROR(R4*AA4,"-")</f>
        <v>9867038.345088169</v>
      </c>
      <c r="AD4" s="16">
        <f>IFERROR(AC4-(W4)*AB4,"-")</f>
        <v>2960111.5035264501</v>
      </c>
      <c r="AF4" s="27" cm="1">
        <f t="array" ref="AF4">IFERROR(SUM(_xlfn._xlws.FILTER($AF$32:$AF$229*$AJ$32:$AJ$229,$B$32:$B$229=D4))/SUM(_xlfn._xlws.FILTER($AJ$32:$AJ$229,$B$32:$B$229=D4)),"-")</f>
        <v>5.9336893937893667</v>
      </c>
      <c r="AG4" s="123">
        <f>IFERROR(SUMIFS(AV$32:AV$229,$E$32:$E$229,$F4)/SUMIFS(AT$32:AT$229,$E$32:$E$229,$F4),"-")</f>
        <v>0.80000000000000027</v>
      </c>
      <c r="AH4" s="124">
        <f>IFERROR(SUMIFS(AW$32:AW$229,$E$32:$E$229,$F4)/SUMIFS(AV$32:AV$229,$E$32:$E$229,$F4),"-")</f>
        <v>0.3</v>
      </c>
      <c r="AI4" s="9">
        <f t="shared" ref="AI4:AI23" si="9">IFERROR((AF4-M4)/M4,"")</f>
        <v>1.496840095185565E-16</v>
      </c>
      <c r="AJ4" s="4">
        <f t="shared" ref="AJ4:AJ23" si="10">IFERROR(MAX((1+AI4*O4/5)*H4,0),"")</f>
        <v>2069063.4249999998</v>
      </c>
      <c r="AK4" s="18">
        <f>SUMPRODUCT(AF$4:AF$23,AJ$4:AJ$23)/SUM(AJ$4:AJ$23)</f>
        <v>4.9457871270817089</v>
      </c>
      <c r="AL4" s="24">
        <f>$AK4/$M$24-1</f>
        <v>0</v>
      </c>
      <c r="AM4" s="24">
        <f>$AL4*$O$24/5</f>
        <v>0</v>
      </c>
      <c r="AN4" s="25">
        <f>(1+$AM4)*$H$24</f>
        <v>3107727.0199999996</v>
      </c>
      <c r="AO4" s="25">
        <f>AN4*AK4</f>
        <v>15370156.289999999</v>
      </c>
      <c r="AP4" s="20">
        <f t="shared" ref="AP4:AP23" si="11">IFERROR(0.5*(J4+AF4)*AJ4,"-")</f>
        <v>19927840.551377095</v>
      </c>
      <c r="AQ4" s="13">
        <f>IFERROR(AP4/AP$24,"")</f>
        <v>0.80245104204859141</v>
      </c>
      <c r="AR4" s="9">
        <f>IFERROR(AQ4*$P$24,"")</f>
        <v>0.80245104204859141</v>
      </c>
      <c r="AS4" s="13">
        <f>IFERROR(AR4-P4,"")</f>
        <v>3.6836470815230227E-3</v>
      </c>
      <c r="AT4" s="16">
        <f>IFERROR(AR4*AO$4,"-")</f>
        <v>12333797.931360211</v>
      </c>
      <c r="AU4" s="16">
        <f t="shared" ref="AU4:AU23" si="12">IFERROR(AT4/AF4,"-")</f>
        <v>2078605.2509370758</v>
      </c>
      <c r="AV4" s="4">
        <f>IFERROR(AT4*AG4,"-")</f>
        <v>9867038.3450881727</v>
      </c>
      <c r="AW4" s="16">
        <f t="shared" ref="AW4:AW23" si="13">IFERROR(AV4-(W4*AU4),"-")</f>
        <v>2960111.5035264548</v>
      </c>
      <c r="AX4">
        <f t="shared" ref="AX4:AX23" si="14">IFERROR(J4/AF4,"")</f>
        <v>2.24632220726998</v>
      </c>
      <c r="AY4" s="9">
        <f t="shared" ref="AY4:AY23" si="15">IFERROR(AU4/$AU$24,"-")</f>
        <v>0.66867385246489608</v>
      </c>
      <c r="AZ4" s="20">
        <f>IFERROR(100*$M$4/$M4,"")</f>
        <v>100</v>
      </c>
      <c r="BA4" s="20">
        <f>IFERROR(100*$M$5/$M4,"")</f>
        <v>63.229879382154543</v>
      </c>
      <c r="BB4" s="20">
        <f>IFERROR(100*$AF$4/$AF4,"")</f>
        <v>100.00000000000001</v>
      </c>
      <c r="BC4" s="20">
        <f>IFERROR(100*$AF$5/$AF4,"")</f>
        <v>63.229879382154522</v>
      </c>
    </row>
    <row r="5" spans="2:55" ht="14.4" customHeight="1" x14ac:dyDescent="0.3">
      <c r="B5" s="114" t="s">
        <v>89</v>
      </c>
      <c r="C5" s="4">
        <v>2</v>
      </c>
      <c r="D5" s="108" t="str">
        <f t="shared" ref="D5:D24" si="16">IFERROR(E5&amp;F5,"")</f>
        <v>TescoDADDIES</v>
      </c>
      <c r="E5" s="3" t="s">
        <v>115</v>
      </c>
      <c r="F5" s="109" t="str">
        <f>IFERROR(INDEX('Input - Tesco'!$Y$3:$Y$200,MATCH('Calculations - Tesco'!$C5,'Input - Tesco'!$Z$3:$Z$200,0)),"")</f>
        <v>DADDIES</v>
      </c>
      <c r="G5" s="20">
        <f>IFERROR(INDEX('Input - Tesco'!R$2:R$200,MATCH('Calculations - Tesco'!$D5,'Input - Tesco'!$O$2:$O$200,0)),"")</f>
        <v>1839330.52</v>
      </c>
      <c r="H5" s="20">
        <f>IFERROR(INDEX('Input - Tesco'!S$2:S$200,MATCH('Calculations - Tesco'!$D5,'Input - Tesco'!$O$2:$O$200,0)),"")</f>
        <v>490244.37</v>
      </c>
      <c r="I5" s="27">
        <f>IFERROR(INDEX('Input - Tesco'!T$2:T$200,MATCH('Calculations - Tesco'!$D5,'Input - Tesco'!$O$2:$O$200,0)),"")</f>
        <v>2.02306946178981</v>
      </c>
      <c r="J5" s="27">
        <f>IFERROR(INDEX('Input - Tesco'!U$2:U$200,MATCH('Calculations - Tesco'!$D5,'Input - Tesco'!$O$2:$O$200,0)),"")</f>
        <v>7.5902827913148103</v>
      </c>
      <c r="K5" s="20">
        <f>IFERROR(INDEX('Input - Tesco'!V$2:V$200,MATCH('Calculations - Tesco'!$D5,'Input - Tesco'!$O$2:$O$200,0)),"")</f>
        <v>5154990.3</v>
      </c>
      <c r="L5" s="20">
        <f>IFERROR(INDEX('Input - Tesco'!W$2:W$200,MATCH('Calculations - Tesco'!$D5,'Input - Tesco'!$O$2:$O$200,0)),"")</f>
        <v>1374147.4550000001</v>
      </c>
      <c r="M5" s="21">
        <f t="shared" ref="M5:M24" si="17">IFERROR(G5/H5,"")</f>
        <v>3.7518646466047127</v>
      </c>
      <c r="N5" s="21">
        <f t="shared" si="2"/>
        <v>3.751409851426752</v>
      </c>
      <c r="O5" s="21">
        <f t="shared" ref="O5:O24" si="18">IFERROR((M5/(M5-J5)*5),"")</f>
        <v>-4.8872536877923682</v>
      </c>
      <c r="P5" s="9">
        <f t="shared" si="3"/>
        <v>0.11966895360697728</v>
      </c>
      <c r="Q5" s="9">
        <f t="shared" si="4"/>
        <v>0.15775013919980657</v>
      </c>
      <c r="R5" s="8">
        <f t="shared" si="5"/>
        <v>0.79999999999999993</v>
      </c>
      <c r="S5" s="8">
        <f t="shared" ref="S5:S23" si="19">IFERROR(U5/T5,"-")</f>
        <v>0.3</v>
      </c>
      <c r="T5">
        <f t="shared" ref="T5:U23" si="20">IFERROR(SUMIFS(T$32:T$229,$B$32:$B$229,$D5),"-")</f>
        <v>1471464.416</v>
      </c>
      <c r="U5">
        <f t="shared" si="20"/>
        <v>441439.3248</v>
      </c>
      <c r="V5">
        <f t="shared" ref="V5:V23" si="21">IFERROR(T5-U5,"-")</f>
        <v>1030025.0911999999</v>
      </c>
      <c r="W5">
        <f t="shared" si="6"/>
        <v>2.1010442020986391</v>
      </c>
      <c r="X5" s="10">
        <f t="shared" si="7"/>
        <v>2780211.9625749853</v>
      </c>
      <c r="Y5" s="7">
        <f t="shared" ref="Y5:Y23" si="22">IFERROR(X5/$X$24,"")</f>
        <v>0.11195312310595971</v>
      </c>
      <c r="Z5" s="13">
        <f t="shared" ref="Z5:Z23" si="23">IFERROR(Y5-P5,"-")</f>
        <v>-7.7158305010175676E-3</v>
      </c>
      <c r="AA5">
        <f t="shared" ref="AA5:AA23" si="24">IFERROR(Y5*$G$24,"-")</f>
        <v>1720736.9992922109</v>
      </c>
      <c r="AB5" s="16">
        <f t="shared" si="8"/>
        <v>458635.14848527627</v>
      </c>
      <c r="AC5" s="16">
        <f t="shared" ref="AC5:AC23" si="25">IFERROR(R5*AA5,"-")</f>
        <v>1376589.5994337685</v>
      </c>
      <c r="AD5" s="16">
        <f t="shared" ref="AD5:AD23" si="26">IFERROR(AC5-(W5)*AB5,"-")</f>
        <v>412976.87983013038</v>
      </c>
      <c r="AF5" s="27" cm="1">
        <f t="array" ref="AF5">IFERROR(SUM(_xlfn._xlws.FILTER($AF$32:$AF$229*$AJ$32:$AJ$229,$B$32:$B$229=D5))/SUM(_xlfn._xlws.FILTER($AJ$32:$AJ$229,$B$32:$B$229=D5)),"-")</f>
        <v>3.7518646466047123</v>
      </c>
      <c r="AG5" s="123">
        <f t="shared" ref="AG5:AG23" si="27">IFERROR(SUMIFS(AV$32:AV$229,$E$32:$E$229,$F5)/SUMIFS(AT$32:AT$229,$E$32:$E$229,$F5),"-")</f>
        <v>0.8</v>
      </c>
      <c r="AH5" s="124">
        <f t="shared" ref="AH5:AH23" si="28">IFERROR(SUMIFS(AW$32:AW$229,$E$32:$E$229,$F5)/SUMIFS(AV$32:AV$229,$E$32:$E$229,$F5),"-")</f>
        <v>0.29999999999999988</v>
      </c>
      <c r="AI5" s="9">
        <f t="shared" si="9"/>
        <v>-1.1836493362092514E-16</v>
      </c>
      <c r="AJ5" s="4">
        <f t="shared" si="10"/>
        <v>490244.37000000011</v>
      </c>
      <c r="AP5" s="20">
        <f t="shared" si="11"/>
        <v>2780211.9625749858</v>
      </c>
      <c r="AQ5" s="13">
        <f t="shared" ref="AQ5:AQ24" si="29">IFERROR(AP5/AP$24,"")</f>
        <v>0.11195312310595976</v>
      </c>
      <c r="AR5" s="9">
        <f t="shared" ref="AR5:AR24" si="30">IFERROR(AQ5*$P$24,"")</f>
        <v>0.11195312310595976</v>
      </c>
      <c r="AS5" s="13">
        <f t="shared" ref="AS5:AS24" si="31">IFERROR(AR5-P5,"")</f>
        <v>-7.715830501017526E-3</v>
      </c>
      <c r="AT5" s="16">
        <f t="shared" ref="AT5:AT23" si="32">IFERROR(AR5*AO$4,"-")</f>
        <v>1720736.9992922116</v>
      </c>
      <c r="AU5" s="16">
        <f t="shared" si="12"/>
        <v>458635.1484852765</v>
      </c>
      <c r="AV5" s="4">
        <f t="shared" ref="AV5:AV23" si="33">IFERROR(AT5*AG5,"-")</f>
        <v>1376589.5994337695</v>
      </c>
      <c r="AW5" s="16">
        <f t="shared" si="13"/>
        <v>412976.87983013084</v>
      </c>
      <c r="AX5">
        <f t="shared" si="14"/>
        <v>2.02306946178981</v>
      </c>
      <c r="AY5" s="9">
        <f t="shared" si="15"/>
        <v>0.14753995809218867</v>
      </c>
      <c r="AZ5" s="20">
        <f t="shared" ref="AZ5:AZ24" si="34">IFERROR(100*$M$4/$M5,"")</f>
        <v>158.15307727476568</v>
      </c>
      <c r="BA5" s="20">
        <f t="shared" ref="BA5:BA24" si="35">IFERROR(100*$M$5/$M5,"")</f>
        <v>100</v>
      </c>
      <c r="BB5" s="20">
        <f t="shared" ref="BB5:BB24" si="36">IFERROR(100*$AF$4/$AF5,"")</f>
        <v>158.15307727476574</v>
      </c>
      <c r="BC5" s="20">
        <f t="shared" ref="BC5:BC24" si="37">IFERROR(100*$AF$5/$AF5,"")</f>
        <v>100</v>
      </c>
    </row>
    <row r="6" spans="2:55" ht="14.4" customHeight="1" x14ac:dyDescent="0.3">
      <c r="B6" s="114" t="s">
        <v>90</v>
      </c>
      <c r="C6" s="4">
        <v>3</v>
      </c>
      <c r="D6" s="108" t="str">
        <f t="shared" si="16"/>
        <v>TescoPRIVATE LABEL</v>
      </c>
      <c r="E6" s="3" t="s">
        <v>115</v>
      </c>
      <c r="F6" s="109" t="str">
        <f>IFERROR(INDEX('Input - Tesco'!$Y$3:$Y$200,MATCH('Calculations - Tesco'!$C6,'Input - Tesco'!$Z$3:$Z$200,0)),"")</f>
        <v>PRIVATE LABEL</v>
      </c>
      <c r="G6" s="20">
        <f>IFERROR(INDEX('Input - Tesco'!R$2:R$200,MATCH('Calculations - Tesco'!$D6,'Input - Tesco'!$O$2:$O$200,0)),"")</f>
        <v>1151865.44</v>
      </c>
      <c r="H6" s="20">
        <f>IFERROR(INDEX('Input - Tesco'!S$2:S$200,MATCH('Calculations - Tesco'!$D6,'Input - Tesco'!$O$2:$O$200,0)),"")</f>
        <v>480353.92499999999</v>
      </c>
      <c r="I6" s="27">
        <f>IFERROR(INDEX('Input - Tesco'!T$2:T$200,MATCH('Calculations - Tesco'!$D6,'Input - Tesco'!$O$2:$O$200,0)),"")</f>
        <v>2.4382279942634799</v>
      </c>
      <c r="J6" s="27">
        <f>IFERROR(INDEX('Input - Tesco'!U$2:U$200,MATCH('Calculations - Tesco'!$D6,'Input - Tesco'!$O$2:$O$200,0)),"")</f>
        <v>5.8467526031615504</v>
      </c>
      <c r="K6" s="20">
        <f>IFERROR(INDEX('Input - Tesco'!V$2:V$200,MATCH('Calculations - Tesco'!$D6,'Input - Tesco'!$O$2:$O$200,0)),"")</f>
        <v>2651701.2200000002</v>
      </c>
      <c r="L6" s="20">
        <f>IFERROR(INDEX('Input - Tesco'!W$2:W$200,MATCH('Calculations - Tesco'!$D6,'Input - Tesco'!$O$2:$O$200,0)),"")</f>
        <v>1244392.71</v>
      </c>
      <c r="M6" s="21">
        <f t="shared" si="17"/>
        <v>2.3979515520769397</v>
      </c>
      <c r="N6" s="21">
        <f t="shared" si="2"/>
        <v>2.1309199247880519</v>
      </c>
      <c r="O6" s="21">
        <f t="shared" si="18"/>
        <v>-3.4765002627838011</v>
      </c>
      <c r="P6" s="9">
        <f t="shared" si="3"/>
        <v>7.4941686881181344E-2</v>
      </c>
      <c r="Q6" s="9">
        <f t="shared" si="4"/>
        <v>0.15456760581243073</v>
      </c>
      <c r="R6" s="8">
        <f t="shared" si="5"/>
        <v>0</v>
      </c>
      <c r="S6" s="8" t="str">
        <f t="shared" si="19"/>
        <v>-</v>
      </c>
      <c r="T6">
        <f t="shared" si="20"/>
        <v>0</v>
      </c>
      <c r="U6">
        <f t="shared" si="20"/>
        <v>0</v>
      </c>
      <c r="V6">
        <f t="shared" si="21"/>
        <v>0</v>
      </c>
      <c r="W6">
        <f t="shared" si="6"/>
        <v>0</v>
      </c>
      <c r="X6" s="10">
        <f t="shared" si="7"/>
        <v>1980188.0007163091</v>
      </c>
      <c r="Y6" s="7">
        <f t="shared" si="22"/>
        <v>7.9737888334173376E-2</v>
      </c>
      <c r="Z6" s="13">
        <f t="shared" si="23"/>
        <v>4.7962014529920327E-3</v>
      </c>
      <c r="AA6">
        <f t="shared" si="24"/>
        <v>1225583.8059308124</v>
      </c>
      <c r="AB6" s="16">
        <f t="shared" si="8"/>
        <v>511096.14990732254</v>
      </c>
      <c r="AC6" s="16">
        <f t="shared" si="25"/>
        <v>0</v>
      </c>
      <c r="AD6" s="16">
        <f t="shared" si="26"/>
        <v>0</v>
      </c>
      <c r="AF6" s="27" cm="1">
        <f t="array" ref="AF6">IFERROR(SUM(_xlfn._xlws.FILTER($AF$32:$AF$229*$AJ$32:$AJ$229,$B$32:$B$229=D6))/SUM(_xlfn._xlws.FILTER($AJ$32:$AJ$229,$B$32:$B$229=D6)),"-")</f>
        <v>2.3979515520769406</v>
      </c>
      <c r="AG6" s="123">
        <f t="shared" si="27"/>
        <v>0</v>
      </c>
      <c r="AH6" s="124" t="str">
        <f t="shared" si="28"/>
        <v>-</v>
      </c>
      <c r="AI6" s="9">
        <f t="shared" si="9"/>
        <v>3.7039047720995305E-16</v>
      </c>
      <c r="AJ6" s="4">
        <f t="shared" si="10"/>
        <v>480353.92499999987</v>
      </c>
      <c r="AP6" s="20">
        <f t="shared" si="11"/>
        <v>1980188.0007163086</v>
      </c>
      <c r="AQ6" s="13">
        <f t="shared" si="29"/>
        <v>7.9737888334173376E-2</v>
      </c>
      <c r="AR6" s="9">
        <f t="shared" si="30"/>
        <v>7.9737888334173376E-2</v>
      </c>
      <c r="AS6" s="13">
        <f t="shared" si="31"/>
        <v>4.7962014529920327E-3</v>
      </c>
      <c r="AT6" s="16">
        <f t="shared" si="32"/>
        <v>1225583.8059308124</v>
      </c>
      <c r="AU6" s="16">
        <f t="shared" si="12"/>
        <v>511096.14990732237</v>
      </c>
      <c r="AV6" s="4">
        <f t="shared" si="33"/>
        <v>0</v>
      </c>
      <c r="AW6" s="16">
        <f t="shared" si="13"/>
        <v>0</v>
      </c>
      <c r="AX6">
        <f t="shared" si="14"/>
        <v>2.4382279942634768</v>
      </c>
      <c r="AY6" s="9">
        <f t="shared" si="15"/>
        <v>0.16441632262038919</v>
      </c>
      <c r="AZ6" s="20">
        <f t="shared" si="34"/>
        <v>247.4482601055895</v>
      </c>
      <c r="BA6" s="20">
        <f t="shared" si="35"/>
        <v>156.46123639800427</v>
      </c>
      <c r="BB6" s="20">
        <f t="shared" si="36"/>
        <v>247.44826010558944</v>
      </c>
      <c r="BC6" s="20">
        <f t="shared" si="37"/>
        <v>156.46123639800419</v>
      </c>
    </row>
    <row r="7" spans="2:55" ht="14.4" customHeight="1" x14ac:dyDescent="0.3">
      <c r="B7" s="114" t="s">
        <v>92</v>
      </c>
      <c r="C7" s="4">
        <v>4</v>
      </c>
      <c r="D7" s="108" t="str">
        <f t="shared" si="16"/>
        <v>TescoRESTOFCATEGORY</v>
      </c>
      <c r="E7" s="3" t="s">
        <v>115</v>
      </c>
      <c r="F7" s="109" t="str">
        <f>IFERROR(INDEX('Input - Tesco'!$Y$3:$Y$200,MATCH('Calculations - Tesco'!$C7,'Input - Tesco'!$Z$3:$Z$200,0)),"")</f>
        <v>RESTOFCATEGORY</v>
      </c>
      <c r="G7" s="20">
        <f>IFERROR(INDEX('Input - Tesco'!R$2:R$200,MATCH('Calculations - Tesco'!$D7,'Input - Tesco'!$O$2:$O$200,0)),"")</f>
        <v>101780.63</v>
      </c>
      <c r="H7" s="20">
        <f>IFERROR(INDEX('Input - Tesco'!S$2:S$200,MATCH('Calculations - Tesco'!$D7,'Input - Tesco'!$O$2:$O$200,0)),"")</f>
        <v>68065.3</v>
      </c>
      <c r="I7" s="27">
        <f>IFERROR(INDEX('Input - Tesco'!T$2:T$200,MATCH('Calculations - Tesco'!$D7,'Input - Tesco'!$O$2:$O$200,0)),"")</f>
        <v>1.8585905720881299</v>
      </c>
      <c r="J7" s="27">
        <f>IFERROR(INDEX('Input - Tesco'!U$2:U$200,MATCH('Calculations - Tesco'!$D7,'Input - Tesco'!$O$2:$O$200,0)),"")</f>
        <v>2.77922112058847</v>
      </c>
      <c r="K7" s="20">
        <f>IFERROR(INDEX('Input - Tesco'!V$2:V$200,MATCH('Calculations - Tesco'!$D7,'Input - Tesco'!$O$2:$O$200,0)),"")</f>
        <v>265658.86</v>
      </c>
      <c r="L7" s="20">
        <f>IFERROR(INDEX('Input - Tesco'!W$2:W$200,MATCH('Calculations - Tesco'!$D7,'Input - Tesco'!$O$2:$O$200,0)),"")</f>
        <v>174058.48</v>
      </c>
      <c r="M7" s="21">
        <f t="shared" si="17"/>
        <v>1.4953380062968944</v>
      </c>
      <c r="N7" s="21">
        <f t="shared" si="2"/>
        <v>1.5262620930620558</v>
      </c>
      <c r="O7" s="21">
        <f t="shared" si="18"/>
        <v>-5.8234974416732479</v>
      </c>
      <c r="P7" s="9">
        <f t="shared" si="3"/>
        <v>6.6219645447730194E-3</v>
      </c>
      <c r="Q7" s="9">
        <f t="shared" si="4"/>
        <v>2.1901955854539634E-2</v>
      </c>
      <c r="R7" s="8">
        <f t="shared" si="5"/>
        <v>0</v>
      </c>
      <c r="S7" s="8" t="str">
        <f t="shared" si="19"/>
        <v>-</v>
      </c>
      <c r="T7">
        <f t="shared" si="20"/>
        <v>0</v>
      </c>
      <c r="U7">
        <f t="shared" si="20"/>
        <v>0</v>
      </c>
      <c r="V7">
        <f t="shared" si="21"/>
        <v>0</v>
      </c>
      <c r="W7">
        <f t="shared" si="6"/>
        <v>0</v>
      </c>
      <c r="X7" s="10">
        <f t="shared" si="7"/>
        <v>145474.5746695952</v>
      </c>
      <c r="Y7" s="7">
        <f t="shared" si="22"/>
        <v>5.8579465112754189E-3</v>
      </c>
      <c r="Z7" s="13">
        <f t="shared" si="23"/>
        <v>-7.6401803349760052E-4</v>
      </c>
      <c r="AA7">
        <f t="shared" si="24"/>
        <v>90037.553416763432</v>
      </c>
      <c r="AB7" s="16">
        <f t="shared" si="8"/>
        <v>60212.174797680338</v>
      </c>
      <c r="AC7" s="16">
        <f t="shared" si="25"/>
        <v>0</v>
      </c>
      <c r="AD7" s="16">
        <f t="shared" si="26"/>
        <v>0</v>
      </c>
      <c r="AF7" s="27" cm="1">
        <f t="array" ref="AF7">IFERROR(SUM(_xlfn._xlws.FILTER($AF$32:$AF$229*$AJ$32:$AJ$229,$B$32:$B$229=D7))/SUM(_xlfn._xlws.FILTER($AJ$32:$AJ$229,$B$32:$B$229=D7)),"-")</f>
        <v>1.4953380062968944</v>
      </c>
      <c r="AG7" s="123">
        <f t="shared" si="27"/>
        <v>0</v>
      </c>
      <c r="AH7" s="124" t="str">
        <f t="shared" si="28"/>
        <v>-</v>
      </c>
      <c r="AI7" s="9">
        <f t="shared" si="9"/>
        <v>0</v>
      </c>
      <c r="AJ7" s="4">
        <f t="shared" si="10"/>
        <v>68065.3</v>
      </c>
      <c r="AP7" s="20">
        <f t="shared" si="11"/>
        <v>145474.5746695952</v>
      </c>
      <c r="AQ7" s="13">
        <f t="shared" si="29"/>
        <v>5.8579465112754197E-3</v>
      </c>
      <c r="AR7" s="9">
        <f t="shared" si="30"/>
        <v>5.8579465112754197E-3</v>
      </c>
      <c r="AS7" s="13">
        <f t="shared" si="31"/>
        <v>-7.6401803349759965E-4</v>
      </c>
      <c r="AT7" s="16">
        <f t="shared" si="32"/>
        <v>90037.553416763447</v>
      </c>
      <c r="AU7" s="16">
        <f t="shared" si="12"/>
        <v>60212.174797680353</v>
      </c>
      <c r="AV7" s="4">
        <f t="shared" si="33"/>
        <v>0</v>
      </c>
      <c r="AW7" s="16">
        <f t="shared" si="13"/>
        <v>0</v>
      </c>
      <c r="AX7">
        <f t="shared" si="14"/>
        <v>1.8585905720881308</v>
      </c>
      <c r="AY7" s="9">
        <f t="shared" si="15"/>
        <v>1.936986682252612E-2</v>
      </c>
      <c r="AZ7" s="20">
        <f t="shared" si="34"/>
        <v>396.81258476695547</v>
      </c>
      <c r="BA7" s="20">
        <f t="shared" si="35"/>
        <v>250.90411872135567</v>
      </c>
      <c r="BB7" s="20">
        <f t="shared" si="36"/>
        <v>396.81258476695552</v>
      </c>
      <c r="BC7" s="20">
        <f t="shared" si="37"/>
        <v>250.90411872135564</v>
      </c>
    </row>
    <row r="8" spans="2:55" ht="14.4" customHeight="1" x14ac:dyDescent="0.3">
      <c r="B8" s="114" t="str">
        <f>""</f>
        <v/>
      </c>
      <c r="C8" s="4">
        <v>5</v>
      </c>
      <c r="D8" s="108" t="str">
        <f t="shared" si="16"/>
        <v/>
      </c>
      <c r="E8" s="3"/>
      <c r="F8" s="109" t="str">
        <f>IFERROR(INDEX('Input - Tesco'!$Y$3:$Y$200,MATCH('Calculations - Tesco'!$C8,'Input - Tesco'!$Z$3:$Z$200,0)),"")</f>
        <v/>
      </c>
      <c r="G8" s="20" t="str">
        <f>IFERROR(INDEX('Input - Tesco'!R$2:R$200,MATCH('Calculations - Tesco'!$D8,'Input - Tesco'!$O$2:$O$200,0)),"")</f>
        <v/>
      </c>
      <c r="H8" s="20" t="str">
        <f>IFERROR(INDEX('Input - Tesco'!S$2:S$200,MATCH('Calculations - Tesco'!$D8,'Input - Tesco'!$O$2:$O$200,0)),"")</f>
        <v/>
      </c>
      <c r="I8" s="27" t="str">
        <f>IFERROR(INDEX('Input - Tesco'!T$2:T$200,MATCH('Calculations - Tesco'!$D8,'Input - Tesco'!$O$2:$O$200,0)),"")</f>
        <v/>
      </c>
      <c r="J8" s="27" t="str">
        <f>IFERROR(INDEX('Input - Tesco'!U$2:U$200,MATCH('Calculations - Tesco'!$D8,'Input - Tesco'!$O$2:$O$200,0)),"")</f>
        <v/>
      </c>
      <c r="K8" s="20" t="str">
        <f>IFERROR(INDEX('Input - Tesco'!V$2:V$200,MATCH('Calculations - Tesco'!$D8,'Input - Tesco'!$O$2:$O$200,0)),"")</f>
        <v/>
      </c>
      <c r="L8" s="20" t="str">
        <f>IFERROR(INDEX('Input - Tesco'!W$2:W$200,MATCH('Calculations - Tesco'!$D8,'Input - Tesco'!$O$2:$O$200,0)),"")</f>
        <v/>
      </c>
      <c r="M8" s="21" t="str">
        <f t="shared" si="17"/>
        <v/>
      </c>
      <c r="N8" s="21" t="str">
        <f t="shared" si="2"/>
        <v/>
      </c>
      <c r="O8" s="21" t="str">
        <f t="shared" si="18"/>
        <v/>
      </c>
      <c r="P8" s="9" t="str">
        <f t="shared" si="3"/>
        <v/>
      </c>
      <c r="Q8" s="9" t="str">
        <f t="shared" si="4"/>
        <v/>
      </c>
      <c r="R8" s="8" t="str">
        <f t="shared" si="5"/>
        <v>-</v>
      </c>
      <c r="S8" s="8" t="str">
        <f t="shared" si="19"/>
        <v>-</v>
      </c>
      <c r="T8" t="str">
        <f t="shared" si="20"/>
        <v>-</v>
      </c>
      <c r="U8" t="str">
        <f t="shared" si="20"/>
        <v>-</v>
      </c>
      <c r="V8" t="str">
        <f t="shared" si="21"/>
        <v>-</v>
      </c>
      <c r="W8" t="str">
        <f t="shared" si="6"/>
        <v>-</v>
      </c>
      <c r="X8" s="10" t="str">
        <f t="shared" si="7"/>
        <v>-</v>
      </c>
      <c r="Y8" s="7" t="str">
        <f t="shared" si="22"/>
        <v/>
      </c>
      <c r="Z8" s="13" t="str">
        <f t="shared" si="23"/>
        <v>-</v>
      </c>
      <c r="AA8" t="str">
        <f t="shared" si="24"/>
        <v>-</v>
      </c>
      <c r="AB8" s="16" t="str">
        <f t="shared" si="8"/>
        <v>-</v>
      </c>
      <c r="AC8" s="16" t="str">
        <f t="shared" si="25"/>
        <v>-</v>
      </c>
      <c r="AD8" s="16" t="str">
        <f t="shared" si="26"/>
        <v>-</v>
      </c>
      <c r="AF8" s="27" t="str" cm="1">
        <f t="array" ref="AF8">IFERROR(SUM(_xlfn._xlws.FILTER($AF$32:$AF$229*$AJ$32:$AJ$229,$B$32:$B$229=D8))/SUM(_xlfn._xlws.FILTER($AJ$32:$AJ$229,$B$32:$B$229=D8)),"-")</f>
        <v>-</v>
      </c>
      <c r="AG8" s="123" t="str">
        <f t="shared" si="27"/>
        <v>-</v>
      </c>
      <c r="AH8" s="124" t="str">
        <f t="shared" si="28"/>
        <v>-</v>
      </c>
      <c r="AI8" s="9" t="str">
        <f t="shared" si="9"/>
        <v/>
      </c>
      <c r="AJ8" s="4" t="str">
        <f t="shared" si="10"/>
        <v/>
      </c>
      <c r="AP8" s="20" t="str">
        <f t="shared" si="11"/>
        <v>-</v>
      </c>
      <c r="AQ8" s="13" t="str">
        <f t="shared" si="29"/>
        <v/>
      </c>
      <c r="AR8" s="9" t="str">
        <f t="shared" si="30"/>
        <v/>
      </c>
      <c r="AS8" s="13" t="str">
        <f t="shared" si="31"/>
        <v/>
      </c>
      <c r="AT8" s="16" t="str">
        <f t="shared" si="32"/>
        <v>-</v>
      </c>
      <c r="AU8" s="16" t="str">
        <f t="shared" si="12"/>
        <v>-</v>
      </c>
      <c r="AV8" s="4" t="str">
        <f t="shared" si="33"/>
        <v>-</v>
      </c>
      <c r="AW8" s="16" t="str">
        <f t="shared" si="13"/>
        <v>-</v>
      </c>
      <c r="AX8" t="str">
        <f t="shared" si="14"/>
        <v/>
      </c>
      <c r="AY8" s="9" t="str">
        <f t="shared" si="15"/>
        <v>-</v>
      </c>
      <c r="AZ8" s="20" t="str">
        <f t="shared" si="34"/>
        <v/>
      </c>
      <c r="BA8" s="20" t="str">
        <f t="shared" si="35"/>
        <v/>
      </c>
      <c r="BB8" s="20" t="str">
        <f t="shared" si="36"/>
        <v/>
      </c>
      <c r="BC8" s="20" t="str">
        <f t="shared" si="37"/>
        <v/>
      </c>
    </row>
    <row r="9" spans="2:55" ht="14.4" customHeight="1" x14ac:dyDescent="0.3">
      <c r="B9" s="114" t="str">
        <f>""</f>
        <v/>
      </c>
      <c r="C9" s="4">
        <v>6</v>
      </c>
      <c r="D9" s="108" t="str">
        <f t="shared" si="16"/>
        <v/>
      </c>
      <c r="E9" s="3"/>
      <c r="F9" s="109" t="str">
        <f>IFERROR(INDEX('Input - Tesco'!$Y$3:$Y$200,MATCH('Calculations - Tesco'!$C9,'Input - Tesco'!$Z$3:$Z$200,0)),"")</f>
        <v/>
      </c>
      <c r="G9" s="20" t="str">
        <f>IFERROR(INDEX('Input - Tesco'!R$2:R$200,MATCH('Calculations - Tesco'!$D9,'Input - Tesco'!$O$2:$O$200,0)),"")</f>
        <v/>
      </c>
      <c r="H9" s="20" t="str">
        <f>IFERROR(INDEX('Input - Tesco'!S$2:S$200,MATCH('Calculations - Tesco'!$D9,'Input - Tesco'!$O$2:$O$200,0)),"")</f>
        <v/>
      </c>
      <c r="I9" s="27" t="str">
        <f>IFERROR(INDEX('Input - Tesco'!T$2:T$200,MATCH('Calculations - Tesco'!$D9,'Input - Tesco'!$O$2:$O$200,0)),"")</f>
        <v/>
      </c>
      <c r="J9" s="27" t="str">
        <f>IFERROR(INDEX('Input - Tesco'!U$2:U$200,MATCH('Calculations - Tesco'!$D9,'Input - Tesco'!$O$2:$O$200,0)),"")</f>
        <v/>
      </c>
      <c r="K9" s="20" t="str">
        <f>IFERROR(INDEX('Input - Tesco'!V$2:V$200,MATCH('Calculations - Tesco'!$D9,'Input - Tesco'!$O$2:$O$200,0)),"")</f>
        <v/>
      </c>
      <c r="L9" s="20" t="str">
        <f>IFERROR(INDEX('Input - Tesco'!W$2:W$200,MATCH('Calculations - Tesco'!$D9,'Input - Tesco'!$O$2:$O$200,0)),"")</f>
        <v/>
      </c>
      <c r="M9" s="21" t="str">
        <f t="shared" si="17"/>
        <v/>
      </c>
      <c r="N9" s="21" t="str">
        <f t="shared" si="2"/>
        <v/>
      </c>
      <c r="O9" s="21" t="str">
        <f t="shared" si="18"/>
        <v/>
      </c>
      <c r="P9" s="9" t="str">
        <f t="shared" si="3"/>
        <v/>
      </c>
      <c r="Q9" s="9" t="str">
        <f t="shared" si="4"/>
        <v/>
      </c>
      <c r="R9" s="8" t="str">
        <f t="shared" si="5"/>
        <v>-</v>
      </c>
      <c r="S9" s="8" t="str">
        <f t="shared" si="19"/>
        <v>-</v>
      </c>
      <c r="T9" t="str">
        <f t="shared" si="20"/>
        <v>-</v>
      </c>
      <c r="U9" t="str">
        <f t="shared" si="20"/>
        <v>-</v>
      </c>
      <c r="V9" t="str">
        <f t="shared" si="21"/>
        <v>-</v>
      </c>
      <c r="W9" t="str">
        <f t="shared" si="6"/>
        <v>-</v>
      </c>
      <c r="X9" s="10" t="str">
        <f t="shared" si="7"/>
        <v>-</v>
      </c>
      <c r="Y9" s="7" t="str">
        <f t="shared" si="22"/>
        <v/>
      </c>
      <c r="Z9" s="13" t="str">
        <f t="shared" si="23"/>
        <v>-</v>
      </c>
      <c r="AA9" t="str">
        <f t="shared" si="24"/>
        <v>-</v>
      </c>
      <c r="AB9" s="16" t="str">
        <f t="shared" si="8"/>
        <v>-</v>
      </c>
      <c r="AC9" s="16" t="str">
        <f t="shared" si="25"/>
        <v>-</v>
      </c>
      <c r="AD9" s="16" t="str">
        <f t="shared" si="26"/>
        <v>-</v>
      </c>
      <c r="AF9" s="27" t="str" cm="1">
        <f t="array" ref="AF9">IFERROR(SUM(_xlfn._xlws.FILTER($AF$32:$AF$229*$AJ$32:$AJ$229,$B$32:$B$229=D9))/SUM(_xlfn._xlws.FILTER($AJ$32:$AJ$229,$B$32:$B$229=D9)),"-")</f>
        <v>-</v>
      </c>
      <c r="AG9" s="123" t="str">
        <f t="shared" si="27"/>
        <v>-</v>
      </c>
      <c r="AH9" s="124" t="str">
        <f t="shared" si="28"/>
        <v>-</v>
      </c>
      <c r="AI9" s="9" t="str">
        <f t="shared" si="9"/>
        <v/>
      </c>
      <c r="AJ9" s="4" t="str">
        <f t="shared" si="10"/>
        <v/>
      </c>
      <c r="AP9" s="20" t="str">
        <f t="shared" si="11"/>
        <v>-</v>
      </c>
      <c r="AQ9" s="13" t="str">
        <f t="shared" si="29"/>
        <v/>
      </c>
      <c r="AR9" s="9" t="str">
        <f t="shared" si="30"/>
        <v/>
      </c>
      <c r="AS9" s="13" t="str">
        <f t="shared" si="31"/>
        <v/>
      </c>
      <c r="AT9" s="16" t="str">
        <f t="shared" si="32"/>
        <v>-</v>
      </c>
      <c r="AU9" s="16" t="str">
        <f t="shared" si="12"/>
        <v>-</v>
      </c>
      <c r="AV9" s="4" t="str">
        <f t="shared" si="33"/>
        <v>-</v>
      </c>
      <c r="AW9" s="16" t="str">
        <f t="shared" si="13"/>
        <v>-</v>
      </c>
      <c r="AX9" t="str">
        <f t="shared" si="14"/>
        <v/>
      </c>
      <c r="AY9" s="9" t="str">
        <f t="shared" si="15"/>
        <v>-</v>
      </c>
      <c r="AZ9" s="20" t="str">
        <f t="shared" si="34"/>
        <v/>
      </c>
      <c r="BA9" s="20" t="str">
        <f t="shared" si="35"/>
        <v/>
      </c>
      <c r="BB9" s="20" t="str">
        <f t="shared" si="36"/>
        <v/>
      </c>
      <c r="BC9" s="20" t="str">
        <f t="shared" si="37"/>
        <v/>
      </c>
    </row>
    <row r="10" spans="2:55" x14ac:dyDescent="0.3">
      <c r="B10" s="114" t="str">
        <f>""</f>
        <v/>
      </c>
      <c r="C10" s="4">
        <v>7</v>
      </c>
      <c r="D10" s="108" t="str">
        <f t="shared" si="16"/>
        <v/>
      </c>
      <c r="E10" s="3"/>
      <c r="F10" s="109" t="str">
        <f>IFERROR(INDEX('Input - Tesco'!$Y$3:$Y$200,MATCH('Calculations - Tesco'!$C10,'Input - Tesco'!$Z$3:$Z$200,0)),"")</f>
        <v/>
      </c>
      <c r="G10" s="20" t="str">
        <f>IFERROR(INDEX('Input - Tesco'!R$2:R$200,MATCH('Calculations - Tesco'!$D10,'Input - Tesco'!$O$2:$O$200,0)),"")</f>
        <v/>
      </c>
      <c r="H10" s="20" t="str">
        <f>IFERROR(INDEX('Input - Tesco'!S$2:S$200,MATCH('Calculations - Tesco'!$D10,'Input - Tesco'!$O$2:$O$200,0)),"")</f>
        <v/>
      </c>
      <c r="I10" s="27" t="str">
        <f>IFERROR(INDEX('Input - Tesco'!T$2:T$200,MATCH('Calculations - Tesco'!$D10,'Input - Tesco'!$O$2:$O$200,0)),"")</f>
        <v/>
      </c>
      <c r="J10" s="27" t="str">
        <f>IFERROR(INDEX('Input - Tesco'!U$2:U$200,MATCH('Calculations - Tesco'!$D10,'Input - Tesco'!$O$2:$O$200,0)),"")</f>
        <v/>
      </c>
      <c r="K10" s="20" t="str">
        <f>IFERROR(INDEX('Input - Tesco'!V$2:V$200,MATCH('Calculations - Tesco'!$D10,'Input - Tesco'!$O$2:$O$200,0)),"")</f>
        <v/>
      </c>
      <c r="L10" s="20" t="str">
        <f>IFERROR(INDEX('Input - Tesco'!W$2:W$200,MATCH('Calculations - Tesco'!$D10,'Input - Tesco'!$O$2:$O$200,0)),"")</f>
        <v/>
      </c>
      <c r="M10" s="21" t="str">
        <f t="shared" si="17"/>
        <v/>
      </c>
      <c r="N10" s="21" t="str">
        <f t="shared" si="2"/>
        <v/>
      </c>
      <c r="O10" s="21" t="str">
        <f t="shared" si="18"/>
        <v/>
      </c>
      <c r="P10" s="9" t="str">
        <f t="shared" si="3"/>
        <v/>
      </c>
      <c r="Q10" s="9" t="str">
        <f t="shared" si="4"/>
        <v/>
      </c>
      <c r="R10" s="8" t="str">
        <f t="shared" si="5"/>
        <v>-</v>
      </c>
      <c r="S10" s="8" t="str">
        <f t="shared" si="19"/>
        <v>-</v>
      </c>
      <c r="T10" t="str">
        <f t="shared" si="20"/>
        <v>-</v>
      </c>
      <c r="U10" t="str">
        <f t="shared" si="20"/>
        <v>-</v>
      </c>
      <c r="V10" t="str">
        <f t="shared" si="21"/>
        <v>-</v>
      </c>
      <c r="W10" t="str">
        <f t="shared" si="6"/>
        <v>-</v>
      </c>
      <c r="X10" s="10" t="str">
        <f t="shared" si="7"/>
        <v>-</v>
      </c>
      <c r="Y10" s="7" t="str">
        <f t="shared" si="22"/>
        <v/>
      </c>
      <c r="Z10" s="13" t="str">
        <f t="shared" si="23"/>
        <v>-</v>
      </c>
      <c r="AA10" t="str">
        <f t="shared" si="24"/>
        <v>-</v>
      </c>
      <c r="AB10" s="16" t="str">
        <f t="shared" si="8"/>
        <v>-</v>
      </c>
      <c r="AC10" s="16" t="str">
        <f t="shared" si="25"/>
        <v>-</v>
      </c>
      <c r="AD10" s="16" t="str">
        <f t="shared" si="26"/>
        <v>-</v>
      </c>
      <c r="AF10" s="27" t="str" cm="1">
        <f t="array" ref="AF10">IFERROR(SUM(_xlfn._xlws.FILTER($AF$32:$AF$229*$AJ$32:$AJ$229,$B$32:$B$229=D10))/SUM(_xlfn._xlws.FILTER($AJ$32:$AJ$229,$B$32:$B$229=D10)),"-")</f>
        <v>-</v>
      </c>
      <c r="AG10" s="123" t="str">
        <f t="shared" si="27"/>
        <v>-</v>
      </c>
      <c r="AH10" s="124" t="str">
        <f t="shared" si="28"/>
        <v>-</v>
      </c>
      <c r="AI10" s="9" t="str">
        <f t="shared" si="9"/>
        <v/>
      </c>
      <c r="AJ10" s="4" t="str">
        <f t="shared" si="10"/>
        <v/>
      </c>
      <c r="AP10" s="20" t="str">
        <f t="shared" si="11"/>
        <v>-</v>
      </c>
      <c r="AQ10" s="13" t="str">
        <f t="shared" si="29"/>
        <v/>
      </c>
      <c r="AR10" s="9" t="str">
        <f t="shared" si="30"/>
        <v/>
      </c>
      <c r="AS10" s="13" t="str">
        <f t="shared" si="31"/>
        <v/>
      </c>
      <c r="AT10" s="16" t="str">
        <f t="shared" si="32"/>
        <v>-</v>
      </c>
      <c r="AU10" s="16" t="str">
        <f t="shared" si="12"/>
        <v>-</v>
      </c>
      <c r="AV10" s="4" t="str">
        <f t="shared" si="33"/>
        <v>-</v>
      </c>
      <c r="AW10" s="16" t="str">
        <f t="shared" si="13"/>
        <v>-</v>
      </c>
      <c r="AX10" t="str">
        <f t="shared" si="14"/>
        <v/>
      </c>
      <c r="AY10" s="9" t="str">
        <f t="shared" si="15"/>
        <v>-</v>
      </c>
      <c r="AZ10" s="20" t="str">
        <f t="shared" si="34"/>
        <v/>
      </c>
      <c r="BA10" s="20" t="str">
        <f t="shared" si="35"/>
        <v/>
      </c>
      <c r="BB10" s="20" t="str">
        <f t="shared" si="36"/>
        <v/>
      </c>
      <c r="BC10" s="20" t="str">
        <f t="shared" si="37"/>
        <v/>
      </c>
    </row>
    <row r="11" spans="2:55" x14ac:dyDescent="0.3">
      <c r="B11" s="114" t="str">
        <f>""</f>
        <v/>
      </c>
      <c r="C11" s="4">
        <v>8</v>
      </c>
      <c r="D11" s="108" t="str">
        <f t="shared" si="16"/>
        <v/>
      </c>
      <c r="E11" s="3"/>
      <c r="F11" s="109" t="str">
        <f>IFERROR(INDEX('Input - Tesco'!$Y$3:$Y$200,MATCH('Calculations - Tesco'!$C11,'Input - Tesco'!$Z$3:$Z$200,0)),"")</f>
        <v/>
      </c>
      <c r="G11" s="20" t="str">
        <f>IFERROR(INDEX('Input - Tesco'!R$2:R$200,MATCH('Calculations - Tesco'!$D11,'Input - Tesco'!$O$2:$O$200,0)),"")</f>
        <v/>
      </c>
      <c r="H11" s="20" t="str">
        <f>IFERROR(INDEX('Input - Tesco'!S$2:S$200,MATCH('Calculations - Tesco'!$D11,'Input - Tesco'!$O$2:$O$200,0)),"")</f>
        <v/>
      </c>
      <c r="I11" s="27" t="str">
        <f>IFERROR(INDEX('Input - Tesco'!T$2:T$200,MATCH('Calculations - Tesco'!$D11,'Input - Tesco'!$O$2:$O$200,0)),"")</f>
        <v/>
      </c>
      <c r="J11" s="27" t="str">
        <f>IFERROR(INDEX('Input - Tesco'!U$2:U$200,MATCH('Calculations - Tesco'!$D11,'Input - Tesco'!$O$2:$O$200,0)),"")</f>
        <v/>
      </c>
      <c r="K11" s="20" t="str">
        <f>IFERROR(INDEX('Input - Tesco'!V$2:V$200,MATCH('Calculations - Tesco'!$D11,'Input - Tesco'!$O$2:$O$200,0)),"")</f>
        <v/>
      </c>
      <c r="L11" s="20" t="str">
        <f>IFERROR(INDEX('Input - Tesco'!W$2:W$200,MATCH('Calculations - Tesco'!$D11,'Input - Tesco'!$O$2:$O$200,0)),"")</f>
        <v/>
      </c>
      <c r="M11" s="21" t="str">
        <f t="shared" si="17"/>
        <v/>
      </c>
      <c r="N11" s="21" t="str">
        <f t="shared" si="2"/>
        <v/>
      </c>
      <c r="O11" s="21" t="str">
        <f t="shared" si="18"/>
        <v/>
      </c>
      <c r="P11" s="9" t="str">
        <f t="shared" si="3"/>
        <v/>
      </c>
      <c r="Q11" s="9" t="str">
        <f t="shared" si="4"/>
        <v/>
      </c>
      <c r="R11" s="8" t="str">
        <f t="shared" si="5"/>
        <v>-</v>
      </c>
      <c r="S11" s="8" t="str">
        <f t="shared" si="19"/>
        <v>-</v>
      </c>
      <c r="T11" t="str">
        <f t="shared" si="20"/>
        <v>-</v>
      </c>
      <c r="U11" t="str">
        <f t="shared" si="20"/>
        <v>-</v>
      </c>
      <c r="V11" t="str">
        <f t="shared" si="21"/>
        <v>-</v>
      </c>
      <c r="W11" t="str">
        <f t="shared" si="6"/>
        <v>-</v>
      </c>
      <c r="X11" s="10" t="str">
        <f t="shared" si="7"/>
        <v>-</v>
      </c>
      <c r="Y11" s="7" t="str">
        <f t="shared" si="22"/>
        <v/>
      </c>
      <c r="Z11" s="13" t="str">
        <f t="shared" si="23"/>
        <v>-</v>
      </c>
      <c r="AA11" t="str">
        <f t="shared" si="24"/>
        <v>-</v>
      </c>
      <c r="AB11" s="16" t="str">
        <f t="shared" si="8"/>
        <v>-</v>
      </c>
      <c r="AC11" s="16" t="str">
        <f t="shared" si="25"/>
        <v>-</v>
      </c>
      <c r="AD11" s="16" t="str">
        <f t="shared" si="26"/>
        <v>-</v>
      </c>
      <c r="AF11" s="27" t="str" cm="1">
        <f t="array" ref="AF11">IFERROR(SUM(_xlfn._xlws.FILTER($AF$32:$AF$229*$AJ$32:$AJ$229,$B$32:$B$229=D11))/SUM(_xlfn._xlws.FILTER($AJ$32:$AJ$229,$B$32:$B$229=D11)),"-")</f>
        <v>-</v>
      </c>
      <c r="AG11" s="123" t="str">
        <f t="shared" si="27"/>
        <v>-</v>
      </c>
      <c r="AH11" s="124" t="str">
        <f t="shared" si="28"/>
        <v>-</v>
      </c>
      <c r="AI11" s="9" t="str">
        <f t="shared" si="9"/>
        <v/>
      </c>
      <c r="AJ11" s="4" t="str">
        <f t="shared" si="10"/>
        <v/>
      </c>
      <c r="AP11" s="20" t="str">
        <f t="shared" si="11"/>
        <v>-</v>
      </c>
      <c r="AQ11" s="13" t="str">
        <f t="shared" si="29"/>
        <v/>
      </c>
      <c r="AR11" s="9" t="str">
        <f t="shared" si="30"/>
        <v/>
      </c>
      <c r="AS11" s="13" t="str">
        <f t="shared" si="31"/>
        <v/>
      </c>
      <c r="AT11" s="16" t="str">
        <f t="shared" si="32"/>
        <v>-</v>
      </c>
      <c r="AU11" s="16" t="str">
        <f t="shared" si="12"/>
        <v>-</v>
      </c>
      <c r="AV11" s="4" t="str">
        <f t="shared" si="33"/>
        <v>-</v>
      </c>
      <c r="AW11" s="16" t="str">
        <f t="shared" si="13"/>
        <v>-</v>
      </c>
      <c r="AX11" t="str">
        <f t="shared" si="14"/>
        <v/>
      </c>
      <c r="AY11" s="9" t="str">
        <f t="shared" si="15"/>
        <v>-</v>
      </c>
      <c r="AZ11" s="20" t="str">
        <f t="shared" si="34"/>
        <v/>
      </c>
      <c r="BA11" s="20" t="str">
        <f t="shared" si="35"/>
        <v/>
      </c>
      <c r="BB11" s="20" t="str">
        <f t="shared" si="36"/>
        <v/>
      </c>
      <c r="BC11" s="20" t="str">
        <f t="shared" si="37"/>
        <v/>
      </c>
    </row>
    <row r="12" spans="2:55" x14ac:dyDescent="0.3">
      <c r="B12" s="114" t="str">
        <f>""</f>
        <v/>
      </c>
      <c r="C12" s="4">
        <v>9</v>
      </c>
      <c r="D12" s="108" t="str">
        <f t="shared" si="16"/>
        <v/>
      </c>
      <c r="E12" s="3"/>
      <c r="F12" s="109" t="str">
        <f>IFERROR(INDEX('Input - Tesco'!$Y$3:$Y$200,MATCH('Calculations - Tesco'!$C12,'Input - Tesco'!$Z$3:$Z$200,0)),"")</f>
        <v/>
      </c>
      <c r="G12" s="20" t="str">
        <f>IFERROR(INDEX('Input - Tesco'!R$2:R$200,MATCH('Calculations - Tesco'!$D12,'Input - Tesco'!$O$2:$O$200,0)),"")</f>
        <v/>
      </c>
      <c r="H12" s="20" t="str">
        <f>IFERROR(INDEX('Input - Tesco'!S$2:S$200,MATCH('Calculations - Tesco'!$D12,'Input - Tesco'!$O$2:$O$200,0)),"")</f>
        <v/>
      </c>
      <c r="I12" s="27" t="str">
        <f>IFERROR(INDEX('Input - Tesco'!T$2:T$200,MATCH('Calculations - Tesco'!$D12,'Input - Tesco'!$O$2:$O$200,0)),"")</f>
        <v/>
      </c>
      <c r="J12" s="27" t="str">
        <f>IFERROR(INDEX('Input - Tesco'!U$2:U$200,MATCH('Calculations - Tesco'!$D12,'Input - Tesco'!$O$2:$O$200,0)),"")</f>
        <v/>
      </c>
      <c r="K12" s="20" t="str">
        <f>IFERROR(INDEX('Input - Tesco'!V$2:V$200,MATCH('Calculations - Tesco'!$D12,'Input - Tesco'!$O$2:$O$200,0)),"")</f>
        <v/>
      </c>
      <c r="L12" s="20" t="str">
        <f>IFERROR(INDEX('Input - Tesco'!W$2:W$200,MATCH('Calculations - Tesco'!$D12,'Input - Tesco'!$O$2:$O$200,0)),"")</f>
        <v/>
      </c>
      <c r="M12" s="21" t="str">
        <f t="shared" si="17"/>
        <v/>
      </c>
      <c r="N12" s="21" t="str">
        <f t="shared" si="2"/>
        <v/>
      </c>
      <c r="O12" s="21" t="str">
        <f t="shared" si="18"/>
        <v/>
      </c>
      <c r="P12" s="9" t="str">
        <f t="shared" si="3"/>
        <v/>
      </c>
      <c r="Q12" s="9" t="str">
        <f t="shared" si="4"/>
        <v/>
      </c>
      <c r="R12" s="8" t="str">
        <f t="shared" si="5"/>
        <v>-</v>
      </c>
      <c r="S12" s="8" t="str">
        <f t="shared" si="19"/>
        <v>-</v>
      </c>
      <c r="T12" t="str">
        <f t="shared" si="20"/>
        <v>-</v>
      </c>
      <c r="U12" t="str">
        <f t="shared" si="20"/>
        <v>-</v>
      </c>
      <c r="V12" t="str">
        <f t="shared" si="21"/>
        <v>-</v>
      </c>
      <c r="W12" t="str">
        <f t="shared" si="6"/>
        <v>-</v>
      </c>
      <c r="X12" s="10" t="str">
        <f t="shared" si="7"/>
        <v>-</v>
      </c>
      <c r="Y12" s="7" t="str">
        <f t="shared" si="22"/>
        <v/>
      </c>
      <c r="Z12" s="13" t="str">
        <f t="shared" si="23"/>
        <v>-</v>
      </c>
      <c r="AA12" t="str">
        <f t="shared" si="24"/>
        <v>-</v>
      </c>
      <c r="AB12" s="16" t="str">
        <f t="shared" si="8"/>
        <v>-</v>
      </c>
      <c r="AC12" s="16" t="str">
        <f t="shared" si="25"/>
        <v>-</v>
      </c>
      <c r="AD12" s="16" t="str">
        <f t="shared" si="26"/>
        <v>-</v>
      </c>
      <c r="AF12" s="27" t="str" cm="1">
        <f t="array" ref="AF12">IFERROR(SUM(_xlfn._xlws.FILTER($AF$32:$AF$229*$AJ$32:$AJ$229,$B$32:$B$229=D12))/SUM(_xlfn._xlws.FILTER($AJ$32:$AJ$229,$B$32:$B$229=D12)),"-")</f>
        <v>-</v>
      </c>
      <c r="AG12" s="123" t="str">
        <f t="shared" si="27"/>
        <v>-</v>
      </c>
      <c r="AH12" s="124" t="str">
        <f t="shared" si="28"/>
        <v>-</v>
      </c>
      <c r="AI12" s="9" t="str">
        <f t="shared" si="9"/>
        <v/>
      </c>
      <c r="AJ12" s="4" t="str">
        <f t="shared" si="10"/>
        <v/>
      </c>
      <c r="AP12" s="20" t="str">
        <f t="shared" si="11"/>
        <v>-</v>
      </c>
      <c r="AQ12" s="13" t="str">
        <f t="shared" si="29"/>
        <v/>
      </c>
      <c r="AR12" s="9" t="str">
        <f t="shared" si="30"/>
        <v/>
      </c>
      <c r="AS12" s="13" t="str">
        <f t="shared" si="31"/>
        <v/>
      </c>
      <c r="AT12" s="16" t="str">
        <f t="shared" si="32"/>
        <v>-</v>
      </c>
      <c r="AU12" s="16" t="str">
        <f t="shared" si="12"/>
        <v>-</v>
      </c>
      <c r="AV12" s="4" t="str">
        <f t="shared" si="33"/>
        <v>-</v>
      </c>
      <c r="AW12" s="16" t="str">
        <f t="shared" si="13"/>
        <v>-</v>
      </c>
      <c r="AX12" t="str">
        <f t="shared" si="14"/>
        <v/>
      </c>
      <c r="AY12" s="9" t="str">
        <f t="shared" si="15"/>
        <v>-</v>
      </c>
      <c r="AZ12" s="20" t="str">
        <f t="shared" si="34"/>
        <v/>
      </c>
      <c r="BA12" s="20" t="str">
        <f t="shared" si="35"/>
        <v/>
      </c>
      <c r="BB12" s="20" t="str">
        <f t="shared" si="36"/>
        <v/>
      </c>
      <c r="BC12" s="20" t="str">
        <f t="shared" si="37"/>
        <v/>
      </c>
    </row>
    <row r="13" spans="2:55" x14ac:dyDescent="0.3">
      <c r="B13" s="114" t="str">
        <f>""</f>
        <v/>
      </c>
      <c r="C13" s="4">
        <v>10</v>
      </c>
      <c r="D13" s="108" t="str">
        <f t="shared" si="16"/>
        <v/>
      </c>
      <c r="E13" s="3"/>
      <c r="F13" s="109" t="str">
        <f>IFERROR(INDEX('Input - Tesco'!$Y$3:$Y$200,MATCH('Calculations - Tesco'!$C13,'Input - Tesco'!$Z$3:$Z$200,0)),"")</f>
        <v/>
      </c>
      <c r="G13" s="20" t="str">
        <f>IFERROR(INDEX('Input - Tesco'!R$2:R$200,MATCH('Calculations - Tesco'!$D13,'Input - Tesco'!$O$2:$O$200,0)),"")</f>
        <v/>
      </c>
      <c r="H13" s="20" t="str">
        <f>IFERROR(INDEX('Input - Tesco'!S$2:S$200,MATCH('Calculations - Tesco'!$D13,'Input - Tesco'!$O$2:$O$200,0)),"")</f>
        <v/>
      </c>
      <c r="I13" s="27" t="str">
        <f>IFERROR(INDEX('Input - Tesco'!T$2:T$200,MATCH('Calculations - Tesco'!$D13,'Input - Tesco'!$O$2:$O$200,0)),"")</f>
        <v/>
      </c>
      <c r="J13" s="27" t="str">
        <f>IFERROR(INDEX('Input - Tesco'!U$2:U$200,MATCH('Calculations - Tesco'!$D13,'Input - Tesco'!$O$2:$O$200,0)),"")</f>
        <v/>
      </c>
      <c r="K13" s="20" t="str">
        <f>IFERROR(INDEX('Input - Tesco'!V$2:V$200,MATCH('Calculations - Tesco'!$D13,'Input - Tesco'!$O$2:$O$200,0)),"")</f>
        <v/>
      </c>
      <c r="L13" s="20" t="str">
        <f>IFERROR(INDEX('Input - Tesco'!W$2:W$200,MATCH('Calculations - Tesco'!$D13,'Input - Tesco'!$O$2:$O$200,0)),"")</f>
        <v/>
      </c>
      <c r="M13" s="21" t="str">
        <f t="shared" si="17"/>
        <v/>
      </c>
      <c r="N13" s="21" t="str">
        <f t="shared" si="2"/>
        <v/>
      </c>
      <c r="O13" s="21" t="str">
        <f t="shared" si="18"/>
        <v/>
      </c>
      <c r="P13" s="9" t="str">
        <f t="shared" si="3"/>
        <v/>
      </c>
      <c r="Q13" s="9" t="str">
        <f t="shared" si="4"/>
        <v/>
      </c>
      <c r="R13" s="8" t="str">
        <f t="shared" si="5"/>
        <v>-</v>
      </c>
      <c r="S13" s="8" t="str">
        <f t="shared" si="19"/>
        <v>-</v>
      </c>
      <c r="T13" t="str">
        <f t="shared" si="20"/>
        <v>-</v>
      </c>
      <c r="U13" t="str">
        <f t="shared" si="20"/>
        <v>-</v>
      </c>
      <c r="V13" t="str">
        <f t="shared" si="21"/>
        <v>-</v>
      </c>
      <c r="W13" t="str">
        <f t="shared" si="6"/>
        <v>-</v>
      </c>
      <c r="X13" s="10" t="str">
        <f t="shared" si="7"/>
        <v>-</v>
      </c>
      <c r="Y13" s="7" t="str">
        <f t="shared" si="22"/>
        <v/>
      </c>
      <c r="Z13" s="13" t="str">
        <f t="shared" si="23"/>
        <v>-</v>
      </c>
      <c r="AA13" t="str">
        <f t="shared" si="24"/>
        <v>-</v>
      </c>
      <c r="AB13" s="16" t="str">
        <f t="shared" si="8"/>
        <v>-</v>
      </c>
      <c r="AC13" s="16" t="str">
        <f t="shared" si="25"/>
        <v>-</v>
      </c>
      <c r="AD13" s="16" t="str">
        <f t="shared" si="26"/>
        <v>-</v>
      </c>
      <c r="AF13" s="27" t="str" cm="1">
        <f t="array" ref="AF13">IFERROR(SUM(_xlfn._xlws.FILTER($AF$32:$AF$229*$AJ$32:$AJ$229,$B$32:$B$229=D13))/SUM(_xlfn._xlws.FILTER($AJ$32:$AJ$229,$B$32:$B$229=D13)),"-")</f>
        <v>-</v>
      </c>
      <c r="AG13" s="123" t="str">
        <f t="shared" si="27"/>
        <v>-</v>
      </c>
      <c r="AH13" s="124" t="str">
        <f t="shared" si="28"/>
        <v>-</v>
      </c>
      <c r="AI13" s="9" t="str">
        <f t="shared" si="9"/>
        <v/>
      </c>
      <c r="AJ13" s="4" t="str">
        <f t="shared" si="10"/>
        <v/>
      </c>
      <c r="AP13" s="20" t="str">
        <f t="shared" si="11"/>
        <v>-</v>
      </c>
      <c r="AQ13" s="13" t="str">
        <f t="shared" si="29"/>
        <v/>
      </c>
      <c r="AR13" s="9" t="str">
        <f t="shared" si="30"/>
        <v/>
      </c>
      <c r="AS13" s="13" t="str">
        <f t="shared" si="31"/>
        <v/>
      </c>
      <c r="AT13" s="16" t="str">
        <f t="shared" si="32"/>
        <v>-</v>
      </c>
      <c r="AU13" s="16" t="str">
        <f t="shared" si="12"/>
        <v>-</v>
      </c>
      <c r="AV13" s="4" t="str">
        <f t="shared" si="33"/>
        <v>-</v>
      </c>
      <c r="AW13" s="16" t="str">
        <f t="shared" si="13"/>
        <v>-</v>
      </c>
      <c r="AX13" t="str">
        <f t="shared" si="14"/>
        <v/>
      </c>
      <c r="AY13" s="9" t="str">
        <f t="shared" si="15"/>
        <v>-</v>
      </c>
      <c r="AZ13" s="20" t="str">
        <f t="shared" si="34"/>
        <v/>
      </c>
      <c r="BA13" s="20" t="str">
        <f t="shared" si="35"/>
        <v/>
      </c>
      <c r="BB13" s="20" t="str">
        <f t="shared" si="36"/>
        <v/>
      </c>
      <c r="BC13" s="20" t="str">
        <f t="shared" si="37"/>
        <v/>
      </c>
    </row>
    <row r="14" spans="2:55" x14ac:dyDescent="0.3">
      <c r="B14" s="114" t="str">
        <f>""</f>
        <v/>
      </c>
      <c r="C14" s="4">
        <v>11</v>
      </c>
      <c r="D14" s="108" t="str">
        <f t="shared" si="16"/>
        <v/>
      </c>
      <c r="E14" s="3"/>
      <c r="F14" s="109" t="str">
        <f>IFERROR(INDEX('Input - Tesco'!$Y$3:$Y$200,MATCH('Calculations - Tesco'!$C14,'Input - Tesco'!$Z$3:$Z$200,0)),"")</f>
        <v/>
      </c>
      <c r="G14" s="20" t="str">
        <f>IFERROR(INDEX('Input - Tesco'!R$2:R$200,MATCH('Calculations - Tesco'!$D14,'Input - Tesco'!$O$2:$O$200,0)),"")</f>
        <v/>
      </c>
      <c r="H14" s="20" t="str">
        <f>IFERROR(INDEX('Input - Tesco'!S$2:S$200,MATCH('Calculations - Tesco'!$D14,'Input - Tesco'!$O$2:$O$200,0)),"")</f>
        <v/>
      </c>
      <c r="I14" s="27" t="str">
        <f>IFERROR(INDEX('Input - Tesco'!T$2:T$200,MATCH('Calculations - Tesco'!$D14,'Input - Tesco'!$O$2:$O$200,0)),"")</f>
        <v/>
      </c>
      <c r="J14" s="27" t="str">
        <f>IFERROR(INDEX('Input - Tesco'!U$2:U$200,MATCH('Calculations - Tesco'!$D14,'Input - Tesco'!$O$2:$O$200,0)),"")</f>
        <v/>
      </c>
      <c r="K14" s="20" t="str">
        <f>IFERROR(INDEX('Input - Tesco'!V$2:V$200,MATCH('Calculations - Tesco'!$D14,'Input - Tesco'!$O$2:$O$200,0)),"")</f>
        <v/>
      </c>
      <c r="L14" s="20" t="str">
        <f>IFERROR(INDEX('Input - Tesco'!W$2:W$200,MATCH('Calculations - Tesco'!$D14,'Input - Tesco'!$O$2:$O$200,0)),"")</f>
        <v/>
      </c>
      <c r="M14" s="21" t="str">
        <f t="shared" si="17"/>
        <v/>
      </c>
      <c r="N14" s="21" t="str">
        <f t="shared" si="2"/>
        <v/>
      </c>
      <c r="O14" s="21" t="str">
        <f t="shared" si="18"/>
        <v/>
      </c>
      <c r="P14" s="9" t="str">
        <f t="shared" si="3"/>
        <v/>
      </c>
      <c r="Q14" s="9" t="str">
        <f t="shared" si="4"/>
        <v/>
      </c>
      <c r="R14" s="8" t="str">
        <f t="shared" si="5"/>
        <v>-</v>
      </c>
      <c r="S14" s="8" t="str">
        <f t="shared" si="19"/>
        <v>-</v>
      </c>
      <c r="T14" t="str">
        <f t="shared" si="20"/>
        <v>-</v>
      </c>
      <c r="U14" t="str">
        <f t="shared" si="20"/>
        <v>-</v>
      </c>
      <c r="V14" t="str">
        <f t="shared" si="21"/>
        <v>-</v>
      </c>
      <c r="W14" t="str">
        <f t="shared" si="6"/>
        <v>-</v>
      </c>
      <c r="X14" s="10" t="str">
        <f t="shared" si="7"/>
        <v>-</v>
      </c>
      <c r="Y14" s="7" t="str">
        <f t="shared" si="22"/>
        <v/>
      </c>
      <c r="Z14" s="13" t="str">
        <f t="shared" si="23"/>
        <v>-</v>
      </c>
      <c r="AA14" t="str">
        <f t="shared" si="24"/>
        <v>-</v>
      </c>
      <c r="AB14" s="16" t="str">
        <f t="shared" si="8"/>
        <v>-</v>
      </c>
      <c r="AC14" s="16" t="str">
        <f t="shared" si="25"/>
        <v>-</v>
      </c>
      <c r="AD14" s="16" t="str">
        <f t="shared" si="26"/>
        <v>-</v>
      </c>
      <c r="AF14" s="27" t="str" cm="1">
        <f t="array" ref="AF14">IFERROR(SUM(_xlfn._xlws.FILTER($AF$32:$AF$229*$AJ$32:$AJ$229,$B$32:$B$229=D14))/SUM(_xlfn._xlws.FILTER($AJ$32:$AJ$229,$B$32:$B$229=D14)),"-")</f>
        <v>-</v>
      </c>
      <c r="AG14" s="123" t="str">
        <f t="shared" si="27"/>
        <v>-</v>
      </c>
      <c r="AH14" s="124" t="str">
        <f t="shared" si="28"/>
        <v>-</v>
      </c>
      <c r="AI14" s="9" t="str">
        <f t="shared" si="9"/>
        <v/>
      </c>
      <c r="AJ14" s="4" t="str">
        <f t="shared" si="10"/>
        <v/>
      </c>
      <c r="AP14" s="20" t="str">
        <f t="shared" si="11"/>
        <v>-</v>
      </c>
      <c r="AQ14" s="13" t="str">
        <f t="shared" si="29"/>
        <v/>
      </c>
      <c r="AR14" s="9" t="str">
        <f t="shared" si="30"/>
        <v/>
      </c>
      <c r="AS14" s="13" t="str">
        <f t="shared" si="31"/>
        <v/>
      </c>
      <c r="AT14" s="16" t="str">
        <f t="shared" si="32"/>
        <v>-</v>
      </c>
      <c r="AU14" s="16" t="str">
        <f t="shared" si="12"/>
        <v>-</v>
      </c>
      <c r="AV14" s="4" t="str">
        <f t="shared" si="33"/>
        <v>-</v>
      </c>
      <c r="AW14" s="16" t="str">
        <f t="shared" si="13"/>
        <v>-</v>
      </c>
      <c r="AX14" t="str">
        <f t="shared" si="14"/>
        <v/>
      </c>
      <c r="AY14" s="9" t="str">
        <f t="shared" si="15"/>
        <v>-</v>
      </c>
      <c r="AZ14" s="20" t="str">
        <f t="shared" si="34"/>
        <v/>
      </c>
      <c r="BA14" s="20" t="str">
        <f t="shared" si="35"/>
        <v/>
      </c>
      <c r="BB14" s="20" t="str">
        <f t="shared" si="36"/>
        <v/>
      </c>
      <c r="BC14" s="20" t="str">
        <f t="shared" si="37"/>
        <v/>
      </c>
    </row>
    <row r="15" spans="2:55" x14ac:dyDescent="0.3">
      <c r="B15" s="114" t="str">
        <f>""</f>
        <v/>
      </c>
      <c r="C15" s="4">
        <v>12</v>
      </c>
      <c r="D15" s="108" t="str">
        <f t="shared" si="16"/>
        <v/>
      </c>
      <c r="E15" s="3"/>
      <c r="F15" s="109" t="str">
        <f>IFERROR(INDEX('Input - Tesco'!$Y$3:$Y$200,MATCH('Calculations - Tesco'!$C15,'Input - Tesco'!$Z$3:$Z$200,0)),"")</f>
        <v/>
      </c>
      <c r="G15" s="20" t="str">
        <f>IFERROR(INDEX('Input - Tesco'!R$2:R$200,MATCH('Calculations - Tesco'!$D15,'Input - Tesco'!$O$2:$O$200,0)),"")</f>
        <v/>
      </c>
      <c r="H15" s="20" t="str">
        <f>IFERROR(INDEX('Input - Tesco'!S$2:S$200,MATCH('Calculations - Tesco'!$D15,'Input - Tesco'!$O$2:$O$200,0)),"")</f>
        <v/>
      </c>
      <c r="I15" s="27" t="str">
        <f>IFERROR(INDEX('Input - Tesco'!T$2:T$200,MATCH('Calculations - Tesco'!$D15,'Input - Tesco'!$O$2:$O$200,0)),"")</f>
        <v/>
      </c>
      <c r="J15" s="27" t="str">
        <f>IFERROR(INDEX('Input - Tesco'!U$2:U$200,MATCH('Calculations - Tesco'!$D15,'Input - Tesco'!$O$2:$O$200,0)),"")</f>
        <v/>
      </c>
      <c r="K15" s="20" t="str">
        <f>IFERROR(INDEX('Input - Tesco'!V$2:V$200,MATCH('Calculations - Tesco'!$D15,'Input - Tesco'!$O$2:$O$200,0)),"")</f>
        <v/>
      </c>
      <c r="L15" s="20" t="str">
        <f>IFERROR(INDEX('Input - Tesco'!W$2:W$200,MATCH('Calculations - Tesco'!$D15,'Input - Tesco'!$O$2:$O$200,0)),"")</f>
        <v/>
      </c>
      <c r="M15" s="21" t="str">
        <f t="shared" si="17"/>
        <v/>
      </c>
      <c r="N15" s="21" t="str">
        <f t="shared" si="2"/>
        <v/>
      </c>
      <c r="O15" s="21" t="str">
        <f t="shared" si="18"/>
        <v/>
      </c>
      <c r="P15" s="9" t="str">
        <f t="shared" si="3"/>
        <v/>
      </c>
      <c r="Q15" s="9" t="str">
        <f t="shared" si="4"/>
        <v/>
      </c>
      <c r="R15" s="8" t="str">
        <f t="shared" si="5"/>
        <v>-</v>
      </c>
      <c r="S15" s="8" t="str">
        <f t="shared" si="19"/>
        <v>-</v>
      </c>
      <c r="T15" t="str">
        <f t="shared" si="20"/>
        <v>-</v>
      </c>
      <c r="U15" t="str">
        <f t="shared" si="20"/>
        <v>-</v>
      </c>
      <c r="V15" t="str">
        <f t="shared" si="21"/>
        <v>-</v>
      </c>
      <c r="W15" t="str">
        <f t="shared" si="6"/>
        <v>-</v>
      </c>
      <c r="X15" s="10" t="str">
        <f t="shared" si="7"/>
        <v>-</v>
      </c>
      <c r="Y15" s="7" t="str">
        <f t="shared" si="22"/>
        <v/>
      </c>
      <c r="Z15" s="13" t="str">
        <f t="shared" si="23"/>
        <v>-</v>
      </c>
      <c r="AA15" t="str">
        <f t="shared" si="24"/>
        <v>-</v>
      </c>
      <c r="AB15" s="16" t="str">
        <f t="shared" si="8"/>
        <v>-</v>
      </c>
      <c r="AC15" s="16" t="str">
        <f t="shared" si="25"/>
        <v>-</v>
      </c>
      <c r="AD15" s="16" t="str">
        <f t="shared" si="26"/>
        <v>-</v>
      </c>
      <c r="AF15" s="27" t="str" cm="1">
        <f t="array" ref="AF15">IFERROR(SUM(_xlfn._xlws.FILTER($AF$32:$AF$229*$AJ$32:$AJ$229,$B$32:$B$229=D15))/SUM(_xlfn._xlws.FILTER($AJ$32:$AJ$229,$B$32:$B$229=D15)),"-")</f>
        <v>-</v>
      </c>
      <c r="AG15" s="123" t="str">
        <f t="shared" si="27"/>
        <v>-</v>
      </c>
      <c r="AH15" s="124" t="str">
        <f t="shared" si="28"/>
        <v>-</v>
      </c>
      <c r="AI15" s="9" t="str">
        <f t="shared" si="9"/>
        <v/>
      </c>
      <c r="AJ15" s="4" t="str">
        <f t="shared" si="10"/>
        <v/>
      </c>
      <c r="AP15" s="20" t="str">
        <f t="shared" si="11"/>
        <v>-</v>
      </c>
      <c r="AQ15" s="13" t="str">
        <f t="shared" si="29"/>
        <v/>
      </c>
      <c r="AR15" s="9" t="str">
        <f t="shared" si="30"/>
        <v/>
      </c>
      <c r="AS15" s="13" t="str">
        <f t="shared" si="31"/>
        <v/>
      </c>
      <c r="AT15" s="16" t="str">
        <f t="shared" si="32"/>
        <v>-</v>
      </c>
      <c r="AU15" s="16" t="str">
        <f t="shared" si="12"/>
        <v>-</v>
      </c>
      <c r="AV15" s="4" t="str">
        <f t="shared" si="33"/>
        <v>-</v>
      </c>
      <c r="AW15" s="16" t="str">
        <f t="shared" si="13"/>
        <v>-</v>
      </c>
      <c r="AX15" t="str">
        <f t="shared" si="14"/>
        <v/>
      </c>
      <c r="AY15" s="9" t="str">
        <f t="shared" si="15"/>
        <v>-</v>
      </c>
      <c r="AZ15" s="20" t="str">
        <f t="shared" si="34"/>
        <v/>
      </c>
      <c r="BA15" s="20" t="str">
        <f t="shared" si="35"/>
        <v/>
      </c>
      <c r="BB15" s="20" t="str">
        <f t="shared" si="36"/>
        <v/>
      </c>
      <c r="BC15" s="20" t="str">
        <f t="shared" si="37"/>
        <v/>
      </c>
    </row>
    <row r="16" spans="2:55" x14ac:dyDescent="0.3">
      <c r="B16" s="114" t="str">
        <f>""</f>
        <v/>
      </c>
      <c r="C16" s="4">
        <v>13</v>
      </c>
      <c r="D16" s="108" t="str">
        <f t="shared" si="16"/>
        <v/>
      </c>
      <c r="E16" s="3"/>
      <c r="F16" s="109" t="str">
        <f>IFERROR(INDEX('Input - Tesco'!$Y$3:$Y$200,MATCH('Calculations - Tesco'!$C16,'Input - Tesco'!$Z$3:$Z$200,0)),"")</f>
        <v/>
      </c>
      <c r="G16" s="20" t="str">
        <f>IFERROR(INDEX('Input - Tesco'!R$2:R$200,MATCH('Calculations - Tesco'!$D16,'Input - Tesco'!$O$2:$O$200,0)),"")</f>
        <v/>
      </c>
      <c r="H16" s="20" t="str">
        <f>IFERROR(INDEX('Input - Tesco'!S$2:S$200,MATCH('Calculations - Tesco'!$D16,'Input - Tesco'!$O$2:$O$200,0)),"")</f>
        <v/>
      </c>
      <c r="I16" s="27" t="str">
        <f>IFERROR(INDEX('Input - Tesco'!T$2:T$200,MATCH('Calculations - Tesco'!$D16,'Input - Tesco'!$O$2:$O$200,0)),"")</f>
        <v/>
      </c>
      <c r="J16" s="27" t="str">
        <f>IFERROR(INDEX('Input - Tesco'!U$2:U$200,MATCH('Calculations - Tesco'!$D16,'Input - Tesco'!$O$2:$O$200,0)),"")</f>
        <v/>
      </c>
      <c r="K16" s="20" t="str">
        <f>IFERROR(INDEX('Input - Tesco'!V$2:V$200,MATCH('Calculations - Tesco'!$D16,'Input - Tesco'!$O$2:$O$200,0)),"")</f>
        <v/>
      </c>
      <c r="L16" s="20" t="str">
        <f>IFERROR(INDEX('Input - Tesco'!W$2:W$200,MATCH('Calculations - Tesco'!$D16,'Input - Tesco'!$O$2:$O$200,0)),"")</f>
        <v/>
      </c>
      <c r="M16" s="21" t="str">
        <f t="shared" si="17"/>
        <v/>
      </c>
      <c r="N16" s="21" t="str">
        <f t="shared" si="2"/>
        <v/>
      </c>
      <c r="O16" s="21" t="str">
        <f t="shared" si="18"/>
        <v/>
      </c>
      <c r="P16" s="9" t="str">
        <f t="shared" si="3"/>
        <v/>
      </c>
      <c r="Q16" s="9" t="str">
        <f t="shared" si="4"/>
        <v/>
      </c>
      <c r="R16" s="8" t="str">
        <f t="shared" si="5"/>
        <v>-</v>
      </c>
      <c r="S16" s="8" t="str">
        <f t="shared" si="19"/>
        <v>-</v>
      </c>
      <c r="T16" t="str">
        <f t="shared" si="20"/>
        <v>-</v>
      </c>
      <c r="U16" t="str">
        <f t="shared" si="20"/>
        <v>-</v>
      </c>
      <c r="V16" t="str">
        <f t="shared" si="21"/>
        <v>-</v>
      </c>
      <c r="W16" t="str">
        <f t="shared" si="6"/>
        <v>-</v>
      </c>
      <c r="X16" s="10" t="str">
        <f t="shared" si="7"/>
        <v>-</v>
      </c>
      <c r="Y16" s="7" t="str">
        <f t="shared" si="22"/>
        <v/>
      </c>
      <c r="Z16" s="13" t="str">
        <f t="shared" si="23"/>
        <v>-</v>
      </c>
      <c r="AA16" t="str">
        <f t="shared" si="24"/>
        <v>-</v>
      </c>
      <c r="AB16" s="16" t="str">
        <f t="shared" si="8"/>
        <v>-</v>
      </c>
      <c r="AC16" s="16" t="str">
        <f t="shared" si="25"/>
        <v>-</v>
      </c>
      <c r="AD16" s="16" t="str">
        <f t="shared" si="26"/>
        <v>-</v>
      </c>
      <c r="AF16" s="27" t="str" cm="1">
        <f t="array" ref="AF16">IFERROR(SUM(_xlfn._xlws.FILTER($AF$32:$AF$229*$AJ$32:$AJ$229,$B$32:$B$229=D16))/SUM(_xlfn._xlws.FILTER($AJ$32:$AJ$229,$B$32:$B$229=D16)),"-")</f>
        <v>-</v>
      </c>
      <c r="AG16" s="123" t="str">
        <f t="shared" si="27"/>
        <v>-</v>
      </c>
      <c r="AH16" s="124" t="str">
        <f t="shared" si="28"/>
        <v>-</v>
      </c>
      <c r="AI16" s="9" t="str">
        <f t="shared" si="9"/>
        <v/>
      </c>
      <c r="AJ16" s="4" t="str">
        <f t="shared" si="10"/>
        <v/>
      </c>
      <c r="AP16" s="20" t="str">
        <f t="shared" si="11"/>
        <v>-</v>
      </c>
      <c r="AQ16" s="13" t="str">
        <f t="shared" si="29"/>
        <v/>
      </c>
      <c r="AR16" s="9" t="str">
        <f t="shared" si="30"/>
        <v/>
      </c>
      <c r="AS16" s="13" t="str">
        <f t="shared" si="31"/>
        <v/>
      </c>
      <c r="AT16" s="16" t="str">
        <f t="shared" si="32"/>
        <v>-</v>
      </c>
      <c r="AU16" s="16" t="str">
        <f t="shared" si="12"/>
        <v>-</v>
      </c>
      <c r="AV16" s="4" t="str">
        <f t="shared" si="33"/>
        <v>-</v>
      </c>
      <c r="AW16" s="16" t="str">
        <f t="shared" si="13"/>
        <v>-</v>
      </c>
      <c r="AX16" t="str">
        <f t="shared" si="14"/>
        <v/>
      </c>
      <c r="AY16" s="9" t="str">
        <f t="shared" si="15"/>
        <v>-</v>
      </c>
      <c r="AZ16" s="20" t="str">
        <f t="shared" si="34"/>
        <v/>
      </c>
      <c r="BA16" s="20" t="str">
        <f t="shared" si="35"/>
        <v/>
      </c>
      <c r="BB16" s="20" t="str">
        <f t="shared" si="36"/>
        <v/>
      </c>
      <c r="BC16" s="20" t="str">
        <f t="shared" si="37"/>
        <v/>
      </c>
    </row>
    <row r="17" spans="2:68" x14ac:dyDescent="0.3">
      <c r="B17" s="114" t="str">
        <f>""</f>
        <v/>
      </c>
      <c r="C17" s="4">
        <v>14</v>
      </c>
      <c r="D17" s="108" t="str">
        <f t="shared" si="16"/>
        <v/>
      </c>
      <c r="E17" s="3"/>
      <c r="F17" s="109" t="str">
        <f>IFERROR(INDEX('Input - Tesco'!$Y$3:$Y$200,MATCH('Calculations - Tesco'!$C17,'Input - Tesco'!$Z$3:$Z$200,0)),"")</f>
        <v/>
      </c>
      <c r="G17" s="20" t="str">
        <f>IFERROR(INDEX('Input - Tesco'!R$2:R$200,MATCH('Calculations - Tesco'!$D17,'Input - Tesco'!$O$2:$O$200,0)),"")</f>
        <v/>
      </c>
      <c r="H17" s="20" t="str">
        <f>IFERROR(INDEX('Input - Tesco'!S$2:S$200,MATCH('Calculations - Tesco'!$D17,'Input - Tesco'!$O$2:$O$200,0)),"")</f>
        <v/>
      </c>
      <c r="I17" s="27" t="str">
        <f>IFERROR(INDEX('Input - Tesco'!T$2:T$200,MATCH('Calculations - Tesco'!$D17,'Input - Tesco'!$O$2:$O$200,0)),"")</f>
        <v/>
      </c>
      <c r="J17" s="27" t="str">
        <f>IFERROR(INDEX('Input - Tesco'!U$2:U$200,MATCH('Calculations - Tesco'!$D17,'Input - Tesco'!$O$2:$O$200,0)),"")</f>
        <v/>
      </c>
      <c r="K17" s="20" t="str">
        <f>IFERROR(INDEX('Input - Tesco'!V$2:V$200,MATCH('Calculations - Tesco'!$D17,'Input - Tesco'!$O$2:$O$200,0)),"")</f>
        <v/>
      </c>
      <c r="L17" s="20" t="str">
        <f>IFERROR(INDEX('Input - Tesco'!W$2:W$200,MATCH('Calculations - Tesco'!$D17,'Input - Tesco'!$O$2:$O$200,0)),"")</f>
        <v/>
      </c>
      <c r="M17" s="21" t="str">
        <f t="shared" si="17"/>
        <v/>
      </c>
      <c r="N17" s="21" t="str">
        <f t="shared" si="2"/>
        <v/>
      </c>
      <c r="O17" s="21" t="str">
        <f t="shared" si="18"/>
        <v/>
      </c>
      <c r="P17" s="9" t="str">
        <f t="shared" si="3"/>
        <v/>
      </c>
      <c r="Q17" s="9" t="str">
        <f t="shared" si="4"/>
        <v/>
      </c>
      <c r="R17" s="8" t="str">
        <f t="shared" si="5"/>
        <v>-</v>
      </c>
      <c r="S17" s="8" t="str">
        <f t="shared" si="19"/>
        <v>-</v>
      </c>
      <c r="T17" t="str">
        <f t="shared" si="20"/>
        <v>-</v>
      </c>
      <c r="U17" t="str">
        <f t="shared" si="20"/>
        <v>-</v>
      </c>
      <c r="V17" t="str">
        <f t="shared" si="21"/>
        <v>-</v>
      </c>
      <c r="W17" t="str">
        <f t="shared" si="6"/>
        <v>-</v>
      </c>
      <c r="X17" s="10" t="str">
        <f t="shared" si="7"/>
        <v>-</v>
      </c>
      <c r="Y17" s="7" t="str">
        <f t="shared" si="22"/>
        <v/>
      </c>
      <c r="Z17" s="13" t="str">
        <f t="shared" si="23"/>
        <v>-</v>
      </c>
      <c r="AA17" t="str">
        <f t="shared" si="24"/>
        <v>-</v>
      </c>
      <c r="AB17" s="16" t="str">
        <f t="shared" si="8"/>
        <v>-</v>
      </c>
      <c r="AC17" s="16" t="str">
        <f t="shared" si="25"/>
        <v>-</v>
      </c>
      <c r="AD17" s="16" t="str">
        <f t="shared" si="26"/>
        <v>-</v>
      </c>
      <c r="AF17" s="27" t="str" cm="1">
        <f t="array" ref="AF17">IFERROR(SUM(_xlfn._xlws.FILTER($AF$32:$AF$229*$AJ$32:$AJ$229,$B$32:$B$229=D17))/SUM(_xlfn._xlws.FILTER($AJ$32:$AJ$229,$B$32:$B$229=D17)),"-")</f>
        <v>-</v>
      </c>
      <c r="AG17" s="123" t="str">
        <f t="shared" si="27"/>
        <v>-</v>
      </c>
      <c r="AH17" s="124" t="str">
        <f t="shared" si="28"/>
        <v>-</v>
      </c>
      <c r="AI17" s="9" t="str">
        <f t="shared" si="9"/>
        <v/>
      </c>
      <c r="AJ17" s="4" t="str">
        <f t="shared" si="10"/>
        <v/>
      </c>
      <c r="AP17" s="20" t="str">
        <f t="shared" si="11"/>
        <v>-</v>
      </c>
      <c r="AQ17" s="13" t="str">
        <f t="shared" si="29"/>
        <v/>
      </c>
      <c r="AR17" s="9" t="str">
        <f t="shared" si="30"/>
        <v/>
      </c>
      <c r="AS17" s="13" t="str">
        <f t="shared" si="31"/>
        <v/>
      </c>
      <c r="AT17" s="16" t="str">
        <f t="shared" si="32"/>
        <v>-</v>
      </c>
      <c r="AU17" s="16" t="str">
        <f t="shared" si="12"/>
        <v>-</v>
      </c>
      <c r="AV17" s="4" t="str">
        <f t="shared" si="33"/>
        <v>-</v>
      </c>
      <c r="AW17" s="16" t="str">
        <f t="shared" si="13"/>
        <v>-</v>
      </c>
      <c r="AX17" t="str">
        <f t="shared" si="14"/>
        <v/>
      </c>
      <c r="AY17" s="9" t="str">
        <f t="shared" si="15"/>
        <v>-</v>
      </c>
      <c r="AZ17" s="20" t="str">
        <f t="shared" si="34"/>
        <v/>
      </c>
      <c r="BA17" s="20" t="str">
        <f t="shared" si="35"/>
        <v/>
      </c>
      <c r="BB17" s="20" t="str">
        <f t="shared" si="36"/>
        <v/>
      </c>
      <c r="BC17" s="20" t="str">
        <f t="shared" si="37"/>
        <v/>
      </c>
    </row>
    <row r="18" spans="2:68" x14ac:dyDescent="0.3">
      <c r="B18" s="114" t="str">
        <f>""</f>
        <v/>
      </c>
      <c r="C18" s="4">
        <v>15</v>
      </c>
      <c r="D18" s="108" t="str">
        <f t="shared" si="16"/>
        <v/>
      </c>
      <c r="E18" s="3"/>
      <c r="F18" s="109" t="str">
        <f>IFERROR(INDEX('Input - Tesco'!$Y$3:$Y$200,MATCH('Calculations - Tesco'!$C18,'Input - Tesco'!$Z$3:$Z$200,0)),"")</f>
        <v/>
      </c>
      <c r="G18" s="20" t="str">
        <f>IFERROR(INDEX('Input - Tesco'!R$2:R$200,MATCH('Calculations - Tesco'!$D18,'Input - Tesco'!$O$2:$O$200,0)),"")</f>
        <v/>
      </c>
      <c r="H18" s="20" t="str">
        <f>IFERROR(INDEX('Input - Tesco'!S$2:S$200,MATCH('Calculations - Tesco'!$D18,'Input - Tesco'!$O$2:$O$200,0)),"")</f>
        <v/>
      </c>
      <c r="I18" s="27" t="str">
        <f>IFERROR(INDEX('Input - Tesco'!T$2:T$200,MATCH('Calculations - Tesco'!$D18,'Input - Tesco'!$O$2:$O$200,0)),"")</f>
        <v/>
      </c>
      <c r="J18" s="27" t="str">
        <f>IFERROR(INDEX('Input - Tesco'!U$2:U$200,MATCH('Calculations - Tesco'!$D18,'Input - Tesco'!$O$2:$O$200,0)),"")</f>
        <v/>
      </c>
      <c r="K18" s="20" t="str">
        <f>IFERROR(INDEX('Input - Tesco'!V$2:V$200,MATCH('Calculations - Tesco'!$D18,'Input - Tesco'!$O$2:$O$200,0)),"")</f>
        <v/>
      </c>
      <c r="L18" s="20" t="str">
        <f>IFERROR(INDEX('Input - Tesco'!W$2:W$200,MATCH('Calculations - Tesco'!$D18,'Input - Tesco'!$O$2:$O$200,0)),"")</f>
        <v/>
      </c>
      <c r="M18" s="21" t="str">
        <f t="shared" si="17"/>
        <v/>
      </c>
      <c r="N18" s="21" t="str">
        <f t="shared" si="2"/>
        <v/>
      </c>
      <c r="O18" s="21" t="str">
        <f t="shared" si="18"/>
        <v/>
      </c>
      <c r="P18" s="9" t="str">
        <f t="shared" si="3"/>
        <v/>
      </c>
      <c r="Q18" s="9" t="str">
        <f t="shared" si="4"/>
        <v/>
      </c>
      <c r="R18" s="8" t="str">
        <f t="shared" si="5"/>
        <v>-</v>
      </c>
      <c r="S18" s="8" t="str">
        <f t="shared" si="19"/>
        <v>-</v>
      </c>
      <c r="T18" t="str">
        <f t="shared" si="20"/>
        <v>-</v>
      </c>
      <c r="U18" t="str">
        <f t="shared" si="20"/>
        <v>-</v>
      </c>
      <c r="V18" t="str">
        <f t="shared" si="21"/>
        <v>-</v>
      </c>
      <c r="W18" t="str">
        <f t="shared" si="6"/>
        <v>-</v>
      </c>
      <c r="X18" s="10" t="str">
        <f t="shared" si="7"/>
        <v>-</v>
      </c>
      <c r="Y18" s="7" t="str">
        <f t="shared" si="22"/>
        <v/>
      </c>
      <c r="Z18" s="13" t="str">
        <f t="shared" si="23"/>
        <v>-</v>
      </c>
      <c r="AA18" t="str">
        <f t="shared" si="24"/>
        <v>-</v>
      </c>
      <c r="AB18" s="16" t="str">
        <f t="shared" si="8"/>
        <v>-</v>
      </c>
      <c r="AC18" s="16" t="str">
        <f t="shared" si="25"/>
        <v>-</v>
      </c>
      <c r="AD18" s="16" t="str">
        <f t="shared" si="26"/>
        <v>-</v>
      </c>
      <c r="AF18" s="27" t="str" cm="1">
        <f t="array" ref="AF18">IFERROR(SUM(_xlfn._xlws.FILTER($AF$32:$AF$229*$AJ$32:$AJ$229,$B$32:$B$229=D18))/SUM(_xlfn._xlws.FILTER($AJ$32:$AJ$229,$B$32:$B$229=D18)),"-")</f>
        <v>-</v>
      </c>
      <c r="AG18" s="123" t="str">
        <f t="shared" si="27"/>
        <v>-</v>
      </c>
      <c r="AH18" s="124" t="str">
        <f t="shared" si="28"/>
        <v>-</v>
      </c>
      <c r="AI18" s="9" t="str">
        <f t="shared" si="9"/>
        <v/>
      </c>
      <c r="AJ18" s="4" t="str">
        <f t="shared" si="10"/>
        <v/>
      </c>
      <c r="AP18" s="20" t="str">
        <f t="shared" si="11"/>
        <v>-</v>
      </c>
      <c r="AQ18" s="13" t="str">
        <f t="shared" si="29"/>
        <v/>
      </c>
      <c r="AR18" s="9" t="str">
        <f t="shared" si="30"/>
        <v/>
      </c>
      <c r="AS18" s="13" t="str">
        <f t="shared" si="31"/>
        <v/>
      </c>
      <c r="AT18" s="16" t="str">
        <f t="shared" si="32"/>
        <v>-</v>
      </c>
      <c r="AU18" s="16" t="str">
        <f t="shared" si="12"/>
        <v>-</v>
      </c>
      <c r="AV18" s="4" t="str">
        <f t="shared" si="33"/>
        <v>-</v>
      </c>
      <c r="AW18" s="16" t="str">
        <f t="shared" si="13"/>
        <v>-</v>
      </c>
      <c r="AX18" t="str">
        <f t="shared" si="14"/>
        <v/>
      </c>
      <c r="AY18" s="9" t="str">
        <f t="shared" si="15"/>
        <v>-</v>
      </c>
      <c r="AZ18" s="20" t="str">
        <f t="shared" si="34"/>
        <v/>
      </c>
      <c r="BA18" s="20" t="str">
        <f t="shared" si="35"/>
        <v/>
      </c>
      <c r="BB18" s="20" t="str">
        <f t="shared" si="36"/>
        <v/>
      </c>
      <c r="BC18" s="20" t="str">
        <f t="shared" si="37"/>
        <v/>
      </c>
    </row>
    <row r="19" spans="2:68" x14ac:dyDescent="0.3">
      <c r="B19" s="114" t="str">
        <f>""</f>
        <v/>
      </c>
      <c r="C19" s="4">
        <v>16</v>
      </c>
      <c r="D19" s="108" t="str">
        <f t="shared" si="16"/>
        <v/>
      </c>
      <c r="E19" s="3"/>
      <c r="F19" s="109" t="str">
        <f>IFERROR(INDEX('Input - Tesco'!$Y$3:$Y$200,MATCH('Calculations - Tesco'!$C19,'Input - Tesco'!$Z$3:$Z$200,0)),"")</f>
        <v/>
      </c>
      <c r="G19" s="20" t="str">
        <f>IFERROR(INDEX('Input - Tesco'!R$2:R$200,MATCH('Calculations - Tesco'!$D19,'Input - Tesco'!$O$2:$O$200,0)),"")</f>
        <v/>
      </c>
      <c r="H19" s="20" t="str">
        <f>IFERROR(INDEX('Input - Tesco'!S$2:S$200,MATCH('Calculations - Tesco'!$D19,'Input - Tesco'!$O$2:$O$200,0)),"")</f>
        <v/>
      </c>
      <c r="I19" s="27" t="str">
        <f>IFERROR(INDEX('Input - Tesco'!T$2:T$200,MATCH('Calculations - Tesco'!$D19,'Input - Tesco'!$O$2:$O$200,0)),"")</f>
        <v/>
      </c>
      <c r="J19" s="27" t="str">
        <f>IFERROR(INDEX('Input - Tesco'!U$2:U$200,MATCH('Calculations - Tesco'!$D19,'Input - Tesco'!$O$2:$O$200,0)),"")</f>
        <v/>
      </c>
      <c r="K19" s="20" t="str">
        <f>IFERROR(INDEX('Input - Tesco'!V$2:V$200,MATCH('Calculations - Tesco'!$D19,'Input - Tesco'!$O$2:$O$200,0)),"")</f>
        <v/>
      </c>
      <c r="L19" s="20" t="str">
        <f>IFERROR(INDEX('Input - Tesco'!W$2:W$200,MATCH('Calculations - Tesco'!$D19,'Input - Tesco'!$O$2:$O$200,0)),"")</f>
        <v/>
      </c>
      <c r="M19" s="21" t="str">
        <f t="shared" si="17"/>
        <v/>
      </c>
      <c r="N19" s="21" t="str">
        <f t="shared" si="2"/>
        <v/>
      </c>
      <c r="O19" s="21" t="str">
        <f t="shared" si="18"/>
        <v/>
      </c>
      <c r="P19" s="9" t="str">
        <f t="shared" si="3"/>
        <v/>
      </c>
      <c r="Q19" s="9" t="str">
        <f t="shared" si="4"/>
        <v/>
      </c>
      <c r="R19" s="8" t="str">
        <f t="shared" si="5"/>
        <v>-</v>
      </c>
      <c r="S19" s="8" t="str">
        <f t="shared" si="19"/>
        <v>-</v>
      </c>
      <c r="T19" t="str">
        <f t="shared" si="20"/>
        <v>-</v>
      </c>
      <c r="U19" t="str">
        <f t="shared" si="20"/>
        <v>-</v>
      </c>
      <c r="V19" t="str">
        <f t="shared" si="21"/>
        <v>-</v>
      </c>
      <c r="W19" t="str">
        <f t="shared" si="6"/>
        <v>-</v>
      </c>
      <c r="X19" s="10" t="str">
        <f t="shared" si="7"/>
        <v>-</v>
      </c>
      <c r="Y19" s="7" t="str">
        <f t="shared" si="22"/>
        <v/>
      </c>
      <c r="Z19" s="13" t="str">
        <f t="shared" si="23"/>
        <v>-</v>
      </c>
      <c r="AA19" t="str">
        <f t="shared" si="24"/>
        <v>-</v>
      </c>
      <c r="AB19" s="16" t="str">
        <f t="shared" si="8"/>
        <v>-</v>
      </c>
      <c r="AC19" s="16" t="str">
        <f t="shared" si="25"/>
        <v>-</v>
      </c>
      <c r="AD19" s="16" t="str">
        <f t="shared" si="26"/>
        <v>-</v>
      </c>
      <c r="AF19" s="27" t="str" cm="1">
        <f t="array" ref="AF19">IFERROR(SUM(_xlfn._xlws.FILTER($AF$32:$AF$229*$AJ$32:$AJ$229,$B$32:$B$229=D19))/SUM(_xlfn._xlws.FILTER($AJ$32:$AJ$229,$B$32:$B$229=D19)),"-")</f>
        <v>-</v>
      </c>
      <c r="AG19" s="123" t="str">
        <f t="shared" si="27"/>
        <v>-</v>
      </c>
      <c r="AH19" s="124" t="str">
        <f t="shared" si="28"/>
        <v>-</v>
      </c>
      <c r="AI19" s="9" t="str">
        <f t="shared" si="9"/>
        <v/>
      </c>
      <c r="AJ19" s="4" t="str">
        <f t="shared" si="10"/>
        <v/>
      </c>
      <c r="AP19" s="20" t="str">
        <f t="shared" si="11"/>
        <v>-</v>
      </c>
      <c r="AQ19" s="13" t="str">
        <f t="shared" si="29"/>
        <v/>
      </c>
      <c r="AR19" s="9" t="str">
        <f t="shared" si="30"/>
        <v/>
      </c>
      <c r="AS19" s="13" t="str">
        <f t="shared" si="31"/>
        <v/>
      </c>
      <c r="AT19" s="16" t="str">
        <f t="shared" si="32"/>
        <v>-</v>
      </c>
      <c r="AU19" s="16" t="str">
        <f t="shared" si="12"/>
        <v>-</v>
      </c>
      <c r="AV19" s="4" t="str">
        <f t="shared" si="33"/>
        <v>-</v>
      </c>
      <c r="AW19" s="16" t="str">
        <f t="shared" si="13"/>
        <v>-</v>
      </c>
      <c r="AX19" t="str">
        <f t="shared" si="14"/>
        <v/>
      </c>
      <c r="AY19" s="9" t="str">
        <f t="shared" si="15"/>
        <v>-</v>
      </c>
      <c r="AZ19" s="20" t="str">
        <f t="shared" si="34"/>
        <v/>
      </c>
      <c r="BA19" s="20" t="str">
        <f t="shared" si="35"/>
        <v/>
      </c>
      <c r="BB19" s="20" t="str">
        <f t="shared" si="36"/>
        <v/>
      </c>
      <c r="BC19" s="20" t="str">
        <f t="shared" si="37"/>
        <v/>
      </c>
    </row>
    <row r="20" spans="2:68" x14ac:dyDescent="0.3">
      <c r="B20" s="114" t="str">
        <f>""</f>
        <v/>
      </c>
      <c r="C20" s="4">
        <v>17</v>
      </c>
      <c r="D20" s="108" t="str">
        <f t="shared" si="16"/>
        <v/>
      </c>
      <c r="E20" s="3"/>
      <c r="F20" s="109" t="str">
        <f>IFERROR(INDEX('Input - Tesco'!$Y$3:$Y$200,MATCH('Calculations - Tesco'!$C20,'Input - Tesco'!$Z$3:$Z$200,0)),"")</f>
        <v/>
      </c>
      <c r="G20" s="20" t="str">
        <f>IFERROR(INDEX('Input - Tesco'!R$2:R$200,MATCH('Calculations - Tesco'!$D20,'Input - Tesco'!$O$2:$O$200,0)),"")</f>
        <v/>
      </c>
      <c r="H20" s="20" t="str">
        <f>IFERROR(INDEX('Input - Tesco'!S$2:S$200,MATCH('Calculations - Tesco'!$D20,'Input - Tesco'!$O$2:$O$200,0)),"")</f>
        <v/>
      </c>
      <c r="I20" s="27" t="str">
        <f>IFERROR(INDEX('Input - Tesco'!T$2:T$200,MATCH('Calculations - Tesco'!$D20,'Input - Tesco'!$O$2:$O$200,0)),"")</f>
        <v/>
      </c>
      <c r="J20" s="27" t="str">
        <f>IFERROR(INDEX('Input - Tesco'!U$2:U$200,MATCH('Calculations - Tesco'!$D20,'Input - Tesco'!$O$2:$O$200,0)),"")</f>
        <v/>
      </c>
      <c r="K20" s="20" t="str">
        <f>IFERROR(INDEX('Input - Tesco'!V$2:V$200,MATCH('Calculations - Tesco'!$D20,'Input - Tesco'!$O$2:$O$200,0)),"")</f>
        <v/>
      </c>
      <c r="L20" s="20" t="str">
        <f>IFERROR(INDEX('Input - Tesco'!W$2:W$200,MATCH('Calculations - Tesco'!$D20,'Input - Tesco'!$O$2:$O$200,0)),"")</f>
        <v/>
      </c>
      <c r="M20" s="21" t="str">
        <f t="shared" si="17"/>
        <v/>
      </c>
      <c r="N20" s="21" t="str">
        <f t="shared" si="2"/>
        <v/>
      </c>
      <c r="O20" s="21" t="str">
        <f t="shared" si="18"/>
        <v/>
      </c>
      <c r="P20" s="9" t="str">
        <f t="shared" si="3"/>
        <v/>
      </c>
      <c r="Q20" s="9" t="str">
        <f t="shared" si="4"/>
        <v/>
      </c>
      <c r="R20" s="8" t="str">
        <f t="shared" si="5"/>
        <v>-</v>
      </c>
      <c r="S20" s="8" t="str">
        <f t="shared" si="19"/>
        <v>-</v>
      </c>
      <c r="T20" t="str">
        <f t="shared" si="20"/>
        <v>-</v>
      </c>
      <c r="U20" t="str">
        <f t="shared" si="20"/>
        <v>-</v>
      </c>
      <c r="V20" t="str">
        <f t="shared" si="21"/>
        <v>-</v>
      </c>
      <c r="W20" t="str">
        <f t="shared" si="6"/>
        <v>-</v>
      </c>
      <c r="X20" s="10" t="str">
        <f t="shared" si="7"/>
        <v>-</v>
      </c>
      <c r="Y20" s="7" t="str">
        <f t="shared" si="22"/>
        <v/>
      </c>
      <c r="Z20" s="13" t="str">
        <f t="shared" si="23"/>
        <v>-</v>
      </c>
      <c r="AA20" t="str">
        <f t="shared" si="24"/>
        <v>-</v>
      </c>
      <c r="AB20" s="16" t="str">
        <f t="shared" si="8"/>
        <v>-</v>
      </c>
      <c r="AC20" s="16" t="str">
        <f t="shared" si="25"/>
        <v>-</v>
      </c>
      <c r="AD20" s="16" t="str">
        <f t="shared" si="26"/>
        <v>-</v>
      </c>
      <c r="AF20" s="27" t="str" cm="1">
        <f t="array" ref="AF20">IFERROR(SUM(_xlfn._xlws.FILTER($AF$32:$AF$229*$AJ$32:$AJ$229,$B$32:$B$229=D20))/SUM(_xlfn._xlws.FILTER($AJ$32:$AJ$229,$B$32:$B$229=D20)),"-")</f>
        <v>-</v>
      </c>
      <c r="AG20" s="123" t="str">
        <f t="shared" si="27"/>
        <v>-</v>
      </c>
      <c r="AH20" s="124" t="str">
        <f t="shared" si="28"/>
        <v>-</v>
      </c>
      <c r="AI20" s="9" t="str">
        <f t="shared" si="9"/>
        <v/>
      </c>
      <c r="AJ20" s="4" t="str">
        <f t="shared" si="10"/>
        <v/>
      </c>
      <c r="AP20" s="20" t="str">
        <f t="shared" si="11"/>
        <v>-</v>
      </c>
      <c r="AQ20" s="13" t="str">
        <f t="shared" si="29"/>
        <v/>
      </c>
      <c r="AR20" s="9" t="str">
        <f t="shared" si="30"/>
        <v/>
      </c>
      <c r="AS20" s="13" t="str">
        <f t="shared" si="31"/>
        <v/>
      </c>
      <c r="AT20" s="16" t="str">
        <f t="shared" si="32"/>
        <v>-</v>
      </c>
      <c r="AU20" s="16" t="str">
        <f t="shared" si="12"/>
        <v>-</v>
      </c>
      <c r="AV20" s="4" t="str">
        <f t="shared" si="33"/>
        <v>-</v>
      </c>
      <c r="AW20" s="16" t="str">
        <f t="shared" si="13"/>
        <v>-</v>
      </c>
      <c r="AX20" t="str">
        <f t="shared" si="14"/>
        <v/>
      </c>
      <c r="AY20" s="9" t="str">
        <f t="shared" si="15"/>
        <v>-</v>
      </c>
      <c r="AZ20" s="20" t="str">
        <f t="shared" si="34"/>
        <v/>
      </c>
      <c r="BA20" s="20" t="str">
        <f t="shared" si="35"/>
        <v/>
      </c>
      <c r="BB20" s="20" t="str">
        <f t="shared" si="36"/>
        <v/>
      </c>
      <c r="BC20" s="20" t="str">
        <f t="shared" si="37"/>
        <v/>
      </c>
    </row>
    <row r="21" spans="2:68" x14ac:dyDescent="0.3">
      <c r="B21" s="114" t="str">
        <f>""</f>
        <v/>
      </c>
      <c r="C21" s="4">
        <v>18</v>
      </c>
      <c r="D21" s="108" t="str">
        <f t="shared" si="16"/>
        <v/>
      </c>
      <c r="E21" s="3"/>
      <c r="F21" s="109" t="str">
        <f>IFERROR(INDEX('Input - Tesco'!$Y$3:$Y$200,MATCH('Calculations - Tesco'!$C21,'Input - Tesco'!$Z$3:$Z$200,0)),"")</f>
        <v/>
      </c>
      <c r="G21" s="20" t="str">
        <f>IFERROR(INDEX('Input - Tesco'!R$2:R$200,MATCH('Calculations - Tesco'!$D21,'Input - Tesco'!$O$2:$O$200,0)),"")</f>
        <v/>
      </c>
      <c r="H21" s="20" t="str">
        <f>IFERROR(INDEX('Input - Tesco'!S$2:S$200,MATCH('Calculations - Tesco'!$D21,'Input - Tesco'!$O$2:$O$200,0)),"")</f>
        <v/>
      </c>
      <c r="I21" s="27" t="str">
        <f>IFERROR(INDEX('Input - Tesco'!T$2:T$200,MATCH('Calculations - Tesco'!$D21,'Input - Tesco'!$O$2:$O$200,0)),"")</f>
        <v/>
      </c>
      <c r="J21" s="27" t="str">
        <f>IFERROR(INDEX('Input - Tesco'!U$2:U$200,MATCH('Calculations - Tesco'!$D21,'Input - Tesco'!$O$2:$O$200,0)),"")</f>
        <v/>
      </c>
      <c r="K21" s="20" t="str">
        <f>IFERROR(INDEX('Input - Tesco'!V$2:V$200,MATCH('Calculations - Tesco'!$D21,'Input - Tesco'!$O$2:$O$200,0)),"")</f>
        <v/>
      </c>
      <c r="L21" s="20" t="str">
        <f>IFERROR(INDEX('Input - Tesco'!W$2:W$200,MATCH('Calculations - Tesco'!$D21,'Input - Tesco'!$O$2:$O$200,0)),"")</f>
        <v/>
      </c>
      <c r="M21" s="21" t="str">
        <f t="shared" si="17"/>
        <v/>
      </c>
      <c r="N21" s="21" t="str">
        <f t="shared" si="2"/>
        <v/>
      </c>
      <c r="O21" s="21" t="str">
        <f t="shared" si="18"/>
        <v/>
      </c>
      <c r="P21" s="9" t="str">
        <f t="shared" si="3"/>
        <v/>
      </c>
      <c r="Q21" s="9" t="str">
        <f t="shared" si="4"/>
        <v/>
      </c>
      <c r="R21" s="8" t="str">
        <f t="shared" si="5"/>
        <v>-</v>
      </c>
      <c r="S21" s="8" t="str">
        <f t="shared" si="19"/>
        <v>-</v>
      </c>
      <c r="T21" t="str">
        <f t="shared" si="20"/>
        <v>-</v>
      </c>
      <c r="U21" t="str">
        <f t="shared" si="20"/>
        <v>-</v>
      </c>
      <c r="V21" t="str">
        <f t="shared" si="21"/>
        <v>-</v>
      </c>
      <c r="W21" t="str">
        <f t="shared" si="6"/>
        <v>-</v>
      </c>
      <c r="X21" s="10" t="str">
        <f t="shared" si="7"/>
        <v>-</v>
      </c>
      <c r="Y21" s="7" t="str">
        <f t="shared" si="22"/>
        <v/>
      </c>
      <c r="Z21" s="13" t="str">
        <f t="shared" si="23"/>
        <v>-</v>
      </c>
      <c r="AA21" t="str">
        <f t="shared" si="24"/>
        <v>-</v>
      </c>
      <c r="AB21" s="16" t="str">
        <f t="shared" si="8"/>
        <v>-</v>
      </c>
      <c r="AC21" s="16" t="str">
        <f t="shared" si="25"/>
        <v>-</v>
      </c>
      <c r="AD21" s="16" t="str">
        <f t="shared" si="26"/>
        <v>-</v>
      </c>
      <c r="AF21" s="27" t="str" cm="1">
        <f t="array" ref="AF21">IFERROR(SUM(_xlfn._xlws.FILTER($AF$32:$AF$229*$AJ$32:$AJ$229,$B$32:$B$229=D21))/SUM(_xlfn._xlws.FILTER($AJ$32:$AJ$229,$B$32:$B$229=D21)),"-")</f>
        <v>-</v>
      </c>
      <c r="AG21" s="123" t="str">
        <f t="shared" si="27"/>
        <v>-</v>
      </c>
      <c r="AH21" s="124" t="str">
        <f t="shared" si="28"/>
        <v>-</v>
      </c>
      <c r="AI21" s="9" t="str">
        <f t="shared" si="9"/>
        <v/>
      </c>
      <c r="AJ21" s="4" t="str">
        <f t="shared" si="10"/>
        <v/>
      </c>
      <c r="AP21" s="20" t="str">
        <f t="shared" si="11"/>
        <v>-</v>
      </c>
      <c r="AQ21" s="13" t="str">
        <f t="shared" si="29"/>
        <v/>
      </c>
      <c r="AR21" s="9" t="str">
        <f t="shared" si="30"/>
        <v/>
      </c>
      <c r="AS21" s="13" t="str">
        <f t="shared" si="31"/>
        <v/>
      </c>
      <c r="AT21" s="16" t="str">
        <f t="shared" si="32"/>
        <v>-</v>
      </c>
      <c r="AU21" s="16" t="str">
        <f t="shared" si="12"/>
        <v>-</v>
      </c>
      <c r="AV21" s="4" t="str">
        <f t="shared" si="33"/>
        <v>-</v>
      </c>
      <c r="AW21" s="16" t="str">
        <f t="shared" si="13"/>
        <v>-</v>
      </c>
      <c r="AX21" t="str">
        <f t="shared" si="14"/>
        <v/>
      </c>
      <c r="AY21" s="9" t="str">
        <f t="shared" si="15"/>
        <v>-</v>
      </c>
      <c r="AZ21" s="20" t="str">
        <f t="shared" si="34"/>
        <v/>
      </c>
      <c r="BA21" s="20" t="str">
        <f t="shared" si="35"/>
        <v/>
      </c>
      <c r="BB21" s="20" t="str">
        <f t="shared" si="36"/>
        <v/>
      </c>
      <c r="BC21" s="20" t="str">
        <f t="shared" si="37"/>
        <v/>
      </c>
    </row>
    <row r="22" spans="2:68" x14ac:dyDescent="0.3">
      <c r="B22" s="114" t="str">
        <f>""</f>
        <v/>
      </c>
      <c r="C22" s="4">
        <v>19</v>
      </c>
      <c r="D22" s="108" t="str">
        <f t="shared" si="16"/>
        <v/>
      </c>
      <c r="E22" s="3"/>
      <c r="F22" s="109" t="str">
        <f>IFERROR(INDEX('Input - Tesco'!$Y$3:$Y$200,MATCH('Calculations - Tesco'!$C22,'Input - Tesco'!$Z$3:$Z$200,0)),"")</f>
        <v/>
      </c>
      <c r="G22" s="20" t="str">
        <f>IFERROR(INDEX('Input - Tesco'!R$2:R$200,MATCH('Calculations - Tesco'!$D22,'Input - Tesco'!$O$2:$O$200,0)),"")</f>
        <v/>
      </c>
      <c r="H22" s="20" t="str">
        <f>IFERROR(INDEX('Input - Tesco'!S$2:S$200,MATCH('Calculations - Tesco'!$D22,'Input - Tesco'!$O$2:$O$200,0)),"")</f>
        <v/>
      </c>
      <c r="I22" s="27" t="str">
        <f>IFERROR(INDEX('Input - Tesco'!T$2:T$200,MATCH('Calculations - Tesco'!$D22,'Input - Tesco'!$O$2:$O$200,0)),"")</f>
        <v/>
      </c>
      <c r="J22" s="27" t="str">
        <f>IFERROR(INDEX('Input - Tesco'!U$2:U$200,MATCH('Calculations - Tesco'!$D22,'Input - Tesco'!$O$2:$O$200,0)),"")</f>
        <v/>
      </c>
      <c r="K22" s="20" t="str">
        <f>IFERROR(INDEX('Input - Tesco'!V$2:V$200,MATCH('Calculations - Tesco'!$D22,'Input - Tesco'!$O$2:$O$200,0)),"")</f>
        <v/>
      </c>
      <c r="L22" s="20" t="str">
        <f>IFERROR(INDEX('Input - Tesco'!W$2:W$200,MATCH('Calculations - Tesco'!$D22,'Input - Tesco'!$O$2:$O$200,0)),"")</f>
        <v/>
      </c>
      <c r="M22" s="21" t="str">
        <f t="shared" si="17"/>
        <v/>
      </c>
      <c r="N22" s="21" t="str">
        <f t="shared" si="2"/>
        <v/>
      </c>
      <c r="O22" s="21" t="str">
        <f t="shared" si="18"/>
        <v/>
      </c>
      <c r="P22" s="9" t="str">
        <f t="shared" si="3"/>
        <v/>
      </c>
      <c r="Q22" s="9" t="str">
        <f t="shared" si="4"/>
        <v/>
      </c>
      <c r="R22" s="8" t="str">
        <f t="shared" si="5"/>
        <v>-</v>
      </c>
      <c r="S22" s="8" t="str">
        <f t="shared" si="19"/>
        <v>-</v>
      </c>
      <c r="T22" t="str">
        <f t="shared" si="20"/>
        <v>-</v>
      </c>
      <c r="U22" t="str">
        <f t="shared" si="20"/>
        <v>-</v>
      </c>
      <c r="V22" t="str">
        <f t="shared" si="21"/>
        <v>-</v>
      </c>
      <c r="W22" t="str">
        <f t="shared" si="6"/>
        <v>-</v>
      </c>
      <c r="X22" s="10" t="str">
        <f t="shared" si="7"/>
        <v>-</v>
      </c>
      <c r="Y22" s="7" t="str">
        <f t="shared" si="22"/>
        <v/>
      </c>
      <c r="Z22" s="13" t="str">
        <f t="shared" si="23"/>
        <v>-</v>
      </c>
      <c r="AA22" t="str">
        <f t="shared" si="24"/>
        <v>-</v>
      </c>
      <c r="AB22" s="16" t="str">
        <f t="shared" si="8"/>
        <v>-</v>
      </c>
      <c r="AC22" s="16" t="str">
        <f t="shared" si="25"/>
        <v>-</v>
      </c>
      <c r="AD22" s="16" t="str">
        <f t="shared" si="26"/>
        <v>-</v>
      </c>
      <c r="AF22" s="27" t="str" cm="1">
        <f t="array" ref="AF22">IFERROR(SUM(_xlfn._xlws.FILTER($AF$32:$AF$229*$AJ$32:$AJ$229,$B$32:$B$229=D22))/SUM(_xlfn._xlws.FILTER($AJ$32:$AJ$229,$B$32:$B$229=D22)),"-")</f>
        <v>-</v>
      </c>
      <c r="AG22" s="123" t="str">
        <f t="shared" si="27"/>
        <v>-</v>
      </c>
      <c r="AH22" s="124" t="str">
        <f t="shared" si="28"/>
        <v>-</v>
      </c>
      <c r="AI22" s="9" t="str">
        <f t="shared" si="9"/>
        <v/>
      </c>
      <c r="AJ22" s="4" t="str">
        <f t="shared" si="10"/>
        <v/>
      </c>
      <c r="AP22" s="20" t="str">
        <f t="shared" si="11"/>
        <v>-</v>
      </c>
      <c r="AQ22" s="13" t="str">
        <f t="shared" si="29"/>
        <v/>
      </c>
      <c r="AR22" s="9" t="str">
        <f t="shared" si="30"/>
        <v/>
      </c>
      <c r="AS22" s="13" t="str">
        <f t="shared" si="31"/>
        <v/>
      </c>
      <c r="AT22" s="16" t="str">
        <f t="shared" si="32"/>
        <v>-</v>
      </c>
      <c r="AU22" s="16" t="str">
        <f t="shared" si="12"/>
        <v>-</v>
      </c>
      <c r="AV22" s="4" t="str">
        <f t="shared" si="33"/>
        <v>-</v>
      </c>
      <c r="AW22" s="16" t="str">
        <f t="shared" si="13"/>
        <v>-</v>
      </c>
      <c r="AX22" t="str">
        <f t="shared" si="14"/>
        <v/>
      </c>
      <c r="AY22" s="9" t="str">
        <f t="shared" si="15"/>
        <v>-</v>
      </c>
      <c r="AZ22" s="20" t="str">
        <f t="shared" si="34"/>
        <v/>
      </c>
      <c r="BA22" s="20" t="str">
        <f t="shared" si="35"/>
        <v/>
      </c>
      <c r="BB22" s="20" t="str">
        <f t="shared" si="36"/>
        <v/>
      </c>
      <c r="BC22" s="20" t="str">
        <f t="shared" si="37"/>
        <v/>
      </c>
    </row>
    <row r="23" spans="2:68" x14ac:dyDescent="0.3">
      <c r="B23" s="114" t="str">
        <f>""</f>
        <v/>
      </c>
      <c r="C23" s="4">
        <v>20</v>
      </c>
      <c r="D23" s="108" t="str">
        <f t="shared" si="16"/>
        <v/>
      </c>
      <c r="E23" s="3"/>
      <c r="F23" s="109" t="str">
        <f>IFERROR(INDEX('Input - Tesco'!$Y$3:$Y$200,MATCH('Calculations - Tesco'!$C23,'Input - Tesco'!$Z$3:$Z$200,0)),"")</f>
        <v/>
      </c>
      <c r="G23" s="20" t="str">
        <f>IFERROR(INDEX('Input - Tesco'!R$2:R$200,MATCH('Calculations - Tesco'!$D23,'Input - Tesco'!$O$2:$O$200,0)),"")</f>
        <v/>
      </c>
      <c r="H23" s="20" t="str">
        <f>IFERROR(INDEX('Input - Tesco'!S$2:S$200,MATCH('Calculations - Tesco'!$D23,'Input - Tesco'!$O$2:$O$200,0)),"")</f>
        <v/>
      </c>
      <c r="I23" s="27" t="str">
        <f>IFERROR(INDEX('Input - Tesco'!T$2:T$200,MATCH('Calculations - Tesco'!$D23,'Input - Tesco'!$O$2:$O$200,0)),"")</f>
        <v/>
      </c>
      <c r="J23" s="27" t="str">
        <f>IFERROR(INDEX('Input - Tesco'!U$2:U$200,MATCH('Calculations - Tesco'!$D23,'Input - Tesco'!$O$2:$O$200,0)),"")</f>
        <v/>
      </c>
      <c r="K23" s="20" t="str">
        <f>IFERROR(INDEX('Input - Tesco'!V$2:V$200,MATCH('Calculations - Tesco'!$D23,'Input - Tesco'!$O$2:$O$200,0)),"")</f>
        <v/>
      </c>
      <c r="L23" s="20" t="str">
        <f>IFERROR(INDEX('Input - Tesco'!W$2:W$200,MATCH('Calculations - Tesco'!$D23,'Input - Tesco'!$O$2:$O$200,0)),"")</f>
        <v/>
      </c>
      <c r="M23" s="21" t="str">
        <f t="shared" si="17"/>
        <v/>
      </c>
      <c r="N23" s="21" t="str">
        <f t="shared" si="2"/>
        <v/>
      </c>
      <c r="O23" s="21" t="str">
        <f t="shared" si="18"/>
        <v/>
      </c>
      <c r="P23" s="9" t="str">
        <f t="shared" si="3"/>
        <v/>
      </c>
      <c r="Q23" s="9" t="str">
        <f t="shared" si="4"/>
        <v/>
      </c>
      <c r="R23" s="8" t="str">
        <f t="shared" si="5"/>
        <v>-</v>
      </c>
      <c r="S23" s="8" t="str">
        <f t="shared" si="19"/>
        <v>-</v>
      </c>
      <c r="T23" t="str">
        <f t="shared" si="20"/>
        <v>-</v>
      </c>
      <c r="U23" t="str">
        <f t="shared" si="20"/>
        <v>-</v>
      </c>
      <c r="V23" t="str">
        <f t="shared" si="21"/>
        <v>-</v>
      </c>
      <c r="W23" t="str">
        <f t="shared" si="6"/>
        <v>-</v>
      </c>
      <c r="X23" s="10" t="str">
        <f t="shared" si="7"/>
        <v>-</v>
      </c>
      <c r="Y23" s="7" t="str">
        <f t="shared" si="22"/>
        <v/>
      </c>
      <c r="Z23" s="13" t="str">
        <f t="shared" si="23"/>
        <v>-</v>
      </c>
      <c r="AA23" t="str">
        <f t="shared" si="24"/>
        <v>-</v>
      </c>
      <c r="AB23" s="16" t="str">
        <f t="shared" si="8"/>
        <v>-</v>
      </c>
      <c r="AC23" s="16" t="str">
        <f t="shared" si="25"/>
        <v>-</v>
      </c>
      <c r="AD23" s="16" t="str">
        <f t="shared" si="26"/>
        <v>-</v>
      </c>
      <c r="AF23" s="27" t="str" cm="1">
        <f t="array" ref="AF23">IFERROR(SUM(_xlfn._xlws.FILTER($AF$32:$AF$229*$AJ$32:$AJ$229,$B$32:$B$229=D23))/SUM(_xlfn._xlws.FILTER($AJ$32:$AJ$229,$B$32:$B$229=D23)),"-")</f>
        <v>-</v>
      </c>
      <c r="AG23" s="123" t="str">
        <f t="shared" si="27"/>
        <v>-</v>
      </c>
      <c r="AH23" s="124" t="str">
        <f t="shared" si="28"/>
        <v>-</v>
      </c>
      <c r="AI23" s="9" t="str">
        <f t="shared" si="9"/>
        <v/>
      </c>
      <c r="AJ23" s="4" t="str">
        <f t="shared" si="10"/>
        <v/>
      </c>
      <c r="AP23" s="20" t="str">
        <f t="shared" si="11"/>
        <v>-</v>
      </c>
      <c r="AQ23" s="13" t="str">
        <f t="shared" si="29"/>
        <v/>
      </c>
      <c r="AR23" s="9" t="str">
        <f t="shared" si="30"/>
        <v/>
      </c>
      <c r="AS23" s="13" t="str">
        <f t="shared" si="31"/>
        <v/>
      </c>
      <c r="AT23" s="16" t="str">
        <f t="shared" si="32"/>
        <v>-</v>
      </c>
      <c r="AU23" s="16" t="str">
        <f t="shared" si="12"/>
        <v>-</v>
      </c>
      <c r="AV23" s="4" t="str">
        <f t="shared" si="33"/>
        <v>-</v>
      </c>
      <c r="AW23" s="16" t="str">
        <f t="shared" si="13"/>
        <v>-</v>
      </c>
      <c r="AX23" t="str">
        <f t="shared" si="14"/>
        <v/>
      </c>
      <c r="AY23" s="9" t="str">
        <f t="shared" si="15"/>
        <v>-</v>
      </c>
      <c r="AZ23" s="20" t="str">
        <f t="shared" si="34"/>
        <v/>
      </c>
      <c r="BA23" s="20" t="str">
        <f t="shared" si="35"/>
        <v/>
      </c>
      <c r="BB23" s="20" t="str">
        <f t="shared" si="36"/>
        <v/>
      </c>
      <c r="BC23" s="20" t="str">
        <f t="shared" si="37"/>
        <v/>
      </c>
    </row>
    <row r="24" spans="2:68" x14ac:dyDescent="0.3">
      <c r="D24" s="108" t="str">
        <f t="shared" si="16"/>
        <v>TescoTOTAL CATEGORY</v>
      </c>
      <c r="E24" s="109" t="str">
        <f>E4</f>
        <v>Tesco</v>
      </c>
      <c r="F24" s="3" t="s">
        <v>43</v>
      </c>
      <c r="G24" s="20">
        <f>SUM(G4:G23)</f>
        <v>15370156.289999999</v>
      </c>
      <c r="H24" s="20">
        <f>SUM(H4:H23)</f>
        <v>3107727.0199999996</v>
      </c>
      <c r="I24" s="27" t="str">
        <f>IFERROR(INDEX('Input - Tesco'!T$2:T$200,MATCH('Calculations - Tesco'!$D24,'Input - Tesco'!$O$2:$O$200,0)),"")</f>
        <v/>
      </c>
      <c r="J24" s="27">
        <f>'Input - Tesco'!M3</f>
        <v>11.664993089999999</v>
      </c>
      <c r="K24" s="20">
        <f t="shared" ref="K24:L24" si="38">SUM(K4:K23)</f>
        <v>44628649.339999996</v>
      </c>
      <c r="L24" s="20">
        <f t="shared" si="38"/>
        <v>9185466.2800000012</v>
      </c>
      <c r="M24" s="21">
        <f t="shared" si="17"/>
        <v>4.9457871270817089</v>
      </c>
      <c r="N24" s="21">
        <f t="shared" si="2"/>
        <v>4.8586155541360272</v>
      </c>
      <c r="O24" s="21">
        <f t="shared" si="18"/>
        <v>-3.6803360057545036</v>
      </c>
      <c r="P24" s="9">
        <f>IFERROR(G24/SUM(G$4:G$23),"")</f>
        <v>1</v>
      </c>
      <c r="Q24" s="8">
        <f t="shared" ref="Q24" si="39">SUM(Q4:Q23)</f>
        <v>1.0000000000000002</v>
      </c>
      <c r="R24" s="20"/>
      <c r="S24" s="20"/>
      <c r="T24" s="20">
        <f t="shared" ref="T24:X24" si="40">SUM(T4:T23)</f>
        <v>11293208.175999999</v>
      </c>
      <c r="U24" s="20">
        <f t="shared" si="40"/>
        <v>3387962.4527999996</v>
      </c>
      <c r="V24" s="8"/>
      <c r="W24" s="20"/>
      <c r="X24" s="20">
        <f t="shared" si="40"/>
        <v>24833715.08933799</v>
      </c>
      <c r="Y24" s="20"/>
      <c r="AA24" s="20">
        <f t="shared" ref="AA24:AB24" si="41">SUM(AA4:AA23)</f>
        <v>15370156.289999999</v>
      </c>
      <c r="AB24" s="20">
        <f t="shared" si="41"/>
        <v>3108548.724127355</v>
      </c>
      <c r="AC24" s="20"/>
      <c r="AD24" s="20"/>
      <c r="AF24" s="27">
        <f>AT24/AU24</f>
        <v>4.944479773053831</v>
      </c>
      <c r="AJ24" s="20">
        <f t="shared" ref="AJ24" si="42">SUM(AJ4:AJ23)</f>
        <v>3107727.0199999996</v>
      </c>
      <c r="AP24" s="15">
        <f>SUM(AP4:AP23)</f>
        <v>24833715.089337986</v>
      </c>
      <c r="AQ24" s="13">
        <f t="shared" si="29"/>
        <v>1</v>
      </c>
      <c r="AR24" s="9">
        <f t="shared" si="30"/>
        <v>1</v>
      </c>
      <c r="AS24" s="13">
        <f t="shared" si="31"/>
        <v>0</v>
      </c>
      <c r="AT24" s="15">
        <f t="shared" ref="AT24" si="43">SUM(AT4:AT23)</f>
        <v>15370156.289999999</v>
      </c>
      <c r="AU24" s="15">
        <f>SUM(AU4:AU23)</f>
        <v>3108548.724127355</v>
      </c>
      <c r="AZ24" s="20">
        <f t="shared" si="34"/>
        <v>119.97462165927418</v>
      </c>
      <c r="BA24" s="20">
        <f t="shared" si="35"/>
        <v>75.859808564355319</v>
      </c>
      <c r="BB24" s="20">
        <f t="shared" si="36"/>
        <v>120.0063437639381</v>
      </c>
      <c r="BC24" s="20">
        <f t="shared" si="37"/>
        <v>75.879866412871777</v>
      </c>
    </row>
    <row r="29" spans="2:68" x14ac:dyDescent="0.3">
      <c r="B29" t="str">
        <f>"L2_"&amp;B31</f>
        <v>L2_Key_Brand</v>
      </c>
      <c r="C29" t="str">
        <f t="shared" ref="C29:AW29" si="44">"L2_"&amp;C31</f>
        <v>L2_Key_Input</v>
      </c>
      <c r="D29" t="str">
        <f t="shared" si="44"/>
        <v>L2_Channel</v>
      </c>
      <c r="E29" t="str">
        <f t="shared" si="44"/>
        <v>L2_Brand</v>
      </c>
      <c r="F29" t="str">
        <f t="shared" si="44"/>
        <v>L2_PPG</v>
      </c>
      <c r="G29" t="str">
        <f t="shared" si="44"/>
        <v>L2_RSV</v>
      </c>
      <c r="H29" t="str">
        <f t="shared" si="44"/>
        <v>L2_Vol</v>
      </c>
      <c r="I29" t="str">
        <f t="shared" si="44"/>
        <v>L2_CSF</v>
      </c>
      <c r="J29" t="str">
        <f t="shared" si="44"/>
        <v>L2_MCV</v>
      </c>
      <c r="K29" t="str">
        <f t="shared" si="44"/>
        <v>L2_RSV_Total</v>
      </c>
      <c r="L29" t="str">
        <f t="shared" si="44"/>
        <v>L2_Volume_Total</v>
      </c>
      <c r="M29" t="str">
        <f t="shared" si="44"/>
        <v>L2_Current Price</v>
      </c>
      <c r="N29" t="str">
        <f t="shared" si="44"/>
        <v>L2_Price_FP</v>
      </c>
      <c r="O29" t="str">
        <f t="shared" si="44"/>
        <v>L2_Elasticity</v>
      </c>
      <c r="P29" t="str">
        <f t="shared" si="44"/>
        <v>L2_Val Share</v>
      </c>
      <c r="Q29" t="str">
        <f t="shared" si="44"/>
        <v>L2_Vol. Share</v>
      </c>
      <c r="R29" t="str">
        <f t="shared" si="44"/>
        <v>L2_NSV_to_RSV_o</v>
      </c>
      <c r="S29" t="str">
        <f t="shared" si="44"/>
        <v>L2_NSV_to_GM_o</v>
      </c>
      <c r="T29" t="str">
        <f t="shared" si="44"/>
        <v>L2_NSV_o</v>
      </c>
      <c r="U29" t="str">
        <f t="shared" si="44"/>
        <v>L2_GM_o</v>
      </c>
      <c r="V29" t="str">
        <f t="shared" si="44"/>
        <v>L2_Fixed Cost</v>
      </c>
      <c r="W29" t="str">
        <f t="shared" si="44"/>
        <v>L2_Fixed Cost per Unit</v>
      </c>
      <c r="X29" t="str">
        <f t="shared" si="44"/>
        <v>L2_TPV</v>
      </c>
      <c r="Y29" t="str">
        <f t="shared" si="44"/>
        <v>L2_PVS</v>
      </c>
      <c r="Z29" t="str">
        <f t="shared" si="44"/>
        <v>L2_MS Headroom</v>
      </c>
      <c r="AA29" t="str">
        <f t="shared" si="44"/>
        <v>L2_New RSV</v>
      </c>
      <c r="AB29" t="str">
        <f t="shared" si="44"/>
        <v>L2_Vol_i</v>
      </c>
      <c r="AC29" t="str">
        <f t="shared" si="44"/>
        <v>L2_NSV_i</v>
      </c>
      <c r="AD29" t="str">
        <f t="shared" si="44"/>
        <v>L2_GM</v>
      </c>
      <c r="AF29" t="str">
        <f t="shared" si="44"/>
        <v>L2_New Price</v>
      </c>
      <c r="AG29" t="str">
        <f t="shared" si="44"/>
        <v>L2_NSV_to_RSV</v>
      </c>
      <c r="AH29" t="str">
        <f t="shared" si="44"/>
        <v>L2_NSV_to_GM</v>
      </c>
      <c r="AI29" t="str">
        <f t="shared" si="44"/>
        <v>L2_Price_Chng</v>
      </c>
      <c r="AJ29" t="str">
        <f t="shared" si="44"/>
        <v>L2_Revised_New_Vol</v>
      </c>
      <c r="AK29" t="str">
        <f t="shared" si="44"/>
        <v>L2_New Category Price</v>
      </c>
      <c r="AL29" t="str">
        <f t="shared" si="44"/>
        <v>L2_Chg Category Price</v>
      </c>
      <c r="AM29" t="str">
        <f t="shared" si="44"/>
        <v>L2_Chng in Cat Vol.</v>
      </c>
      <c r="AN29" t="str">
        <f t="shared" si="44"/>
        <v>L2_New Cat Vol</v>
      </c>
      <c r="AO29" t="str">
        <f t="shared" si="44"/>
        <v>L2_New Cat Val</v>
      </c>
      <c r="AP29" t="str">
        <f t="shared" si="44"/>
        <v>L2_TPV_n</v>
      </c>
      <c r="AQ29" t="str">
        <f t="shared" si="44"/>
        <v>L2_TPV_Share</v>
      </c>
      <c r="AR29" t="str">
        <f t="shared" si="44"/>
        <v>L2_PVS_N</v>
      </c>
      <c r="AS29" t="str">
        <f t="shared" si="44"/>
        <v>L2_MSP_N</v>
      </c>
      <c r="AT29" t="str">
        <f t="shared" si="44"/>
        <v>L2_RSV_N</v>
      </c>
      <c r="AU29" t="str">
        <f t="shared" si="44"/>
        <v>L2_New Vol</v>
      </c>
      <c r="AV29" t="str">
        <f t="shared" si="44"/>
        <v>L2_New NSV</v>
      </c>
      <c r="AW29" t="str">
        <f t="shared" si="44"/>
        <v>L2_New GP</v>
      </c>
      <c r="AX29" s="108" t="str">
        <f t="shared" ref="AX29:AZ29" si="45">"L3_"&amp;AX31</f>
        <v>L3_Vol_Contri</v>
      </c>
      <c r="AY29" s="108" t="str">
        <f t="shared" si="45"/>
        <v>L3_Updated_Vol</v>
      </c>
      <c r="AZ29" s="108" t="str">
        <f t="shared" si="45"/>
        <v>L3_Sim. Vol Share</v>
      </c>
    </row>
    <row r="30" spans="2:68" x14ac:dyDescent="0.3">
      <c r="B30" s="26" t="str">
        <f>IFERROR(D30&amp;E30,"")</f>
        <v>TescoTOTAL CATEGORY</v>
      </c>
      <c r="D30" s="109" t="str">
        <f>D32</f>
        <v>Tesco</v>
      </c>
      <c r="E30" s="3" t="s">
        <v>43</v>
      </c>
      <c r="G30" s="15">
        <f>SUM(G32:G229)</f>
        <v>15370156.290000001</v>
      </c>
      <c r="H30" s="15">
        <f>SUM(H32:H229)</f>
        <v>3107727.02</v>
      </c>
      <c r="J30" s="29">
        <f>'Input - Tesco'!M3</f>
        <v>11.664993089999999</v>
      </c>
      <c r="K30" s="15">
        <f t="shared" ref="K30:L30" si="46">SUM(K32:K229)</f>
        <v>44628634.939999998</v>
      </c>
      <c r="L30" s="15">
        <f t="shared" si="46"/>
        <v>9185464.4199999981</v>
      </c>
      <c r="M30" s="14">
        <f>IFERROR(G30/H30,"")</f>
        <v>4.9457871270817089</v>
      </c>
      <c r="N30" s="14">
        <f>IFERROR(K30/L30,"")</f>
        <v>4.8586149702814927</v>
      </c>
      <c r="O30" s="14">
        <f>IFERROR((M30/(M30-J30)*5),0)</f>
        <v>-3.6803360057545036</v>
      </c>
      <c r="P30" s="19">
        <f>SUM(P32:P229)</f>
        <v>1</v>
      </c>
      <c r="X30" s="12">
        <f>SUM(X32:X229)</f>
        <v>24833715.089338012</v>
      </c>
      <c r="AP30" s="15">
        <f>SUM(AP32:AP229)</f>
        <v>24833715.089338012</v>
      </c>
      <c r="AX30" s="108"/>
      <c r="AY30" s="108"/>
      <c r="AZ30" s="108"/>
      <c r="BE30" s="4"/>
    </row>
    <row r="31" spans="2:68" x14ac:dyDescent="0.3">
      <c r="B31" s="4" t="s">
        <v>42</v>
      </c>
      <c r="C31" s="4" t="s">
        <v>41</v>
      </c>
      <c r="D31" s="4" t="s">
        <v>0</v>
      </c>
      <c r="E31" s="4" t="s">
        <v>1</v>
      </c>
      <c r="F31" s="4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5" t="s">
        <v>10</v>
      </c>
      <c r="N31" s="5" t="s">
        <v>12</v>
      </c>
      <c r="O31" s="5" t="s">
        <v>11</v>
      </c>
      <c r="P31" s="5" t="s">
        <v>20</v>
      </c>
      <c r="Q31" s="5" t="s">
        <v>19</v>
      </c>
      <c r="R31" s="5" t="s">
        <v>27</v>
      </c>
      <c r="S31" s="5" t="s">
        <v>28</v>
      </c>
      <c r="T31" s="9" t="s">
        <v>29</v>
      </c>
      <c r="U31" s="9" t="s">
        <v>30</v>
      </c>
      <c r="V31" s="9" t="s">
        <v>47</v>
      </c>
      <c r="W31" s="9" t="s">
        <v>48</v>
      </c>
      <c r="X31" s="5" t="s">
        <v>22</v>
      </c>
      <c r="Y31" s="5" t="s">
        <v>23</v>
      </c>
      <c r="Z31" s="5" t="s">
        <v>24</v>
      </c>
      <c r="AA31" s="5" t="s">
        <v>25</v>
      </c>
      <c r="AB31" s="5" t="s">
        <v>26</v>
      </c>
      <c r="AC31" s="5" t="s">
        <v>21</v>
      </c>
      <c r="AD31" s="5" t="s">
        <v>18</v>
      </c>
      <c r="AE31" s="5"/>
      <c r="AF31" s="5" t="s">
        <v>13</v>
      </c>
      <c r="AG31" s="5" t="s">
        <v>16</v>
      </c>
      <c r="AH31" s="5" t="s">
        <v>17</v>
      </c>
      <c r="AI31" s="5" t="s">
        <v>14</v>
      </c>
      <c r="AJ31" s="5" t="s">
        <v>15</v>
      </c>
      <c r="AK31" s="17" t="s">
        <v>31</v>
      </c>
      <c r="AL31" s="17" t="s">
        <v>83</v>
      </c>
      <c r="AM31" s="18" t="s">
        <v>32</v>
      </c>
      <c r="AN31" s="18" t="s">
        <v>34</v>
      </c>
      <c r="AO31" s="18" t="s">
        <v>35</v>
      </c>
      <c r="AP31" s="4" t="s">
        <v>36</v>
      </c>
      <c r="AQ31" s="4" t="s">
        <v>37</v>
      </c>
      <c r="AR31" s="4" t="s">
        <v>44</v>
      </c>
      <c r="AS31" s="4" t="s">
        <v>45</v>
      </c>
      <c r="AT31" s="4" t="s">
        <v>46</v>
      </c>
      <c r="AU31" s="4" t="s">
        <v>38</v>
      </c>
      <c r="AV31" s="4" t="s">
        <v>39</v>
      </c>
      <c r="AW31" s="4" t="s">
        <v>40</v>
      </c>
      <c r="AX31" s="119" t="s">
        <v>102</v>
      </c>
      <c r="AY31" s="120" t="s">
        <v>103</v>
      </c>
      <c r="AZ31" s="120" t="s">
        <v>104</v>
      </c>
    </row>
    <row r="32" spans="2:68" x14ac:dyDescent="0.3">
      <c r="B32" s="108" t="str">
        <f>IFERROR(D32&amp;E32,"")</f>
        <v>TescoDADDIES</v>
      </c>
      <c r="C32" s="108" t="str">
        <f t="shared" ref="C32:C95" si="47">IFERROR(D32&amp;E32&amp;F32,"")</f>
        <v>TescoDADDIESMedium</v>
      </c>
      <c r="D32" s="3" t="s">
        <v>115</v>
      </c>
      <c r="E32" s="3" t="s">
        <v>106</v>
      </c>
      <c r="F32" s="3" t="s">
        <v>111</v>
      </c>
      <c r="G32" s="20">
        <f>IFERROR(INDEX('Input - Tesco'!F$2:F$200,MATCH('Calculations - Tesco'!$C32,'Input - Tesco'!$B$2:$B$200,0)),"")</f>
        <v>1834864.89</v>
      </c>
      <c r="H32" s="20">
        <f>IFERROR(INDEX('Input - Tesco'!G$2:G$200,MATCH('Calculations - Tesco'!$C32,'Input - Tesco'!$B$2:$B$200,0)),"")</f>
        <v>488458</v>
      </c>
      <c r="I32" s="21">
        <f>IFERROR(INDEX('Input - Tesco'!H$2:H$200,MATCH('Calculations - Tesco'!$C32,'Input - Tesco'!$B$2:$B$200,0)),"")</f>
        <v>2.02197018046675</v>
      </c>
      <c r="J32" s="21">
        <f>IFERROR(INDEX('Input - Tesco'!I$2:I$200,MATCH('Calculations - Tesco'!$C32,'Input - Tesco'!$B$2:$B$200,0)),"")</f>
        <v>7.5954167866334696</v>
      </c>
      <c r="K32" s="20">
        <f>IFERROR(INDEX('Input - Tesco'!J$2:J$200,MATCH('Calculations - Tesco'!$C32,'Input - Tesco'!$B$2:$B$200,0)),"")</f>
        <v>5145186.84</v>
      </c>
      <c r="L32" s="20">
        <f>IFERROR(INDEX('Input - Tesco'!K$2:K$200,MATCH('Calculations - Tesco'!$C32,'Input - Tesco'!$B$2:$B$200,0)),"")</f>
        <v>1370212.4</v>
      </c>
      <c r="M32" s="21">
        <f>IFERROR(G32/H32,"")</f>
        <v>3.756443522268035</v>
      </c>
      <c r="N32" s="21">
        <f t="shared" ref="N32:N95" si="48">IFERROR(K32/L32,"")</f>
        <v>3.7550286656287741</v>
      </c>
      <c r="O32" s="21">
        <f>IFERROR((M32/(M32-J32)*5),0)</f>
        <v>-4.8925106579101936</v>
      </c>
      <c r="P32" s="9">
        <f t="shared" ref="P32:P63" si="49">G32/SUM(G$32:G$229)</f>
        <v>0.1193784145964595</v>
      </c>
      <c r="Q32" s="9">
        <f t="shared" ref="Q32:Q63" si="50">H32/SUM(H$32:H$229)</f>
        <v>0.15717532359068012</v>
      </c>
      <c r="R32" s="22">
        <f>IFERROR(INDEX(Tesco!$Q$11:$Q$165,MATCH('Calculations - Tesco'!$C32,Tesco!$M$11:$M$165,0)),"")</f>
        <v>0.8</v>
      </c>
      <c r="S32" s="22">
        <f>IFERROR(INDEX(Tesco!$R$11:$R$165,MATCH('Calculations - Tesco'!$C32,Tesco!$M$11:$M$165,0)),"")</f>
        <v>0.3</v>
      </c>
      <c r="T32" s="16">
        <f t="shared" ref="T32:T95" si="51">R32*G32</f>
        <v>1467891.912</v>
      </c>
      <c r="U32" s="16">
        <f>S32*T32</f>
        <v>440367.5736</v>
      </c>
      <c r="V32" s="16">
        <f>T32-U32</f>
        <v>1027524.3384</v>
      </c>
      <c r="W32" s="10">
        <f t="shared" ref="W32:W95" si="52">IFERROR(V32/H32,"-")</f>
        <v>2.1036083724701</v>
      </c>
      <c r="X32" s="10">
        <f t="shared" ref="X32:X95" si="53">IFERROR((J32+M32)*H32*0.5,"-")</f>
        <v>2772453.4913827055</v>
      </c>
      <c r="Y32" s="13">
        <f>IFERROR(X32/$X$30,"-")</f>
        <v>0.11164070624990852</v>
      </c>
      <c r="Z32" s="9">
        <f t="shared" ref="Z32:Z95" si="54">IFERROR(Y32-P32,"-")</f>
        <v>-7.7377083465509783E-3</v>
      </c>
      <c r="AA32" s="16">
        <f>IFERROR(Y32*$G$30,"-")</f>
        <v>1715935.1033870738</v>
      </c>
      <c r="AB32" s="16">
        <f t="shared" ref="AB32:AB95" si="55">IFERROR(AA32/M32,"-")</f>
        <v>456797.79110615788</v>
      </c>
      <c r="AC32" s="16">
        <f t="shared" ref="AC32:AC95" si="56">IFERROR(R32*AA32,"-")</f>
        <v>1372748.0827096591</v>
      </c>
      <c r="AD32" s="16">
        <f>IFERROR(AC32-(W32)*AB32,"-")</f>
        <v>411824.42481289757</v>
      </c>
      <c r="AE32" s="16"/>
      <c r="AF32" s="31">
        <f>IFERROR(INDEX(Tesco!$P$11:$P$165,MATCH('Calculations - Tesco'!C32,Tesco!$M$11:$M$165,0)),"")</f>
        <v>3.756443522268035</v>
      </c>
      <c r="AG32" s="23">
        <f>R32</f>
        <v>0.8</v>
      </c>
      <c r="AH32" s="23">
        <f>S32</f>
        <v>0.3</v>
      </c>
      <c r="AI32" s="9">
        <f t="shared" ref="AI32:AI95" si="57">IFERROR((AF32-M32)/M32,"")</f>
        <v>0</v>
      </c>
      <c r="AJ32" s="4">
        <f t="shared" ref="AJ32:AJ95" si="58">IFERROR(MAX((1+AI32*O32/5)*H32,0),"")</f>
        <v>488458</v>
      </c>
      <c r="AK32" s="18">
        <f>SUMPRODUCT(AF$32:AF$229,AJ$32:AJ$229)/SUM(AJ$32:AJ$229)</f>
        <v>4.9457871270817089</v>
      </c>
      <c r="AL32" s="24">
        <f>$AK32/$M$30-1</f>
        <v>0</v>
      </c>
      <c r="AM32" s="24">
        <f>$AL32*$O$30/5</f>
        <v>0</v>
      </c>
      <c r="AN32" s="25">
        <f>(1+$AM32)*$H$30</f>
        <v>3107727.02</v>
      </c>
      <c r="AO32" s="25">
        <f>AN32*AK32</f>
        <v>15370156.290000001</v>
      </c>
      <c r="AP32" s="20">
        <f t="shared" ref="AP32:AP95" si="59">IFERROR(0.5*(J32+AF32)*AJ32,"-")</f>
        <v>2772453.4913827055</v>
      </c>
      <c r="AQ32" s="13">
        <f>IFERROR(AP32/AP$30,"-")</f>
        <v>0.11164070624990852</v>
      </c>
      <c r="AR32" s="13">
        <f>IFERROR(AQ32*$P$30,"-")</f>
        <v>0.11164070624990852</v>
      </c>
      <c r="AS32" s="13">
        <f t="shared" ref="AS32:AS95" si="60">IFERROR(AR32-P32,"-")</f>
        <v>-7.7377083465509783E-3</v>
      </c>
      <c r="AT32" s="16">
        <f>IFERROR(AR32*AO$32,"-")</f>
        <v>1715935.1033870738</v>
      </c>
      <c r="AU32" s="16">
        <f t="shared" ref="AU32:AU95" si="61">IFERROR(AT32/AF32,"-")</f>
        <v>456797.79110615788</v>
      </c>
      <c r="AV32" s="16">
        <f t="shared" ref="AV32:AV95" si="62">IFERROR(AG32*AT32,"-")</f>
        <v>1372748.0827096591</v>
      </c>
      <c r="AW32" s="16">
        <f>IFERROR(AV32-(W32*AU32),"-")</f>
        <v>411824.42481289757</v>
      </c>
      <c r="AX32" s="13">
        <f>IFERROR(AU32/SUMIFS($AU$32:$AU$229,$B$32:$B$229,$B32),"-")</f>
        <v>0.99581249827709639</v>
      </c>
      <c r="AY32" s="10">
        <f>IFERROR(AX32*INDEX($AU$4:$AU$24,MATCH($B32,$D$4:$D$24,0)),"-")</f>
        <v>456714.61301081022</v>
      </c>
      <c r="AZ32" s="9">
        <f>IFERROR(AY32/SUM($AY$32:$AY$229),"-")</f>
        <v>0.1469221342634805</v>
      </c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</row>
    <row r="33" spans="2:68" x14ac:dyDescent="0.3">
      <c r="B33" s="108" t="str">
        <f t="shared" ref="B33:B96" si="63">IFERROR(D33&amp;E33,"")</f>
        <v>TescoDADDIES</v>
      </c>
      <c r="C33" s="108" t="str">
        <f t="shared" si="47"/>
        <v>TescoDADDIESLarge</v>
      </c>
      <c r="D33" s="3" t="s">
        <v>115</v>
      </c>
      <c r="E33" s="3" t="s">
        <v>106</v>
      </c>
      <c r="F33" s="3" t="s">
        <v>112</v>
      </c>
      <c r="G33" s="20">
        <f>IFERROR(INDEX('Input - Tesco'!F$2:F$200,MATCH('Calculations - Tesco'!$C33,'Input - Tesco'!$B$2:$B$200,0)),"")</f>
        <v>4465.63</v>
      </c>
      <c r="H33" s="20">
        <f>IFERROR(INDEX('Input - Tesco'!G$2:G$200,MATCH('Calculations - Tesco'!$C33,'Input - Tesco'!$B$2:$B$200,0)),"")</f>
        <v>1786.37</v>
      </c>
      <c r="I33" s="21">
        <f>IFERROR(INDEX('Input - Tesco'!H$2:H$200,MATCH('Calculations - Tesco'!$C33,'Input - Tesco'!$B$2:$B$200,0)),"")</f>
        <v>2.4747487777894701</v>
      </c>
      <c r="J33" s="21">
        <f>IFERROR(INDEX('Input - Tesco'!I$2:I$200,MATCH('Calculations - Tesco'!$C33,'Input - Tesco'!$B$2:$B$200,0)),"")</f>
        <v>6.1864632660423098</v>
      </c>
      <c r="K33" s="20">
        <f>IFERROR(INDEX('Input - Tesco'!J$2:J$200,MATCH('Calculations - Tesco'!$C33,'Input - Tesco'!$B$2:$B$200,0)),"")</f>
        <v>9803.4599999999991</v>
      </c>
      <c r="L33" s="20">
        <f>IFERROR(INDEX('Input - Tesco'!K$2:K$200,MATCH('Calculations - Tesco'!$C33,'Input - Tesco'!$B$2:$B$200,0)),"")</f>
        <v>3935.0549999999998</v>
      </c>
      <c r="M33" s="21">
        <f t="shared" ref="M33:M96" si="64">IFERROR(G33/H33,"")</f>
        <v>2.4998348606391736</v>
      </c>
      <c r="N33" s="21">
        <f t="shared" si="48"/>
        <v>2.4913146067844032</v>
      </c>
      <c r="O33" s="21">
        <f t="shared" ref="O33:O96" si="65">IFERROR((M33/(M33-J33)*5),0)</f>
        <v>-3.3904079632427919</v>
      </c>
      <c r="P33" s="9">
        <f t="shared" si="49"/>
        <v>2.9053901051776486E-4</v>
      </c>
      <c r="Q33" s="9">
        <f t="shared" si="50"/>
        <v>5.7481560912644124E-4</v>
      </c>
      <c r="R33" s="22">
        <f>IFERROR(INDEX(Tesco!$Q$11:$Q$165,MATCH('Calculations - Tesco'!$C33,Tesco!$M$11:$M$165,0)),"")</f>
        <v>0.8</v>
      </c>
      <c r="S33" s="22">
        <f>IFERROR(INDEX(Tesco!$R$11:$R$165,MATCH('Calculations - Tesco'!$C33,Tesco!$M$11:$M$165,0)),"")</f>
        <v>0.3</v>
      </c>
      <c r="T33" s="16">
        <f t="shared" si="51"/>
        <v>3572.5040000000004</v>
      </c>
      <c r="U33" s="16">
        <f t="shared" ref="U33:U96" si="66">S33*T33</f>
        <v>1071.7512000000002</v>
      </c>
      <c r="V33" s="16">
        <f t="shared" ref="V33:V96" si="67">T33-U33</f>
        <v>2500.7528000000002</v>
      </c>
      <c r="W33" s="10">
        <f t="shared" si="52"/>
        <v>1.3999075219579373</v>
      </c>
      <c r="X33" s="10">
        <f t="shared" si="53"/>
        <v>7758.4711922800007</v>
      </c>
      <c r="Y33" s="13">
        <f t="shared" ref="Y33:Y96" si="68">IFERROR(X33/$X$30,"-")</f>
        <v>3.1241685605111035E-4</v>
      </c>
      <c r="Z33" s="9">
        <f t="shared" si="54"/>
        <v>2.1877845533345495E-5</v>
      </c>
      <c r="AA33" s="16">
        <f t="shared" ref="AA33:AA96" si="69">IFERROR(Y33*$G$30,"-")</f>
        <v>4801.8959051359989</v>
      </c>
      <c r="AB33" s="16">
        <f t="shared" si="55"/>
        <v>1920.8852475592007</v>
      </c>
      <c r="AC33" s="16">
        <f t="shared" si="56"/>
        <v>3841.5167241087993</v>
      </c>
      <c r="AD33" s="16">
        <f t="shared" ref="AD33:AD96" si="70">IFERROR(AC33-(W33)*AB33,"-")</f>
        <v>1152.4550172326394</v>
      </c>
      <c r="AE33" s="16"/>
      <c r="AF33" s="31">
        <f>IFERROR(INDEX(Tesco!$P$11:$P$165,MATCH('Calculations - Tesco'!C33,Tesco!$M$11:$M$165,0)),"")</f>
        <v>2.4998348606391736</v>
      </c>
      <c r="AG33" s="23">
        <f t="shared" ref="AG33:AH96" si="71">R33</f>
        <v>0.8</v>
      </c>
      <c r="AH33" s="23">
        <f t="shared" si="71"/>
        <v>0.3</v>
      </c>
      <c r="AI33" s="9">
        <f t="shared" si="57"/>
        <v>0</v>
      </c>
      <c r="AJ33" s="4">
        <f t="shared" si="58"/>
        <v>1786.37</v>
      </c>
      <c r="AK33" s="4"/>
      <c r="AL33" s="4"/>
      <c r="AM33" s="4"/>
      <c r="AN33" s="4"/>
      <c r="AO33" s="4"/>
      <c r="AP33" s="20">
        <f t="shared" si="59"/>
        <v>7758.4711922800007</v>
      </c>
      <c r="AQ33" s="13">
        <f t="shared" ref="AQ33:AQ96" si="72">IFERROR(AP33/AP$30,"-")</f>
        <v>3.1241685605111035E-4</v>
      </c>
      <c r="AR33" s="13">
        <f t="shared" ref="AR33:AR96" si="73">IFERROR(AQ33*$P$30,"-")</f>
        <v>3.1241685605111035E-4</v>
      </c>
      <c r="AS33" s="13">
        <f t="shared" si="60"/>
        <v>2.1877845533345495E-5</v>
      </c>
      <c r="AT33" s="16">
        <f t="shared" ref="AT33:AT96" si="74">IFERROR(AR33*AO$32,"-")</f>
        <v>4801.8959051359989</v>
      </c>
      <c r="AU33" s="16">
        <f t="shared" si="61"/>
        <v>1920.8852475592007</v>
      </c>
      <c r="AV33" s="16">
        <f t="shared" si="62"/>
        <v>3841.5167241087993</v>
      </c>
      <c r="AW33" s="16">
        <f t="shared" ref="AW33:AW96" si="75">IFERROR(AV33-(W33*AU33),"-")</f>
        <v>1152.4550172326394</v>
      </c>
      <c r="AX33" s="13">
        <f t="shared" ref="AX33:AX96" si="76">IFERROR(AU33/SUMIFS($AU$32:$AU$229,$B$32:$B$229,$B33),"-")</f>
        <v>4.1875017229034937E-3</v>
      </c>
      <c r="AY33" s="10">
        <f t="shared" ref="AY33:AY96" si="77">IFERROR(AX33*INDEX($AU$4:$AU$24,MATCH($B33,$D$4:$D$24,0)),"-")</f>
        <v>1920.535474466195</v>
      </c>
      <c r="AZ33" s="9">
        <f t="shared" ref="AZ33:AZ96" si="78">IFERROR(AY33/SUM($AY$32:$AY$229),"-")</f>
        <v>6.1782382870814929E-4</v>
      </c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</row>
    <row r="34" spans="2:68" x14ac:dyDescent="0.3">
      <c r="B34" s="108" t="str">
        <f t="shared" si="63"/>
        <v>TescoHP</v>
      </c>
      <c r="C34" s="108" t="str">
        <f t="shared" si="47"/>
        <v>TescoHPMedium</v>
      </c>
      <c r="D34" s="3" t="s">
        <v>115</v>
      </c>
      <c r="E34" s="3" t="s">
        <v>107</v>
      </c>
      <c r="F34" s="3" t="s">
        <v>111</v>
      </c>
      <c r="G34" s="20">
        <f>IFERROR(INDEX('Input - Tesco'!F$2:F$200,MATCH('Calculations - Tesco'!$C34,'Input - Tesco'!$B$2:$B$200,0)),"")</f>
        <v>7868551.6399999997</v>
      </c>
      <c r="H34" s="20">
        <f>IFERROR(INDEX('Input - Tesco'!G$2:G$200,MATCH('Calculations - Tesco'!$C34,'Input - Tesco'!$B$2:$B$200,0)),"")</f>
        <v>1320241.8999999999</v>
      </c>
      <c r="I34" s="21">
        <f>IFERROR(INDEX('Input - Tesco'!H$2:H$200,MATCH('Calculations - Tesco'!$C34,'Input - Tesco'!$B$2:$B$200,0)),"")</f>
        <v>2.3189125395988599</v>
      </c>
      <c r="J34" s="21">
        <f>IFERROR(INDEX('Input - Tesco'!I$2:I$200,MATCH('Calculations - Tesco'!$C34,'Input - Tesco'!$B$2:$B$200,0)),"")</f>
        <v>13.8205605097651</v>
      </c>
      <c r="K34" s="20">
        <f>IFERROR(INDEX('Input - Tesco'!J$2:J$200,MATCH('Calculations - Tesco'!$C34,'Input - Tesco'!$B$2:$B$200,0)),"")</f>
        <v>22331658.699999999</v>
      </c>
      <c r="L34" s="20">
        <f>IFERROR(INDEX('Input - Tesco'!K$2:K$200,MATCH('Calculations - Tesco'!$C34,'Input - Tesco'!$B$2:$B$200,0)),"")</f>
        <v>3856865.9350000001</v>
      </c>
      <c r="M34" s="21">
        <f t="shared" si="64"/>
        <v>5.9599317670496594</v>
      </c>
      <c r="N34" s="21">
        <f t="shared" si="48"/>
        <v>5.7901049910359408</v>
      </c>
      <c r="O34" s="21">
        <f t="shared" si="65"/>
        <v>-3.7910019427980335</v>
      </c>
      <c r="P34" s="9">
        <f t="shared" si="49"/>
        <v>0.5119369960550999</v>
      </c>
      <c r="Q34" s="9">
        <f t="shared" si="50"/>
        <v>0.4248255691389522</v>
      </c>
      <c r="R34" s="22">
        <f>IFERROR(INDEX(Tesco!$Q$11:$Q$165,MATCH('Calculations - Tesco'!$C34,Tesco!$M$11:$M$165,0)),"")</f>
        <v>0.8</v>
      </c>
      <c r="S34" s="22">
        <f>IFERROR(INDEX(Tesco!$R$11:$R$165,MATCH('Calculations - Tesco'!$C34,Tesco!$M$11:$M$165,0)),"")</f>
        <v>0.3</v>
      </c>
      <c r="T34" s="16">
        <f t="shared" si="51"/>
        <v>6294841.3119999999</v>
      </c>
      <c r="U34" s="16">
        <f t="shared" si="66"/>
        <v>1888452.3935999998</v>
      </c>
      <c r="V34" s="16">
        <f t="shared" si="67"/>
        <v>4406388.9183999998</v>
      </c>
      <c r="W34" s="10">
        <f t="shared" si="52"/>
        <v>3.3375617895478094</v>
      </c>
      <c r="X34" s="10">
        <f t="shared" si="53"/>
        <v>13057517.35323862</v>
      </c>
      <c r="Y34" s="13">
        <f t="shared" si="68"/>
        <v>0.52579798496780983</v>
      </c>
      <c r="Z34" s="9">
        <f t="shared" si="54"/>
        <v>1.3860988912709926E-2</v>
      </c>
      <c r="AA34" s="16">
        <f t="shared" si="69"/>
        <v>8081597.2059223084</v>
      </c>
      <c r="AB34" s="16">
        <f t="shared" si="55"/>
        <v>1355988.2095635023</v>
      </c>
      <c r="AC34" s="16">
        <f t="shared" si="56"/>
        <v>6465277.7647378473</v>
      </c>
      <c r="AD34" s="16">
        <f t="shared" si="70"/>
        <v>1939583.3294213545</v>
      </c>
      <c r="AE34" s="16"/>
      <c r="AF34" s="31">
        <f>IFERROR(INDEX(Tesco!$P$11:$P$165,MATCH('Calculations - Tesco'!C34,Tesco!$M$11:$M$165,0)),"")</f>
        <v>5.9599317670496594</v>
      </c>
      <c r="AG34" s="23">
        <f t="shared" si="71"/>
        <v>0.8</v>
      </c>
      <c r="AH34" s="23">
        <f t="shared" si="71"/>
        <v>0.3</v>
      </c>
      <c r="AI34" s="9">
        <f t="shared" si="57"/>
        <v>0</v>
      </c>
      <c r="AJ34" s="4">
        <f t="shared" si="58"/>
        <v>1320241.8999999999</v>
      </c>
      <c r="AK34" s="4"/>
      <c r="AL34" s="4"/>
      <c r="AM34" s="4"/>
      <c r="AN34" s="4"/>
      <c r="AO34" s="4"/>
      <c r="AP34" s="20">
        <f t="shared" si="59"/>
        <v>13057517.35323862</v>
      </c>
      <c r="AQ34" s="13">
        <f t="shared" si="72"/>
        <v>0.52579798496780983</v>
      </c>
      <c r="AR34" s="13">
        <f t="shared" si="73"/>
        <v>0.52579798496780983</v>
      </c>
      <c r="AS34" s="13">
        <f t="shared" si="60"/>
        <v>1.3860988912709926E-2</v>
      </c>
      <c r="AT34" s="16">
        <f t="shared" si="74"/>
        <v>8081597.2059223084</v>
      </c>
      <c r="AU34" s="16">
        <f t="shared" si="61"/>
        <v>1355988.2095635023</v>
      </c>
      <c r="AV34" s="16">
        <f t="shared" si="62"/>
        <v>6465277.7647378473</v>
      </c>
      <c r="AW34" s="16">
        <f t="shared" si="75"/>
        <v>1939583.3294213545</v>
      </c>
      <c r="AX34" s="13">
        <f t="shared" si="76"/>
        <v>0.65327397900136408</v>
      </c>
      <c r="AY34" s="10">
        <f t="shared" si="77"/>
        <v>1357898.7230527925</v>
      </c>
      <c r="AZ34" s="9">
        <f t="shared" si="78"/>
        <v>0.43682722825391374</v>
      </c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</row>
    <row r="35" spans="2:68" x14ac:dyDescent="0.3">
      <c r="B35" s="108" t="str">
        <f t="shared" si="63"/>
        <v>TescoHP</v>
      </c>
      <c r="C35" s="108" t="str">
        <f t="shared" si="47"/>
        <v>TescoHPLarge</v>
      </c>
      <c r="D35" s="3" t="s">
        <v>115</v>
      </c>
      <c r="E35" s="3" t="s">
        <v>107</v>
      </c>
      <c r="F35" s="3" t="s">
        <v>112</v>
      </c>
      <c r="G35" s="20">
        <f>IFERROR(INDEX('Input - Tesco'!F$2:F$200,MATCH('Calculations - Tesco'!$C35,'Input - Tesco'!$B$2:$B$200,0)),"")</f>
        <v>3113873.62</v>
      </c>
      <c r="H35" s="20">
        <f>IFERROR(INDEX('Input - Tesco'!G$2:G$200,MATCH('Calculations - Tesco'!$C35,'Input - Tesco'!$B$2:$B$200,0)),"")</f>
        <v>568627.19999999995</v>
      </c>
      <c r="I35" s="21">
        <f>IFERROR(INDEX('Input - Tesco'!H$2:H$200,MATCH('Calculations - Tesco'!$C35,'Input - Tesco'!$B$2:$B$200,0)),"")</f>
        <v>2.05562141310129</v>
      </c>
      <c r="J35" s="21">
        <f>IFERROR(INDEX('Input - Tesco'!I$2:I$200,MATCH('Calculations - Tesco'!$C35,'Input - Tesco'!$B$2:$B$200,0)),"")</f>
        <v>11.256839790575</v>
      </c>
      <c r="K35" s="20">
        <f>IFERROR(INDEX('Input - Tesco'!J$2:J$200,MATCH('Calculations - Tesco'!$C35,'Input - Tesco'!$B$2:$B$200,0)),"")</f>
        <v>10334117.300000001</v>
      </c>
      <c r="L35" s="20">
        <f>IFERROR(INDEX('Input - Tesco'!K$2:K$200,MATCH('Calculations - Tesco'!$C35,'Input - Tesco'!$B$2:$B$200,0)),"")</f>
        <v>1963389</v>
      </c>
      <c r="M35" s="21">
        <f t="shared" si="64"/>
        <v>5.4761249901517202</v>
      </c>
      <c r="N35" s="21">
        <f t="shared" si="48"/>
        <v>5.2634079644940464</v>
      </c>
      <c r="O35" s="21">
        <f t="shared" si="65"/>
        <v>-4.7365465856841293</v>
      </c>
      <c r="P35" s="9">
        <f t="shared" si="49"/>
        <v>0.20259218977662066</v>
      </c>
      <c r="Q35" s="9">
        <f t="shared" si="50"/>
        <v>0.18297205524827595</v>
      </c>
      <c r="R35" s="22">
        <f>IFERROR(INDEX(Tesco!$Q$11:$Q$165,MATCH('Calculations - Tesco'!$C35,Tesco!$M$11:$M$165,0)),"")</f>
        <v>0.8</v>
      </c>
      <c r="S35" s="22">
        <f>IFERROR(INDEX(Tesco!$R$11:$R$165,MATCH('Calculations - Tesco'!$C35,Tesco!$M$11:$M$165,0)),"")</f>
        <v>0.3</v>
      </c>
      <c r="T35" s="16">
        <f t="shared" si="51"/>
        <v>2491098.8960000002</v>
      </c>
      <c r="U35" s="16">
        <f t="shared" si="66"/>
        <v>747329.66879999998</v>
      </c>
      <c r="V35" s="16">
        <f t="shared" si="67"/>
        <v>1743769.2272000001</v>
      </c>
      <c r="W35" s="10">
        <f t="shared" si="52"/>
        <v>3.0666299944849635</v>
      </c>
      <c r="X35" s="10">
        <f t="shared" si="53"/>
        <v>4757409.4554816242</v>
      </c>
      <c r="Y35" s="13">
        <f t="shared" si="68"/>
        <v>0.19157059015806086</v>
      </c>
      <c r="Z35" s="9">
        <f t="shared" si="54"/>
        <v>-1.1021599618559808E-2</v>
      </c>
      <c r="AA35" s="16">
        <f t="shared" si="69"/>
        <v>2944469.9112969316</v>
      </c>
      <c r="AB35" s="16">
        <f t="shared" si="55"/>
        <v>537692.23978493467</v>
      </c>
      <c r="AC35" s="16">
        <f t="shared" si="56"/>
        <v>2355575.9290375453</v>
      </c>
      <c r="AD35" s="16">
        <f t="shared" si="70"/>
        <v>706672.77871126332</v>
      </c>
      <c r="AE35" s="16"/>
      <c r="AF35" s="31">
        <f>IFERROR(INDEX(Tesco!$P$11:$P$165,MATCH('Calculations - Tesco'!C35,Tesco!$M$11:$M$165,0)),"")</f>
        <v>5.4761249901517202</v>
      </c>
      <c r="AG35" s="23">
        <f t="shared" si="71"/>
        <v>0.8</v>
      </c>
      <c r="AH35" s="23">
        <f t="shared" si="71"/>
        <v>0.3</v>
      </c>
      <c r="AI35" s="9">
        <f t="shared" si="57"/>
        <v>0</v>
      </c>
      <c r="AJ35" s="4">
        <f t="shared" si="58"/>
        <v>568627.19999999995</v>
      </c>
      <c r="AK35" s="4"/>
      <c r="AL35" s="4"/>
      <c r="AM35" s="4"/>
      <c r="AN35" s="4"/>
      <c r="AO35" s="4"/>
      <c r="AP35" s="20">
        <f t="shared" si="59"/>
        <v>4757409.4554816242</v>
      </c>
      <c r="AQ35" s="13">
        <f t="shared" si="72"/>
        <v>0.19157059015806086</v>
      </c>
      <c r="AR35" s="13">
        <f t="shared" si="73"/>
        <v>0.19157059015806086</v>
      </c>
      <c r="AS35" s="13">
        <f t="shared" si="60"/>
        <v>-1.1021599618559808E-2</v>
      </c>
      <c r="AT35" s="16">
        <f t="shared" si="74"/>
        <v>2944469.9112969316</v>
      </c>
      <c r="AU35" s="16">
        <f t="shared" si="61"/>
        <v>537692.23978493467</v>
      </c>
      <c r="AV35" s="16">
        <f t="shared" si="62"/>
        <v>2355575.9290375453</v>
      </c>
      <c r="AW35" s="16">
        <f t="shared" si="75"/>
        <v>706672.77871126332</v>
      </c>
      <c r="AX35" s="13">
        <f t="shared" si="76"/>
        <v>0.25904380767110935</v>
      </c>
      <c r="AY35" s="10">
        <f t="shared" si="77"/>
        <v>538449.81884790189</v>
      </c>
      <c r="AZ35" s="9">
        <f t="shared" si="78"/>
        <v>0.1732158208326163</v>
      </c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</row>
    <row r="36" spans="2:68" x14ac:dyDescent="0.3">
      <c r="B36" s="108" t="str">
        <f t="shared" si="63"/>
        <v>TescoHP</v>
      </c>
      <c r="C36" s="108" t="str">
        <f t="shared" si="47"/>
        <v>TescoHPSmall</v>
      </c>
      <c r="D36" s="3" t="s">
        <v>115</v>
      </c>
      <c r="E36" s="3" t="s">
        <v>107</v>
      </c>
      <c r="F36" s="3" t="s">
        <v>113</v>
      </c>
      <c r="G36" s="20">
        <f>IFERROR(INDEX('Input - Tesco'!F$2:F$200,MATCH('Calculations - Tesco'!$C36,'Input - Tesco'!$B$2:$B$200,0)),"")</f>
        <v>1294754.44</v>
      </c>
      <c r="H36" s="20">
        <f>IFERROR(INDEX('Input - Tesco'!G$2:G$200,MATCH('Calculations - Tesco'!$C36,'Input - Tesco'!$B$2:$B$200,0)),"")</f>
        <v>180194.32500000001</v>
      </c>
      <c r="I36" s="21">
        <f>IFERROR(INDEX('Input - Tesco'!H$2:H$200,MATCH('Calculations - Tesco'!$C36,'Input - Tesco'!$B$2:$B$200,0)),"")</f>
        <v>2.2638061355586201</v>
      </c>
      <c r="J36" s="21">
        <f>IFERROR(INDEX('Input - Tesco'!I$2:I$200,MATCH('Calculations - Tesco'!$C36,'Input - Tesco'!$B$2:$B$200,0)),"")</f>
        <v>16.266178445485199</v>
      </c>
      <c r="K36" s="20">
        <f>IFERROR(INDEX('Input - Tesco'!J$2:J$200,MATCH('Calculations - Tesco'!$C36,'Input - Tesco'!$B$2:$B$200,0)),"")</f>
        <v>3890522.96</v>
      </c>
      <c r="L36" s="20">
        <f>IFERROR(INDEX('Input - Tesco'!K$2:K$200,MATCH('Calculations - Tesco'!$C36,'Input - Tesco'!$B$2:$B$200,0)),"")</f>
        <v>572612.69999999995</v>
      </c>
      <c r="M36" s="21">
        <f t="shared" si="64"/>
        <v>7.1853230671942629</v>
      </c>
      <c r="N36" s="21">
        <f t="shared" si="48"/>
        <v>6.7943357875227015</v>
      </c>
      <c r="O36" s="21">
        <f t="shared" si="65"/>
        <v>-3.9563029956251645</v>
      </c>
      <c r="P36" s="9">
        <f t="shared" si="49"/>
        <v>8.42382091353477E-2</v>
      </c>
      <c r="Q36" s="9">
        <f t="shared" si="50"/>
        <v>5.798267474599491E-2</v>
      </c>
      <c r="R36" s="22">
        <f>IFERROR(INDEX(Tesco!$Q$11:$Q$165,MATCH('Calculations - Tesco'!$C36,Tesco!$M$11:$M$165,0)),"")</f>
        <v>0.8</v>
      </c>
      <c r="S36" s="22">
        <f>IFERROR(INDEX(Tesco!$R$11:$R$165,MATCH('Calculations - Tesco'!$C36,Tesco!$M$11:$M$165,0)),"")</f>
        <v>0.3</v>
      </c>
      <c r="T36" s="16">
        <f t="shared" si="51"/>
        <v>1035803.552</v>
      </c>
      <c r="U36" s="16">
        <f t="shared" si="66"/>
        <v>310741.06559999997</v>
      </c>
      <c r="V36" s="16">
        <f t="shared" si="67"/>
        <v>725062.48640000005</v>
      </c>
      <c r="W36" s="10">
        <f t="shared" si="52"/>
        <v>4.0237809176287875</v>
      </c>
      <c r="X36" s="10">
        <f t="shared" si="53"/>
        <v>2112913.7426568777</v>
      </c>
      <c r="Y36" s="13">
        <f t="shared" si="68"/>
        <v>8.5082466922720951E-2</v>
      </c>
      <c r="Z36" s="9">
        <f t="shared" si="54"/>
        <v>8.4425778737325097E-4</v>
      </c>
      <c r="AA36" s="16">
        <f t="shared" si="69"/>
        <v>1307730.8141409764</v>
      </c>
      <c r="AB36" s="16">
        <f t="shared" si="55"/>
        <v>182000.28055963549</v>
      </c>
      <c r="AC36" s="16">
        <f t="shared" si="56"/>
        <v>1046184.6513127811</v>
      </c>
      <c r="AD36" s="16">
        <f t="shared" si="70"/>
        <v>313855.39539383433</v>
      </c>
      <c r="AE36" s="16"/>
      <c r="AF36" s="31">
        <f>IFERROR(INDEX(Tesco!$P$11:$P$165,MATCH('Calculations - Tesco'!C36,Tesco!$M$11:$M$165,0)),"")</f>
        <v>7.1853230671942629</v>
      </c>
      <c r="AG36" s="23">
        <f t="shared" si="71"/>
        <v>0.8</v>
      </c>
      <c r="AH36" s="23">
        <f t="shared" si="71"/>
        <v>0.3</v>
      </c>
      <c r="AI36" s="9">
        <f t="shared" si="57"/>
        <v>0</v>
      </c>
      <c r="AJ36" s="4">
        <f t="shared" si="58"/>
        <v>180194.32500000001</v>
      </c>
      <c r="AK36" s="4"/>
      <c r="AL36" s="4"/>
      <c r="AM36" s="4"/>
      <c r="AN36" s="4"/>
      <c r="AO36" s="4"/>
      <c r="AP36" s="20">
        <f t="shared" si="59"/>
        <v>2112913.7426568777</v>
      </c>
      <c r="AQ36" s="13">
        <f t="shared" si="72"/>
        <v>8.5082466922720951E-2</v>
      </c>
      <c r="AR36" s="13">
        <f t="shared" si="73"/>
        <v>8.5082466922720951E-2</v>
      </c>
      <c r="AS36" s="13">
        <f t="shared" si="60"/>
        <v>8.4425778737325097E-4</v>
      </c>
      <c r="AT36" s="16">
        <f t="shared" si="74"/>
        <v>1307730.8141409764</v>
      </c>
      <c r="AU36" s="16">
        <f t="shared" si="61"/>
        <v>182000.28055963549</v>
      </c>
      <c r="AV36" s="16">
        <f t="shared" si="62"/>
        <v>1046184.6513127811</v>
      </c>
      <c r="AW36" s="16">
        <f t="shared" si="75"/>
        <v>313855.39539383433</v>
      </c>
      <c r="AX36" s="13">
        <f t="shared" si="76"/>
        <v>8.7682213327526473E-2</v>
      </c>
      <c r="AY36" s="10">
        <f t="shared" si="77"/>
        <v>182256.70903638139</v>
      </c>
      <c r="AZ36" s="9">
        <f t="shared" si="78"/>
        <v>5.863080337836598E-2</v>
      </c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</row>
    <row r="37" spans="2:68" x14ac:dyDescent="0.3">
      <c r="B37" s="108" t="str">
        <f t="shared" si="63"/>
        <v>TescoPRIVATE LABEL</v>
      </c>
      <c r="C37" s="108" t="str">
        <f t="shared" si="47"/>
        <v>TescoPRIVATE LABELMedium</v>
      </c>
      <c r="D37" s="3" t="s">
        <v>115</v>
      </c>
      <c r="E37" s="3" t="s">
        <v>108</v>
      </c>
      <c r="F37" s="3" t="s">
        <v>111</v>
      </c>
      <c r="G37" s="20">
        <f>IFERROR(INDEX('Input - Tesco'!F$2:F$200,MATCH('Calculations - Tesco'!$C37,'Input - Tesco'!$B$2:$B$200,0)),"")</f>
        <v>1151849.8400000001</v>
      </c>
      <c r="H37" s="20">
        <f>IFERROR(INDEX('Input - Tesco'!G$2:G$200,MATCH('Calculations - Tesco'!$C37,'Input - Tesco'!$B$2:$B$200,0)),"")</f>
        <v>480345.97499999998</v>
      </c>
      <c r="I37" s="21">
        <f>IFERROR(INDEX('Input - Tesco'!H$2:H$200,MATCH('Calculations - Tesco'!$C37,'Input - Tesco'!$B$2:$B$200,0)),"")</f>
        <v>2.4382281478704799</v>
      </c>
      <c r="J37" s="21">
        <f>IFERROR(INDEX('Input - Tesco'!I$2:I$200,MATCH('Calculations - Tesco'!$C37,'Input - Tesco'!$B$2:$B$200,0)),"")</f>
        <v>5.8467705532623802</v>
      </c>
      <c r="K37" s="20">
        <f>IFERROR(INDEX('Input - Tesco'!J$2:J$200,MATCH('Calculations - Tesco'!$C37,'Input - Tesco'!$B$2:$B$200,0)),"")</f>
        <v>2249319.5699999998</v>
      </c>
      <c r="L37" s="20">
        <f>IFERROR(INDEX('Input - Tesco'!K$2:K$200,MATCH('Calculations - Tesco'!$C37,'Input - Tesco'!$B$2:$B$200,0)),"")</f>
        <v>983099.53</v>
      </c>
      <c r="M37" s="21">
        <f t="shared" si="64"/>
        <v>2.397958762952058</v>
      </c>
      <c r="N37" s="21">
        <f t="shared" si="48"/>
        <v>2.2879876364095098</v>
      </c>
      <c r="O37" s="21">
        <f t="shared" si="65"/>
        <v>-3.4764998914833378</v>
      </c>
      <c r="P37" s="9">
        <f t="shared" si="49"/>
        <v>7.4940671927285915E-2</v>
      </c>
      <c r="Q37" s="9">
        <f t="shared" si="50"/>
        <v>0.15456504767268781</v>
      </c>
      <c r="R37" s="22">
        <f>IFERROR(INDEX(Tesco!$Q$11:$Q$165,MATCH('Calculations - Tesco'!$C37,Tesco!$M$11:$M$165,0)),"")</f>
        <v>0</v>
      </c>
      <c r="S37" s="22">
        <f>IFERROR(INDEX(Tesco!$R$11:$R$165,MATCH('Calculations - Tesco'!$C37,Tesco!$M$11:$M$165,0)),"")</f>
        <v>0</v>
      </c>
      <c r="T37" s="16">
        <f t="shared" si="51"/>
        <v>0</v>
      </c>
      <c r="U37" s="16">
        <f t="shared" si="66"/>
        <v>0</v>
      </c>
      <c r="V37" s="16">
        <f t="shared" si="67"/>
        <v>0</v>
      </c>
      <c r="W37" s="10">
        <f t="shared" si="52"/>
        <v>0</v>
      </c>
      <c r="X37" s="10">
        <f t="shared" si="53"/>
        <v>1980161.271004054</v>
      </c>
      <c r="Y37" s="13">
        <f t="shared" si="68"/>
        <v>7.9736811986467815E-2</v>
      </c>
      <c r="Z37" s="9">
        <f t="shared" si="54"/>
        <v>4.7961400591818998E-3</v>
      </c>
      <c r="AA37" s="16">
        <f t="shared" si="69"/>
        <v>1225567.2622983558</v>
      </c>
      <c r="AB37" s="16">
        <f t="shared" si="55"/>
        <v>511087.71394783922</v>
      </c>
      <c r="AC37" s="16">
        <f t="shared" si="56"/>
        <v>0</v>
      </c>
      <c r="AD37" s="16">
        <f t="shared" si="70"/>
        <v>0</v>
      </c>
      <c r="AE37" s="16"/>
      <c r="AF37" s="31">
        <f>IFERROR(INDEX(Tesco!$P$11:$P$165,MATCH('Calculations - Tesco'!C37,Tesco!$M$11:$M$165,0)),"")</f>
        <v>2.397958762952058</v>
      </c>
      <c r="AG37" s="23">
        <f t="shared" si="71"/>
        <v>0</v>
      </c>
      <c r="AH37" s="23">
        <f t="shared" si="71"/>
        <v>0</v>
      </c>
      <c r="AI37" s="9">
        <f t="shared" si="57"/>
        <v>0</v>
      </c>
      <c r="AJ37" s="4">
        <f t="shared" si="58"/>
        <v>480345.97499999998</v>
      </c>
      <c r="AK37" s="4"/>
      <c r="AL37" s="4"/>
      <c r="AM37" s="4"/>
      <c r="AN37" s="4"/>
      <c r="AO37" s="4"/>
      <c r="AP37" s="20">
        <f t="shared" si="59"/>
        <v>1980161.271004054</v>
      </c>
      <c r="AQ37" s="13">
        <f t="shared" si="72"/>
        <v>7.9736811986467815E-2</v>
      </c>
      <c r="AR37" s="13">
        <f t="shared" si="73"/>
        <v>7.9736811986467815E-2</v>
      </c>
      <c r="AS37" s="13">
        <f t="shared" si="60"/>
        <v>4.7961400591818998E-3</v>
      </c>
      <c r="AT37" s="16">
        <f t="shared" si="74"/>
        <v>1225567.2622983558</v>
      </c>
      <c r="AU37" s="16">
        <f t="shared" si="61"/>
        <v>511087.71394783922</v>
      </c>
      <c r="AV37" s="16">
        <f t="shared" si="62"/>
        <v>0</v>
      </c>
      <c r="AW37" s="16">
        <f t="shared" si="75"/>
        <v>0</v>
      </c>
      <c r="AX37" s="13">
        <f t="shared" si="76"/>
        <v>0.99998350429815985</v>
      </c>
      <c r="AY37" s="10">
        <f t="shared" si="77"/>
        <v>511087.71901762183</v>
      </c>
      <c r="AZ37" s="9">
        <f t="shared" si="78"/>
        <v>0.16441361045775357</v>
      </c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</row>
    <row r="38" spans="2:68" x14ac:dyDescent="0.3">
      <c r="B38" s="108" t="str">
        <f t="shared" si="63"/>
        <v>TescoPRIVATE LABEL</v>
      </c>
      <c r="C38" s="108" t="str">
        <f t="shared" si="47"/>
        <v>TescoPRIVATE LABELLarge</v>
      </c>
      <c r="D38" s="3" t="s">
        <v>115</v>
      </c>
      <c r="E38" s="3" t="s">
        <v>108</v>
      </c>
      <c r="F38" s="3" t="s">
        <v>112</v>
      </c>
      <c r="G38" s="20">
        <f>IFERROR(INDEX('Input - Tesco'!F$2:F$200,MATCH('Calculations - Tesco'!$C38,'Input - Tesco'!$B$2:$B$200,0)),"")</f>
        <v>15.6</v>
      </c>
      <c r="H38" s="20">
        <f>IFERROR(INDEX('Input - Tesco'!G$2:G$200,MATCH('Calculations - Tesco'!$C38,'Input - Tesco'!$B$2:$B$200,0)),"")</f>
        <v>7.95</v>
      </c>
      <c r="I38" s="21">
        <f>IFERROR(INDEX('Input - Tesco'!H$2:H$200,MATCH('Calculations - Tesco'!$C38,'Input - Tesco'!$B$2:$B$200,0)),"")</f>
        <v>2.4268861865697899</v>
      </c>
      <c r="J38" s="21">
        <f>IFERROR(INDEX('Input - Tesco'!I$2:I$200,MATCH('Calculations - Tesco'!$C38,'Input - Tesco'!$B$2:$B$200,0)),"")</f>
        <v>4.76219176232562</v>
      </c>
      <c r="K38" s="20">
        <f>IFERROR(INDEX('Input - Tesco'!J$2:J$200,MATCH('Calculations - Tesco'!$C38,'Input - Tesco'!$B$2:$B$200,0)),"")</f>
        <v>402381.65</v>
      </c>
      <c r="L38" s="20">
        <f>IFERROR(INDEX('Input - Tesco'!K$2:K$200,MATCH('Calculations - Tesco'!$C38,'Input - Tesco'!$B$2:$B$200,0)),"")</f>
        <v>261293.18</v>
      </c>
      <c r="M38" s="21">
        <f t="shared" si="64"/>
        <v>1.9622641509433962</v>
      </c>
      <c r="N38" s="21">
        <f t="shared" si="48"/>
        <v>1.5399623135973164</v>
      </c>
      <c r="O38" s="21">
        <f t="shared" si="65"/>
        <v>-3.5041337193262234</v>
      </c>
      <c r="P38" s="9">
        <f t="shared" si="49"/>
        <v>1.0149538954362838E-6</v>
      </c>
      <c r="Q38" s="9">
        <f t="shared" si="50"/>
        <v>2.5581397429173173E-6</v>
      </c>
      <c r="R38" s="22">
        <f>IFERROR(INDEX(Tesco!$Q$11:$Q$165,MATCH('Calculations - Tesco'!$C38,Tesco!$M$11:$M$165,0)),"")</f>
        <v>0</v>
      </c>
      <c r="S38" s="22">
        <f>IFERROR(INDEX(Tesco!$R$11:$R$165,MATCH('Calculations - Tesco'!$C38,Tesco!$M$11:$M$165,0)),"")</f>
        <v>0</v>
      </c>
      <c r="T38" s="16">
        <f t="shared" si="51"/>
        <v>0</v>
      </c>
      <c r="U38" s="16">
        <f t="shared" si="66"/>
        <v>0</v>
      </c>
      <c r="V38" s="16">
        <f t="shared" si="67"/>
        <v>0</v>
      </c>
      <c r="W38" s="10">
        <f t="shared" si="52"/>
        <v>0</v>
      </c>
      <c r="X38" s="10">
        <f t="shared" si="53"/>
        <v>26.72971225524434</v>
      </c>
      <c r="Y38" s="13">
        <f t="shared" si="68"/>
        <v>1.0763477054917307E-6</v>
      </c>
      <c r="Z38" s="9">
        <f t="shared" si="54"/>
        <v>6.1393810055446935E-8</v>
      </c>
      <c r="AA38" s="16">
        <f t="shared" si="69"/>
        <v>16.543632455790792</v>
      </c>
      <c r="AB38" s="16">
        <f t="shared" si="55"/>
        <v>8.4308896168933849</v>
      </c>
      <c r="AC38" s="16">
        <f t="shared" si="56"/>
        <v>0</v>
      </c>
      <c r="AD38" s="16">
        <f t="shared" si="70"/>
        <v>0</v>
      </c>
      <c r="AE38" s="16"/>
      <c r="AF38" s="31">
        <f>IFERROR(INDEX(Tesco!$P$11:$P$165,MATCH('Calculations - Tesco'!C38,Tesco!$M$11:$M$165,0)),"")</f>
        <v>1.9622641509433962</v>
      </c>
      <c r="AG38" s="23">
        <f t="shared" si="71"/>
        <v>0</v>
      </c>
      <c r="AH38" s="23">
        <f t="shared" si="71"/>
        <v>0</v>
      </c>
      <c r="AI38" s="9">
        <f t="shared" si="57"/>
        <v>0</v>
      </c>
      <c r="AJ38" s="4">
        <f t="shared" si="58"/>
        <v>7.95</v>
      </c>
      <c r="AK38" s="4"/>
      <c r="AL38" s="4"/>
      <c r="AM38" s="4"/>
      <c r="AN38" s="4"/>
      <c r="AO38" s="4"/>
      <c r="AP38" s="20">
        <f t="shared" si="59"/>
        <v>26.72971225524434</v>
      </c>
      <c r="AQ38" s="13">
        <f t="shared" si="72"/>
        <v>1.0763477054917307E-6</v>
      </c>
      <c r="AR38" s="13">
        <f t="shared" si="73"/>
        <v>1.0763477054917307E-6</v>
      </c>
      <c r="AS38" s="13">
        <f t="shared" si="60"/>
        <v>6.1393810055446935E-8</v>
      </c>
      <c r="AT38" s="16">
        <f t="shared" si="74"/>
        <v>16.543632455790792</v>
      </c>
      <c r="AU38" s="16">
        <f t="shared" si="61"/>
        <v>8.4308896168933849</v>
      </c>
      <c r="AV38" s="16">
        <f t="shared" si="62"/>
        <v>0</v>
      </c>
      <c r="AW38" s="16">
        <f t="shared" si="75"/>
        <v>0</v>
      </c>
      <c r="AX38" s="13">
        <f t="shared" si="76"/>
        <v>1.6495701840158978E-5</v>
      </c>
      <c r="AY38" s="10">
        <f t="shared" si="77"/>
        <v>8.4308897005243857</v>
      </c>
      <c r="AZ38" s="9">
        <f t="shared" si="78"/>
        <v>2.7121626356013258E-6</v>
      </c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</row>
    <row r="39" spans="2:68" x14ac:dyDescent="0.3">
      <c r="B39" s="108" t="str">
        <f t="shared" si="63"/>
        <v>TescoRESTOFCATEGORY</v>
      </c>
      <c r="C39" s="108" t="str">
        <f t="shared" si="47"/>
        <v>TescoRESTOFCATEGORYLarge</v>
      </c>
      <c r="D39" s="3" t="s">
        <v>115</v>
      </c>
      <c r="E39" s="3" t="s">
        <v>109</v>
      </c>
      <c r="F39" s="3" t="s">
        <v>112</v>
      </c>
      <c r="G39" s="20">
        <f>IFERROR(INDEX('Input - Tesco'!F$2:F$200,MATCH('Calculations - Tesco'!$C39,'Input - Tesco'!$B$2:$B$200,0)),"")</f>
        <v>101780.63</v>
      </c>
      <c r="H39" s="20">
        <f>IFERROR(INDEX('Input - Tesco'!G$2:G$200,MATCH('Calculations - Tesco'!$C39,'Input - Tesco'!$B$2:$B$200,0)),"")</f>
        <v>68065.3</v>
      </c>
      <c r="I39" s="21">
        <f>IFERROR(INDEX('Input - Tesco'!H$2:H$200,MATCH('Calculations - Tesco'!$C39,'Input - Tesco'!$B$2:$B$200,0)),"")</f>
        <v>1.8585905720881299</v>
      </c>
      <c r="J39" s="21">
        <f>IFERROR(INDEX('Input - Tesco'!I$2:I$200,MATCH('Calculations - Tesco'!$C39,'Input - Tesco'!$B$2:$B$200,0)),"")</f>
        <v>2.77922112058847</v>
      </c>
      <c r="K39" s="20">
        <f>IFERROR(INDEX('Input - Tesco'!J$2:J$200,MATCH('Calculations - Tesco'!$C39,'Input - Tesco'!$B$2:$B$200,0)),"")</f>
        <v>265644.46000000002</v>
      </c>
      <c r="L39" s="20">
        <f>IFERROR(INDEX('Input - Tesco'!K$2:K$200,MATCH('Calculations - Tesco'!$C39,'Input - Tesco'!$B$2:$B$200,0)),"")</f>
        <v>174056.62</v>
      </c>
      <c r="M39" s="21">
        <f t="shared" si="64"/>
        <v>1.4953380062968944</v>
      </c>
      <c r="N39" s="21">
        <f t="shared" si="48"/>
        <v>1.5261956712706477</v>
      </c>
      <c r="O39" s="21">
        <f t="shared" si="65"/>
        <v>-5.8234974416732479</v>
      </c>
      <c r="P39" s="9">
        <f t="shared" si="49"/>
        <v>6.6219645447730185E-3</v>
      </c>
      <c r="Q39" s="9">
        <f t="shared" si="50"/>
        <v>2.1901955854539631E-2</v>
      </c>
      <c r="R39" s="22">
        <f>IFERROR(INDEX(Tesco!$Q$11:$Q$165,MATCH('Calculations - Tesco'!$C39,Tesco!$M$11:$M$165,0)),"")</f>
        <v>0</v>
      </c>
      <c r="S39" s="22">
        <f>IFERROR(INDEX(Tesco!$R$11:$R$165,MATCH('Calculations - Tesco'!$C39,Tesco!$M$11:$M$165,0)),"")</f>
        <v>0</v>
      </c>
      <c r="T39" s="16">
        <f t="shared" si="51"/>
        <v>0</v>
      </c>
      <c r="U39" s="16">
        <f t="shared" si="66"/>
        <v>0</v>
      </c>
      <c r="V39" s="16">
        <f t="shared" si="67"/>
        <v>0</v>
      </c>
      <c r="W39" s="10">
        <f t="shared" si="52"/>
        <v>0</v>
      </c>
      <c r="X39" s="10">
        <f t="shared" si="53"/>
        <v>145474.5746695952</v>
      </c>
      <c r="Y39" s="13">
        <f t="shared" si="68"/>
        <v>5.8579465112754137E-3</v>
      </c>
      <c r="Z39" s="9">
        <f t="shared" si="54"/>
        <v>-7.6401803349760485E-4</v>
      </c>
      <c r="AA39" s="16">
        <f t="shared" si="69"/>
        <v>90037.55341676336</v>
      </c>
      <c r="AB39" s="16">
        <f t="shared" si="55"/>
        <v>60212.174797680294</v>
      </c>
      <c r="AC39" s="16">
        <f t="shared" si="56"/>
        <v>0</v>
      </c>
      <c r="AD39" s="16">
        <f t="shared" si="70"/>
        <v>0</v>
      </c>
      <c r="AE39" s="16"/>
      <c r="AF39" s="31">
        <f>IFERROR(INDEX(Tesco!$P$11:$P$165,MATCH('Calculations - Tesco'!C39,Tesco!$M$11:$M$165,0)),"")</f>
        <v>1.4953380062968944</v>
      </c>
      <c r="AG39" s="23">
        <f t="shared" si="71"/>
        <v>0</v>
      </c>
      <c r="AH39" s="23">
        <f t="shared" si="71"/>
        <v>0</v>
      </c>
      <c r="AI39" s="9">
        <f t="shared" si="57"/>
        <v>0</v>
      </c>
      <c r="AJ39" s="4">
        <f t="shared" si="58"/>
        <v>68065.3</v>
      </c>
      <c r="AK39" s="4"/>
      <c r="AL39" s="4"/>
      <c r="AM39" s="4"/>
      <c r="AN39" s="4"/>
      <c r="AO39" s="4"/>
      <c r="AP39" s="20">
        <f t="shared" si="59"/>
        <v>145474.5746695952</v>
      </c>
      <c r="AQ39" s="13">
        <f t="shared" si="72"/>
        <v>5.8579465112754137E-3</v>
      </c>
      <c r="AR39" s="13">
        <f t="shared" si="73"/>
        <v>5.8579465112754137E-3</v>
      </c>
      <c r="AS39" s="13">
        <f t="shared" si="60"/>
        <v>-7.6401803349760485E-4</v>
      </c>
      <c r="AT39" s="16">
        <f t="shared" si="74"/>
        <v>90037.55341676336</v>
      </c>
      <c r="AU39" s="16">
        <f t="shared" si="61"/>
        <v>60212.174797680294</v>
      </c>
      <c r="AV39" s="16">
        <f t="shared" si="62"/>
        <v>0</v>
      </c>
      <c r="AW39" s="16">
        <f t="shared" si="75"/>
        <v>0</v>
      </c>
      <c r="AX39" s="13">
        <f t="shared" si="76"/>
        <v>1</v>
      </c>
      <c r="AY39" s="10">
        <f t="shared" si="77"/>
        <v>60212.174797680353</v>
      </c>
      <c r="AZ39" s="9">
        <f t="shared" si="78"/>
        <v>1.936986682252612E-2</v>
      </c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</row>
    <row r="40" spans="2:68" x14ac:dyDescent="0.3">
      <c r="B40" s="108" t="str">
        <f t="shared" si="63"/>
        <v/>
      </c>
      <c r="C40" s="108" t="str">
        <f t="shared" si="47"/>
        <v/>
      </c>
      <c r="D40" s="3"/>
      <c r="E40" s="3"/>
      <c r="F40" s="3"/>
      <c r="G40" s="20">
        <f>IFERROR(INDEX('Input - Tesco'!F$2:F$200,MATCH('Calculations - Tesco'!$C40,'Input - Tesco'!$B$2:$B$200,0)),"")</f>
        <v>0</v>
      </c>
      <c r="H40" s="20">
        <f>IFERROR(INDEX('Input - Tesco'!G$2:G$200,MATCH('Calculations - Tesco'!$C40,'Input - Tesco'!$B$2:$B$200,0)),"")</f>
        <v>0</v>
      </c>
      <c r="I40" s="21">
        <f>IFERROR(INDEX('Input - Tesco'!H$2:H$200,MATCH('Calculations - Tesco'!$C40,'Input - Tesco'!$B$2:$B$200,0)),"")</f>
        <v>0</v>
      </c>
      <c r="J40" s="21">
        <f>IFERROR(INDEX('Input - Tesco'!I$2:I$200,MATCH('Calculations - Tesco'!$C40,'Input - Tesco'!$B$2:$B$200,0)),"")</f>
        <v>0</v>
      </c>
      <c r="K40" s="20">
        <f>IFERROR(INDEX('Input - Tesco'!J$2:J$200,MATCH('Calculations - Tesco'!$C40,'Input - Tesco'!$B$2:$B$200,0)),"")</f>
        <v>0</v>
      </c>
      <c r="L40" s="20">
        <f>IFERROR(INDEX('Input - Tesco'!K$2:K$200,MATCH('Calculations - Tesco'!$C40,'Input - Tesco'!$B$2:$B$200,0)),"")</f>
        <v>0</v>
      </c>
      <c r="M40" s="21" t="str">
        <f t="shared" si="64"/>
        <v/>
      </c>
      <c r="N40" s="21" t="str">
        <f t="shared" si="48"/>
        <v/>
      </c>
      <c r="O40" s="21">
        <f t="shared" si="65"/>
        <v>0</v>
      </c>
      <c r="P40" s="9">
        <f t="shared" si="49"/>
        <v>0</v>
      </c>
      <c r="Q40" s="9">
        <f t="shared" si="50"/>
        <v>0</v>
      </c>
      <c r="R40" s="22" t="str">
        <f>IFERROR(INDEX(Tesco!$Q$11:$Q$165,MATCH('Calculations - Tesco'!$C40,Tesco!$M$11:$M$165,0)),"")</f>
        <v/>
      </c>
      <c r="S40" s="22" t="str">
        <f>IFERROR(INDEX(Tesco!$R$11:$R$165,MATCH('Calculations - Tesco'!$C40,Tesco!$M$11:$M$165,0)),"")</f>
        <v/>
      </c>
      <c r="T40" s="16" t="e">
        <f t="shared" si="51"/>
        <v>#VALUE!</v>
      </c>
      <c r="U40" s="16" t="e">
        <f t="shared" si="66"/>
        <v>#VALUE!</v>
      </c>
      <c r="V40" s="16" t="e">
        <f t="shared" si="67"/>
        <v>#VALUE!</v>
      </c>
      <c r="W40" s="10" t="str">
        <f t="shared" si="52"/>
        <v>-</v>
      </c>
      <c r="X40" s="10" t="str">
        <f t="shared" si="53"/>
        <v>-</v>
      </c>
      <c r="Y40" s="13" t="str">
        <f t="shared" si="68"/>
        <v>-</v>
      </c>
      <c r="Z40" s="9" t="str">
        <f t="shared" si="54"/>
        <v>-</v>
      </c>
      <c r="AA40" s="16" t="str">
        <f t="shared" si="69"/>
        <v>-</v>
      </c>
      <c r="AB40" s="16" t="str">
        <f t="shared" si="55"/>
        <v>-</v>
      </c>
      <c r="AC40" s="16" t="str">
        <f t="shared" si="56"/>
        <v>-</v>
      </c>
      <c r="AD40" s="16" t="str">
        <f t="shared" si="70"/>
        <v>-</v>
      </c>
      <c r="AE40" s="16"/>
      <c r="AF40" s="31" t="str">
        <f>IFERROR(INDEX(Tesco!$P$11:$P$165,MATCH('Calculations - Tesco'!C40,Tesco!$M$11:$M$165,0)),"")</f>
        <v/>
      </c>
      <c r="AG40" s="23" t="str">
        <f t="shared" si="71"/>
        <v/>
      </c>
      <c r="AH40" s="23" t="str">
        <f t="shared" si="71"/>
        <v/>
      </c>
      <c r="AI40" s="9" t="str">
        <f t="shared" si="57"/>
        <v/>
      </c>
      <c r="AJ40" s="4" t="str">
        <f t="shared" si="58"/>
        <v/>
      </c>
      <c r="AK40" s="4"/>
      <c r="AL40" s="4"/>
      <c r="AM40" s="4"/>
      <c r="AN40" s="4"/>
      <c r="AO40" s="4"/>
      <c r="AP40" s="20" t="str">
        <f t="shared" si="59"/>
        <v>-</v>
      </c>
      <c r="AQ40" s="13" t="str">
        <f t="shared" si="72"/>
        <v>-</v>
      </c>
      <c r="AR40" s="13" t="str">
        <f t="shared" si="73"/>
        <v>-</v>
      </c>
      <c r="AS40" s="13" t="str">
        <f t="shared" si="60"/>
        <v>-</v>
      </c>
      <c r="AT40" s="16" t="str">
        <f t="shared" si="74"/>
        <v>-</v>
      </c>
      <c r="AU40" s="16" t="str">
        <f t="shared" si="61"/>
        <v>-</v>
      </c>
      <c r="AV40" s="16" t="str">
        <f t="shared" si="62"/>
        <v>-</v>
      </c>
      <c r="AW40" s="16" t="str">
        <f t="shared" si="75"/>
        <v>-</v>
      </c>
      <c r="AX40" s="13" t="str">
        <f t="shared" si="76"/>
        <v>-</v>
      </c>
      <c r="AY40" s="10" t="str">
        <f t="shared" si="77"/>
        <v>-</v>
      </c>
      <c r="AZ40" s="9" t="str">
        <f t="shared" si="78"/>
        <v>-</v>
      </c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</row>
    <row r="41" spans="2:68" x14ac:dyDescent="0.3">
      <c r="B41" s="108" t="str">
        <f t="shared" si="63"/>
        <v/>
      </c>
      <c r="C41" s="108" t="str">
        <f t="shared" si="47"/>
        <v/>
      </c>
      <c r="D41" s="3"/>
      <c r="E41" s="3"/>
      <c r="F41" s="3"/>
      <c r="G41" s="20">
        <f>IFERROR(INDEX('Input - Tesco'!F$2:F$200,MATCH('Calculations - Tesco'!$C41,'Input - Tesco'!$B$2:$B$200,0)),"")</f>
        <v>0</v>
      </c>
      <c r="H41" s="20">
        <f>IFERROR(INDEX('Input - Tesco'!G$2:G$200,MATCH('Calculations - Tesco'!$C41,'Input - Tesco'!$B$2:$B$200,0)),"")</f>
        <v>0</v>
      </c>
      <c r="I41" s="21">
        <f>IFERROR(INDEX('Input - Tesco'!H$2:H$200,MATCH('Calculations - Tesco'!$C41,'Input - Tesco'!$B$2:$B$200,0)),"")</f>
        <v>0</v>
      </c>
      <c r="J41" s="21">
        <f>IFERROR(INDEX('Input - Tesco'!I$2:I$200,MATCH('Calculations - Tesco'!$C41,'Input - Tesco'!$B$2:$B$200,0)),"")</f>
        <v>0</v>
      </c>
      <c r="K41" s="20">
        <f>IFERROR(INDEX('Input - Tesco'!J$2:J$200,MATCH('Calculations - Tesco'!$C41,'Input - Tesco'!$B$2:$B$200,0)),"")</f>
        <v>0</v>
      </c>
      <c r="L41" s="20">
        <f>IFERROR(INDEX('Input - Tesco'!K$2:K$200,MATCH('Calculations - Tesco'!$C41,'Input - Tesco'!$B$2:$B$200,0)),"")</f>
        <v>0</v>
      </c>
      <c r="M41" s="21" t="str">
        <f t="shared" si="64"/>
        <v/>
      </c>
      <c r="N41" s="21" t="str">
        <f t="shared" si="48"/>
        <v/>
      </c>
      <c r="O41" s="21">
        <f t="shared" si="65"/>
        <v>0</v>
      </c>
      <c r="P41" s="9">
        <f t="shared" si="49"/>
        <v>0</v>
      </c>
      <c r="Q41" s="9">
        <f t="shared" si="50"/>
        <v>0</v>
      </c>
      <c r="R41" s="22" t="str">
        <f>IFERROR(INDEX(Tesco!$Q$11:$Q$165,MATCH('Calculations - Tesco'!$C41,Tesco!$M$11:$M$165,0)),"")</f>
        <v/>
      </c>
      <c r="S41" s="22" t="str">
        <f>IFERROR(INDEX(Tesco!$R$11:$R$165,MATCH('Calculations - Tesco'!$C41,Tesco!$M$11:$M$165,0)),"")</f>
        <v/>
      </c>
      <c r="T41" s="16" t="e">
        <f t="shared" si="51"/>
        <v>#VALUE!</v>
      </c>
      <c r="U41" s="16" t="e">
        <f t="shared" si="66"/>
        <v>#VALUE!</v>
      </c>
      <c r="V41" s="16" t="e">
        <f t="shared" si="67"/>
        <v>#VALUE!</v>
      </c>
      <c r="W41" s="10" t="str">
        <f t="shared" si="52"/>
        <v>-</v>
      </c>
      <c r="X41" s="10" t="str">
        <f t="shared" si="53"/>
        <v>-</v>
      </c>
      <c r="Y41" s="13" t="str">
        <f t="shared" si="68"/>
        <v>-</v>
      </c>
      <c r="Z41" s="9" t="str">
        <f t="shared" si="54"/>
        <v>-</v>
      </c>
      <c r="AA41" s="16" t="str">
        <f t="shared" si="69"/>
        <v>-</v>
      </c>
      <c r="AB41" s="16" t="str">
        <f t="shared" si="55"/>
        <v>-</v>
      </c>
      <c r="AC41" s="16" t="str">
        <f t="shared" si="56"/>
        <v>-</v>
      </c>
      <c r="AD41" s="16" t="str">
        <f t="shared" si="70"/>
        <v>-</v>
      </c>
      <c r="AE41" s="16"/>
      <c r="AF41" s="31" t="str">
        <f>IFERROR(INDEX(Tesco!$P$11:$P$165,MATCH('Calculations - Tesco'!C41,Tesco!$M$11:$M$165,0)),"")</f>
        <v/>
      </c>
      <c r="AG41" s="23" t="str">
        <f t="shared" si="71"/>
        <v/>
      </c>
      <c r="AH41" s="23" t="str">
        <f t="shared" si="71"/>
        <v/>
      </c>
      <c r="AI41" s="9" t="str">
        <f t="shared" si="57"/>
        <v/>
      </c>
      <c r="AJ41" s="4" t="str">
        <f t="shared" si="58"/>
        <v/>
      </c>
      <c r="AK41" s="4"/>
      <c r="AL41" s="4"/>
      <c r="AM41" s="4"/>
      <c r="AN41" s="4"/>
      <c r="AO41" s="4"/>
      <c r="AP41" s="20" t="str">
        <f t="shared" si="59"/>
        <v>-</v>
      </c>
      <c r="AQ41" s="13" t="str">
        <f t="shared" si="72"/>
        <v>-</v>
      </c>
      <c r="AR41" s="13" t="str">
        <f t="shared" si="73"/>
        <v>-</v>
      </c>
      <c r="AS41" s="13" t="str">
        <f t="shared" si="60"/>
        <v>-</v>
      </c>
      <c r="AT41" s="16" t="str">
        <f t="shared" si="74"/>
        <v>-</v>
      </c>
      <c r="AU41" s="16" t="str">
        <f t="shared" si="61"/>
        <v>-</v>
      </c>
      <c r="AV41" s="16" t="str">
        <f t="shared" si="62"/>
        <v>-</v>
      </c>
      <c r="AW41" s="16" t="str">
        <f t="shared" si="75"/>
        <v>-</v>
      </c>
      <c r="AX41" s="13" t="str">
        <f t="shared" si="76"/>
        <v>-</v>
      </c>
      <c r="AY41" s="10" t="str">
        <f t="shared" si="77"/>
        <v>-</v>
      </c>
      <c r="AZ41" s="9" t="str">
        <f t="shared" si="78"/>
        <v>-</v>
      </c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</row>
    <row r="42" spans="2:68" x14ac:dyDescent="0.3">
      <c r="B42" s="108" t="str">
        <f t="shared" si="63"/>
        <v/>
      </c>
      <c r="C42" s="108" t="str">
        <f t="shared" si="47"/>
        <v/>
      </c>
      <c r="D42" s="3"/>
      <c r="E42" s="3"/>
      <c r="F42" s="3"/>
      <c r="G42" s="20">
        <f>IFERROR(INDEX('Input - Tesco'!F$2:F$200,MATCH('Calculations - Tesco'!$C42,'Input - Tesco'!$B$2:$B$200,0)),"")</f>
        <v>0</v>
      </c>
      <c r="H42" s="20">
        <f>IFERROR(INDEX('Input - Tesco'!G$2:G$200,MATCH('Calculations - Tesco'!$C42,'Input - Tesco'!$B$2:$B$200,0)),"")</f>
        <v>0</v>
      </c>
      <c r="I42" s="21">
        <f>IFERROR(INDEX('Input - Tesco'!H$2:H$200,MATCH('Calculations - Tesco'!$C42,'Input - Tesco'!$B$2:$B$200,0)),"")</f>
        <v>0</v>
      </c>
      <c r="J42" s="21">
        <f>IFERROR(INDEX('Input - Tesco'!I$2:I$200,MATCH('Calculations - Tesco'!$C42,'Input - Tesco'!$B$2:$B$200,0)),"")</f>
        <v>0</v>
      </c>
      <c r="K42" s="20">
        <f>IFERROR(INDEX('Input - Tesco'!J$2:J$200,MATCH('Calculations - Tesco'!$C42,'Input - Tesco'!$B$2:$B$200,0)),"")</f>
        <v>0</v>
      </c>
      <c r="L42" s="20">
        <f>IFERROR(INDEX('Input - Tesco'!K$2:K$200,MATCH('Calculations - Tesco'!$C42,'Input - Tesco'!$B$2:$B$200,0)),"")</f>
        <v>0</v>
      </c>
      <c r="M42" s="21" t="str">
        <f t="shared" si="64"/>
        <v/>
      </c>
      <c r="N42" s="21" t="str">
        <f t="shared" si="48"/>
        <v/>
      </c>
      <c r="O42" s="21">
        <f t="shared" si="65"/>
        <v>0</v>
      </c>
      <c r="P42" s="9">
        <f t="shared" si="49"/>
        <v>0</v>
      </c>
      <c r="Q42" s="9">
        <f t="shared" si="50"/>
        <v>0</v>
      </c>
      <c r="R42" s="22" t="str">
        <f>IFERROR(INDEX(Tesco!$Q$11:$Q$165,MATCH('Calculations - Tesco'!$C42,Tesco!$M$11:$M$165,0)),"")</f>
        <v/>
      </c>
      <c r="S42" s="22" t="str">
        <f>IFERROR(INDEX(Tesco!$R$11:$R$165,MATCH('Calculations - Tesco'!$C42,Tesco!$M$11:$M$165,0)),"")</f>
        <v/>
      </c>
      <c r="T42" s="16" t="e">
        <f t="shared" si="51"/>
        <v>#VALUE!</v>
      </c>
      <c r="U42" s="16" t="e">
        <f t="shared" si="66"/>
        <v>#VALUE!</v>
      </c>
      <c r="V42" s="16" t="e">
        <f t="shared" si="67"/>
        <v>#VALUE!</v>
      </c>
      <c r="W42" s="10" t="str">
        <f t="shared" si="52"/>
        <v>-</v>
      </c>
      <c r="X42" s="10" t="str">
        <f t="shared" si="53"/>
        <v>-</v>
      </c>
      <c r="Y42" s="13" t="str">
        <f t="shared" si="68"/>
        <v>-</v>
      </c>
      <c r="Z42" s="9" t="str">
        <f t="shared" si="54"/>
        <v>-</v>
      </c>
      <c r="AA42" s="16" t="str">
        <f t="shared" si="69"/>
        <v>-</v>
      </c>
      <c r="AB42" s="16" t="str">
        <f t="shared" si="55"/>
        <v>-</v>
      </c>
      <c r="AC42" s="16" t="str">
        <f t="shared" si="56"/>
        <v>-</v>
      </c>
      <c r="AD42" s="16" t="str">
        <f t="shared" si="70"/>
        <v>-</v>
      </c>
      <c r="AE42" s="16"/>
      <c r="AF42" s="31" t="str">
        <f>IFERROR(INDEX(Tesco!$P$11:$P$165,MATCH('Calculations - Tesco'!C42,Tesco!$M$11:$M$165,0)),"")</f>
        <v/>
      </c>
      <c r="AG42" s="23" t="str">
        <f t="shared" si="71"/>
        <v/>
      </c>
      <c r="AH42" s="23" t="str">
        <f t="shared" si="71"/>
        <v/>
      </c>
      <c r="AI42" s="9" t="str">
        <f t="shared" si="57"/>
        <v/>
      </c>
      <c r="AJ42" s="4" t="str">
        <f t="shared" si="58"/>
        <v/>
      </c>
      <c r="AK42" s="4"/>
      <c r="AL42" s="4"/>
      <c r="AM42" s="4"/>
      <c r="AN42" s="4"/>
      <c r="AO42" s="4"/>
      <c r="AP42" s="20" t="str">
        <f t="shared" si="59"/>
        <v>-</v>
      </c>
      <c r="AQ42" s="13" t="str">
        <f t="shared" si="72"/>
        <v>-</v>
      </c>
      <c r="AR42" s="13" t="str">
        <f t="shared" si="73"/>
        <v>-</v>
      </c>
      <c r="AS42" s="13" t="str">
        <f t="shared" si="60"/>
        <v>-</v>
      </c>
      <c r="AT42" s="16" t="str">
        <f t="shared" si="74"/>
        <v>-</v>
      </c>
      <c r="AU42" s="16" t="str">
        <f t="shared" si="61"/>
        <v>-</v>
      </c>
      <c r="AV42" s="16" t="str">
        <f t="shared" si="62"/>
        <v>-</v>
      </c>
      <c r="AW42" s="16" t="str">
        <f t="shared" si="75"/>
        <v>-</v>
      </c>
      <c r="AX42" s="13" t="str">
        <f t="shared" si="76"/>
        <v>-</v>
      </c>
      <c r="AY42" s="10" t="str">
        <f t="shared" si="77"/>
        <v>-</v>
      </c>
      <c r="AZ42" s="9" t="str">
        <f t="shared" si="78"/>
        <v>-</v>
      </c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</row>
    <row r="43" spans="2:68" x14ac:dyDescent="0.3">
      <c r="B43" s="108" t="str">
        <f t="shared" si="63"/>
        <v/>
      </c>
      <c r="C43" s="108" t="str">
        <f t="shared" si="47"/>
        <v/>
      </c>
      <c r="D43" s="3"/>
      <c r="E43" s="3"/>
      <c r="F43" s="3"/>
      <c r="G43" s="20">
        <f>IFERROR(INDEX('Input - Tesco'!F$2:F$200,MATCH('Calculations - Tesco'!$C43,'Input - Tesco'!$B$2:$B$200,0)),"")</f>
        <v>0</v>
      </c>
      <c r="H43" s="20">
        <f>IFERROR(INDEX('Input - Tesco'!G$2:G$200,MATCH('Calculations - Tesco'!$C43,'Input - Tesco'!$B$2:$B$200,0)),"")</f>
        <v>0</v>
      </c>
      <c r="I43" s="21">
        <f>IFERROR(INDEX('Input - Tesco'!H$2:H$200,MATCH('Calculations - Tesco'!$C43,'Input - Tesco'!$B$2:$B$200,0)),"")</f>
        <v>0</v>
      </c>
      <c r="J43" s="21">
        <f>IFERROR(INDEX('Input - Tesco'!I$2:I$200,MATCH('Calculations - Tesco'!$C43,'Input - Tesco'!$B$2:$B$200,0)),"")</f>
        <v>0</v>
      </c>
      <c r="K43" s="20">
        <f>IFERROR(INDEX('Input - Tesco'!J$2:J$200,MATCH('Calculations - Tesco'!$C43,'Input - Tesco'!$B$2:$B$200,0)),"")</f>
        <v>0</v>
      </c>
      <c r="L43" s="20">
        <f>IFERROR(INDEX('Input - Tesco'!K$2:K$200,MATCH('Calculations - Tesco'!$C43,'Input - Tesco'!$B$2:$B$200,0)),"")</f>
        <v>0</v>
      </c>
      <c r="M43" s="21" t="str">
        <f t="shared" si="64"/>
        <v/>
      </c>
      <c r="N43" s="21" t="str">
        <f t="shared" si="48"/>
        <v/>
      </c>
      <c r="O43" s="21">
        <f t="shared" si="65"/>
        <v>0</v>
      </c>
      <c r="P43" s="9">
        <f t="shared" si="49"/>
        <v>0</v>
      </c>
      <c r="Q43" s="9">
        <f t="shared" si="50"/>
        <v>0</v>
      </c>
      <c r="R43" s="22" t="str">
        <f>IFERROR(INDEX(Tesco!$Q$11:$Q$165,MATCH('Calculations - Tesco'!$C43,Tesco!$M$11:$M$165,0)),"")</f>
        <v/>
      </c>
      <c r="S43" s="22" t="str">
        <f>IFERROR(INDEX(Tesco!$R$11:$R$165,MATCH('Calculations - Tesco'!$C43,Tesco!$M$11:$M$165,0)),"")</f>
        <v/>
      </c>
      <c r="T43" s="16" t="e">
        <f t="shared" si="51"/>
        <v>#VALUE!</v>
      </c>
      <c r="U43" s="16" t="e">
        <f t="shared" si="66"/>
        <v>#VALUE!</v>
      </c>
      <c r="V43" s="16" t="e">
        <f t="shared" si="67"/>
        <v>#VALUE!</v>
      </c>
      <c r="W43" s="10" t="str">
        <f t="shared" si="52"/>
        <v>-</v>
      </c>
      <c r="X43" s="10" t="str">
        <f t="shared" si="53"/>
        <v>-</v>
      </c>
      <c r="Y43" s="13" t="str">
        <f t="shared" si="68"/>
        <v>-</v>
      </c>
      <c r="Z43" s="9" t="str">
        <f t="shared" si="54"/>
        <v>-</v>
      </c>
      <c r="AA43" s="16" t="str">
        <f t="shared" si="69"/>
        <v>-</v>
      </c>
      <c r="AB43" s="16" t="str">
        <f t="shared" si="55"/>
        <v>-</v>
      </c>
      <c r="AC43" s="16" t="str">
        <f t="shared" si="56"/>
        <v>-</v>
      </c>
      <c r="AD43" s="16" t="str">
        <f t="shared" si="70"/>
        <v>-</v>
      </c>
      <c r="AE43" s="16"/>
      <c r="AF43" s="31" t="str">
        <f>IFERROR(INDEX(Tesco!$P$11:$P$165,MATCH('Calculations - Tesco'!C43,Tesco!$M$11:$M$165,0)),"")</f>
        <v/>
      </c>
      <c r="AG43" s="23" t="str">
        <f t="shared" si="71"/>
        <v/>
      </c>
      <c r="AH43" s="23" t="str">
        <f t="shared" si="71"/>
        <v/>
      </c>
      <c r="AI43" s="9" t="str">
        <f t="shared" si="57"/>
        <v/>
      </c>
      <c r="AJ43" s="4" t="str">
        <f t="shared" si="58"/>
        <v/>
      </c>
      <c r="AK43" s="4"/>
      <c r="AL43" s="4"/>
      <c r="AM43" s="4"/>
      <c r="AN43" s="4"/>
      <c r="AO43" s="4"/>
      <c r="AP43" s="20" t="str">
        <f t="shared" si="59"/>
        <v>-</v>
      </c>
      <c r="AQ43" s="13" t="str">
        <f t="shared" si="72"/>
        <v>-</v>
      </c>
      <c r="AR43" s="13" t="str">
        <f t="shared" si="73"/>
        <v>-</v>
      </c>
      <c r="AS43" s="13" t="str">
        <f t="shared" si="60"/>
        <v>-</v>
      </c>
      <c r="AT43" s="16" t="str">
        <f t="shared" si="74"/>
        <v>-</v>
      </c>
      <c r="AU43" s="16" t="str">
        <f t="shared" si="61"/>
        <v>-</v>
      </c>
      <c r="AV43" s="16" t="str">
        <f t="shared" si="62"/>
        <v>-</v>
      </c>
      <c r="AW43" s="16" t="str">
        <f t="shared" si="75"/>
        <v>-</v>
      </c>
      <c r="AX43" s="13" t="str">
        <f t="shared" si="76"/>
        <v>-</v>
      </c>
      <c r="AY43" s="10" t="str">
        <f t="shared" si="77"/>
        <v>-</v>
      </c>
      <c r="AZ43" s="9" t="str">
        <f t="shared" si="78"/>
        <v>-</v>
      </c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</row>
    <row r="44" spans="2:68" x14ac:dyDescent="0.3">
      <c r="B44" s="108" t="str">
        <f t="shared" si="63"/>
        <v/>
      </c>
      <c r="C44" s="108" t="str">
        <f t="shared" si="47"/>
        <v/>
      </c>
      <c r="D44" s="3"/>
      <c r="E44" s="3"/>
      <c r="F44" s="3"/>
      <c r="G44" s="20">
        <f>IFERROR(INDEX('Input - Tesco'!F$2:F$200,MATCH('Calculations - Tesco'!$C44,'Input - Tesco'!$B$2:$B$200,0)),"")</f>
        <v>0</v>
      </c>
      <c r="H44" s="20">
        <f>IFERROR(INDEX('Input - Tesco'!G$2:G$200,MATCH('Calculations - Tesco'!$C44,'Input - Tesco'!$B$2:$B$200,0)),"")</f>
        <v>0</v>
      </c>
      <c r="I44" s="21">
        <f>IFERROR(INDEX('Input - Tesco'!H$2:H$200,MATCH('Calculations - Tesco'!$C44,'Input - Tesco'!$B$2:$B$200,0)),"")</f>
        <v>0</v>
      </c>
      <c r="J44" s="21">
        <f>IFERROR(INDEX('Input - Tesco'!I$2:I$200,MATCH('Calculations - Tesco'!$C44,'Input - Tesco'!$B$2:$B$200,0)),"")</f>
        <v>0</v>
      </c>
      <c r="K44" s="20">
        <f>IFERROR(INDEX('Input - Tesco'!J$2:J$200,MATCH('Calculations - Tesco'!$C44,'Input - Tesco'!$B$2:$B$200,0)),"")</f>
        <v>0</v>
      </c>
      <c r="L44" s="20">
        <f>IFERROR(INDEX('Input - Tesco'!K$2:K$200,MATCH('Calculations - Tesco'!$C44,'Input - Tesco'!$B$2:$B$200,0)),"")</f>
        <v>0</v>
      </c>
      <c r="M44" s="21" t="str">
        <f t="shared" si="64"/>
        <v/>
      </c>
      <c r="N44" s="21" t="str">
        <f t="shared" si="48"/>
        <v/>
      </c>
      <c r="O44" s="21">
        <f t="shared" si="65"/>
        <v>0</v>
      </c>
      <c r="P44" s="9">
        <f t="shared" si="49"/>
        <v>0</v>
      </c>
      <c r="Q44" s="9">
        <f t="shared" si="50"/>
        <v>0</v>
      </c>
      <c r="R44" s="22" t="str">
        <f>IFERROR(INDEX(Tesco!$Q$11:$Q$165,MATCH('Calculations - Tesco'!$C44,Tesco!$M$11:$M$165,0)),"")</f>
        <v/>
      </c>
      <c r="S44" s="22" t="str">
        <f>IFERROR(INDEX(Tesco!$R$11:$R$165,MATCH('Calculations - Tesco'!$C44,Tesco!$M$11:$M$165,0)),"")</f>
        <v/>
      </c>
      <c r="T44" s="16" t="e">
        <f t="shared" si="51"/>
        <v>#VALUE!</v>
      </c>
      <c r="U44" s="16" t="e">
        <f t="shared" si="66"/>
        <v>#VALUE!</v>
      </c>
      <c r="V44" s="16" t="e">
        <f t="shared" si="67"/>
        <v>#VALUE!</v>
      </c>
      <c r="W44" s="10" t="str">
        <f t="shared" si="52"/>
        <v>-</v>
      </c>
      <c r="X44" s="10" t="str">
        <f t="shared" si="53"/>
        <v>-</v>
      </c>
      <c r="Y44" s="13" t="str">
        <f t="shared" si="68"/>
        <v>-</v>
      </c>
      <c r="Z44" s="9" t="str">
        <f t="shared" si="54"/>
        <v>-</v>
      </c>
      <c r="AA44" s="16" t="str">
        <f t="shared" si="69"/>
        <v>-</v>
      </c>
      <c r="AB44" s="16" t="str">
        <f t="shared" si="55"/>
        <v>-</v>
      </c>
      <c r="AC44" s="16" t="str">
        <f t="shared" si="56"/>
        <v>-</v>
      </c>
      <c r="AD44" s="16" t="str">
        <f t="shared" si="70"/>
        <v>-</v>
      </c>
      <c r="AE44" s="16"/>
      <c r="AF44" s="31" t="str">
        <f>IFERROR(INDEX(Tesco!$P$11:$P$165,MATCH('Calculations - Tesco'!C44,Tesco!$M$11:$M$165,0)),"")</f>
        <v/>
      </c>
      <c r="AG44" s="23" t="str">
        <f t="shared" si="71"/>
        <v/>
      </c>
      <c r="AH44" s="23" t="str">
        <f t="shared" si="71"/>
        <v/>
      </c>
      <c r="AI44" s="9" t="str">
        <f t="shared" si="57"/>
        <v/>
      </c>
      <c r="AJ44" s="4" t="str">
        <f t="shared" si="58"/>
        <v/>
      </c>
      <c r="AK44" s="4"/>
      <c r="AL44" s="4"/>
      <c r="AM44" s="4"/>
      <c r="AN44" s="4"/>
      <c r="AO44" s="4"/>
      <c r="AP44" s="20" t="str">
        <f t="shared" si="59"/>
        <v>-</v>
      </c>
      <c r="AQ44" s="13" t="str">
        <f t="shared" si="72"/>
        <v>-</v>
      </c>
      <c r="AR44" s="13" t="str">
        <f t="shared" si="73"/>
        <v>-</v>
      </c>
      <c r="AS44" s="13" t="str">
        <f t="shared" si="60"/>
        <v>-</v>
      </c>
      <c r="AT44" s="16" t="str">
        <f t="shared" si="74"/>
        <v>-</v>
      </c>
      <c r="AU44" s="16" t="str">
        <f t="shared" si="61"/>
        <v>-</v>
      </c>
      <c r="AV44" s="16" t="str">
        <f t="shared" si="62"/>
        <v>-</v>
      </c>
      <c r="AW44" s="16" t="str">
        <f t="shared" si="75"/>
        <v>-</v>
      </c>
      <c r="AX44" s="13" t="str">
        <f t="shared" si="76"/>
        <v>-</v>
      </c>
      <c r="AY44" s="10" t="str">
        <f t="shared" si="77"/>
        <v>-</v>
      </c>
      <c r="AZ44" s="9" t="str">
        <f t="shared" si="78"/>
        <v>-</v>
      </c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</row>
    <row r="45" spans="2:68" x14ac:dyDescent="0.3">
      <c r="B45" s="108" t="str">
        <f t="shared" si="63"/>
        <v/>
      </c>
      <c r="C45" s="108" t="str">
        <f t="shared" si="47"/>
        <v/>
      </c>
      <c r="D45" s="3"/>
      <c r="E45" s="3"/>
      <c r="F45" s="3"/>
      <c r="G45" s="20">
        <f>IFERROR(INDEX('Input - Tesco'!F$2:F$200,MATCH('Calculations - Tesco'!$C45,'Input - Tesco'!$B$2:$B$200,0)),"")</f>
        <v>0</v>
      </c>
      <c r="H45" s="20">
        <f>IFERROR(INDEX('Input - Tesco'!G$2:G$200,MATCH('Calculations - Tesco'!$C45,'Input - Tesco'!$B$2:$B$200,0)),"")</f>
        <v>0</v>
      </c>
      <c r="I45" s="21">
        <f>IFERROR(INDEX('Input - Tesco'!H$2:H$200,MATCH('Calculations - Tesco'!$C45,'Input - Tesco'!$B$2:$B$200,0)),"")</f>
        <v>0</v>
      </c>
      <c r="J45" s="21">
        <f>IFERROR(INDEX('Input - Tesco'!I$2:I$200,MATCH('Calculations - Tesco'!$C45,'Input - Tesco'!$B$2:$B$200,0)),"")</f>
        <v>0</v>
      </c>
      <c r="K45" s="20">
        <f>IFERROR(INDEX('Input - Tesco'!J$2:J$200,MATCH('Calculations - Tesco'!$C45,'Input - Tesco'!$B$2:$B$200,0)),"")</f>
        <v>0</v>
      </c>
      <c r="L45" s="20">
        <f>IFERROR(INDEX('Input - Tesco'!K$2:K$200,MATCH('Calculations - Tesco'!$C45,'Input - Tesco'!$B$2:$B$200,0)),"")</f>
        <v>0</v>
      </c>
      <c r="M45" s="21" t="str">
        <f t="shared" si="64"/>
        <v/>
      </c>
      <c r="N45" s="21" t="str">
        <f t="shared" si="48"/>
        <v/>
      </c>
      <c r="O45" s="21">
        <f t="shared" si="65"/>
        <v>0</v>
      </c>
      <c r="P45" s="9">
        <f t="shared" si="49"/>
        <v>0</v>
      </c>
      <c r="Q45" s="9">
        <f t="shared" si="50"/>
        <v>0</v>
      </c>
      <c r="R45" s="22" t="str">
        <f>IFERROR(INDEX(Tesco!$Q$11:$Q$165,MATCH('Calculations - Tesco'!$C45,Tesco!$M$11:$M$165,0)),"")</f>
        <v/>
      </c>
      <c r="S45" s="22" t="str">
        <f>IFERROR(INDEX(Tesco!$R$11:$R$165,MATCH('Calculations - Tesco'!$C45,Tesco!$M$11:$M$165,0)),"")</f>
        <v/>
      </c>
      <c r="T45" s="16" t="e">
        <f t="shared" si="51"/>
        <v>#VALUE!</v>
      </c>
      <c r="U45" s="16" t="e">
        <f t="shared" si="66"/>
        <v>#VALUE!</v>
      </c>
      <c r="V45" s="16" t="e">
        <f t="shared" si="67"/>
        <v>#VALUE!</v>
      </c>
      <c r="W45" s="10" t="str">
        <f t="shared" si="52"/>
        <v>-</v>
      </c>
      <c r="X45" s="10" t="str">
        <f t="shared" si="53"/>
        <v>-</v>
      </c>
      <c r="Y45" s="13" t="str">
        <f t="shared" si="68"/>
        <v>-</v>
      </c>
      <c r="Z45" s="9" t="str">
        <f t="shared" si="54"/>
        <v>-</v>
      </c>
      <c r="AA45" s="16" t="str">
        <f t="shared" si="69"/>
        <v>-</v>
      </c>
      <c r="AB45" s="16" t="str">
        <f t="shared" si="55"/>
        <v>-</v>
      </c>
      <c r="AC45" s="16" t="str">
        <f t="shared" si="56"/>
        <v>-</v>
      </c>
      <c r="AD45" s="16" t="str">
        <f t="shared" si="70"/>
        <v>-</v>
      </c>
      <c r="AE45" s="16"/>
      <c r="AF45" s="31" t="str">
        <f>IFERROR(INDEX(Tesco!$P$11:$P$165,MATCH('Calculations - Tesco'!C45,Tesco!$M$11:$M$165,0)),"")</f>
        <v/>
      </c>
      <c r="AG45" s="23" t="str">
        <f t="shared" si="71"/>
        <v/>
      </c>
      <c r="AH45" s="23" t="str">
        <f t="shared" si="71"/>
        <v/>
      </c>
      <c r="AI45" s="9" t="str">
        <f t="shared" si="57"/>
        <v/>
      </c>
      <c r="AJ45" s="4" t="str">
        <f t="shared" si="58"/>
        <v/>
      </c>
      <c r="AK45" s="4"/>
      <c r="AL45" s="4"/>
      <c r="AM45" s="4"/>
      <c r="AN45" s="4"/>
      <c r="AO45" s="4"/>
      <c r="AP45" s="20" t="str">
        <f t="shared" si="59"/>
        <v>-</v>
      </c>
      <c r="AQ45" s="13" t="str">
        <f t="shared" si="72"/>
        <v>-</v>
      </c>
      <c r="AR45" s="13" t="str">
        <f t="shared" si="73"/>
        <v>-</v>
      </c>
      <c r="AS45" s="13" t="str">
        <f t="shared" si="60"/>
        <v>-</v>
      </c>
      <c r="AT45" s="16" t="str">
        <f t="shared" si="74"/>
        <v>-</v>
      </c>
      <c r="AU45" s="16" t="str">
        <f t="shared" si="61"/>
        <v>-</v>
      </c>
      <c r="AV45" s="16" t="str">
        <f t="shared" si="62"/>
        <v>-</v>
      </c>
      <c r="AW45" s="16" t="str">
        <f t="shared" si="75"/>
        <v>-</v>
      </c>
      <c r="AX45" s="13" t="str">
        <f t="shared" si="76"/>
        <v>-</v>
      </c>
      <c r="AY45" s="10" t="str">
        <f t="shared" si="77"/>
        <v>-</v>
      </c>
      <c r="AZ45" s="9" t="str">
        <f t="shared" si="78"/>
        <v>-</v>
      </c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</row>
    <row r="46" spans="2:68" x14ac:dyDescent="0.3">
      <c r="B46" s="108" t="str">
        <f t="shared" si="63"/>
        <v/>
      </c>
      <c r="C46" s="108" t="str">
        <f t="shared" si="47"/>
        <v/>
      </c>
      <c r="D46" s="3"/>
      <c r="E46" s="3"/>
      <c r="F46" s="3"/>
      <c r="G46" s="20">
        <f>IFERROR(INDEX('Input - Tesco'!F$2:F$200,MATCH('Calculations - Tesco'!$C46,'Input - Tesco'!$B$2:$B$200,0)),"")</f>
        <v>0</v>
      </c>
      <c r="H46" s="20">
        <f>IFERROR(INDEX('Input - Tesco'!G$2:G$200,MATCH('Calculations - Tesco'!$C46,'Input - Tesco'!$B$2:$B$200,0)),"")</f>
        <v>0</v>
      </c>
      <c r="I46" s="21">
        <f>IFERROR(INDEX('Input - Tesco'!H$2:H$200,MATCH('Calculations - Tesco'!$C46,'Input - Tesco'!$B$2:$B$200,0)),"")</f>
        <v>0</v>
      </c>
      <c r="J46" s="21">
        <f>IFERROR(INDEX('Input - Tesco'!I$2:I$200,MATCH('Calculations - Tesco'!$C46,'Input - Tesco'!$B$2:$B$200,0)),"")</f>
        <v>0</v>
      </c>
      <c r="K46" s="20">
        <f>IFERROR(INDEX('Input - Tesco'!J$2:J$200,MATCH('Calculations - Tesco'!$C46,'Input - Tesco'!$B$2:$B$200,0)),"")</f>
        <v>0</v>
      </c>
      <c r="L46" s="20">
        <f>IFERROR(INDEX('Input - Tesco'!K$2:K$200,MATCH('Calculations - Tesco'!$C46,'Input - Tesco'!$B$2:$B$200,0)),"")</f>
        <v>0</v>
      </c>
      <c r="M46" s="21" t="str">
        <f t="shared" si="64"/>
        <v/>
      </c>
      <c r="N46" s="21" t="str">
        <f t="shared" si="48"/>
        <v/>
      </c>
      <c r="O46" s="21">
        <f t="shared" si="65"/>
        <v>0</v>
      </c>
      <c r="P46" s="9">
        <f t="shared" si="49"/>
        <v>0</v>
      </c>
      <c r="Q46" s="9">
        <f t="shared" si="50"/>
        <v>0</v>
      </c>
      <c r="R46" s="22" t="str">
        <f>IFERROR(INDEX(Tesco!$Q$11:$Q$165,MATCH('Calculations - Tesco'!$C46,Tesco!$M$11:$M$165,0)),"")</f>
        <v/>
      </c>
      <c r="S46" s="22" t="str">
        <f>IFERROR(INDEX(Tesco!$R$11:$R$165,MATCH('Calculations - Tesco'!$C46,Tesco!$M$11:$M$165,0)),"")</f>
        <v/>
      </c>
      <c r="T46" s="16" t="e">
        <f t="shared" si="51"/>
        <v>#VALUE!</v>
      </c>
      <c r="U46" s="16" t="e">
        <f t="shared" si="66"/>
        <v>#VALUE!</v>
      </c>
      <c r="V46" s="16" t="e">
        <f t="shared" si="67"/>
        <v>#VALUE!</v>
      </c>
      <c r="W46" s="10" t="str">
        <f t="shared" si="52"/>
        <v>-</v>
      </c>
      <c r="X46" s="10" t="str">
        <f t="shared" si="53"/>
        <v>-</v>
      </c>
      <c r="Y46" s="13" t="str">
        <f t="shared" si="68"/>
        <v>-</v>
      </c>
      <c r="Z46" s="9" t="str">
        <f t="shared" si="54"/>
        <v>-</v>
      </c>
      <c r="AA46" s="16" t="str">
        <f t="shared" si="69"/>
        <v>-</v>
      </c>
      <c r="AB46" s="16" t="str">
        <f t="shared" si="55"/>
        <v>-</v>
      </c>
      <c r="AC46" s="16" t="str">
        <f t="shared" si="56"/>
        <v>-</v>
      </c>
      <c r="AD46" s="16" t="str">
        <f t="shared" si="70"/>
        <v>-</v>
      </c>
      <c r="AE46" s="16"/>
      <c r="AF46" s="31" t="str">
        <f>IFERROR(INDEX(Tesco!$P$11:$P$165,MATCH('Calculations - Tesco'!C46,Tesco!$M$11:$M$165,0)),"")</f>
        <v/>
      </c>
      <c r="AG46" s="23" t="str">
        <f t="shared" si="71"/>
        <v/>
      </c>
      <c r="AH46" s="23" t="str">
        <f t="shared" si="71"/>
        <v/>
      </c>
      <c r="AI46" s="9" t="str">
        <f t="shared" si="57"/>
        <v/>
      </c>
      <c r="AJ46" s="4" t="str">
        <f t="shared" si="58"/>
        <v/>
      </c>
      <c r="AK46" s="4"/>
      <c r="AL46" s="4"/>
      <c r="AM46" s="4"/>
      <c r="AN46" s="4"/>
      <c r="AO46" s="4"/>
      <c r="AP46" s="20" t="str">
        <f t="shared" si="59"/>
        <v>-</v>
      </c>
      <c r="AQ46" s="13" t="str">
        <f t="shared" si="72"/>
        <v>-</v>
      </c>
      <c r="AR46" s="13" t="str">
        <f t="shared" si="73"/>
        <v>-</v>
      </c>
      <c r="AS46" s="13" t="str">
        <f t="shared" si="60"/>
        <v>-</v>
      </c>
      <c r="AT46" s="16" t="str">
        <f t="shared" si="74"/>
        <v>-</v>
      </c>
      <c r="AU46" s="16" t="str">
        <f t="shared" si="61"/>
        <v>-</v>
      </c>
      <c r="AV46" s="16" t="str">
        <f t="shared" si="62"/>
        <v>-</v>
      </c>
      <c r="AW46" s="16" t="str">
        <f t="shared" si="75"/>
        <v>-</v>
      </c>
      <c r="AX46" s="13" t="str">
        <f t="shared" si="76"/>
        <v>-</v>
      </c>
      <c r="AY46" s="10" t="str">
        <f t="shared" si="77"/>
        <v>-</v>
      </c>
      <c r="AZ46" s="9" t="str">
        <f t="shared" si="78"/>
        <v>-</v>
      </c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</row>
    <row r="47" spans="2:68" x14ac:dyDescent="0.3">
      <c r="B47" s="108" t="str">
        <f t="shared" si="63"/>
        <v/>
      </c>
      <c r="C47" s="108" t="str">
        <f t="shared" si="47"/>
        <v/>
      </c>
      <c r="D47" s="3"/>
      <c r="E47" s="3"/>
      <c r="F47" s="3"/>
      <c r="G47" s="20">
        <f>IFERROR(INDEX('Input - Tesco'!F$2:F$200,MATCH('Calculations - Tesco'!$C47,'Input - Tesco'!$B$2:$B$200,0)),"")</f>
        <v>0</v>
      </c>
      <c r="H47" s="20">
        <f>IFERROR(INDEX('Input - Tesco'!G$2:G$200,MATCH('Calculations - Tesco'!$C47,'Input - Tesco'!$B$2:$B$200,0)),"")</f>
        <v>0</v>
      </c>
      <c r="I47" s="21">
        <f>IFERROR(INDEX('Input - Tesco'!H$2:H$200,MATCH('Calculations - Tesco'!$C47,'Input - Tesco'!$B$2:$B$200,0)),"")</f>
        <v>0</v>
      </c>
      <c r="J47" s="21">
        <f>IFERROR(INDEX('Input - Tesco'!I$2:I$200,MATCH('Calculations - Tesco'!$C47,'Input - Tesco'!$B$2:$B$200,0)),"")</f>
        <v>0</v>
      </c>
      <c r="K47" s="20">
        <f>IFERROR(INDEX('Input - Tesco'!J$2:J$200,MATCH('Calculations - Tesco'!$C47,'Input - Tesco'!$B$2:$B$200,0)),"")</f>
        <v>0</v>
      </c>
      <c r="L47" s="20">
        <f>IFERROR(INDEX('Input - Tesco'!K$2:K$200,MATCH('Calculations - Tesco'!$C47,'Input - Tesco'!$B$2:$B$200,0)),"")</f>
        <v>0</v>
      </c>
      <c r="M47" s="21" t="str">
        <f t="shared" si="64"/>
        <v/>
      </c>
      <c r="N47" s="21" t="str">
        <f t="shared" si="48"/>
        <v/>
      </c>
      <c r="O47" s="21">
        <f t="shared" si="65"/>
        <v>0</v>
      </c>
      <c r="P47" s="9">
        <f t="shared" si="49"/>
        <v>0</v>
      </c>
      <c r="Q47" s="9">
        <f t="shared" si="50"/>
        <v>0</v>
      </c>
      <c r="R47" s="22" t="str">
        <f>IFERROR(INDEX(Tesco!$Q$11:$Q$165,MATCH('Calculations - Tesco'!$C47,Tesco!$M$11:$M$165,0)),"")</f>
        <v/>
      </c>
      <c r="S47" s="22" t="str">
        <f>IFERROR(INDEX(Tesco!$R$11:$R$165,MATCH('Calculations - Tesco'!$C47,Tesco!$M$11:$M$165,0)),"")</f>
        <v/>
      </c>
      <c r="T47" s="16" t="e">
        <f t="shared" si="51"/>
        <v>#VALUE!</v>
      </c>
      <c r="U47" s="16" t="e">
        <f t="shared" si="66"/>
        <v>#VALUE!</v>
      </c>
      <c r="V47" s="16" t="e">
        <f t="shared" si="67"/>
        <v>#VALUE!</v>
      </c>
      <c r="W47" s="10" t="str">
        <f t="shared" si="52"/>
        <v>-</v>
      </c>
      <c r="X47" s="10" t="str">
        <f t="shared" si="53"/>
        <v>-</v>
      </c>
      <c r="Y47" s="13" t="str">
        <f t="shared" si="68"/>
        <v>-</v>
      </c>
      <c r="Z47" s="9" t="str">
        <f t="shared" si="54"/>
        <v>-</v>
      </c>
      <c r="AA47" s="16" t="str">
        <f t="shared" si="69"/>
        <v>-</v>
      </c>
      <c r="AB47" s="16" t="str">
        <f t="shared" si="55"/>
        <v>-</v>
      </c>
      <c r="AC47" s="16" t="str">
        <f t="shared" si="56"/>
        <v>-</v>
      </c>
      <c r="AD47" s="16" t="str">
        <f t="shared" si="70"/>
        <v>-</v>
      </c>
      <c r="AE47" s="16"/>
      <c r="AF47" s="31" t="str">
        <f>IFERROR(INDEX(Tesco!$P$11:$P$165,MATCH('Calculations - Tesco'!C47,Tesco!$M$11:$M$165,0)),"")</f>
        <v/>
      </c>
      <c r="AG47" s="23" t="str">
        <f t="shared" si="71"/>
        <v/>
      </c>
      <c r="AH47" s="23" t="str">
        <f t="shared" si="71"/>
        <v/>
      </c>
      <c r="AI47" s="9" t="str">
        <f t="shared" si="57"/>
        <v/>
      </c>
      <c r="AJ47" s="4" t="str">
        <f t="shared" si="58"/>
        <v/>
      </c>
      <c r="AK47" s="4"/>
      <c r="AL47" s="4"/>
      <c r="AM47" s="4"/>
      <c r="AN47" s="4"/>
      <c r="AO47" s="4"/>
      <c r="AP47" s="20" t="str">
        <f t="shared" si="59"/>
        <v>-</v>
      </c>
      <c r="AQ47" s="13" t="str">
        <f t="shared" si="72"/>
        <v>-</v>
      </c>
      <c r="AR47" s="13" t="str">
        <f t="shared" si="73"/>
        <v>-</v>
      </c>
      <c r="AS47" s="13" t="str">
        <f t="shared" si="60"/>
        <v>-</v>
      </c>
      <c r="AT47" s="16" t="str">
        <f t="shared" si="74"/>
        <v>-</v>
      </c>
      <c r="AU47" s="16" t="str">
        <f t="shared" si="61"/>
        <v>-</v>
      </c>
      <c r="AV47" s="16" t="str">
        <f t="shared" si="62"/>
        <v>-</v>
      </c>
      <c r="AW47" s="16" t="str">
        <f t="shared" si="75"/>
        <v>-</v>
      </c>
      <c r="AX47" s="13" t="str">
        <f t="shared" si="76"/>
        <v>-</v>
      </c>
      <c r="AY47" s="10" t="str">
        <f t="shared" si="77"/>
        <v>-</v>
      </c>
      <c r="AZ47" s="9" t="str">
        <f t="shared" si="78"/>
        <v>-</v>
      </c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</row>
    <row r="48" spans="2:68" x14ac:dyDescent="0.3">
      <c r="B48" s="108" t="str">
        <f t="shared" si="63"/>
        <v/>
      </c>
      <c r="C48" s="108" t="str">
        <f t="shared" si="47"/>
        <v/>
      </c>
      <c r="D48" s="3"/>
      <c r="E48" s="3"/>
      <c r="F48" s="3"/>
      <c r="G48" s="20">
        <f>IFERROR(INDEX('Input - Tesco'!F$2:F$200,MATCH('Calculations - Tesco'!$C48,'Input - Tesco'!$B$2:$B$200,0)),"")</f>
        <v>0</v>
      </c>
      <c r="H48" s="20">
        <f>IFERROR(INDEX('Input - Tesco'!G$2:G$200,MATCH('Calculations - Tesco'!$C48,'Input - Tesco'!$B$2:$B$200,0)),"")</f>
        <v>0</v>
      </c>
      <c r="I48" s="21">
        <f>IFERROR(INDEX('Input - Tesco'!H$2:H$200,MATCH('Calculations - Tesco'!$C48,'Input - Tesco'!$B$2:$B$200,0)),"")</f>
        <v>0</v>
      </c>
      <c r="J48" s="21">
        <f>IFERROR(INDEX('Input - Tesco'!I$2:I$200,MATCH('Calculations - Tesco'!$C48,'Input - Tesco'!$B$2:$B$200,0)),"")</f>
        <v>0</v>
      </c>
      <c r="K48" s="20">
        <f>IFERROR(INDEX('Input - Tesco'!J$2:J$200,MATCH('Calculations - Tesco'!$C48,'Input - Tesco'!$B$2:$B$200,0)),"")</f>
        <v>0</v>
      </c>
      <c r="L48" s="20">
        <f>IFERROR(INDEX('Input - Tesco'!K$2:K$200,MATCH('Calculations - Tesco'!$C48,'Input - Tesco'!$B$2:$B$200,0)),"")</f>
        <v>0</v>
      </c>
      <c r="M48" s="21" t="str">
        <f t="shared" si="64"/>
        <v/>
      </c>
      <c r="N48" s="21" t="str">
        <f t="shared" si="48"/>
        <v/>
      </c>
      <c r="O48" s="21">
        <f t="shared" si="65"/>
        <v>0</v>
      </c>
      <c r="P48" s="9">
        <f t="shared" si="49"/>
        <v>0</v>
      </c>
      <c r="Q48" s="9">
        <f t="shared" si="50"/>
        <v>0</v>
      </c>
      <c r="R48" s="22" t="str">
        <f>IFERROR(INDEX(Tesco!$Q$11:$Q$165,MATCH('Calculations - Tesco'!$C48,Tesco!$M$11:$M$165,0)),"")</f>
        <v/>
      </c>
      <c r="S48" s="22" t="str">
        <f>IFERROR(INDEX(Tesco!$R$11:$R$165,MATCH('Calculations - Tesco'!$C48,Tesco!$M$11:$M$165,0)),"")</f>
        <v/>
      </c>
      <c r="T48" s="16" t="e">
        <f t="shared" si="51"/>
        <v>#VALUE!</v>
      </c>
      <c r="U48" s="16" t="e">
        <f t="shared" si="66"/>
        <v>#VALUE!</v>
      </c>
      <c r="V48" s="16" t="e">
        <f t="shared" si="67"/>
        <v>#VALUE!</v>
      </c>
      <c r="W48" s="10" t="str">
        <f t="shared" si="52"/>
        <v>-</v>
      </c>
      <c r="X48" s="10" t="str">
        <f t="shared" si="53"/>
        <v>-</v>
      </c>
      <c r="Y48" s="13" t="str">
        <f t="shared" si="68"/>
        <v>-</v>
      </c>
      <c r="Z48" s="9" t="str">
        <f t="shared" si="54"/>
        <v>-</v>
      </c>
      <c r="AA48" s="16" t="str">
        <f t="shared" si="69"/>
        <v>-</v>
      </c>
      <c r="AB48" s="16" t="str">
        <f t="shared" si="55"/>
        <v>-</v>
      </c>
      <c r="AC48" s="16" t="str">
        <f t="shared" si="56"/>
        <v>-</v>
      </c>
      <c r="AD48" s="16" t="str">
        <f t="shared" si="70"/>
        <v>-</v>
      </c>
      <c r="AE48" s="16"/>
      <c r="AF48" s="31" t="str">
        <f>IFERROR(INDEX(Tesco!$P$11:$P$165,MATCH('Calculations - Tesco'!C48,Tesco!$M$11:$M$165,0)),"")</f>
        <v/>
      </c>
      <c r="AG48" s="23" t="str">
        <f t="shared" si="71"/>
        <v/>
      </c>
      <c r="AH48" s="23" t="str">
        <f t="shared" si="71"/>
        <v/>
      </c>
      <c r="AI48" s="9" t="str">
        <f t="shared" si="57"/>
        <v/>
      </c>
      <c r="AJ48" s="4" t="str">
        <f t="shared" si="58"/>
        <v/>
      </c>
      <c r="AK48" s="4"/>
      <c r="AL48" s="4"/>
      <c r="AM48" s="4"/>
      <c r="AN48" s="4"/>
      <c r="AO48" s="4"/>
      <c r="AP48" s="20" t="str">
        <f t="shared" si="59"/>
        <v>-</v>
      </c>
      <c r="AQ48" s="13" t="str">
        <f t="shared" si="72"/>
        <v>-</v>
      </c>
      <c r="AR48" s="13" t="str">
        <f t="shared" si="73"/>
        <v>-</v>
      </c>
      <c r="AS48" s="13" t="str">
        <f t="shared" si="60"/>
        <v>-</v>
      </c>
      <c r="AT48" s="16" t="str">
        <f t="shared" si="74"/>
        <v>-</v>
      </c>
      <c r="AU48" s="16" t="str">
        <f t="shared" si="61"/>
        <v>-</v>
      </c>
      <c r="AV48" s="16" t="str">
        <f t="shared" si="62"/>
        <v>-</v>
      </c>
      <c r="AW48" s="16" t="str">
        <f t="shared" si="75"/>
        <v>-</v>
      </c>
      <c r="AX48" s="13" t="str">
        <f t="shared" si="76"/>
        <v>-</v>
      </c>
      <c r="AY48" s="10" t="str">
        <f t="shared" si="77"/>
        <v>-</v>
      </c>
      <c r="AZ48" s="9" t="str">
        <f t="shared" si="78"/>
        <v>-</v>
      </c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</row>
    <row r="49" spans="2:68" x14ac:dyDescent="0.3">
      <c r="B49" s="108" t="str">
        <f t="shared" si="63"/>
        <v/>
      </c>
      <c r="C49" s="108" t="str">
        <f t="shared" si="47"/>
        <v/>
      </c>
      <c r="D49" s="3"/>
      <c r="E49" s="3"/>
      <c r="F49" s="3"/>
      <c r="G49" s="20">
        <f>IFERROR(INDEX('Input - Tesco'!F$2:F$200,MATCH('Calculations - Tesco'!$C49,'Input - Tesco'!$B$2:$B$200,0)),"")</f>
        <v>0</v>
      </c>
      <c r="H49" s="20">
        <f>IFERROR(INDEX('Input - Tesco'!G$2:G$200,MATCH('Calculations - Tesco'!$C49,'Input - Tesco'!$B$2:$B$200,0)),"")</f>
        <v>0</v>
      </c>
      <c r="I49" s="21">
        <f>IFERROR(INDEX('Input - Tesco'!H$2:H$200,MATCH('Calculations - Tesco'!$C49,'Input - Tesco'!$B$2:$B$200,0)),"")</f>
        <v>0</v>
      </c>
      <c r="J49" s="21">
        <f>IFERROR(INDEX('Input - Tesco'!I$2:I$200,MATCH('Calculations - Tesco'!$C49,'Input - Tesco'!$B$2:$B$200,0)),"")</f>
        <v>0</v>
      </c>
      <c r="K49" s="20">
        <f>IFERROR(INDEX('Input - Tesco'!J$2:J$200,MATCH('Calculations - Tesco'!$C49,'Input - Tesco'!$B$2:$B$200,0)),"")</f>
        <v>0</v>
      </c>
      <c r="L49" s="20">
        <f>IFERROR(INDEX('Input - Tesco'!K$2:K$200,MATCH('Calculations - Tesco'!$C49,'Input - Tesco'!$B$2:$B$200,0)),"")</f>
        <v>0</v>
      </c>
      <c r="M49" s="21" t="str">
        <f t="shared" si="64"/>
        <v/>
      </c>
      <c r="N49" s="21" t="str">
        <f t="shared" si="48"/>
        <v/>
      </c>
      <c r="O49" s="21">
        <f t="shared" si="65"/>
        <v>0</v>
      </c>
      <c r="P49" s="9">
        <f t="shared" si="49"/>
        <v>0</v>
      </c>
      <c r="Q49" s="9">
        <f t="shared" si="50"/>
        <v>0</v>
      </c>
      <c r="R49" s="22" t="str">
        <f>IFERROR(INDEX(Tesco!$Q$11:$Q$165,MATCH('Calculations - Tesco'!$C49,Tesco!$M$11:$M$165,0)),"")</f>
        <v/>
      </c>
      <c r="S49" s="22" t="str">
        <f>IFERROR(INDEX(Tesco!$R$11:$R$165,MATCH('Calculations - Tesco'!$C49,Tesco!$M$11:$M$165,0)),"")</f>
        <v/>
      </c>
      <c r="T49" s="16" t="e">
        <f t="shared" si="51"/>
        <v>#VALUE!</v>
      </c>
      <c r="U49" s="16" t="e">
        <f t="shared" si="66"/>
        <v>#VALUE!</v>
      </c>
      <c r="V49" s="16" t="e">
        <f t="shared" si="67"/>
        <v>#VALUE!</v>
      </c>
      <c r="W49" s="10" t="str">
        <f t="shared" si="52"/>
        <v>-</v>
      </c>
      <c r="X49" s="10" t="str">
        <f t="shared" si="53"/>
        <v>-</v>
      </c>
      <c r="Y49" s="13" t="str">
        <f t="shared" si="68"/>
        <v>-</v>
      </c>
      <c r="Z49" s="9" t="str">
        <f t="shared" si="54"/>
        <v>-</v>
      </c>
      <c r="AA49" s="16" t="str">
        <f t="shared" si="69"/>
        <v>-</v>
      </c>
      <c r="AB49" s="16" t="str">
        <f t="shared" si="55"/>
        <v>-</v>
      </c>
      <c r="AC49" s="16" t="str">
        <f t="shared" si="56"/>
        <v>-</v>
      </c>
      <c r="AD49" s="16" t="str">
        <f t="shared" si="70"/>
        <v>-</v>
      </c>
      <c r="AE49" s="16"/>
      <c r="AF49" s="31" t="str">
        <f>IFERROR(INDEX(Tesco!$P$11:$P$165,MATCH('Calculations - Tesco'!C49,Tesco!$M$11:$M$165,0)),"")</f>
        <v/>
      </c>
      <c r="AG49" s="23" t="str">
        <f t="shared" si="71"/>
        <v/>
      </c>
      <c r="AH49" s="23" t="str">
        <f t="shared" si="71"/>
        <v/>
      </c>
      <c r="AI49" s="9" t="str">
        <f t="shared" si="57"/>
        <v/>
      </c>
      <c r="AJ49" s="4" t="str">
        <f t="shared" si="58"/>
        <v/>
      </c>
      <c r="AK49" s="4"/>
      <c r="AL49" s="4"/>
      <c r="AM49" s="4"/>
      <c r="AN49" s="4"/>
      <c r="AO49" s="4"/>
      <c r="AP49" s="20" t="str">
        <f t="shared" si="59"/>
        <v>-</v>
      </c>
      <c r="AQ49" s="13" t="str">
        <f t="shared" si="72"/>
        <v>-</v>
      </c>
      <c r="AR49" s="13" t="str">
        <f t="shared" si="73"/>
        <v>-</v>
      </c>
      <c r="AS49" s="13" t="str">
        <f t="shared" si="60"/>
        <v>-</v>
      </c>
      <c r="AT49" s="16" t="str">
        <f t="shared" si="74"/>
        <v>-</v>
      </c>
      <c r="AU49" s="16" t="str">
        <f t="shared" si="61"/>
        <v>-</v>
      </c>
      <c r="AV49" s="16" t="str">
        <f t="shared" si="62"/>
        <v>-</v>
      </c>
      <c r="AW49" s="16" t="str">
        <f t="shared" si="75"/>
        <v>-</v>
      </c>
      <c r="AX49" s="13" t="str">
        <f t="shared" si="76"/>
        <v>-</v>
      </c>
      <c r="AY49" s="10" t="str">
        <f t="shared" si="77"/>
        <v>-</v>
      </c>
      <c r="AZ49" s="9" t="str">
        <f t="shared" si="78"/>
        <v>-</v>
      </c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</row>
    <row r="50" spans="2:68" x14ac:dyDescent="0.3">
      <c r="B50" s="108" t="str">
        <f t="shared" si="63"/>
        <v/>
      </c>
      <c r="C50" s="108" t="str">
        <f t="shared" si="47"/>
        <v/>
      </c>
      <c r="D50" s="3"/>
      <c r="E50" s="3"/>
      <c r="F50" s="3"/>
      <c r="G50" s="20">
        <f>IFERROR(INDEX('Input - Tesco'!F$2:F$200,MATCH('Calculations - Tesco'!$C50,'Input - Tesco'!$B$2:$B$200,0)),"")</f>
        <v>0</v>
      </c>
      <c r="H50" s="20">
        <f>IFERROR(INDEX('Input - Tesco'!G$2:G$200,MATCH('Calculations - Tesco'!$C50,'Input - Tesco'!$B$2:$B$200,0)),"")</f>
        <v>0</v>
      </c>
      <c r="I50" s="21">
        <f>IFERROR(INDEX('Input - Tesco'!H$2:H$200,MATCH('Calculations - Tesco'!$C50,'Input - Tesco'!$B$2:$B$200,0)),"")</f>
        <v>0</v>
      </c>
      <c r="J50" s="21">
        <f>IFERROR(INDEX('Input - Tesco'!I$2:I$200,MATCH('Calculations - Tesco'!$C50,'Input - Tesco'!$B$2:$B$200,0)),"")</f>
        <v>0</v>
      </c>
      <c r="K50" s="20">
        <f>IFERROR(INDEX('Input - Tesco'!J$2:J$200,MATCH('Calculations - Tesco'!$C50,'Input - Tesco'!$B$2:$B$200,0)),"")</f>
        <v>0</v>
      </c>
      <c r="L50" s="20">
        <f>IFERROR(INDEX('Input - Tesco'!K$2:K$200,MATCH('Calculations - Tesco'!$C50,'Input - Tesco'!$B$2:$B$200,0)),"")</f>
        <v>0</v>
      </c>
      <c r="M50" s="21" t="str">
        <f t="shared" si="64"/>
        <v/>
      </c>
      <c r="N50" s="21" t="str">
        <f t="shared" si="48"/>
        <v/>
      </c>
      <c r="O50" s="21">
        <f t="shared" si="65"/>
        <v>0</v>
      </c>
      <c r="P50" s="9">
        <f t="shared" si="49"/>
        <v>0</v>
      </c>
      <c r="Q50" s="9">
        <f t="shared" si="50"/>
        <v>0</v>
      </c>
      <c r="R50" s="22" t="str">
        <f>IFERROR(INDEX(Tesco!$Q$11:$Q$165,MATCH('Calculations - Tesco'!$C50,Tesco!$M$11:$M$165,0)),"")</f>
        <v/>
      </c>
      <c r="S50" s="22" t="str">
        <f>IFERROR(INDEX(Tesco!$R$11:$R$165,MATCH('Calculations - Tesco'!$C50,Tesco!$M$11:$M$165,0)),"")</f>
        <v/>
      </c>
      <c r="T50" s="16" t="e">
        <f t="shared" si="51"/>
        <v>#VALUE!</v>
      </c>
      <c r="U50" s="16" t="e">
        <f t="shared" si="66"/>
        <v>#VALUE!</v>
      </c>
      <c r="V50" s="16" t="e">
        <f t="shared" si="67"/>
        <v>#VALUE!</v>
      </c>
      <c r="W50" s="10" t="str">
        <f t="shared" si="52"/>
        <v>-</v>
      </c>
      <c r="X50" s="10" t="str">
        <f t="shared" si="53"/>
        <v>-</v>
      </c>
      <c r="Y50" s="13" t="str">
        <f t="shared" si="68"/>
        <v>-</v>
      </c>
      <c r="Z50" s="9" t="str">
        <f t="shared" si="54"/>
        <v>-</v>
      </c>
      <c r="AA50" s="16" t="str">
        <f t="shared" si="69"/>
        <v>-</v>
      </c>
      <c r="AB50" s="16" t="str">
        <f t="shared" si="55"/>
        <v>-</v>
      </c>
      <c r="AC50" s="16" t="str">
        <f t="shared" si="56"/>
        <v>-</v>
      </c>
      <c r="AD50" s="16" t="str">
        <f t="shared" si="70"/>
        <v>-</v>
      </c>
      <c r="AE50" s="16"/>
      <c r="AF50" s="31" t="str">
        <f>IFERROR(INDEX(Tesco!$P$11:$P$165,MATCH('Calculations - Tesco'!C50,Tesco!$M$11:$M$165,0)),"")</f>
        <v/>
      </c>
      <c r="AG50" s="23" t="str">
        <f t="shared" si="71"/>
        <v/>
      </c>
      <c r="AH50" s="23" t="str">
        <f t="shared" si="71"/>
        <v/>
      </c>
      <c r="AI50" s="9" t="str">
        <f t="shared" si="57"/>
        <v/>
      </c>
      <c r="AJ50" s="4" t="str">
        <f t="shared" si="58"/>
        <v/>
      </c>
      <c r="AK50" s="4"/>
      <c r="AL50" s="4"/>
      <c r="AM50" s="4"/>
      <c r="AN50" s="4"/>
      <c r="AO50" s="4"/>
      <c r="AP50" s="20" t="str">
        <f t="shared" si="59"/>
        <v>-</v>
      </c>
      <c r="AQ50" s="13" t="str">
        <f t="shared" si="72"/>
        <v>-</v>
      </c>
      <c r="AR50" s="13" t="str">
        <f t="shared" si="73"/>
        <v>-</v>
      </c>
      <c r="AS50" s="13" t="str">
        <f t="shared" si="60"/>
        <v>-</v>
      </c>
      <c r="AT50" s="16" t="str">
        <f t="shared" si="74"/>
        <v>-</v>
      </c>
      <c r="AU50" s="16" t="str">
        <f t="shared" si="61"/>
        <v>-</v>
      </c>
      <c r="AV50" s="16" t="str">
        <f t="shared" si="62"/>
        <v>-</v>
      </c>
      <c r="AW50" s="16" t="str">
        <f t="shared" si="75"/>
        <v>-</v>
      </c>
      <c r="AX50" s="13" t="str">
        <f t="shared" si="76"/>
        <v>-</v>
      </c>
      <c r="AY50" s="10" t="str">
        <f t="shared" si="77"/>
        <v>-</v>
      </c>
      <c r="AZ50" s="9" t="str">
        <f t="shared" si="78"/>
        <v>-</v>
      </c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</row>
    <row r="51" spans="2:68" x14ac:dyDescent="0.3">
      <c r="B51" s="108" t="str">
        <f t="shared" si="63"/>
        <v/>
      </c>
      <c r="C51" s="108" t="str">
        <f t="shared" si="47"/>
        <v/>
      </c>
      <c r="D51" s="3"/>
      <c r="E51" s="3"/>
      <c r="F51" s="3"/>
      <c r="G51" s="20">
        <f>IFERROR(INDEX('Input - Tesco'!F$2:F$200,MATCH('Calculations - Tesco'!$C51,'Input - Tesco'!$B$2:$B$200,0)),"")</f>
        <v>0</v>
      </c>
      <c r="H51" s="20">
        <f>IFERROR(INDEX('Input - Tesco'!G$2:G$200,MATCH('Calculations - Tesco'!$C51,'Input - Tesco'!$B$2:$B$200,0)),"")</f>
        <v>0</v>
      </c>
      <c r="I51" s="21">
        <f>IFERROR(INDEX('Input - Tesco'!H$2:H$200,MATCH('Calculations - Tesco'!$C51,'Input - Tesco'!$B$2:$B$200,0)),"")</f>
        <v>0</v>
      </c>
      <c r="J51" s="21">
        <f>IFERROR(INDEX('Input - Tesco'!I$2:I$200,MATCH('Calculations - Tesco'!$C51,'Input - Tesco'!$B$2:$B$200,0)),"")</f>
        <v>0</v>
      </c>
      <c r="K51" s="20">
        <f>IFERROR(INDEX('Input - Tesco'!J$2:J$200,MATCH('Calculations - Tesco'!$C51,'Input - Tesco'!$B$2:$B$200,0)),"")</f>
        <v>0</v>
      </c>
      <c r="L51" s="20">
        <f>IFERROR(INDEX('Input - Tesco'!K$2:K$200,MATCH('Calculations - Tesco'!$C51,'Input - Tesco'!$B$2:$B$200,0)),"")</f>
        <v>0</v>
      </c>
      <c r="M51" s="21" t="str">
        <f t="shared" si="64"/>
        <v/>
      </c>
      <c r="N51" s="21" t="str">
        <f t="shared" si="48"/>
        <v/>
      </c>
      <c r="O51" s="21">
        <f t="shared" si="65"/>
        <v>0</v>
      </c>
      <c r="P51" s="9">
        <f t="shared" si="49"/>
        <v>0</v>
      </c>
      <c r="Q51" s="9">
        <f t="shared" si="50"/>
        <v>0</v>
      </c>
      <c r="R51" s="22" t="str">
        <f>IFERROR(INDEX(Tesco!$Q$11:$Q$165,MATCH('Calculations - Tesco'!$C51,Tesco!$M$11:$M$165,0)),"")</f>
        <v/>
      </c>
      <c r="S51" s="22" t="str">
        <f>IFERROR(INDEX(Tesco!$R$11:$R$165,MATCH('Calculations - Tesco'!$C51,Tesco!$M$11:$M$165,0)),"")</f>
        <v/>
      </c>
      <c r="T51" s="16" t="e">
        <f t="shared" si="51"/>
        <v>#VALUE!</v>
      </c>
      <c r="U51" s="16" t="e">
        <f t="shared" si="66"/>
        <v>#VALUE!</v>
      </c>
      <c r="V51" s="16" t="e">
        <f t="shared" si="67"/>
        <v>#VALUE!</v>
      </c>
      <c r="W51" s="10" t="str">
        <f t="shared" si="52"/>
        <v>-</v>
      </c>
      <c r="X51" s="10" t="str">
        <f t="shared" si="53"/>
        <v>-</v>
      </c>
      <c r="Y51" s="13" t="str">
        <f t="shared" si="68"/>
        <v>-</v>
      </c>
      <c r="Z51" s="9" t="str">
        <f t="shared" si="54"/>
        <v>-</v>
      </c>
      <c r="AA51" s="16" t="str">
        <f t="shared" si="69"/>
        <v>-</v>
      </c>
      <c r="AB51" s="16" t="str">
        <f t="shared" si="55"/>
        <v>-</v>
      </c>
      <c r="AC51" s="16" t="str">
        <f t="shared" si="56"/>
        <v>-</v>
      </c>
      <c r="AD51" s="16" t="str">
        <f t="shared" si="70"/>
        <v>-</v>
      </c>
      <c r="AE51" s="16"/>
      <c r="AF51" s="31" t="str">
        <f>IFERROR(INDEX(Tesco!$P$11:$P$165,MATCH('Calculations - Tesco'!C51,Tesco!$M$11:$M$165,0)),"")</f>
        <v/>
      </c>
      <c r="AG51" s="23" t="str">
        <f t="shared" si="71"/>
        <v/>
      </c>
      <c r="AH51" s="23" t="str">
        <f t="shared" si="71"/>
        <v/>
      </c>
      <c r="AI51" s="9" t="str">
        <f t="shared" si="57"/>
        <v/>
      </c>
      <c r="AJ51" s="4" t="str">
        <f t="shared" si="58"/>
        <v/>
      </c>
      <c r="AK51" s="4"/>
      <c r="AL51" s="4"/>
      <c r="AM51" s="4"/>
      <c r="AN51" s="4"/>
      <c r="AO51" s="4"/>
      <c r="AP51" s="20" t="str">
        <f t="shared" si="59"/>
        <v>-</v>
      </c>
      <c r="AQ51" s="13" t="str">
        <f t="shared" si="72"/>
        <v>-</v>
      </c>
      <c r="AR51" s="13" t="str">
        <f t="shared" si="73"/>
        <v>-</v>
      </c>
      <c r="AS51" s="13" t="str">
        <f t="shared" si="60"/>
        <v>-</v>
      </c>
      <c r="AT51" s="16" t="str">
        <f t="shared" si="74"/>
        <v>-</v>
      </c>
      <c r="AU51" s="16" t="str">
        <f t="shared" si="61"/>
        <v>-</v>
      </c>
      <c r="AV51" s="16" t="str">
        <f t="shared" si="62"/>
        <v>-</v>
      </c>
      <c r="AW51" s="16" t="str">
        <f t="shared" si="75"/>
        <v>-</v>
      </c>
      <c r="AX51" s="13" t="str">
        <f t="shared" si="76"/>
        <v>-</v>
      </c>
      <c r="AY51" s="10" t="str">
        <f t="shared" si="77"/>
        <v>-</v>
      </c>
      <c r="AZ51" s="9" t="str">
        <f t="shared" si="78"/>
        <v>-</v>
      </c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2:68" x14ac:dyDescent="0.3">
      <c r="B52" s="108" t="str">
        <f t="shared" si="63"/>
        <v/>
      </c>
      <c r="C52" s="108" t="str">
        <f t="shared" si="47"/>
        <v/>
      </c>
      <c r="D52" s="3"/>
      <c r="E52" s="3"/>
      <c r="F52" s="3"/>
      <c r="G52" s="20">
        <f>IFERROR(INDEX('Input - Tesco'!F$2:F$200,MATCH('Calculations - Tesco'!$C52,'Input - Tesco'!$B$2:$B$200,0)),"")</f>
        <v>0</v>
      </c>
      <c r="H52" s="20">
        <f>IFERROR(INDEX('Input - Tesco'!G$2:G$200,MATCH('Calculations - Tesco'!$C52,'Input - Tesco'!$B$2:$B$200,0)),"")</f>
        <v>0</v>
      </c>
      <c r="I52" s="21">
        <f>IFERROR(INDEX('Input - Tesco'!H$2:H$200,MATCH('Calculations - Tesco'!$C52,'Input - Tesco'!$B$2:$B$200,0)),"")</f>
        <v>0</v>
      </c>
      <c r="J52" s="21">
        <f>IFERROR(INDEX('Input - Tesco'!I$2:I$200,MATCH('Calculations - Tesco'!$C52,'Input - Tesco'!$B$2:$B$200,0)),"")</f>
        <v>0</v>
      </c>
      <c r="K52" s="20">
        <f>IFERROR(INDEX('Input - Tesco'!J$2:J$200,MATCH('Calculations - Tesco'!$C52,'Input - Tesco'!$B$2:$B$200,0)),"")</f>
        <v>0</v>
      </c>
      <c r="L52" s="20">
        <f>IFERROR(INDEX('Input - Tesco'!K$2:K$200,MATCH('Calculations - Tesco'!$C52,'Input - Tesco'!$B$2:$B$200,0)),"")</f>
        <v>0</v>
      </c>
      <c r="M52" s="21" t="str">
        <f t="shared" si="64"/>
        <v/>
      </c>
      <c r="N52" s="21" t="str">
        <f t="shared" si="48"/>
        <v/>
      </c>
      <c r="O52" s="21">
        <f t="shared" si="65"/>
        <v>0</v>
      </c>
      <c r="P52" s="9">
        <f t="shared" si="49"/>
        <v>0</v>
      </c>
      <c r="Q52" s="9">
        <f t="shared" si="50"/>
        <v>0</v>
      </c>
      <c r="R52" s="22" t="str">
        <f>IFERROR(INDEX(Tesco!$Q$11:$Q$165,MATCH('Calculations - Tesco'!$C52,Tesco!$M$11:$M$165,0)),"")</f>
        <v/>
      </c>
      <c r="S52" s="22" t="str">
        <f>IFERROR(INDEX(Tesco!$R$11:$R$165,MATCH('Calculations - Tesco'!$C52,Tesco!$M$11:$M$165,0)),"")</f>
        <v/>
      </c>
      <c r="T52" s="16" t="e">
        <f t="shared" si="51"/>
        <v>#VALUE!</v>
      </c>
      <c r="U52" s="16" t="e">
        <f t="shared" si="66"/>
        <v>#VALUE!</v>
      </c>
      <c r="V52" s="16" t="e">
        <f t="shared" si="67"/>
        <v>#VALUE!</v>
      </c>
      <c r="W52" s="10" t="str">
        <f t="shared" si="52"/>
        <v>-</v>
      </c>
      <c r="X52" s="10" t="str">
        <f t="shared" si="53"/>
        <v>-</v>
      </c>
      <c r="Y52" s="13" t="str">
        <f t="shared" si="68"/>
        <v>-</v>
      </c>
      <c r="Z52" s="9" t="str">
        <f t="shared" si="54"/>
        <v>-</v>
      </c>
      <c r="AA52" s="16" t="str">
        <f t="shared" si="69"/>
        <v>-</v>
      </c>
      <c r="AB52" s="16" t="str">
        <f t="shared" si="55"/>
        <v>-</v>
      </c>
      <c r="AC52" s="16" t="str">
        <f t="shared" si="56"/>
        <v>-</v>
      </c>
      <c r="AD52" s="16" t="str">
        <f t="shared" si="70"/>
        <v>-</v>
      </c>
      <c r="AE52" s="16"/>
      <c r="AF52" s="31" t="str">
        <f>IFERROR(INDEX(Tesco!$P$11:$P$165,MATCH('Calculations - Tesco'!C52,Tesco!$M$11:$M$165,0)),"")</f>
        <v/>
      </c>
      <c r="AG52" s="23" t="str">
        <f t="shared" si="71"/>
        <v/>
      </c>
      <c r="AH52" s="23" t="str">
        <f t="shared" si="71"/>
        <v/>
      </c>
      <c r="AI52" s="9" t="str">
        <f t="shared" si="57"/>
        <v/>
      </c>
      <c r="AJ52" s="4" t="str">
        <f t="shared" si="58"/>
        <v/>
      </c>
      <c r="AK52" s="4"/>
      <c r="AL52" s="4"/>
      <c r="AM52" s="4"/>
      <c r="AN52" s="4"/>
      <c r="AO52" s="4"/>
      <c r="AP52" s="20" t="str">
        <f t="shared" si="59"/>
        <v>-</v>
      </c>
      <c r="AQ52" s="13" t="str">
        <f t="shared" si="72"/>
        <v>-</v>
      </c>
      <c r="AR52" s="13" t="str">
        <f t="shared" si="73"/>
        <v>-</v>
      </c>
      <c r="AS52" s="13" t="str">
        <f t="shared" si="60"/>
        <v>-</v>
      </c>
      <c r="AT52" s="16" t="str">
        <f t="shared" si="74"/>
        <v>-</v>
      </c>
      <c r="AU52" s="16" t="str">
        <f t="shared" si="61"/>
        <v>-</v>
      </c>
      <c r="AV52" s="16" t="str">
        <f t="shared" si="62"/>
        <v>-</v>
      </c>
      <c r="AW52" s="16" t="str">
        <f t="shared" si="75"/>
        <v>-</v>
      </c>
      <c r="AX52" s="13" t="str">
        <f t="shared" si="76"/>
        <v>-</v>
      </c>
      <c r="AY52" s="10" t="str">
        <f t="shared" si="77"/>
        <v>-</v>
      </c>
      <c r="AZ52" s="9" t="str">
        <f t="shared" si="78"/>
        <v>-</v>
      </c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2:68" x14ac:dyDescent="0.3">
      <c r="B53" s="108" t="str">
        <f t="shared" si="63"/>
        <v/>
      </c>
      <c r="C53" s="108" t="str">
        <f t="shared" si="47"/>
        <v/>
      </c>
      <c r="D53" s="3"/>
      <c r="E53" s="3"/>
      <c r="F53" s="3"/>
      <c r="G53" s="20">
        <f>IFERROR(INDEX('Input - Tesco'!F$2:F$200,MATCH('Calculations - Tesco'!$C53,'Input - Tesco'!$B$2:$B$200,0)),"")</f>
        <v>0</v>
      </c>
      <c r="H53" s="20">
        <f>IFERROR(INDEX('Input - Tesco'!G$2:G$200,MATCH('Calculations - Tesco'!$C53,'Input - Tesco'!$B$2:$B$200,0)),"")</f>
        <v>0</v>
      </c>
      <c r="I53" s="21">
        <f>IFERROR(INDEX('Input - Tesco'!H$2:H$200,MATCH('Calculations - Tesco'!$C53,'Input - Tesco'!$B$2:$B$200,0)),"")</f>
        <v>0</v>
      </c>
      <c r="J53" s="21">
        <f>IFERROR(INDEX('Input - Tesco'!I$2:I$200,MATCH('Calculations - Tesco'!$C53,'Input - Tesco'!$B$2:$B$200,0)),"")</f>
        <v>0</v>
      </c>
      <c r="K53" s="20">
        <f>IFERROR(INDEX('Input - Tesco'!J$2:J$200,MATCH('Calculations - Tesco'!$C53,'Input - Tesco'!$B$2:$B$200,0)),"")</f>
        <v>0</v>
      </c>
      <c r="L53" s="20">
        <f>IFERROR(INDEX('Input - Tesco'!K$2:K$200,MATCH('Calculations - Tesco'!$C53,'Input - Tesco'!$B$2:$B$200,0)),"")</f>
        <v>0</v>
      </c>
      <c r="M53" s="21" t="str">
        <f t="shared" si="64"/>
        <v/>
      </c>
      <c r="N53" s="21" t="str">
        <f t="shared" si="48"/>
        <v/>
      </c>
      <c r="O53" s="21">
        <f t="shared" si="65"/>
        <v>0</v>
      </c>
      <c r="P53" s="9">
        <f t="shared" si="49"/>
        <v>0</v>
      </c>
      <c r="Q53" s="9">
        <f t="shared" si="50"/>
        <v>0</v>
      </c>
      <c r="R53" s="22" t="str">
        <f>IFERROR(INDEX(Tesco!$Q$11:$Q$165,MATCH('Calculations - Tesco'!$C53,Tesco!$M$11:$M$165,0)),"")</f>
        <v/>
      </c>
      <c r="S53" s="22" t="str">
        <f>IFERROR(INDEX(Tesco!$R$11:$R$165,MATCH('Calculations - Tesco'!$C53,Tesco!$M$11:$M$165,0)),"")</f>
        <v/>
      </c>
      <c r="T53" s="16" t="e">
        <f t="shared" si="51"/>
        <v>#VALUE!</v>
      </c>
      <c r="U53" s="16" t="e">
        <f t="shared" si="66"/>
        <v>#VALUE!</v>
      </c>
      <c r="V53" s="16" t="e">
        <f t="shared" si="67"/>
        <v>#VALUE!</v>
      </c>
      <c r="W53" s="10" t="str">
        <f t="shared" si="52"/>
        <v>-</v>
      </c>
      <c r="X53" s="10" t="str">
        <f t="shared" si="53"/>
        <v>-</v>
      </c>
      <c r="Y53" s="13" t="str">
        <f t="shared" si="68"/>
        <v>-</v>
      </c>
      <c r="Z53" s="9" t="str">
        <f t="shared" si="54"/>
        <v>-</v>
      </c>
      <c r="AA53" s="16" t="str">
        <f t="shared" si="69"/>
        <v>-</v>
      </c>
      <c r="AB53" s="16" t="str">
        <f t="shared" si="55"/>
        <v>-</v>
      </c>
      <c r="AC53" s="16" t="str">
        <f t="shared" si="56"/>
        <v>-</v>
      </c>
      <c r="AD53" s="16" t="str">
        <f t="shared" si="70"/>
        <v>-</v>
      </c>
      <c r="AE53" s="16"/>
      <c r="AF53" s="31" t="str">
        <f>IFERROR(INDEX(Tesco!$P$11:$P$165,MATCH('Calculations - Tesco'!C53,Tesco!$M$11:$M$165,0)),"")</f>
        <v/>
      </c>
      <c r="AG53" s="23" t="str">
        <f t="shared" si="71"/>
        <v/>
      </c>
      <c r="AH53" s="23" t="str">
        <f t="shared" si="71"/>
        <v/>
      </c>
      <c r="AI53" s="9" t="str">
        <f t="shared" si="57"/>
        <v/>
      </c>
      <c r="AJ53" s="4" t="str">
        <f t="shared" si="58"/>
        <v/>
      </c>
      <c r="AK53" s="4"/>
      <c r="AL53" s="4"/>
      <c r="AM53" s="4"/>
      <c r="AN53" s="4"/>
      <c r="AO53" s="4"/>
      <c r="AP53" s="20" t="str">
        <f t="shared" si="59"/>
        <v>-</v>
      </c>
      <c r="AQ53" s="13" t="str">
        <f t="shared" si="72"/>
        <v>-</v>
      </c>
      <c r="AR53" s="13" t="str">
        <f t="shared" si="73"/>
        <v>-</v>
      </c>
      <c r="AS53" s="13" t="str">
        <f t="shared" si="60"/>
        <v>-</v>
      </c>
      <c r="AT53" s="16" t="str">
        <f t="shared" si="74"/>
        <v>-</v>
      </c>
      <c r="AU53" s="16" t="str">
        <f t="shared" si="61"/>
        <v>-</v>
      </c>
      <c r="AV53" s="16" t="str">
        <f t="shared" si="62"/>
        <v>-</v>
      </c>
      <c r="AW53" s="16" t="str">
        <f t="shared" si="75"/>
        <v>-</v>
      </c>
      <c r="AX53" s="13" t="str">
        <f t="shared" si="76"/>
        <v>-</v>
      </c>
      <c r="AY53" s="10" t="str">
        <f t="shared" si="77"/>
        <v>-</v>
      </c>
      <c r="AZ53" s="9" t="str">
        <f t="shared" si="78"/>
        <v>-</v>
      </c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2:68" x14ac:dyDescent="0.3">
      <c r="B54" s="108" t="str">
        <f t="shared" si="63"/>
        <v/>
      </c>
      <c r="C54" s="108" t="str">
        <f t="shared" si="47"/>
        <v/>
      </c>
      <c r="D54" s="3"/>
      <c r="E54" s="3"/>
      <c r="F54" s="3"/>
      <c r="G54" s="20">
        <f>IFERROR(INDEX('Input - Tesco'!F$2:F$200,MATCH('Calculations - Tesco'!$C54,'Input - Tesco'!$B$2:$B$200,0)),"")</f>
        <v>0</v>
      </c>
      <c r="H54" s="20">
        <f>IFERROR(INDEX('Input - Tesco'!G$2:G$200,MATCH('Calculations - Tesco'!$C54,'Input - Tesco'!$B$2:$B$200,0)),"")</f>
        <v>0</v>
      </c>
      <c r="I54" s="21">
        <f>IFERROR(INDEX('Input - Tesco'!H$2:H$200,MATCH('Calculations - Tesco'!$C54,'Input - Tesco'!$B$2:$B$200,0)),"")</f>
        <v>0</v>
      </c>
      <c r="J54" s="21">
        <f>IFERROR(INDEX('Input - Tesco'!I$2:I$200,MATCH('Calculations - Tesco'!$C54,'Input - Tesco'!$B$2:$B$200,0)),"")</f>
        <v>0</v>
      </c>
      <c r="K54" s="20">
        <f>IFERROR(INDEX('Input - Tesco'!J$2:J$200,MATCH('Calculations - Tesco'!$C54,'Input - Tesco'!$B$2:$B$200,0)),"")</f>
        <v>0</v>
      </c>
      <c r="L54" s="20">
        <f>IFERROR(INDEX('Input - Tesco'!K$2:K$200,MATCH('Calculations - Tesco'!$C54,'Input - Tesco'!$B$2:$B$200,0)),"")</f>
        <v>0</v>
      </c>
      <c r="M54" s="21" t="str">
        <f t="shared" si="64"/>
        <v/>
      </c>
      <c r="N54" s="21" t="str">
        <f t="shared" si="48"/>
        <v/>
      </c>
      <c r="O54" s="21">
        <f t="shared" si="65"/>
        <v>0</v>
      </c>
      <c r="P54" s="9">
        <f t="shared" si="49"/>
        <v>0</v>
      </c>
      <c r="Q54" s="9">
        <f t="shared" si="50"/>
        <v>0</v>
      </c>
      <c r="R54" s="22" t="str">
        <f>IFERROR(INDEX(Tesco!$Q$11:$Q$165,MATCH('Calculations - Tesco'!$C54,Tesco!$M$11:$M$165,0)),"")</f>
        <v/>
      </c>
      <c r="S54" s="22" t="str">
        <f>IFERROR(INDEX(Tesco!$R$11:$R$165,MATCH('Calculations - Tesco'!$C54,Tesco!$M$11:$M$165,0)),"")</f>
        <v/>
      </c>
      <c r="T54" s="16" t="e">
        <f t="shared" si="51"/>
        <v>#VALUE!</v>
      </c>
      <c r="U54" s="16" t="e">
        <f t="shared" si="66"/>
        <v>#VALUE!</v>
      </c>
      <c r="V54" s="16" t="e">
        <f t="shared" si="67"/>
        <v>#VALUE!</v>
      </c>
      <c r="W54" s="10" t="str">
        <f t="shared" si="52"/>
        <v>-</v>
      </c>
      <c r="X54" s="10" t="str">
        <f t="shared" si="53"/>
        <v>-</v>
      </c>
      <c r="Y54" s="13" t="str">
        <f t="shared" si="68"/>
        <v>-</v>
      </c>
      <c r="Z54" s="9" t="str">
        <f t="shared" si="54"/>
        <v>-</v>
      </c>
      <c r="AA54" s="16" t="str">
        <f t="shared" si="69"/>
        <v>-</v>
      </c>
      <c r="AB54" s="16" t="str">
        <f t="shared" si="55"/>
        <v>-</v>
      </c>
      <c r="AC54" s="16" t="str">
        <f t="shared" si="56"/>
        <v>-</v>
      </c>
      <c r="AD54" s="16" t="str">
        <f t="shared" si="70"/>
        <v>-</v>
      </c>
      <c r="AE54" s="16"/>
      <c r="AF54" s="31" t="str">
        <f>IFERROR(INDEX(Tesco!$P$11:$P$165,MATCH('Calculations - Tesco'!C54,Tesco!$M$11:$M$165,0)),"")</f>
        <v/>
      </c>
      <c r="AG54" s="23" t="str">
        <f t="shared" si="71"/>
        <v/>
      </c>
      <c r="AH54" s="23" t="str">
        <f t="shared" si="71"/>
        <v/>
      </c>
      <c r="AI54" s="9" t="str">
        <f t="shared" si="57"/>
        <v/>
      </c>
      <c r="AJ54" s="4" t="str">
        <f t="shared" si="58"/>
        <v/>
      </c>
      <c r="AK54" s="4"/>
      <c r="AL54" s="4"/>
      <c r="AM54" s="4"/>
      <c r="AN54" s="4"/>
      <c r="AO54" s="4"/>
      <c r="AP54" s="20" t="str">
        <f t="shared" si="59"/>
        <v>-</v>
      </c>
      <c r="AQ54" s="13" t="str">
        <f t="shared" si="72"/>
        <v>-</v>
      </c>
      <c r="AR54" s="13" t="str">
        <f t="shared" si="73"/>
        <v>-</v>
      </c>
      <c r="AS54" s="13" t="str">
        <f t="shared" si="60"/>
        <v>-</v>
      </c>
      <c r="AT54" s="16" t="str">
        <f t="shared" si="74"/>
        <v>-</v>
      </c>
      <c r="AU54" s="16" t="str">
        <f t="shared" si="61"/>
        <v>-</v>
      </c>
      <c r="AV54" s="16" t="str">
        <f t="shared" si="62"/>
        <v>-</v>
      </c>
      <c r="AW54" s="16" t="str">
        <f t="shared" si="75"/>
        <v>-</v>
      </c>
      <c r="AX54" s="13" t="str">
        <f t="shared" si="76"/>
        <v>-</v>
      </c>
      <c r="AY54" s="10" t="str">
        <f t="shared" si="77"/>
        <v>-</v>
      </c>
      <c r="AZ54" s="9" t="str">
        <f t="shared" si="78"/>
        <v>-</v>
      </c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2:68" x14ac:dyDescent="0.3">
      <c r="B55" s="108" t="str">
        <f t="shared" si="63"/>
        <v/>
      </c>
      <c r="C55" s="108" t="str">
        <f t="shared" si="47"/>
        <v/>
      </c>
      <c r="D55" s="3"/>
      <c r="E55" s="3"/>
      <c r="F55" s="3"/>
      <c r="G55" s="20">
        <f>IFERROR(INDEX('Input - Tesco'!F$2:F$200,MATCH('Calculations - Tesco'!$C55,'Input - Tesco'!$B$2:$B$200,0)),"")</f>
        <v>0</v>
      </c>
      <c r="H55" s="20">
        <f>IFERROR(INDEX('Input - Tesco'!G$2:G$200,MATCH('Calculations - Tesco'!$C55,'Input - Tesco'!$B$2:$B$200,0)),"")</f>
        <v>0</v>
      </c>
      <c r="I55" s="21">
        <f>IFERROR(INDEX('Input - Tesco'!H$2:H$200,MATCH('Calculations - Tesco'!$C55,'Input - Tesco'!$B$2:$B$200,0)),"")</f>
        <v>0</v>
      </c>
      <c r="J55" s="21">
        <f>IFERROR(INDEX('Input - Tesco'!I$2:I$200,MATCH('Calculations - Tesco'!$C55,'Input - Tesco'!$B$2:$B$200,0)),"")</f>
        <v>0</v>
      </c>
      <c r="K55" s="20">
        <f>IFERROR(INDEX('Input - Tesco'!J$2:J$200,MATCH('Calculations - Tesco'!$C55,'Input - Tesco'!$B$2:$B$200,0)),"")</f>
        <v>0</v>
      </c>
      <c r="L55" s="20">
        <f>IFERROR(INDEX('Input - Tesco'!K$2:K$200,MATCH('Calculations - Tesco'!$C55,'Input - Tesco'!$B$2:$B$200,0)),"")</f>
        <v>0</v>
      </c>
      <c r="M55" s="21" t="str">
        <f t="shared" si="64"/>
        <v/>
      </c>
      <c r="N55" s="21" t="str">
        <f t="shared" si="48"/>
        <v/>
      </c>
      <c r="O55" s="21">
        <f t="shared" si="65"/>
        <v>0</v>
      </c>
      <c r="P55" s="9">
        <f t="shared" si="49"/>
        <v>0</v>
      </c>
      <c r="Q55" s="9">
        <f t="shared" si="50"/>
        <v>0</v>
      </c>
      <c r="R55" s="22" t="str">
        <f>IFERROR(INDEX(Tesco!$Q$11:$Q$165,MATCH('Calculations - Tesco'!$C55,Tesco!$M$11:$M$165,0)),"")</f>
        <v/>
      </c>
      <c r="S55" s="22" t="str">
        <f>IFERROR(INDEX(Tesco!$R$11:$R$165,MATCH('Calculations - Tesco'!$C55,Tesco!$M$11:$M$165,0)),"")</f>
        <v/>
      </c>
      <c r="T55" s="16" t="e">
        <f t="shared" si="51"/>
        <v>#VALUE!</v>
      </c>
      <c r="U55" s="16" t="e">
        <f t="shared" si="66"/>
        <v>#VALUE!</v>
      </c>
      <c r="V55" s="16" t="e">
        <f t="shared" si="67"/>
        <v>#VALUE!</v>
      </c>
      <c r="W55" s="10" t="str">
        <f t="shared" si="52"/>
        <v>-</v>
      </c>
      <c r="X55" s="10" t="str">
        <f t="shared" si="53"/>
        <v>-</v>
      </c>
      <c r="Y55" s="13" t="str">
        <f t="shared" si="68"/>
        <v>-</v>
      </c>
      <c r="Z55" s="9" t="str">
        <f t="shared" si="54"/>
        <v>-</v>
      </c>
      <c r="AA55" s="16" t="str">
        <f t="shared" si="69"/>
        <v>-</v>
      </c>
      <c r="AB55" s="16" t="str">
        <f t="shared" si="55"/>
        <v>-</v>
      </c>
      <c r="AC55" s="16" t="str">
        <f t="shared" si="56"/>
        <v>-</v>
      </c>
      <c r="AD55" s="16" t="str">
        <f t="shared" si="70"/>
        <v>-</v>
      </c>
      <c r="AE55" s="16"/>
      <c r="AF55" s="31" t="str">
        <f>IFERROR(INDEX(Tesco!$P$11:$P$165,MATCH('Calculations - Tesco'!C55,Tesco!$M$11:$M$165,0)),"")</f>
        <v/>
      </c>
      <c r="AG55" s="23" t="str">
        <f t="shared" si="71"/>
        <v/>
      </c>
      <c r="AH55" s="23" t="str">
        <f t="shared" si="71"/>
        <v/>
      </c>
      <c r="AI55" s="9" t="str">
        <f t="shared" si="57"/>
        <v/>
      </c>
      <c r="AJ55" s="4" t="str">
        <f t="shared" si="58"/>
        <v/>
      </c>
      <c r="AK55" s="4"/>
      <c r="AL55" s="4"/>
      <c r="AM55" s="4"/>
      <c r="AN55" s="4"/>
      <c r="AO55" s="4"/>
      <c r="AP55" s="20" t="str">
        <f t="shared" si="59"/>
        <v>-</v>
      </c>
      <c r="AQ55" s="13" t="str">
        <f t="shared" si="72"/>
        <v>-</v>
      </c>
      <c r="AR55" s="13" t="str">
        <f t="shared" si="73"/>
        <v>-</v>
      </c>
      <c r="AS55" s="13" t="str">
        <f t="shared" si="60"/>
        <v>-</v>
      </c>
      <c r="AT55" s="16" t="str">
        <f t="shared" si="74"/>
        <v>-</v>
      </c>
      <c r="AU55" s="16" t="str">
        <f t="shared" si="61"/>
        <v>-</v>
      </c>
      <c r="AV55" s="16" t="str">
        <f t="shared" si="62"/>
        <v>-</v>
      </c>
      <c r="AW55" s="16" t="str">
        <f t="shared" si="75"/>
        <v>-</v>
      </c>
      <c r="AX55" s="13" t="str">
        <f t="shared" si="76"/>
        <v>-</v>
      </c>
      <c r="AY55" s="10" t="str">
        <f t="shared" si="77"/>
        <v>-</v>
      </c>
      <c r="AZ55" s="9" t="str">
        <f t="shared" si="78"/>
        <v>-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2:68" x14ac:dyDescent="0.3">
      <c r="B56" s="108" t="str">
        <f t="shared" si="63"/>
        <v/>
      </c>
      <c r="C56" s="108" t="str">
        <f t="shared" si="47"/>
        <v/>
      </c>
      <c r="D56" s="3"/>
      <c r="E56" s="3"/>
      <c r="F56" s="3"/>
      <c r="G56" s="20">
        <f>IFERROR(INDEX('Input - Tesco'!F$2:F$200,MATCH('Calculations - Tesco'!$C56,'Input - Tesco'!$B$2:$B$200,0)),"")</f>
        <v>0</v>
      </c>
      <c r="H56" s="20">
        <f>IFERROR(INDEX('Input - Tesco'!G$2:G$200,MATCH('Calculations - Tesco'!$C56,'Input - Tesco'!$B$2:$B$200,0)),"")</f>
        <v>0</v>
      </c>
      <c r="I56" s="21">
        <f>IFERROR(INDEX('Input - Tesco'!H$2:H$200,MATCH('Calculations - Tesco'!$C56,'Input - Tesco'!$B$2:$B$200,0)),"")</f>
        <v>0</v>
      </c>
      <c r="J56" s="21">
        <f>IFERROR(INDEX('Input - Tesco'!I$2:I$200,MATCH('Calculations - Tesco'!$C56,'Input - Tesco'!$B$2:$B$200,0)),"")</f>
        <v>0</v>
      </c>
      <c r="K56" s="20">
        <f>IFERROR(INDEX('Input - Tesco'!J$2:J$200,MATCH('Calculations - Tesco'!$C56,'Input - Tesco'!$B$2:$B$200,0)),"")</f>
        <v>0</v>
      </c>
      <c r="L56" s="20">
        <f>IFERROR(INDEX('Input - Tesco'!K$2:K$200,MATCH('Calculations - Tesco'!$C56,'Input - Tesco'!$B$2:$B$200,0)),"")</f>
        <v>0</v>
      </c>
      <c r="M56" s="21" t="str">
        <f t="shared" si="64"/>
        <v/>
      </c>
      <c r="N56" s="21" t="str">
        <f t="shared" si="48"/>
        <v/>
      </c>
      <c r="O56" s="21">
        <f t="shared" si="65"/>
        <v>0</v>
      </c>
      <c r="P56" s="9">
        <f t="shared" si="49"/>
        <v>0</v>
      </c>
      <c r="Q56" s="9">
        <f t="shared" si="50"/>
        <v>0</v>
      </c>
      <c r="R56" s="22" t="str">
        <f>IFERROR(INDEX(Tesco!$Q$11:$Q$165,MATCH('Calculations - Tesco'!$C56,Tesco!$M$11:$M$165,0)),"")</f>
        <v/>
      </c>
      <c r="S56" s="22" t="str">
        <f>IFERROR(INDEX(Tesco!$R$11:$R$165,MATCH('Calculations - Tesco'!$C56,Tesco!$M$11:$M$165,0)),"")</f>
        <v/>
      </c>
      <c r="T56" s="16" t="e">
        <f t="shared" si="51"/>
        <v>#VALUE!</v>
      </c>
      <c r="U56" s="16" t="e">
        <f t="shared" si="66"/>
        <v>#VALUE!</v>
      </c>
      <c r="V56" s="16" t="e">
        <f t="shared" si="67"/>
        <v>#VALUE!</v>
      </c>
      <c r="W56" s="10" t="str">
        <f t="shared" si="52"/>
        <v>-</v>
      </c>
      <c r="X56" s="10" t="str">
        <f t="shared" si="53"/>
        <v>-</v>
      </c>
      <c r="Y56" s="13" t="str">
        <f t="shared" si="68"/>
        <v>-</v>
      </c>
      <c r="Z56" s="9" t="str">
        <f t="shared" si="54"/>
        <v>-</v>
      </c>
      <c r="AA56" s="16" t="str">
        <f t="shared" si="69"/>
        <v>-</v>
      </c>
      <c r="AB56" s="16" t="str">
        <f t="shared" si="55"/>
        <v>-</v>
      </c>
      <c r="AC56" s="16" t="str">
        <f t="shared" si="56"/>
        <v>-</v>
      </c>
      <c r="AD56" s="16" t="str">
        <f t="shared" si="70"/>
        <v>-</v>
      </c>
      <c r="AE56" s="16"/>
      <c r="AF56" s="31" t="str">
        <f>IFERROR(INDEX(Tesco!$P$11:$P$165,MATCH('Calculations - Tesco'!C56,Tesco!$M$11:$M$165,0)),"")</f>
        <v/>
      </c>
      <c r="AG56" s="23" t="str">
        <f t="shared" si="71"/>
        <v/>
      </c>
      <c r="AH56" s="23" t="str">
        <f t="shared" si="71"/>
        <v/>
      </c>
      <c r="AI56" s="9" t="str">
        <f t="shared" si="57"/>
        <v/>
      </c>
      <c r="AJ56" s="4" t="str">
        <f t="shared" si="58"/>
        <v/>
      </c>
      <c r="AK56" s="4"/>
      <c r="AL56" s="4"/>
      <c r="AM56" s="4"/>
      <c r="AN56" s="4"/>
      <c r="AO56" s="4"/>
      <c r="AP56" s="20" t="str">
        <f t="shared" si="59"/>
        <v>-</v>
      </c>
      <c r="AQ56" s="13" t="str">
        <f t="shared" si="72"/>
        <v>-</v>
      </c>
      <c r="AR56" s="13" t="str">
        <f t="shared" si="73"/>
        <v>-</v>
      </c>
      <c r="AS56" s="13" t="str">
        <f t="shared" si="60"/>
        <v>-</v>
      </c>
      <c r="AT56" s="16" t="str">
        <f t="shared" si="74"/>
        <v>-</v>
      </c>
      <c r="AU56" s="16" t="str">
        <f t="shared" si="61"/>
        <v>-</v>
      </c>
      <c r="AV56" s="16" t="str">
        <f t="shared" si="62"/>
        <v>-</v>
      </c>
      <c r="AW56" s="16" t="str">
        <f t="shared" si="75"/>
        <v>-</v>
      </c>
      <c r="AX56" s="13" t="str">
        <f t="shared" si="76"/>
        <v>-</v>
      </c>
      <c r="AY56" s="10" t="str">
        <f t="shared" si="77"/>
        <v>-</v>
      </c>
      <c r="AZ56" s="9" t="str">
        <f t="shared" si="78"/>
        <v>-</v>
      </c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2:68" x14ac:dyDescent="0.3">
      <c r="B57" s="108" t="str">
        <f t="shared" si="63"/>
        <v/>
      </c>
      <c r="C57" s="108" t="str">
        <f t="shared" si="47"/>
        <v/>
      </c>
      <c r="D57" s="3"/>
      <c r="E57" s="3"/>
      <c r="F57" s="3"/>
      <c r="G57" s="20">
        <f>IFERROR(INDEX('Input - Tesco'!F$2:F$200,MATCH('Calculations - Tesco'!$C57,'Input - Tesco'!$B$2:$B$200,0)),"")</f>
        <v>0</v>
      </c>
      <c r="H57" s="20">
        <f>IFERROR(INDEX('Input - Tesco'!G$2:G$200,MATCH('Calculations - Tesco'!$C57,'Input - Tesco'!$B$2:$B$200,0)),"")</f>
        <v>0</v>
      </c>
      <c r="I57" s="21">
        <f>IFERROR(INDEX('Input - Tesco'!H$2:H$200,MATCH('Calculations - Tesco'!$C57,'Input - Tesco'!$B$2:$B$200,0)),"")</f>
        <v>0</v>
      </c>
      <c r="J57" s="21">
        <f>IFERROR(INDEX('Input - Tesco'!I$2:I$200,MATCH('Calculations - Tesco'!$C57,'Input - Tesco'!$B$2:$B$200,0)),"")</f>
        <v>0</v>
      </c>
      <c r="K57" s="20">
        <f>IFERROR(INDEX('Input - Tesco'!J$2:J$200,MATCH('Calculations - Tesco'!$C57,'Input - Tesco'!$B$2:$B$200,0)),"")</f>
        <v>0</v>
      </c>
      <c r="L57" s="20">
        <f>IFERROR(INDEX('Input - Tesco'!K$2:K$200,MATCH('Calculations - Tesco'!$C57,'Input - Tesco'!$B$2:$B$200,0)),"")</f>
        <v>0</v>
      </c>
      <c r="M57" s="21" t="str">
        <f t="shared" si="64"/>
        <v/>
      </c>
      <c r="N57" s="21" t="str">
        <f t="shared" si="48"/>
        <v/>
      </c>
      <c r="O57" s="21">
        <f t="shared" si="65"/>
        <v>0</v>
      </c>
      <c r="P57" s="9">
        <f t="shared" si="49"/>
        <v>0</v>
      </c>
      <c r="Q57" s="9">
        <f t="shared" si="50"/>
        <v>0</v>
      </c>
      <c r="R57" s="22" t="str">
        <f>IFERROR(INDEX(Tesco!$Q$11:$Q$165,MATCH('Calculations - Tesco'!$C57,Tesco!$M$11:$M$165,0)),"")</f>
        <v/>
      </c>
      <c r="S57" s="22" t="str">
        <f>IFERROR(INDEX(Tesco!$R$11:$R$165,MATCH('Calculations - Tesco'!$C57,Tesco!$M$11:$M$165,0)),"")</f>
        <v/>
      </c>
      <c r="T57" s="16" t="e">
        <f t="shared" si="51"/>
        <v>#VALUE!</v>
      </c>
      <c r="U57" s="16" t="e">
        <f t="shared" si="66"/>
        <v>#VALUE!</v>
      </c>
      <c r="V57" s="16" t="e">
        <f t="shared" si="67"/>
        <v>#VALUE!</v>
      </c>
      <c r="W57" s="10" t="str">
        <f t="shared" si="52"/>
        <v>-</v>
      </c>
      <c r="X57" s="10" t="str">
        <f t="shared" si="53"/>
        <v>-</v>
      </c>
      <c r="Y57" s="13" t="str">
        <f t="shared" si="68"/>
        <v>-</v>
      </c>
      <c r="Z57" s="9" t="str">
        <f t="shared" si="54"/>
        <v>-</v>
      </c>
      <c r="AA57" s="16" t="str">
        <f t="shared" si="69"/>
        <v>-</v>
      </c>
      <c r="AB57" s="16" t="str">
        <f t="shared" si="55"/>
        <v>-</v>
      </c>
      <c r="AC57" s="16" t="str">
        <f t="shared" si="56"/>
        <v>-</v>
      </c>
      <c r="AD57" s="16" t="str">
        <f t="shared" si="70"/>
        <v>-</v>
      </c>
      <c r="AE57" s="16"/>
      <c r="AF57" s="31" t="str">
        <f>IFERROR(INDEX(Tesco!$P$11:$P$165,MATCH('Calculations - Tesco'!C57,Tesco!$M$11:$M$165,0)),"")</f>
        <v/>
      </c>
      <c r="AG57" s="23" t="str">
        <f t="shared" si="71"/>
        <v/>
      </c>
      <c r="AH57" s="23" t="str">
        <f t="shared" si="71"/>
        <v/>
      </c>
      <c r="AI57" s="9" t="str">
        <f t="shared" si="57"/>
        <v/>
      </c>
      <c r="AJ57" s="4" t="str">
        <f t="shared" si="58"/>
        <v/>
      </c>
      <c r="AK57" s="4"/>
      <c r="AL57" s="4"/>
      <c r="AM57" s="4"/>
      <c r="AN57" s="4"/>
      <c r="AO57" s="4"/>
      <c r="AP57" s="20" t="str">
        <f t="shared" si="59"/>
        <v>-</v>
      </c>
      <c r="AQ57" s="13" t="str">
        <f t="shared" si="72"/>
        <v>-</v>
      </c>
      <c r="AR57" s="13" t="str">
        <f t="shared" si="73"/>
        <v>-</v>
      </c>
      <c r="AS57" s="13" t="str">
        <f t="shared" si="60"/>
        <v>-</v>
      </c>
      <c r="AT57" s="16" t="str">
        <f t="shared" si="74"/>
        <v>-</v>
      </c>
      <c r="AU57" s="16" t="str">
        <f t="shared" si="61"/>
        <v>-</v>
      </c>
      <c r="AV57" s="16" t="str">
        <f t="shared" si="62"/>
        <v>-</v>
      </c>
      <c r="AW57" s="16" t="str">
        <f t="shared" si="75"/>
        <v>-</v>
      </c>
      <c r="AX57" s="13" t="str">
        <f t="shared" si="76"/>
        <v>-</v>
      </c>
      <c r="AY57" s="10" t="str">
        <f t="shared" si="77"/>
        <v>-</v>
      </c>
      <c r="AZ57" s="9" t="str">
        <f t="shared" si="78"/>
        <v>-</v>
      </c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2:68" x14ac:dyDescent="0.3">
      <c r="B58" s="108" t="str">
        <f t="shared" si="63"/>
        <v/>
      </c>
      <c r="C58" s="108" t="str">
        <f t="shared" si="47"/>
        <v/>
      </c>
      <c r="D58" s="3"/>
      <c r="E58" s="3"/>
      <c r="F58" s="3"/>
      <c r="G58" s="20">
        <f>IFERROR(INDEX('Input - Tesco'!F$2:F$200,MATCH('Calculations - Tesco'!$C58,'Input - Tesco'!$B$2:$B$200,0)),"")</f>
        <v>0</v>
      </c>
      <c r="H58" s="20">
        <f>IFERROR(INDEX('Input - Tesco'!G$2:G$200,MATCH('Calculations - Tesco'!$C58,'Input - Tesco'!$B$2:$B$200,0)),"")</f>
        <v>0</v>
      </c>
      <c r="I58" s="21">
        <f>IFERROR(INDEX('Input - Tesco'!H$2:H$200,MATCH('Calculations - Tesco'!$C58,'Input - Tesco'!$B$2:$B$200,0)),"")</f>
        <v>0</v>
      </c>
      <c r="J58" s="21">
        <f>IFERROR(INDEX('Input - Tesco'!I$2:I$200,MATCH('Calculations - Tesco'!$C58,'Input - Tesco'!$B$2:$B$200,0)),"")</f>
        <v>0</v>
      </c>
      <c r="K58" s="20">
        <f>IFERROR(INDEX('Input - Tesco'!J$2:J$200,MATCH('Calculations - Tesco'!$C58,'Input - Tesco'!$B$2:$B$200,0)),"")</f>
        <v>0</v>
      </c>
      <c r="L58" s="20">
        <f>IFERROR(INDEX('Input - Tesco'!K$2:K$200,MATCH('Calculations - Tesco'!$C58,'Input - Tesco'!$B$2:$B$200,0)),"")</f>
        <v>0</v>
      </c>
      <c r="M58" s="21" t="str">
        <f t="shared" si="64"/>
        <v/>
      </c>
      <c r="N58" s="21" t="str">
        <f t="shared" si="48"/>
        <v/>
      </c>
      <c r="O58" s="21">
        <f t="shared" si="65"/>
        <v>0</v>
      </c>
      <c r="P58" s="9">
        <f t="shared" si="49"/>
        <v>0</v>
      </c>
      <c r="Q58" s="9">
        <f t="shared" si="50"/>
        <v>0</v>
      </c>
      <c r="R58" s="22" t="str">
        <f>IFERROR(INDEX(Tesco!$Q$11:$Q$165,MATCH('Calculations - Tesco'!$C58,Tesco!$M$11:$M$165,0)),"")</f>
        <v/>
      </c>
      <c r="S58" s="22" t="str">
        <f>IFERROR(INDEX(Tesco!$R$11:$R$165,MATCH('Calculations - Tesco'!$C58,Tesco!$M$11:$M$165,0)),"")</f>
        <v/>
      </c>
      <c r="T58" s="16" t="e">
        <f t="shared" si="51"/>
        <v>#VALUE!</v>
      </c>
      <c r="U58" s="16" t="e">
        <f t="shared" si="66"/>
        <v>#VALUE!</v>
      </c>
      <c r="V58" s="16" t="e">
        <f t="shared" si="67"/>
        <v>#VALUE!</v>
      </c>
      <c r="W58" s="10" t="str">
        <f t="shared" si="52"/>
        <v>-</v>
      </c>
      <c r="X58" s="10" t="str">
        <f t="shared" si="53"/>
        <v>-</v>
      </c>
      <c r="Y58" s="13" t="str">
        <f t="shared" si="68"/>
        <v>-</v>
      </c>
      <c r="Z58" s="9" t="str">
        <f t="shared" si="54"/>
        <v>-</v>
      </c>
      <c r="AA58" s="16" t="str">
        <f t="shared" si="69"/>
        <v>-</v>
      </c>
      <c r="AB58" s="16" t="str">
        <f t="shared" si="55"/>
        <v>-</v>
      </c>
      <c r="AC58" s="16" t="str">
        <f t="shared" si="56"/>
        <v>-</v>
      </c>
      <c r="AD58" s="16" t="str">
        <f t="shared" si="70"/>
        <v>-</v>
      </c>
      <c r="AE58" s="16"/>
      <c r="AF58" s="31" t="str">
        <f>IFERROR(INDEX(Tesco!$P$11:$P$165,MATCH('Calculations - Tesco'!C58,Tesco!$M$11:$M$165,0)),"")</f>
        <v/>
      </c>
      <c r="AG58" s="23" t="str">
        <f t="shared" si="71"/>
        <v/>
      </c>
      <c r="AH58" s="23" t="str">
        <f t="shared" si="71"/>
        <v/>
      </c>
      <c r="AI58" s="9" t="str">
        <f t="shared" si="57"/>
        <v/>
      </c>
      <c r="AJ58" s="4" t="str">
        <f t="shared" si="58"/>
        <v/>
      </c>
      <c r="AK58" s="4"/>
      <c r="AL58" s="4"/>
      <c r="AM58" s="4"/>
      <c r="AN58" s="4"/>
      <c r="AO58" s="4"/>
      <c r="AP58" s="20" t="str">
        <f t="shared" si="59"/>
        <v>-</v>
      </c>
      <c r="AQ58" s="13" t="str">
        <f t="shared" si="72"/>
        <v>-</v>
      </c>
      <c r="AR58" s="13" t="str">
        <f t="shared" si="73"/>
        <v>-</v>
      </c>
      <c r="AS58" s="13" t="str">
        <f t="shared" si="60"/>
        <v>-</v>
      </c>
      <c r="AT58" s="16" t="str">
        <f t="shared" si="74"/>
        <v>-</v>
      </c>
      <c r="AU58" s="16" t="str">
        <f t="shared" si="61"/>
        <v>-</v>
      </c>
      <c r="AV58" s="16" t="str">
        <f t="shared" si="62"/>
        <v>-</v>
      </c>
      <c r="AW58" s="16" t="str">
        <f t="shared" si="75"/>
        <v>-</v>
      </c>
      <c r="AX58" s="13" t="str">
        <f t="shared" si="76"/>
        <v>-</v>
      </c>
      <c r="AY58" s="10" t="str">
        <f t="shared" si="77"/>
        <v>-</v>
      </c>
      <c r="AZ58" s="9" t="str">
        <f t="shared" si="78"/>
        <v>-</v>
      </c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2:68" x14ac:dyDescent="0.3">
      <c r="B59" s="108" t="str">
        <f t="shared" si="63"/>
        <v/>
      </c>
      <c r="C59" s="108" t="str">
        <f t="shared" si="47"/>
        <v/>
      </c>
      <c r="D59" s="3"/>
      <c r="E59" s="3"/>
      <c r="F59" s="3"/>
      <c r="G59" s="20">
        <f>IFERROR(INDEX('Input - Tesco'!F$2:F$200,MATCH('Calculations - Tesco'!$C59,'Input - Tesco'!$B$2:$B$200,0)),"")</f>
        <v>0</v>
      </c>
      <c r="H59" s="20">
        <f>IFERROR(INDEX('Input - Tesco'!G$2:G$200,MATCH('Calculations - Tesco'!$C59,'Input - Tesco'!$B$2:$B$200,0)),"")</f>
        <v>0</v>
      </c>
      <c r="I59" s="21">
        <f>IFERROR(INDEX('Input - Tesco'!H$2:H$200,MATCH('Calculations - Tesco'!$C59,'Input - Tesco'!$B$2:$B$200,0)),"")</f>
        <v>0</v>
      </c>
      <c r="J59" s="21">
        <f>IFERROR(INDEX('Input - Tesco'!I$2:I$200,MATCH('Calculations - Tesco'!$C59,'Input - Tesco'!$B$2:$B$200,0)),"")</f>
        <v>0</v>
      </c>
      <c r="K59" s="20">
        <f>IFERROR(INDEX('Input - Tesco'!J$2:J$200,MATCH('Calculations - Tesco'!$C59,'Input - Tesco'!$B$2:$B$200,0)),"")</f>
        <v>0</v>
      </c>
      <c r="L59" s="20">
        <f>IFERROR(INDEX('Input - Tesco'!K$2:K$200,MATCH('Calculations - Tesco'!$C59,'Input - Tesco'!$B$2:$B$200,0)),"")</f>
        <v>0</v>
      </c>
      <c r="M59" s="21" t="str">
        <f t="shared" si="64"/>
        <v/>
      </c>
      <c r="N59" s="21" t="str">
        <f t="shared" si="48"/>
        <v/>
      </c>
      <c r="O59" s="21">
        <f t="shared" si="65"/>
        <v>0</v>
      </c>
      <c r="P59" s="9">
        <f t="shared" si="49"/>
        <v>0</v>
      </c>
      <c r="Q59" s="9">
        <f t="shared" si="50"/>
        <v>0</v>
      </c>
      <c r="R59" s="22" t="str">
        <f>IFERROR(INDEX(Tesco!$Q$11:$Q$165,MATCH('Calculations - Tesco'!$C59,Tesco!$M$11:$M$165,0)),"")</f>
        <v/>
      </c>
      <c r="S59" s="22" t="str">
        <f>IFERROR(INDEX(Tesco!$R$11:$R$165,MATCH('Calculations - Tesco'!$C59,Tesco!$M$11:$M$165,0)),"")</f>
        <v/>
      </c>
      <c r="T59" s="16" t="e">
        <f t="shared" si="51"/>
        <v>#VALUE!</v>
      </c>
      <c r="U59" s="16" t="e">
        <f t="shared" si="66"/>
        <v>#VALUE!</v>
      </c>
      <c r="V59" s="16" t="e">
        <f t="shared" si="67"/>
        <v>#VALUE!</v>
      </c>
      <c r="W59" s="10" t="str">
        <f t="shared" si="52"/>
        <v>-</v>
      </c>
      <c r="X59" s="10" t="str">
        <f t="shared" si="53"/>
        <v>-</v>
      </c>
      <c r="Y59" s="13" t="str">
        <f t="shared" si="68"/>
        <v>-</v>
      </c>
      <c r="Z59" s="9" t="str">
        <f t="shared" si="54"/>
        <v>-</v>
      </c>
      <c r="AA59" s="16" t="str">
        <f t="shared" si="69"/>
        <v>-</v>
      </c>
      <c r="AB59" s="16" t="str">
        <f t="shared" si="55"/>
        <v>-</v>
      </c>
      <c r="AC59" s="16" t="str">
        <f t="shared" si="56"/>
        <v>-</v>
      </c>
      <c r="AD59" s="16" t="str">
        <f t="shared" si="70"/>
        <v>-</v>
      </c>
      <c r="AE59" s="16"/>
      <c r="AF59" s="31" t="str">
        <f>IFERROR(INDEX(Tesco!$P$11:$P$165,MATCH('Calculations - Tesco'!C59,Tesco!$M$11:$M$165,0)),"")</f>
        <v/>
      </c>
      <c r="AG59" s="23" t="str">
        <f t="shared" si="71"/>
        <v/>
      </c>
      <c r="AH59" s="23" t="str">
        <f t="shared" si="71"/>
        <v/>
      </c>
      <c r="AI59" s="9" t="str">
        <f t="shared" si="57"/>
        <v/>
      </c>
      <c r="AJ59" s="4" t="str">
        <f t="shared" si="58"/>
        <v/>
      </c>
      <c r="AK59" s="4"/>
      <c r="AL59" s="4"/>
      <c r="AM59" s="4"/>
      <c r="AN59" s="4"/>
      <c r="AO59" s="4"/>
      <c r="AP59" s="20" t="str">
        <f t="shared" si="59"/>
        <v>-</v>
      </c>
      <c r="AQ59" s="13" t="str">
        <f t="shared" si="72"/>
        <v>-</v>
      </c>
      <c r="AR59" s="13" t="str">
        <f t="shared" si="73"/>
        <v>-</v>
      </c>
      <c r="AS59" s="13" t="str">
        <f t="shared" si="60"/>
        <v>-</v>
      </c>
      <c r="AT59" s="16" t="str">
        <f t="shared" si="74"/>
        <v>-</v>
      </c>
      <c r="AU59" s="16" t="str">
        <f t="shared" si="61"/>
        <v>-</v>
      </c>
      <c r="AV59" s="16" t="str">
        <f t="shared" si="62"/>
        <v>-</v>
      </c>
      <c r="AW59" s="16" t="str">
        <f t="shared" si="75"/>
        <v>-</v>
      </c>
      <c r="AX59" s="13" t="str">
        <f t="shared" si="76"/>
        <v>-</v>
      </c>
      <c r="AY59" s="10" t="str">
        <f t="shared" si="77"/>
        <v>-</v>
      </c>
      <c r="AZ59" s="9" t="str">
        <f t="shared" si="78"/>
        <v>-</v>
      </c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2:68" x14ac:dyDescent="0.3">
      <c r="B60" s="108" t="str">
        <f t="shared" si="63"/>
        <v/>
      </c>
      <c r="C60" s="108" t="str">
        <f t="shared" si="47"/>
        <v/>
      </c>
      <c r="D60" s="3"/>
      <c r="E60" s="3"/>
      <c r="F60" s="3"/>
      <c r="G60" s="20">
        <f>IFERROR(INDEX('Input - Tesco'!F$2:F$200,MATCH('Calculations - Tesco'!$C60,'Input - Tesco'!$B$2:$B$200,0)),"")</f>
        <v>0</v>
      </c>
      <c r="H60" s="20">
        <f>IFERROR(INDEX('Input - Tesco'!G$2:G$200,MATCH('Calculations - Tesco'!$C60,'Input - Tesco'!$B$2:$B$200,0)),"")</f>
        <v>0</v>
      </c>
      <c r="I60" s="21">
        <f>IFERROR(INDEX('Input - Tesco'!H$2:H$200,MATCH('Calculations - Tesco'!$C60,'Input - Tesco'!$B$2:$B$200,0)),"")</f>
        <v>0</v>
      </c>
      <c r="J60" s="21">
        <f>IFERROR(INDEX('Input - Tesco'!I$2:I$200,MATCH('Calculations - Tesco'!$C60,'Input - Tesco'!$B$2:$B$200,0)),"")</f>
        <v>0</v>
      </c>
      <c r="K60" s="20">
        <f>IFERROR(INDEX('Input - Tesco'!J$2:J$200,MATCH('Calculations - Tesco'!$C60,'Input - Tesco'!$B$2:$B$200,0)),"")</f>
        <v>0</v>
      </c>
      <c r="L60" s="20">
        <f>IFERROR(INDEX('Input - Tesco'!K$2:K$200,MATCH('Calculations - Tesco'!$C60,'Input - Tesco'!$B$2:$B$200,0)),"")</f>
        <v>0</v>
      </c>
      <c r="M60" s="21" t="str">
        <f t="shared" si="64"/>
        <v/>
      </c>
      <c r="N60" s="21" t="str">
        <f t="shared" si="48"/>
        <v/>
      </c>
      <c r="O60" s="21">
        <f t="shared" si="65"/>
        <v>0</v>
      </c>
      <c r="P60" s="9">
        <f t="shared" si="49"/>
        <v>0</v>
      </c>
      <c r="Q60" s="9">
        <f t="shared" si="50"/>
        <v>0</v>
      </c>
      <c r="R60" s="22" t="str">
        <f>IFERROR(INDEX(Tesco!$Q$11:$Q$165,MATCH('Calculations - Tesco'!$C60,Tesco!$M$11:$M$165,0)),"")</f>
        <v/>
      </c>
      <c r="S60" s="22" t="str">
        <f>IFERROR(INDEX(Tesco!$R$11:$R$165,MATCH('Calculations - Tesco'!$C60,Tesco!$M$11:$M$165,0)),"")</f>
        <v/>
      </c>
      <c r="T60" s="16" t="e">
        <f t="shared" si="51"/>
        <v>#VALUE!</v>
      </c>
      <c r="U60" s="16" t="e">
        <f t="shared" si="66"/>
        <v>#VALUE!</v>
      </c>
      <c r="V60" s="16" t="e">
        <f t="shared" si="67"/>
        <v>#VALUE!</v>
      </c>
      <c r="W60" s="10" t="str">
        <f t="shared" si="52"/>
        <v>-</v>
      </c>
      <c r="X60" s="10" t="str">
        <f t="shared" si="53"/>
        <v>-</v>
      </c>
      <c r="Y60" s="13" t="str">
        <f t="shared" si="68"/>
        <v>-</v>
      </c>
      <c r="Z60" s="9" t="str">
        <f t="shared" si="54"/>
        <v>-</v>
      </c>
      <c r="AA60" s="16" t="str">
        <f t="shared" si="69"/>
        <v>-</v>
      </c>
      <c r="AB60" s="16" t="str">
        <f t="shared" si="55"/>
        <v>-</v>
      </c>
      <c r="AC60" s="16" t="str">
        <f t="shared" si="56"/>
        <v>-</v>
      </c>
      <c r="AD60" s="16" t="str">
        <f t="shared" si="70"/>
        <v>-</v>
      </c>
      <c r="AE60" s="16"/>
      <c r="AF60" s="31" t="str">
        <f>IFERROR(INDEX(Tesco!$P$11:$P$165,MATCH('Calculations - Tesco'!C60,Tesco!$M$11:$M$165,0)),"")</f>
        <v/>
      </c>
      <c r="AG60" s="23" t="str">
        <f t="shared" si="71"/>
        <v/>
      </c>
      <c r="AH60" s="23" t="str">
        <f t="shared" si="71"/>
        <v/>
      </c>
      <c r="AI60" s="9" t="str">
        <f t="shared" si="57"/>
        <v/>
      </c>
      <c r="AJ60" s="4" t="str">
        <f t="shared" si="58"/>
        <v/>
      </c>
      <c r="AK60" s="4"/>
      <c r="AL60" s="4"/>
      <c r="AM60" s="4"/>
      <c r="AN60" s="4"/>
      <c r="AO60" s="4"/>
      <c r="AP60" s="20" t="str">
        <f t="shared" si="59"/>
        <v>-</v>
      </c>
      <c r="AQ60" s="13" t="str">
        <f t="shared" si="72"/>
        <v>-</v>
      </c>
      <c r="AR60" s="13" t="str">
        <f t="shared" si="73"/>
        <v>-</v>
      </c>
      <c r="AS60" s="13" t="str">
        <f t="shared" si="60"/>
        <v>-</v>
      </c>
      <c r="AT60" s="16" t="str">
        <f t="shared" si="74"/>
        <v>-</v>
      </c>
      <c r="AU60" s="16" t="str">
        <f t="shared" si="61"/>
        <v>-</v>
      </c>
      <c r="AV60" s="16" t="str">
        <f t="shared" si="62"/>
        <v>-</v>
      </c>
      <c r="AW60" s="16" t="str">
        <f t="shared" si="75"/>
        <v>-</v>
      </c>
      <c r="AX60" s="13" t="str">
        <f t="shared" si="76"/>
        <v>-</v>
      </c>
      <c r="AY60" s="10" t="str">
        <f t="shared" si="77"/>
        <v>-</v>
      </c>
      <c r="AZ60" s="9" t="str">
        <f t="shared" si="78"/>
        <v>-</v>
      </c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2:68" x14ac:dyDescent="0.3">
      <c r="B61" s="108" t="str">
        <f t="shared" si="63"/>
        <v/>
      </c>
      <c r="C61" s="108" t="str">
        <f t="shared" si="47"/>
        <v/>
      </c>
      <c r="D61" s="3"/>
      <c r="E61" s="3"/>
      <c r="F61" s="3"/>
      <c r="G61" s="20">
        <f>IFERROR(INDEX('Input - Tesco'!F$2:F$200,MATCH('Calculations - Tesco'!$C61,'Input - Tesco'!$B$2:$B$200,0)),"")</f>
        <v>0</v>
      </c>
      <c r="H61" s="20">
        <f>IFERROR(INDEX('Input - Tesco'!G$2:G$200,MATCH('Calculations - Tesco'!$C61,'Input - Tesco'!$B$2:$B$200,0)),"")</f>
        <v>0</v>
      </c>
      <c r="I61" s="21">
        <f>IFERROR(INDEX('Input - Tesco'!H$2:H$200,MATCH('Calculations - Tesco'!$C61,'Input - Tesco'!$B$2:$B$200,0)),"")</f>
        <v>0</v>
      </c>
      <c r="J61" s="21">
        <f>IFERROR(INDEX('Input - Tesco'!I$2:I$200,MATCH('Calculations - Tesco'!$C61,'Input - Tesco'!$B$2:$B$200,0)),"")</f>
        <v>0</v>
      </c>
      <c r="K61" s="20">
        <f>IFERROR(INDEX('Input - Tesco'!J$2:J$200,MATCH('Calculations - Tesco'!$C61,'Input - Tesco'!$B$2:$B$200,0)),"")</f>
        <v>0</v>
      </c>
      <c r="L61" s="20">
        <f>IFERROR(INDEX('Input - Tesco'!K$2:K$200,MATCH('Calculations - Tesco'!$C61,'Input - Tesco'!$B$2:$B$200,0)),"")</f>
        <v>0</v>
      </c>
      <c r="M61" s="21" t="str">
        <f t="shared" si="64"/>
        <v/>
      </c>
      <c r="N61" s="21" t="str">
        <f t="shared" si="48"/>
        <v/>
      </c>
      <c r="O61" s="21">
        <f t="shared" si="65"/>
        <v>0</v>
      </c>
      <c r="P61" s="9">
        <f t="shared" si="49"/>
        <v>0</v>
      </c>
      <c r="Q61" s="9">
        <f t="shared" si="50"/>
        <v>0</v>
      </c>
      <c r="R61" s="22" t="str">
        <f>IFERROR(INDEX(Tesco!$Q$11:$Q$165,MATCH('Calculations - Tesco'!$C61,Tesco!$M$11:$M$165,0)),"")</f>
        <v/>
      </c>
      <c r="S61" s="22" t="str">
        <f>IFERROR(INDEX(Tesco!$R$11:$R$165,MATCH('Calculations - Tesco'!$C61,Tesco!$M$11:$M$165,0)),"")</f>
        <v/>
      </c>
      <c r="T61" s="16" t="e">
        <f t="shared" si="51"/>
        <v>#VALUE!</v>
      </c>
      <c r="U61" s="16" t="e">
        <f t="shared" si="66"/>
        <v>#VALUE!</v>
      </c>
      <c r="V61" s="16" t="e">
        <f t="shared" si="67"/>
        <v>#VALUE!</v>
      </c>
      <c r="W61" s="10" t="str">
        <f t="shared" si="52"/>
        <v>-</v>
      </c>
      <c r="X61" s="10" t="str">
        <f t="shared" si="53"/>
        <v>-</v>
      </c>
      <c r="Y61" s="13" t="str">
        <f t="shared" si="68"/>
        <v>-</v>
      </c>
      <c r="Z61" s="9" t="str">
        <f t="shared" si="54"/>
        <v>-</v>
      </c>
      <c r="AA61" s="16" t="str">
        <f t="shared" si="69"/>
        <v>-</v>
      </c>
      <c r="AB61" s="16" t="str">
        <f t="shared" si="55"/>
        <v>-</v>
      </c>
      <c r="AC61" s="16" t="str">
        <f t="shared" si="56"/>
        <v>-</v>
      </c>
      <c r="AD61" s="16" t="str">
        <f t="shared" si="70"/>
        <v>-</v>
      </c>
      <c r="AE61" s="16"/>
      <c r="AF61" s="31" t="str">
        <f>IFERROR(INDEX(Tesco!$P$11:$P$165,MATCH('Calculations - Tesco'!C61,Tesco!$M$11:$M$165,0)),"")</f>
        <v/>
      </c>
      <c r="AG61" s="23" t="str">
        <f t="shared" si="71"/>
        <v/>
      </c>
      <c r="AH61" s="23" t="str">
        <f t="shared" si="71"/>
        <v/>
      </c>
      <c r="AI61" s="9" t="str">
        <f t="shared" si="57"/>
        <v/>
      </c>
      <c r="AJ61" s="4" t="str">
        <f t="shared" si="58"/>
        <v/>
      </c>
      <c r="AK61" s="4"/>
      <c r="AL61" s="4"/>
      <c r="AM61" s="4"/>
      <c r="AN61" s="4"/>
      <c r="AO61" s="4"/>
      <c r="AP61" s="20" t="str">
        <f t="shared" si="59"/>
        <v>-</v>
      </c>
      <c r="AQ61" s="13" t="str">
        <f t="shared" si="72"/>
        <v>-</v>
      </c>
      <c r="AR61" s="13" t="str">
        <f t="shared" si="73"/>
        <v>-</v>
      </c>
      <c r="AS61" s="13" t="str">
        <f t="shared" si="60"/>
        <v>-</v>
      </c>
      <c r="AT61" s="16" t="str">
        <f t="shared" si="74"/>
        <v>-</v>
      </c>
      <c r="AU61" s="16" t="str">
        <f t="shared" si="61"/>
        <v>-</v>
      </c>
      <c r="AV61" s="16" t="str">
        <f t="shared" si="62"/>
        <v>-</v>
      </c>
      <c r="AW61" s="16" t="str">
        <f t="shared" si="75"/>
        <v>-</v>
      </c>
      <c r="AX61" s="13" t="str">
        <f t="shared" si="76"/>
        <v>-</v>
      </c>
      <c r="AY61" s="10" t="str">
        <f t="shared" si="77"/>
        <v>-</v>
      </c>
      <c r="AZ61" s="9" t="str">
        <f t="shared" si="78"/>
        <v>-</v>
      </c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2:68" x14ac:dyDescent="0.3">
      <c r="B62" s="108" t="str">
        <f t="shared" si="63"/>
        <v/>
      </c>
      <c r="C62" s="108" t="str">
        <f t="shared" si="47"/>
        <v/>
      </c>
      <c r="D62" s="3"/>
      <c r="E62" s="3"/>
      <c r="F62" s="3"/>
      <c r="G62" s="20">
        <f>IFERROR(INDEX('Input - Tesco'!F$2:F$200,MATCH('Calculations - Tesco'!$C62,'Input - Tesco'!$B$2:$B$200,0)),"")</f>
        <v>0</v>
      </c>
      <c r="H62" s="20">
        <f>IFERROR(INDEX('Input - Tesco'!G$2:G$200,MATCH('Calculations - Tesco'!$C62,'Input - Tesco'!$B$2:$B$200,0)),"")</f>
        <v>0</v>
      </c>
      <c r="I62" s="21">
        <f>IFERROR(INDEX('Input - Tesco'!H$2:H$200,MATCH('Calculations - Tesco'!$C62,'Input - Tesco'!$B$2:$B$200,0)),"")</f>
        <v>0</v>
      </c>
      <c r="J62" s="21">
        <f>IFERROR(INDEX('Input - Tesco'!I$2:I$200,MATCH('Calculations - Tesco'!$C62,'Input - Tesco'!$B$2:$B$200,0)),"")</f>
        <v>0</v>
      </c>
      <c r="K62" s="20">
        <f>IFERROR(INDEX('Input - Tesco'!J$2:J$200,MATCH('Calculations - Tesco'!$C62,'Input - Tesco'!$B$2:$B$200,0)),"")</f>
        <v>0</v>
      </c>
      <c r="L62" s="20">
        <f>IFERROR(INDEX('Input - Tesco'!K$2:K$200,MATCH('Calculations - Tesco'!$C62,'Input - Tesco'!$B$2:$B$200,0)),"")</f>
        <v>0</v>
      </c>
      <c r="M62" s="21" t="str">
        <f t="shared" si="64"/>
        <v/>
      </c>
      <c r="N62" s="21" t="str">
        <f t="shared" si="48"/>
        <v/>
      </c>
      <c r="O62" s="21">
        <f t="shared" si="65"/>
        <v>0</v>
      </c>
      <c r="P62" s="9">
        <f t="shared" si="49"/>
        <v>0</v>
      </c>
      <c r="Q62" s="9">
        <f t="shared" si="50"/>
        <v>0</v>
      </c>
      <c r="R62" s="22" t="str">
        <f>IFERROR(INDEX(Tesco!$Q$11:$Q$165,MATCH('Calculations - Tesco'!$C62,Tesco!$M$11:$M$165,0)),"")</f>
        <v/>
      </c>
      <c r="S62" s="22" t="str">
        <f>IFERROR(INDEX(Tesco!$R$11:$R$165,MATCH('Calculations - Tesco'!$C62,Tesco!$M$11:$M$165,0)),"")</f>
        <v/>
      </c>
      <c r="T62" s="16" t="e">
        <f t="shared" si="51"/>
        <v>#VALUE!</v>
      </c>
      <c r="U62" s="16" t="e">
        <f t="shared" si="66"/>
        <v>#VALUE!</v>
      </c>
      <c r="V62" s="16" t="e">
        <f t="shared" si="67"/>
        <v>#VALUE!</v>
      </c>
      <c r="W62" s="10" t="str">
        <f t="shared" si="52"/>
        <v>-</v>
      </c>
      <c r="X62" s="10" t="str">
        <f t="shared" si="53"/>
        <v>-</v>
      </c>
      <c r="Y62" s="13" t="str">
        <f t="shared" si="68"/>
        <v>-</v>
      </c>
      <c r="Z62" s="9" t="str">
        <f t="shared" si="54"/>
        <v>-</v>
      </c>
      <c r="AA62" s="16" t="str">
        <f t="shared" si="69"/>
        <v>-</v>
      </c>
      <c r="AB62" s="16" t="str">
        <f t="shared" si="55"/>
        <v>-</v>
      </c>
      <c r="AC62" s="16" t="str">
        <f t="shared" si="56"/>
        <v>-</v>
      </c>
      <c r="AD62" s="16" t="str">
        <f t="shared" si="70"/>
        <v>-</v>
      </c>
      <c r="AE62" s="16"/>
      <c r="AF62" s="31" t="str">
        <f>IFERROR(INDEX(Tesco!$P$11:$P$165,MATCH('Calculations - Tesco'!C62,Tesco!$M$11:$M$165,0)),"")</f>
        <v/>
      </c>
      <c r="AG62" s="23" t="str">
        <f t="shared" si="71"/>
        <v/>
      </c>
      <c r="AH62" s="23" t="str">
        <f t="shared" si="71"/>
        <v/>
      </c>
      <c r="AI62" s="9" t="str">
        <f t="shared" si="57"/>
        <v/>
      </c>
      <c r="AJ62" s="4" t="str">
        <f t="shared" si="58"/>
        <v/>
      </c>
      <c r="AK62" s="4"/>
      <c r="AL62" s="4"/>
      <c r="AM62" s="4"/>
      <c r="AN62" s="4"/>
      <c r="AO62" s="4"/>
      <c r="AP62" s="20" t="str">
        <f t="shared" si="59"/>
        <v>-</v>
      </c>
      <c r="AQ62" s="13" t="str">
        <f t="shared" si="72"/>
        <v>-</v>
      </c>
      <c r="AR62" s="13" t="str">
        <f t="shared" si="73"/>
        <v>-</v>
      </c>
      <c r="AS62" s="13" t="str">
        <f t="shared" si="60"/>
        <v>-</v>
      </c>
      <c r="AT62" s="16" t="str">
        <f t="shared" si="74"/>
        <v>-</v>
      </c>
      <c r="AU62" s="16" t="str">
        <f t="shared" si="61"/>
        <v>-</v>
      </c>
      <c r="AV62" s="16" t="str">
        <f t="shared" si="62"/>
        <v>-</v>
      </c>
      <c r="AW62" s="16" t="str">
        <f t="shared" si="75"/>
        <v>-</v>
      </c>
      <c r="AX62" s="13" t="str">
        <f t="shared" si="76"/>
        <v>-</v>
      </c>
      <c r="AY62" s="10" t="str">
        <f t="shared" si="77"/>
        <v>-</v>
      </c>
      <c r="AZ62" s="9" t="str">
        <f t="shared" si="78"/>
        <v>-</v>
      </c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2:68" x14ac:dyDescent="0.3">
      <c r="B63" s="108" t="str">
        <f t="shared" si="63"/>
        <v/>
      </c>
      <c r="C63" s="108" t="str">
        <f t="shared" si="47"/>
        <v/>
      </c>
      <c r="D63" s="3"/>
      <c r="E63" s="3"/>
      <c r="F63" s="3"/>
      <c r="G63" s="20">
        <f>IFERROR(INDEX('Input - Tesco'!F$2:F$200,MATCH('Calculations - Tesco'!$C63,'Input - Tesco'!$B$2:$B$200,0)),"")</f>
        <v>0</v>
      </c>
      <c r="H63" s="20">
        <f>IFERROR(INDEX('Input - Tesco'!G$2:G$200,MATCH('Calculations - Tesco'!$C63,'Input - Tesco'!$B$2:$B$200,0)),"")</f>
        <v>0</v>
      </c>
      <c r="I63" s="21">
        <f>IFERROR(INDEX('Input - Tesco'!H$2:H$200,MATCH('Calculations - Tesco'!$C63,'Input - Tesco'!$B$2:$B$200,0)),"")</f>
        <v>0</v>
      </c>
      <c r="J63" s="21">
        <f>IFERROR(INDEX('Input - Tesco'!I$2:I$200,MATCH('Calculations - Tesco'!$C63,'Input - Tesco'!$B$2:$B$200,0)),"")</f>
        <v>0</v>
      </c>
      <c r="K63" s="20">
        <f>IFERROR(INDEX('Input - Tesco'!J$2:J$200,MATCH('Calculations - Tesco'!$C63,'Input - Tesco'!$B$2:$B$200,0)),"")</f>
        <v>0</v>
      </c>
      <c r="L63" s="20">
        <f>IFERROR(INDEX('Input - Tesco'!K$2:K$200,MATCH('Calculations - Tesco'!$C63,'Input - Tesco'!$B$2:$B$200,0)),"")</f>
        <v>0</v>
      </c>
      <c r="M63" s="21" t="str">
        <f t="shared" si="64"/>
        <v/>
      </c>
      <c r="N63" s="21" t="str">
        <f t="shared" si="48"/>
        <v/>
      </c>
      <c r="O63" s="21">
        <f t="shared" si="65"/>
        <v>0</v>
      </c>
      <c r="P63" s="9">
        <f t="shared" si="49"/>
        <v>0</v>
      </c>
      <c r="Q63" s="9">
        <f t="shared" si="50"/>
        <v>0</v>
      </c>
      <c r="R63" s="22" t="str">
        <f>IFERROR(INDEX(Tesco!$Q$11:$Q$165,MATCH('Calculations - Tesco'!$C63,Tesco!$M$11:$M$165,0)),"")</f>
        <v/>
      </c>
      <c r="S63" s="22" t="str">
        <f>IFERROR(INDEX(Tesco!$R$11:$R$165,MATCH('Calculations - Tesco'!$C63,Tesco!$M$11:$M$165,0)),"")</f>
        <v/>
      </c>
      <c r="T63" s="16" t="e">
        <f t="shared" si="51"/>
        <v>#VALUE!</v>
      </c>
      <c r="U63" s="16" t="e">
        <f t="shared" si="66"/>
        <v>#VALUE!</v>
      </c>
      <c r="V63" s="16" t="e">
        <f t="shared" si="67"/>
        <v>#VALUE!</v>
      </c>
      <c r="W63" s="10" t="str">
        <f t="shared" si="52"/>
        <v>-</v>
      </c>
      <c r="X63" s="10" t="str">
        <f t="shared" si="53"/>
        <v>-</v>
      </c>
      <c r="Y63" s="13" t="str">
        <f t="shared" si="68"/>
        <v>-</v>
      </c>
      <c r="Z63" s="9" t="str">
        <f t="shared" si="54"/>
        <v>-</v>
      </c>
      <c r="AA63" s="16" t="str">
        <f t="shared" si="69"/>
        <v>-</v>
      </c>
      <c r="AB63" s="16" t="str">
        <f t="shared" si="55"/>
        <v>-</v>
      </c>
      <c r="AC63" s="16" t="str">
        <f t="shared" si="56"/>
        <v>-</v>
      </c>
      <c r="AD63" s="16" t="str">
        <f t="shared" si="70"/>
        <v>-</v>
      </c>
      <c r="AE63" s="16"/>
      <c r="AF63" s="31" t="str">
        <f>IFERROR(INDEX(Tesco!$P$11:$P$165,MATCH('Calculations - Tesco'!C63,Tesco!$M$11:$M$165,0)),"")</f>
        <v/>
      </c>
      <c r="AG63" s="23" t="str">
        <f t="shared" si="71"/>
        <v/>
      </c>
      <c r="AH63" s="23" t="str">
        <f t="shared" si="71"/>
        <v/>
      </c>
      <c r="AI63" s="9" t="str">
        <f t="shared" si="57"/>
        <v/>
      </c>
      <c r="AJ63" s="4" t="str">
        <f t="shared" si="58"/>
        <v/>
      </c>
      <c r="AK63" s="4"/>
      <c r="AL63" s="4"/>
      <c r="AM63" s="4"/>
      <c r="AN63" s="4"/>
      <c r="AO63" s="4"/>
      <c r="AP63" s="20" t="str">
        <f t="shared" si="59"/>
        <v>-</v>
      </c>
      <c r="AQ63" s="13" t="str">
        <f t="shared" si="72"/>
        <v>-</v>
      </c>
      <c r="AR63" s="13" t="str">
        <f t="shared" si="73"/>
        <v>-</v>
      </c>
      <c r="AS63" s="13" t="str">
        <f t="shared" si="60"/>
        <v>-</v>
      </c>
      <c r="AT63" s="16" t="str">
        <f t="shared" si="74"/>
        <v>-</v>
      </c>
      <c r="AU63" s="16" t="str">
        <f t="shared" si="61"/>
        <v>-</v>
      </c>
      <c r="AV63" s="16" t="str">
        <f t="shared" si="62"/>
        <v>-</v>
      </c>
      <c r="AW63" s="16" t="str">
        <f t="shared" si="75"/>
        <v>-</v>
      </c>
      <c r="AX63" s="13" t="str">
        <f t="shared" si="76"/>
        <v>-</v>
      </c>
      <c r="AY63" s="10" t="str">
        <f t="shared" si="77"/>
        <v>-</v>
      </c>
      <c r="AZ63" s="9" t="str">
        <f t="shared" si="78"/>
        <v>-</v>
      </c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2:68" x14ac:dyDescent="0.3">
      <c r="B64" s="108" t="str">
        <f t="shared" si="63"/>
        <v/>
      </c>
      <c r="C64" s="108" t="str">
        <f t="shared" si="47"/>
        <v/>
      </c>
      <c r="D64" s="3"/>
      <c r="E64" s="3"/>
      <c r="F64" s="3"/>
      <c r="G64" s="20">
        <f>IFERROR(INDEX('Input - Tesco'!F$2:F$200,MATCH('Calculations - Tesco'!$C64,'Input - Tesco'!$B$2:$B$200,0)),"")</f>
        <v>0</v>
      </c>
      <c r="H64" s="20">
        <f>IFERROR(INDEX('Input - Tesco'!G$2:G$200,MATCH('Calculations - Tesco'!$C64,'Input - Tesco'!$B$2:$B$200,0)),"")</f>
        <v>0</v>
      </c>
      <c r="I64" s="21">
        <f>IFERROR(INDEX('Input - Tesco'!H$2:H$200,MATCH('Calculations - Tesco'!$C64,'Input - Tesco'!$B$2:$B$200,0)),"")</f>
        <v>0</v>
      </c>
      <c r="J64" s="21">
        <f>IFERROR(INDEX('Input - Tesco'!I$2:I$200,MATCH('Calculations - Tesco'!$C64,'Input - Tesco'!$B$2:$B$200,0)),"")</f>
        <v>0</v>
      </c>
      <c r="K64" s="20">
        <f>IFERROR(INDEX('Input - Tesco'!J$2:J$200,MATCH('Calculations - Tesco'!$C64,'Input - Tesco'!$B$2:$B$200,0)),"")</f>
        <v>0</v>
      </c>
      <c r="L64" s="20">
        <f>IFERROR(INDEX('Input - Tesco'!K$2:K$200,MATCH('Calculations - Tesco'!$C64,'Input - Tesco'!$B$2:$B$200,0)),"")</f>
        <v>0</v>
      </c>
      <c r="M64" s="21" t="str">
        <f t="shared" si="64"/>
        <v/>
      </c>
      <c r="N64" s="21" t="str">
        <f t="shared" si="48"/>
        <v/>
      </c>
      <c r="O64" s="21">
        <f t="shared" si="65"/>
        <v>0</v>
      </c>
      <c r="P64" s="9">
        <f t="shared" ref="P64:P127" si="79">G64/SUM(G$32:G$229)</f>
        <v>0</v>
      </c>
      <c r="Q64" s="9">
        <f t="shared" ref="Q64:Q127" si="80">H64/SUM(H$32:H$229)</f>
        <v>0</v>
      </c>
      <c r="R64" s="22" t="str">
        <f>IFERROR(INDEX(Tesco!$Q$11:$Q$165,MATCH('Calculations - Tesco'!$C64,Tesco!$M$11:$M$165,0)),"")</f>
        <v/>
      </c>
      <c r="S64" s="22" t="str">
        <f>IFERROR(INDEX(Tesco!$R$11:$R$165,MATCH('Calculations - Tesco'!$C64,Tesco!$M$11:$M$165,0)),"")</f>
        <v/>
      </c>
      <c r="T64" s="16" t="e">
        <f t="shared" si="51"/>
        <v>#VALUE!</v>
      </c>
      <c r="U64" s="16" t="e">
        <f t="shared" si="66"/>
        <v>#VALUE!</v>
      </c>
      <c r="V64" s="16" t="e">
        <f t="shared" si="67"/>
        <v>#VALUE!</v>
      </c>
      <c r="W64" s="10" t="str">
        <f t="shared" si="52"/>
        <v>-</v>
      </c>
      <c r="X64" s="10" t="str">
        <f t="shared" si="53"/>
        <v>-</v>
      </c>
      <c r="Y64" s="13" t="str">
        <f t="shared" si="68"/>
        <v>-</v>
      </c>
      <c r="Z64" s="9" t="str">
        <f t="shared" si="54"/>
        <v>-</v>
      </c>
      <c r="AA64" s="16" t="str">
        <f t="shared" si="69"/>
        <v>-</v>
      </c>
      <c r="AB64" s="16" t="str">
        <f t="shared" si="55"/>
        <v>-</v>
      </c>
      <c r="AC64" s="16" t="str">
        <f t="shared" si="56"/>
        <v>-</v>
      </c>
      <c r="AD64" s="16" t="str">
        <f t="shared" si="70"/>
        <v>-</v>
      </c>
      <c r="AE64" s="16"/>
      <c r="AF64" s="31" t="str">
        <f>IFERROR(INDEX(Tesco!$P$11:$P$165,MATCH('Calculations - Tesco'!C64,Tesco!$M$11:$M$165,0)),"")</f>
        <v/>
      </c>
      <c r="AG64" s="23" t="str">
        <f t="shared" si="71"/>
        <v/>
      </c>
      <c r="AH64" s="23" t="str">
        <f t="shared" si="71"/>
        <v/>
      </c>
      <c r="AI64" s="9" t="str">
        <f t="shared" si="57"/>
        <v/>
      </c>
      <c r="AJ64" s="4" t="str">
        <f t="shared" si="58"/>
        <v/>
      </c>
      <c r="AK64" s="4"/>
      <c r="AL64" s="4"/>
      <c r="AM64" s="4"/>
      <c r="AN64" s="4"/>
      <c r="AO64" s="4"/>
      <c r="AP64" s="20" t="str">
        <f t="shared" si="59"/>
        <v>-</v>
      </c>
      <c r="AQ64" s="13" t="str">
        <f t="shared" si="72"/>
        <v>-</v>
      </c>
      <c r="AR64" s="13" t="str">
        <f t="shared" si="73"/>
        <v>-</v>
      </c>
      <c r="AS64" s="13" t="str">
        <f t="shared" si="60"/>
        <v>-</v>
      </c>
      <c r="AT64" s="16" t="str">
        <f t="shared" si="74"/>
        <v>-</v>
      </c>
      <c r="AU64" s="16" t="str">
        <f t="shared" si="61"/>
        <v>-</v>
      </c>
      <c r="AV64" s="16" t="str">
        <f t="shared" si="62"/>
        <v>-</v>
      </c>
      <c r="AW64" s="16" t="str">
        <f t="shared" si="75"/>
        <v>-</v>
      </c>
      <c r="AX64" s="13" t="str">
        <f t="shared" si="76"/>
        <v>-</v>
      </c>
      <c r="AY64" s="10" t="str">
        <f t="shared" si="77"/>
        <v>-</v>
      </c>
      <c r="AZ64" s="9" t="str">
        <f t="shared" si="78"/>
        <v>-</v>
      </c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2:68" x14ac:dyDescent="0.3">
      <c r="B65" s="108" t="str">
        <f t="shared" si="63"/>
        <v/>
      </c>
      <c r="C65" s="108" t="str">
        <f t="shared" si="47"/>
        <v/>
      </c>
      <c r="D65" s="3"/>
      <c r="E65" s="3"/>
      <c r="F65" s="3"/>
      <c r="G65" s="20">
        <f>IFERROR(INDEX('Input - Tesco'!F$2:F$200,MATCH('Calculations - Tesco'!$C65,'Input - Tesco'!$B$2:$B$200,0)),"")</f>
        <v>0</v>
      </c>
      <c r="H65" s="20">
        <f>IFERROR(INDEX('Input - Tesco'!G$2:G$200,MATCH('Calculations - Tesco'!$C65,'Input - Tesco'!$B$2:$B$200,0)),"")</f>
        <v>0</v>
      </c>
      <c r="I65" s="21">
        <f>IFERROR(INDEX('Input - Tesco'!H$2:H$200,MATCH('Calculations - Tesco'!$C65,'Input - Tesco'!$B$2:$B$200,0)),"")</f>
        <v>0</v>
      </c>
      <c r="J65" s="21">
        <f>IFERROR(INDEX('Input - Tesco'!I$2:I$200,MATCH('Calculations - Tesco'!$C65,'Input - Tesco'!$B$2:$B$200,0)),"")</f>
        <v>0</v>
      </c>
      <c r="K65" s="20">
        <f>IFERROR(INDEX('Input - Tesco'!J$2:J$200,MATCH('Calculations - Tesco'!$C65,'Input - Tesco'!$B$2:$B$200,0)),"")</f>
        <v>0</v>
      </c>
      <c r="L65" s="20">
        <f>IFERROR(INDEX('Input - Tesco'!K$2:K$200,MATCH('Calculations - Tesco'!$C65,'Input - Tesco'!$B$2:$B$200,0)),"")</f>
        <v>0</v>
      </c>
      <c r="M65" s="21" t="str">
        <f t="shared" si="64"/>
        <v/>
      </c>
      <c r="N65" s="21" t="str">
        <f t="shared" si="48"/>
        <v/>
      </c>
      <c r="O65" s="21">
        <f t="shared" si="65"/>
        <v>0</v>
      </c>
      <c r="P65" s="9">
        <f t="shared" si="79"/>
        <v>0</v>
      </c>
      <c r="Q65" s="9">
        <f t="shared" si="80"/>
        <v>0</v>
      </c>
      <c r="R65" s="22" t="str">
        <f>IFERROR(INDEX(Tesco!$Q$11:$Q$165,MATCH('Calculations - Tesco'!$C65,Tesco!$M$11:$M$165,0)),"")</f>
        <v/>
      </c>
      <c r="S65" s="22" t="str">
        <f>IFERROR(INDEX(Tesco!$R$11:$R$165,MATCH('Calculations - Tesco'!$C65,Tesco!$M$11:$M$165,0)),"")</f>
        <v/>
      </c>
      <c r="T65" s="16" t="e">
        <f t="shared" si="51"/>
        <v>#VALUE!</v>
      </c>
      <c r="U65" s="16" t="e">
        <f t="shared" si="66"/>
        <v>#VALUE!</v>
      </c>
      <c r="V65" s="16" t="e">
        <f t="shared" si="67"/>
        <v>#VALUE!</v>
      </c>
      <c r="W65" s="10" t="str">
        <f t="shared" si="52"/>
        <v>-</v>
      </c>
      <c r="X65" s="10" t="str">
        <f t="shared" si="53"/>
        <v>-</v>
      </c>
      <c r="Y65" s="13" t="str">
        <f t="shared" si="68"/>
        <v>-</v>
      </c>
      <c r="Z65" s="9" t="str">
        <f t="shared" si="54"/>
        <v>-</v>
      </c>
      <c r="AA65" s="16" t="str">
        <f t="shared" si="69"/>
        <v>-</v>
      </c>
      <c r="AB65" s="16" t="str">
        <f t="shared" si="55"/>
        <v>-</v>
      </c>
      <c r="AC65" s="16" t="str">
        <f t="shared" si="56"/>
        <v>-</v>
      </c>
      <c r="AD65" s="16" t="str">
        <f t="shared" si="70"/>
        <v>-</v>
      </c>
      <c r="AE65" s="16"/>
      <c r="AF65" s="31" t="str">
        <f>IFERROR(INDEX(Tesco!$P$11:$P$165,MATCH('Calculations - Tesco'!C65,Tesco!$M$11:$M$165,0)),"")</f>
        <v/>
      </c>
      <c r="AG65" s="23" t="str">
        <f t="shared" si="71"/>
        <v/>
      </c>
      <c r="AH65" s="23" t="str">
        <f t="shared" si="71"/>
        <v/>
      </c>
      <c r="AI65" s="9" t="str">
        <f t="shared" si="57"/>
        <v/>
      </c>
      <c r="AJ65" s="4" t="str">
        <f t="shared" si="58"/>
        <v/>
      </c>
      <c r="AK65" s="4"/>
      <c r="AL65" s="4"/>
      <c r="AM65" s="4"/>
      <c r="AN65" s="4"/>
      <c r="AO65" s="4"/>
      <c r="AP65" s="20" t="str">
        <f t="shared" si="59"/>
        <v>-</v>
      </c>
      <c r="AQ65" s="13" t="str">
        <f t="shared" si="72"/>
        <v>-</v>
      </c>
      <c r="AR65" s="13" t="str">
        <f t="shared" si="73"/>
        <v>-</v>
      </c>
      <c r="AS65" s="13" t="str">
        <f t="shared" si="60"/>
        <v>-</v>
      </c>
      <c r="AT65" s="16" t="str">
        <f t="shared" si="74"/>
        <v>-</v>
      </c>
      <c r="AU65" s="16" t="str">
        <f t="shared" si="61"/>
        <v>-</v>
      </c>
      <c r="AV65" s="16" t="str">
        <f t="shared" si="62"/>
        <v>-</v>
      </c>
      <c r="AW65" s="16" t="str">
        <f t="shared" si="75"/>
        <v>-</v>
      </c>
      <c r="AX65" s="13" t="str">
        <f t="shared" si="76"/>
        <v>-</v>
      </c>
      <c r="AY65" s="10" t="str">
        <f t="shared" si="77"/>
        <v>-</v>
      </c>
      <c r="AZ65" s="9" t="str">
        <f t="shared" si="78"/>
        <v>-</v>
      </c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2:68" x14ac:dyDescent="0.3">
      <c r="B66" s="108" t="str">
        <f t="shared" si="63"/>
        <v/>
      </c>
      <c r="C66" s="108" t="str">
        <f t="shared" si="47"/>
        <v/>
      </c>
      <c r="D66" s="3"/>
      <c r="E66" s="3"/>
      <c r="F66" s="3"/>
      <c r="G66" s="20">
        <f>IFERROR(INDEX('Input - Tesco'!F$2:F$200,MATCH('Calculations - Tesco'!$C66,'Input - Tesco'!$B$2:$B$200,0)),"")</f>
        <v>0</v>
      </c>
      <c r="H66" s="20">
        <f>IFERROR(INDEX('Input - Tesco'!G$2:G$200,MATCH('Calculations - Tesco'!$C66,'Input - Tesco'!$B$2:$B$200,0)),"")</f>
        <v>0</v>
      </c>
      <c r="I66" s="21">
        <f>IFERROR(INDEX('Input - Tesco'!H$2:H$200,MATCH('Calculations - Tesco'!$C66,'Input - Tesco'!$B$2:$B$200,0)),"")</f>
        <v>0</v>
      </c>
      <c r="J66" s="21">
        <f>IFERROR(INDEX('Input - Tesco'!I$2:I$200,MATCH('Calculations - Tesco'!$C66,'Input - Tesco'!$B$2:$B$200,0)),"")</f>
        <v>0</v>
      </c>
      <c r="K66" s="20">
        <f>IFERROR(INDEX('Input - Tesco'!J$2:J$200,MATCH('Calculations - Tesco'!$C66,'Input - Tesco'!$B$2:$B$200,0)),"")</f>
        <v>0</v>
      </c>
      <c r="L66" s="20">
        <f>IFERROR(INDEX('Input - Tesco'!K$2:K$200,MATCH('Calculations - Tesco'!$C66,'Input - Tesco'!$B$2:$B$200,0)),"")</f>
        <v>0</v>
      </c>
      <c r="M66" s="21" t="str">
        <f t="shared" si="64"/>
        <v/>
      </c>
      <c r="N66" s="21" t="str">
        <f t="shared" si="48"/>
        <v/>
      </c>
      <c r="O66" s="21">
        <f t="shared" si="65"/>
        <v>0</v>
      </c>
      <c r="P66" s="9">
        <f t="shared" si="79"/>
        <v>0</v>
      </c>
      <c r="Q66" s="9">
        <f t="shared" si="80"/>
        <v>0</v>
      </c>
      <c r="R66" s="22" t="str">
        <f>IFERROR(INDEX(Tesco!$Q$11:$Q$165,MATCH('Calculations - Tesco'!$C66,Tesco!$M$11:$M$165,0)),"")</f>
        <v/>
      </c>
      <c r="S66" s="22" t="str">
        <f>IFERROR(INDEX(Tesco!$R$11:$R$165,MATCH('Calculations - Tesco'!$C66,Tesco!$M$11:$M$165,0)),"")</f>
        <v/>
      </c>
      <c r="T66" s="16" t="e">
        <f t="shared" si="51"/>
        <v>#VALUE!</v>
      </c>
      <c r="U66" s="16" t="e">
        <f t="shared" si="66"/>
        <v>#VALUE!</v>
      </c>
      <c r="V66" s="16" t="e">
        <f t="shared" si="67"/>
        <v>#VALUE!</v>
      </c>
      <c r="W66" s="10" t="str">
        <f t="shared" si="52"/>
        <v>-</v>
      </c>
      <c r="X66" s="10" t="str">
        <f t="shared" si="53"/>
        <v>-</v>
      </c>
      <c r="Y66" s="13" t="str">
        <f t="shared" si="68"/>
        <v>-</v>
      </c>
      <c r="Z66" s="9" t="str">
        <f t="shared" si="54"/>
        <v>-</v>
      </c>
      <c r="AA66" s="16" t="str">
        <f t="shared" si="69"/>
        <v>-</v>
      </c>
      <c r="AB66" s="16" t="str">
        <f t="shared" si="55"/>
        <v>-</v>
      </c>
      <c r="AC66" s="16" t="str">
        <f t="shared" si="56"/>
        <v>-</v>
      </c>
      <c r="AD66" s="16" t="str">
        <f t="shared" si="70"/>
        <v>-</v>
      </c>
      <c r="AE66" s="16"/>
      <c r="AF66" s="31" t="str">
        <f>IFERROR(INDEX(Tesco!$P$11:$P$165,MATCH('Calculations - Tesco'!C66,Tesco!$M$11:$M$165,0)),"")</f>
        <v/>
      </c>
      <c r="AG66" s="23" t="str">
        <f t="shared" si="71"/>
        <v/>
      </c>
      <c r="AH66" s="23" t="str">
        <f t="shared" si="71"/>
        <v/>
      </c>
      <c r="AI66" s="9" t="str">
        <f t="shared" si="57"/>
        <v/>
      </c>
      <c r="AJ66" s="4" t="str">
        <f t="shared" si="58"/>
        <v/>
      </c>
      <c r="AK66" s="4"/>
      <c r="AL66" s="4"/>
      <c r="AM66" s="4"/>
      <c r="AN66" s="4"/>
      <c r="AO66" s="4"/>
      <c r="AP66" s="20" t="str">
        <f t="shared" si="59"/>
        <v>-</v>
      </c>
      <c r="AQ66" s="13" t="str">
        <f t="shared" si="72"/>
        <v>-</v>
      </c>
      <c r="AR66" s="13" t="str">
        <f t="shared" si="73"/>
        <v>-</v>
      </c>
      <c r="AS66" s="13" t="str">
        <f t="shared" si="60"/>
        <v>-</v>
      </c>
      <c r="AT66" s="16" t="str">
        <f t="shared" si="74"/>
        <v>-</v>
      </c>
      <c r="AU66" s="16" t="str">
        <f t="shared" si="61"/>
        <v>-</v>
      </c>
      <c r="AV66" s="16" t="str">
        <f t="shared" si="62"/>
        <v>-</v>
      </c>
      <c r="AW66" s="16" t="str">
        <f t="shared" si="75"/>
        <v>-</v>
      </c>
      <c r="AX66" s="13" t="str">
        <f t="shared" si="76"/>
        <v>-</v>
      </c>
      <c r="AY66" s="10" t="str">
        <f t="shared" si="77"/>
        <v>-</v>
      </c>
      <c r="AZ66" s="9" t="str">
        <f t="shared" si="78"/>
        <v>-</v>
      </c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2:68" x14ac:dyDescent="0.3">
      <c r="B67" s="108" t="str">
        <f t="shared" si="63"/>
        <v/>
      </c>
      <c r="C67" s="108" t="str">
        <f t="shared" si="47"/>
        <v/>
      </c>
      <c r="D67" s="3"/>
      <c r="E67" s="3"/>
      <c r="F67" s="3"/>
      <c r="G67" s="20">
        <f>IFERROR(INDEX('Input - Tesco'!F$2:F$200,MATCH('Calculations - Tesco'!$C67,'Input - Tesco'!$B$2:$B$200,0)),"")</f>
        <v>0</v>
      </c>
      <c r="H67" s="20">
        <f>IFERROR(INDEX('Input - Tesco'!G$2:G$200,MATCH('Calculations - Tesco'!$C67,'Input - Tesco'!$B$2:$B$200,0)),"")</f>
        <v>0</v>
      </c>
      <c r="I67" s="21">
        <f>IFERROR(INDEX('Input - Tesco'!H$2:H$200,MATCH('Calculations - Tesco'!$C67,'Input - Tesco'!$B$2:$B$200,0)),"")</f>
        <v>0</v>
      </c>
      <c r="J67" s="21">
        <f>IFERROR(INDEX('Input - Tesco'!I$2:I$200,MATCH('Calculations - Tesco'!$C67,'Input - Tesco'!$B$2:$B$200,0)),"")</f>
        <v>0</v>
      </c>
      <c r="K67" s="20">
        <f>IFERROR(INDEX('Input - Tesco'!J$2:J$200,MATCH('Calculations - Tesco'!$C67,'Input - Tesco'!$B$2:$B$200,0)),"")</f>
        <v>0</v>
      </c>
      <c r="L67" s="20">
        <f>IFERROR(INDEX('Input - Tesco'!K$2:K$200,MATCH('Calculations - Tesco'!$C67,'Input - Tesco'!$B$2:$B$200,0)),"")</f>
        <v>0</v>
      </c>
      <c r="M67" s="21" t="str">
        <f t="shared" si="64"/>
        <v/>
      </c>
      <c r="N67" s="21" t="str">
        <f t="shared" si="48"/>
        <v/>
      </c>
      <c r="O67" s="21">
        <f t="shared" si="65"/>
        <v>0</v>
      </c>
      <c r="P67" s="9">
        <f t="shared" si="79"/>
        <v>0</v>
      </c>
      <c r="Q67" s="9">
        <f t="shared" si="80"/>
        <v>0</v>
      </c>
      <c r="R67" s="22" t="str">
        <f>IFERROR(INDEX(Tesco!$Q$11:$Q$165,MATCH('Calculations - Tesco'!$C67,Tesco!$M$11:$M$165,0)),"")</f>
        <v/>
      </c>
      <c r="S67" s="22" t="str">
        <f>IFERROR(INDEX(Tesco!$R$11:$R$165,MATCH('Calculations - Tesco'!$C67,Tesco!$M$11:$M$165,0)),"")</f>
        <v/>
      </c>
      <c r="T67" s="16" t="e">
        <f t="shared" si="51"/>
        <v>#VALUE!</v>
      </c>
      <c r="U67" s="16" t="e">
        <f t="shared" si="66"/>
        <v>#VALUE!</v>
      </c>
      <c r="V67" s="16" t="e">
        <f t="shared" si="67"/>
        <v>#VALUE!</v>
      </c>
      <c r="W67" s="10" t="str">
        <f t="shared" si="52"/>
        <v>-</v>
      </c>
      <c r="X67" s="10" t="str">
        <f t="shared" si="53"/>
        <v>-</v>
      </c>
      <c r="Y67" s="13" t="str">
        <f t="shared" si="68"/>
        <v>-</v>
      </c>
      <c r="Z67" s="9" t="str">
        <f t="shared" si="54"/>
        <v>-</v>
      </c>
      <c r="AA67" s="16" t="str">
        <f t="shared" si="69"/>
        <v>-</v>
      </c>
      <c r="AB67" s="16" t="str">
        <f t="shared" si="55"/>
        <v>-</v>
      </c>
      <c r="AC67" s="16" t="str">
        <f t="shared" si="56"/>
        <v>-</v>
      </c>
      <c r="AD67" s="16" t="str">
        <f t="shared" si="70"/>
        <v>-</v>
      </c>
      <c r="AE67" s="16"/>
      <c r="AF67" s="31" t="str">
        <f>IFERROR(INDEX(Tesco!$P$11:$P$165,MATCH('Calculations - Tesco'!C67,Tesco!$M$11:$M$165,0)),"")</f>
        <v/>
      </c>
      <c r="AG67" s="23" t="str">
        <f t="shared" si="71"/>
        <v/>
      </c>
      <c r="AH67" s="23" t="str">
        <f t="shared" si="71"/>
        <v/>
      </c>
      <c r="AI67" s="9" t="str">
        <f t="shared" si="57"/>
        <v/>
      </c>
      <c r="AJ67" s="4" t="str">
        <f t="shared" si="58"/>
        <v/>
      </c>
      <c r="AK67" s="4"/>
      <c r="AL67" s="4"/>
      <c r="AM67" s="4"/>
      <c r="AN67" s="4"/>
      <c r="AO67" s="4"/>
      <c r="AP67" s="20" t="str">
        <f t="shared" si="59"/>
        <v>-</v>
      </c>
      <c r="AQ67" s="13" t="str">
        <f t="shared" si="72"/>
        <v>-</v>
      </c>
      <c r="AR67" s="13" t="str">
        <f t="shared" si="73"/>
        <v>-</v>
      </c>
      <c r="AS67" s="13" t="str">
        <f t="shared" si="60"/>
        <v>-</v>
      </c>
      <c r="AT67" s="16" t="str">
        <f t="shared" si="74"/>
        <v>-</v>
      </c>
      <c r="AU67" s="16" t="str">
        <f t="shared" si="61"/>
        <v>-</v>
      </c>
      <c r="AV67" s="16" t="str">
        <f t="shared" si="62"/>
        <v>-</v>
      </c>
      <c r="AW67" s="16" t="str">
        <f t="shared" si="75"/>
        <v>-</v>
      </c>
      <c r="AX67" s="13" t="str">
        <f t="shared" si="76"/>
        <v>-</v>
      </c>
      <c r="AY67" s="10" t="str">
        <f t="shared" si="77"/>
        <v>-</v>
      </c>
      <c r="AZ67" s="9" t="str">
        <f t="shared" si="78"/>
        <v>-</v>
      </c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</row>
    <row r="68" spans="2:68" x14ac:dyDescent="0.3">
      <c r="B68" s="108" t="str">
        <f t="shared" si="63"/>
        <v/>
      </c>
      <c r="C68" s="108" t="str">
        <f t="shared" si="47"/>
        <v/>
      </c>
      <c r="D68" s="3"/>
      <c r="E68" s="3"/>
      <c r="F68" s="3"/>
      <c r="G68" s="20">
        <f>IFERROR(INDEX('Input - Tesco'!F$2:F$200,MATCH('Calculations - Tesco'!$C68,'Input - Tesco'!$B$2:$B$200,0)),"")</f>
        <v>0</v>
      </c>
      <c r="H68" s="20">
        <f>IFERROR(INDEX('Input - Tesco'!G$2:G$200,MATCH('Calculations - Tesco'!$C68,'Input - Tesco'!$B$2:$B$200,0)),"")</f>
        <v>0</v>
      </c>
      <c r="I68" s="21">
        <f>IFERROR(INDEX('Input - Tesco'!H$2:H$200,MATCH('Calculations - Tesco'!$C68,'Input - Tesco'!$B$2:$B$200,0)),"")</f>
        <v>0</v>
      </c>
      <c r="J68" s="21">
        <f>IFERROR(INDEX('Input - Tesco'!I$2:I$200,MATCH('Calculations - Tesco'!$C68,'Input - Tesco'!$B$2:$B$200,0)),"")</f>
        <v>0</v>
      </c>
      <c r="K68" s="20">
        <f>IFERROR(INDEX('Input - Tesco'!J$2:J$200,MATCH('Calculations - Tesco'!$C68,'Input - Tesco'!$B$2:$B$200,0)),"")</f>
        <v>0</v>
      </c>
      <c r="L68" s="20">
        <f>IFERROR(INDEX('Input - Tesco'!K$2:K$200,MATCH('Calculations - Tesco'!$C68,'Input - Tesco'!$B$2:$B$200,0)),"")</f>
        <v>0</v>
      </c>
      <c r="M68" s="21" t="str">
        <f t="shared" si="64"/>
        <v/>
      </c>
      <c r="N68" s="21" t="str">
        <f t="shared" si="48"/>
        <v/>
      </c>
      <c r="O68" s="21">
        <f t="shared" si="65"/>
        <v>0</v>
      </c>
      <c r="P68" s="9">
        <f t="shared" si="79"/>
        <v>0</v>
      </c>
      <c r="Q68" s="9">
        <f t="shared" si="80"/>
        <v>0</v>
      </c>
      <c r="R68" s="22" t="str">
        <f>IFERROR(INDEX(Tesco!$Q$11:$Q$165,MATCH('Calculations - Tesco'!$C68,Tesco!$M$11:$M$165,0)),"")</f>
        <v/>
      </c>
      <c r="S68" s="22" t="str">
        <f>IFERROR(INDEX(Tesco!$R$11:$R$165,MATCH('Calculations - Tesco'!$C68,Tesco!$M$11:$M$165,0)),"")</f>
        <v/>
      </c>
      <c r="T68" s="16" t="e">
        <f t="shared" si="51"/>
        <v>#VALUE!</v>
      </c>
      <c r="U68" s="16" t="e">
        <f t="shared" si="66"/>
        <v>#VALUE!</v>
      </c>
      <c r="V68" s="16" t="e">
        <f t="shared" si="67"/>
        <v>#VALUE!</v>
      </c>
      <c r="W68" s="10" t="str">
        <f t="shared" si="52"/>
        <v>-</v>
      </c>
      <c r="X68" s="10" t="str">
        <f t="shared" si="53"/>
        <v>-</v>
      </c>
      <c r="Y68" s="13" t="str">
        <f t="shared" si="68"/>
        <v>-</v>
      </c>
      <c r="Z68" s="9" t="str">
        <f t="shared" si="54"/>
        <v>-</v>
      </c>
      <c r="AA68" s="16" t="str">
        <f t="shared" si="69"/>
        <v>-</v>
      </c>
      <c r="AB68" s="16" t="str">
        <f t="shared" si="55"/>
        <v>-</v>
      </c>
      <c r="AC68" s="16" t="str">
        <f t="shared" si="56"/>
        <v>-</v>
      </c>
      <c r="AD68" s="16" t="str">
        <f t="shared" si="70"/>
        <v>-</v>
      </c>
      <c r="AE68" s="16"/>
      <c r="AF68" s="31" t="str">
        <f>IFERROR(INDEX(Tesco!$P$11:$P$165,MATCH('Calculations - Tesco'!C68,Tesco!$M$11:$M$165,0)),"")</f>
        <v/>
      </c>
      <c r="AG68" s="23" t="str">
        <f t="shared" si="71"/>
        <v/>
      </c>
      <c r="AH68" s="23" t="str">
        <f t="shared" si="71"/>
        <v/>
      </c>
      <c r="AI68" s="9" t="str">
        <f t="shared" si="57"/>
        <v/>
      </c>
      <c r="AJ68" s="4" t="str">
        <f t="shared" si="58"/>
        <v/>
      </c>
      <c r="AK68" s="4"/>
      <c r="AL68" s="4"/>
      <c r="AM68" s="4"/>
      <c r="AN68" s="4"/>
      <c r="AO68" s="4"/>
      <c r="AP68" s="20" t="str">
        <f t="shared" si="59"/>
        <v>-</v>
      </c>
      <c r="AQ68" s="13" t="str">
        <f t="shared" si="72"/>
        <v>-</v>
      </c>
      <c r="AR68" s="13" t="str">
        <f t="shared" si="73"/>
        <v>-</v>
      </c>
      <c r="AS68" s="13" t="str">
        <f t="shared" si="60"/>
        <v>-</v>
      </c>
      <c r="AT68" s="16" t="str">
        <f t="shared" si="74"/>
        <v>-</v>
      </c>
      <c r="AU68" s="16" t="str">
        <f t="shared" si="61"/>
        <v>-</v>
      </c>
      <c r="AV68" s="16" t="str">
        <f t="shared" si="62"/>
        <v>-</v>
      </c>
      <c r="AW68" s="16" t="str">
        <f t="shared" si="75"/>
        <v>-</v>
      </c>
      <c r="AX68" s="13" t="str">
        <f t="shared" si="76"/>
        <v>-</v>
      </c>
      <c r="AY68" s="10" t="str">
        <f t="shared" si="77"/>
        <v>-</v>
      </c>
      <c r="AZ68" s="9" t="str">
        <f t="shared" si="78"/>
        <v>-</v>
      </c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2:68" x14ac:dyDescent="0.3">
      <c r="B69" s="108" t="str">
        <f t="shared" si="63"/>
        <v/>
      </c>
      <c r="C69" s="108" t="str">
        <f t="shared" si="47"/>
        <v/>
      </c>
      <c r="D69" s="3"/>
      <c r="E69" s="3"/>
      <c r="F69" s="3"/>
      <c r="G69" s="20">
        <f>IFERROR(INDEX('Input - Tesco'!F$2:F$200,MATCH('Calculations - Tesco'!$C69,'Input - Tesco'!$B$2:$B$200,0)),"")</f>
        <v>0</v>
      </c>
      <c r="H69" s="20">
        <f>IFERROR(INDEX('Input - Tesco'!G$2:G$200,MATCH('Calculations - Tesco'!$C69,'Input - Tesco'!$B$2:$B$200,0)),"")</f>
        <v>0</v>
      </c>
      <c r="I69" s="21">
        <f>IFERROR(INDEX('Input - Tesco'!H$2:H$200,MATCH('Calculations - Tesco'!$C69,'Input - Tesco'!$B$2:$B$200,0)),"")</f>
        <v>0</v>
      </c>
      <c r="J69" s="21">
        <f>IFERROR(INDEX('Input - Tesco'!I$2:I$200,MATCH('Calculations - Tesco'!$C69,'Input - Tesco'!$B$2:$B$200,0)),"")</f>
        <v>0</v>
      </c>
      <c r="K69" s="20">
        <f>IFERROR(INDEX('Input - Tesco'!J$2:J$200,MATCH('Calculations - Tesco'!$C69,'Input - Tesco'!$B$2:$B$200,0)),"")</f>
        <v>0</v>
      </c>
      <c r="L69" s="20">
        <f>IFERROR(INDEX('Input - Tesco'!K$2:K$200,MATCH('Calculations - Tesco'!$C69,'Input - Tesco'!$B$2:$B$200,0)),"")</f>
        <v>0</v>
      </c>
      <c r="M69" s="21" t="str">
        <f t="shared" si="64"/>
        <v/>
      </c>
      <c r="N69" s="21" t="str">
        <f t="shared" si="48"/>
        <v/>
      </c>
      <c r="O69" s="21">
        <f t="shared" si="65"/>
        <v>0</v>
      </c>
      <c r="P69" s="9">
        <f t="shared" si="79"/>
        <v>0</v>
      </c>
      <c r="Q69" s="9">
        <f t="shared" si="80"/>
        <v>0</v>
      </c>
      <c r="R69" s="22" t="str">
        <f>IFERROR(INDEX(Tesco!$Q$11:$Q$165,MATCH('Calculations - Tesco'!$C69,Tesco!$M$11:$M$165,0)),"")</f>
        <v/>
      </c>
      <c r="S69" s="22" t="str">
        <f>IFERROR(INDEX(Tesco!$R$11:$R$165,MATCH('Calculations - Tesco'!$C69,Tesco!$M$11:$M$165,0)),"")</f>
        <v/>
      </c>
      <c r="T69" s="16" t="e">
        <f t="shared" si="51"/>
        <v>#VALUE!</v>
      </c>
      <c r="U69" s="16" t="e">
        <f t="shared" si="66"/>
        <v>#VALUE!</v>
      </c>
      <c r="V69" s="16" t="e">
        <f t="shared" si="67"/>
        <v>#VALUE!</v>
      </c>
      <c r="W69" s="10" t="str">
        <f t="shared" si="52"/>
        <v>-</v>
      </c>
      <c r="X69" s="10" t="str">
        <f t="shared" si="53"/>
        <v>-</v>
      </c>
      <c r="Y69" s="13" t="str">
        <f t="shared" si="68"/>
        <v>-</v>
      </c>
      <c r="Z69" s="9" t="str">
        <f t="shared" si="54"/>
        <v>-</v>
      </c>
      <c r="AA69" s="16" t="str">
        <f t="shared" si="69"/>
        <v>-</v>
      </c>
      <c r="AB69" s="16" t="str">
        <f t="shared" si="55"/>
        <v>-</v>
      </c>
      <c r="AC69" s="16" t="str">
        <f t="shared" si="56"/>
        <v>-</v>
      </c>
      <c r="AD69" s="16" t="str">
        <f t="shared" si="70"/>
        <v>-</v>
      </c>
      <c r="AE69" s="16"/>
      <c r="AF69" s="31" t="str">
        <f>IFERROR(INDEX(Tesco!$P$11:$P$165,MATCH('Calculations - Tesco'!C69,Tesco!$M$11:$M$165,0)),"")</f>
        <v/>
      </c>
      <c r="AG69" s="23" t="str">
        <f t="shared" si="71"/>
        <v/>
      </c>
      <c r="AH69" s="23" t="str">
        <f t="shared" si="71"/>
        <v/>
      </c>
      <c r="AI69" s="9" t="str">
        <f t="shared" si="57"/>
        <v/>
      </c>
      <c r="AJ69" s="4" t="str">
        <f t="shared" si="58"/>
        <v/>
      </c>
      <c r="AK69" s="4"/>
      <c r="AL69" s="4"/>
      <c r="AM69" s="4"/>
      <c r="AN69" s="4"/>
      <c r="AO69" s="4"/>
      <c r="AP69" s="20" t="str">
        <f t="shared" si="59"/>
        <v>-</v>
      </c>
      <c r="AQ69" s="13" t="str">
        <f t="shared" si="72"/>
        <v>-</v>
      </c>
      <c r="AR69" s="13" t="str">
        <f t="shared" si="73"/>
        <v>-</v>
      </c>
      <c r="AS69" s="13" t="str">
        <f t="shared" si="60"/>
        <v>-</v>
      </c>
      <c r="AT69" s="16" t="str">
        <f t="shared" si="74"/>
        <v>-</v>
      </c>
      <c r="AU69" s="16" t="str">
        <f t="shared" si="61"/>
        <v>-</v>
      </c>
      <c r="AV69" s="16" t="str">
        <f t="shared" si="62"/>
        <v>-</v>
      </c>
      <c r="AW69" s="16" t="str">
        <f t="shared" si="75"/>
        <v>-</v>
      </c>
      <c r="AX69" s="13" t="str">
        <f t="shared" si="76"/>
        <v>-</v>
      </c>
      <c r="AY69" s="10" t="str">
        <f t="shared" si="77"/>
        <v>-</v>
      </c>
      <c r="AZ69" s="9" t="str">
        <f t="shared" si="78"/>
        <v>-</v>
      </c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2:68" x14ac:dyDescent="0.3">
      <c r="B70" s="108" t="str">
        <f t="shared" si="63"/>
        <v/>
      </c>
      <c r="C70" s="108" t="str">
        <f t="shared" si="47"/>
        <v/>
      </c>
      <c r="D70" s="3"/>
      <c r="E70" s="3"/>
      <c r="F70" s="3"/>
      <c r="G70" s="20">
        <f>IFERROR(INDEX('Input - Tesco'!F$2:F$200,MATCH('Calculations - Tesco'!$C70,'Input - Tesco'!$B$2:$B$200,0)),"")</f>
        <v>0</v>
      </c>
      <c r="H70" s="20">
        <f>IFERROR(INDEX('Input - Tesco'!G$2:G$200,MATCH('Calculations - Tesco'!$C70,'Input - Tesco'!$B$2:$B$200,0)),"")</f>
        <v>0</v>
      </c>
      <c r="I70" s="21">
        <f>IFERROR(INDEX('Input - Tesco'!H$2:H$200,MATCH('Calculations - Tesco'!$C70,'Input - Tesco'!$B$2:$B$200,0)),"")</f>
        <v>0</v>
      </c>
      <c r="J70" s="21">
        <f>IFERROR(INDEX('Input - Tesco'!I$2:I$200,MATCH('Calculations - Tesco'!$C70,'Input - Tesco'!$B$2:$B$200,0)),"")</f>
        <v>0</v>
      </c>
      <c r="K70" s="20">
        <f>IFERROR(INDEX('Input - Tesco'!J$2:J$200,MATCH('Calculations - Tesco'!$C70,'Input - Tesco'!$B$2:$B$200,0)),"")</f>
        <v>0</v>
      </c>
      <c r="L70" s="20">
        <f>IFERROR(INDEX('Input - Tesco'!K$2:K$200,MATCH('Calculations - Tesco'!$C70,'Input - Tesco'!$B$2:$B$200,0)),"")</f>
        <v>0</v>
      </c>
      <c r="M70" s="21" t="str">
        <f t="shared" si="64"/>
        <v/>
      </c>
      <c r="N70" s="21" t="str">
        <f t="shared" si="48"/>
        <v/>
      </c>
      <c r="O70" s="21">
        <f t="shared" si="65"/>
        <v>0</v>
      </c>
      <c r="P70" s="9">
        <f t="shared" si="79"/>
        <v>0</v>
      </c>
      <c r="Q70" s="9">
        <f t="shared" si="80"/>
        <v>0</v>
      </c>
      <c r="R70" s="22" t="str">
        <f>IFERROR(INDEX(Tesco!$Q$11:$Q$165,MATCH('Calculations - Tesco'!$C70,Tesco!$M$11:$M$165,0)),"")</f>
        <v/>
      </c>
      <c r="S70" s="22" t="str">
        <f>IFERROR(INDEX(Tesco!$R$11:$R$165,MATCH('Calculations - Tesco'!$C70,Tesco!$M$11:$M$165,0)),"")</f>
        <v/>
      </c>
      <c r="T70" s="16" t="e">
        <f t="shared" si="51"/>
        <v>#VALUE!</v>
      </c>
      <c r="U70" s="16" t="e">
        <f t="shared" si="66"/>
        <v>#VALUE!</v>
      </c>
      <c r="V70" s="16" t="e">
        <f t="shared" si="67"/>
        <v>#VALUE!</v>
      </c>
      <c r="W70" s="10" t="str">
        <f t="shared" si="52"/>
        <v>-</v>
      </c>
      <c r="X70" s="10" t="str">
        <f t="shared" si="53"/>
        <v>-</v>
      </c>
      <c r="Y70" s="13" t="str">
        <f t="shared" si="68"/>
        <v>-</v>
      </c>
      <c r="Z70" s="9" t="str">
        <f t="shared" si="54"/>
        <v>-</v>
      </c>
      <c r="AA70" s="16" t="str">
        <f t="shared" si="69"/>
        <v>-</v>
      </c>
      <c r="AB70" s="16" t="str">
        <f t="shared" si="55"/>
        <v>-</v>
      </c>
      <c r="AC70" s="16" t="str">
        <f t="shared" si="56"/>
        <v>-</v>
      </c>
      <c r="AD70" s="16" t="str">
        <f t="shared" si="70"/>
        <v>-</v>
      </c>
      <c r="AE70" s="16"/>
      <c r="AF70" s="31" t="str">
        <f>IFERROR(INDEX(Tesco!$P$11:$P$165,MATCH('Calculations - Tesco'!C70,Tesco!$M$11:$M$165,0)),"")</f>
        <v/>
      </c>
      <c r="AG70" s="23" t="str">
        <f t="shared" si="71"/>
        <v/>
      </c>
      <c r="AH70" s="23" t="str">
        <f t="shared" si="71"/>
        <v/>
      </c>
      <c r="AI70" s="9" t="str">
        <f t="shared" si="57"/>
        <v/>
      </c>
      <c r="AJ70" s="4" t="str">
        <f t="shared" si="58"/>
        <v/>
      </c>
      <c r="AK70" s="4"/>
      <c r="AL70" s="4"/>
      <c r="AM70" s="4"/>
      <c r="AN70" s="4"/>
      <c r="AO70" s="4"/>
      <c r="AP70" s="20" t="str">
        <f t="shared" si="59"/>
        <v>-</v>
      </c>
      <c r="AQ70" s="13" t="str">
        <f t="shared" si="72"/>
        <v>-</v>
      </c>
      <c r="AR70" s="13" t="str">
        <f t="shared" si="73"/>
        <v>-</v>
      </c>
      <c r="AS70" s="13" t="str">
        <f t="shared" si="60"/>
        <v>-</v>
      </c>
      <c r="AT70" s="16" t="str">
        <f t="shared" si="74"/>
        <v>-</v>
      </c>
      <c r="AU70" s="16" t="str">
        <f t="shared" si="61"/>
        <v>-</v>
      </c>
      <c r="AV70" s="16" t="str">
        <f t="shared" si="62"/>
        <v>-</v>
      </c>
      <c r="AW70" s="16" t="str">
        <f t="shared" si="75"/>
        <v>-</v>
      </c>
      <c r="AX70" s="13" t="str">
        <f t="shared" si="76"/>
        <v>-</v>
      </c>
      <c r="AY70" s="10" t="str">
        <f t="shared" si="77"/>
        <v>-</v>
      </c>
      <c r="AZ70" s="9" t="str">
        <f t="shared" si="78"/>
        <v>-</v>
      </c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2:68" x14ac:dyDescent="0.3">
      <c r="B71" s="108" t="str">
        <f t="shared" si="63"/>
        <v/>
      </c>
      <c r="C71" s="108" t="str">
        <f t="shared" si="47"/>
        <v/>
      </c>
      <c r="D71" s="3"/>
      <c r="E71" s="3"/>
      <c r="F71" s="3"/>
      <c r="G71" s="20">
        <f>IFERROR(INDEX('Input - Tesco'!F$2:F$200,MATCH('Calculations - Tesco'!$C71,'Input - Tesco'!$B$2:$B$200,0)),"")</f>
        <v>0</v>
      </c>
      <c r="H71" s="20">
        <f>IFERROR(INDEX('Input - Tesco'!G$2:G$200,MATCH('Calculations - Tesco'!$C71,'Input - Tesco'!$B$2:$B$200,0)),"")</f>
        <v>0</v>
      </c>
      <c r="I71" s="21">
        <f>IFERROR(INDEX('Input - Tesco'!H$2:H$200,MATCH('Calculations - Tesco'!$C71,'Input - Tesco'!$B$2:$B$200,0)),"")</f>
        <v>0</v>
      </c>
      <c r="J71" s="21">
        <f>IFERROR(INDEX('Input - Tesco'!I$2:I$200,MATCH('Calculations - Tesco'!$C71,'Input - Tesco'!$B$2:$B$200,0)),"")</f>
        <v>0</v>
      </c>
      <c r="K71" s="20">
        <f>IFERROR(INDEX('Input - Tesco'!J$2:J$200,MATCH('Calculations - Tesco'!$C71,'Input - Tesco'!$B$2:$B$200,0)),"")</f>
        <v>0</v>
      </c>
      <c r="L71" s="20">
        <f>IFERROR(INDEX('Input - Tesco'!K$2:K$200,MATCH('Calculations - Tesco'!$C71,'Input - Tesco'!$B$2:$B$200,0)),"")</f>
        <v>0</v>
      </c>
      <c r="M71" s="21" t="str">
        <f t="shared" si="64"/>
        <v/>
      </c>
      <c r="N71" s="21" t="str">
        <f t="shared" si="48"/>
        <v/>
      </c>
      <c r="O71" s="21">
        <f t="shared" si="65"/>
        <v>0</v>
      </c>
      <c r="P71" s="9">
        <f t="shared" si="79"/>
        <v>0</v>
      </c>
      <c r="Q71" s="9">
        <f t="shared" si="80"/>
        <v>0</v>
      </c>
      <c r="R71" s="22" t="str">
        <f>IFERROR(INDEX(Tesco!$Q$11:$Q$165,MATCH('Calculations - Tesco'!$C71,Tesco!$M$11:$M$165,0)),"")</f>
        <v/>
      </c>
      <c r="S71" s="22" t="str">
        <f>IFERROR(INDEX(Tesco!$R$11:$R$165,MATCH('Calculations - Tesco'!$C71,Tesco!$M$11:$M$165,0)),"")</f>
        <v/>
      </c>
      <c r="T71" s="16" t="e">
        <f t="shared" si="51"/>
        <v>#VALUE!</v>
      </c>
      <c r="U71" s="16" t="e">
        <f t="shared" si="66"/>
        <v>#VALUE!</v>
      </c>
      <c r="V71" s="16" t="e">
        <f t="shared" si="67"/>
        <v>#VALUE!</v>
      </c>
      <c r="W71" s="10" t="str">
        <f t="shared" si="52"/>
        <v>-</v>
      </c>
      <c r="X71" s="10" t="str">
        <f t="shared" si="53"/>
        <v>-</v>
      </c>
      <c r="Y71" s="13" t="str">
        <f t="shared" si="68"/>
        <v>-</v>
      </c>
      <c r="Z71" s="9" t="str">
        <f t="shared" si="54"/>
        <v>-</v>
      </c>
      <c r="AA71" s="16" t="str">
        <f t="shared" si="69"/>
        <v>-</v>
      </c>
      <c r="AB71" s="16" t="str">
        <f t="shared" si="55"/>
        <v>-</v>
      </c>
      <c r="AC71" s="16" t="str">
        <f t="shared" si="56"/>
        <v>-</v>
      </c>
      <c r="AD71" s="16" t="str">
        <f t="shared" si="70"/>
        <v>-</v>
      </c>
      <c r="AE71" s="16"/>
      <c r="AF71" s="31" t="str">
        <f>IFERROR(INDEX(Tesco!$P$11:$P$165,MATCH('Calculations - Tesco'!C71,Tesco!$M$11:$M$165,0)),"")</f>
        <v/>
      </c>
      <c r="AG71" s="23" t="str">
        <f t="shared" si="71"/>
        <v/>
      </c>
      <c r="AH71" s="23" t="str">
        <f t="shared" si="71"/>
        <v/>
      </c>
      <c r="AI71" s="9" t="str">
        <f t="shared" si="57"/>
        <v/>
      </c>
      <c r="AJ71" s="4" t="str">
        <f t="shared" si="58"/>
        <v/>
      </c>
      <c r="AK71" s="4"/>
      <c r="AL71" s="4"/>
      <c r="AM71" s="4"/>
      <c r="AN71" s="4"/>
      <c r="AO71" s="4"/>
      <c r="AP71" s="20" t="str">
        <f t="shared" si="59"/>
        <v>-</v>
      </c>
      <c r="AQ71" s="13" t="str">
        <f t="shared" si="72"/>
        <v>-</v>
      </c>
      <c r="AR71" s="13" t="str">
        <f t="shared" si="73"/>
        <v>-</v>
      </c>
      <c r="AS71" s="13" t="str">
        <f t="shared" si="60"/>
        <v>-</v>
      </c>
      <c r="AT71" s="16" t="str">
        <f t="shared" si="74"/>
        <v>-</v>
      </c>
      <c r="AU71" s="16" t="str">
        <f t="shared" si="61"/>
        <v>-</v>
      </c>
      <c r="AV71" s="16" t="str">
        <f t="shared" si="62"/>
        <v>-</v>
      </c>
      <c r="AW71" s="16" t="str">
        <f t="shared" si="75"/>
        <v>-</v>
      </c>
      <c r="AX71" s="13" t="str">
        <f t="shared" si="76"/>
        <v>-</v>
      </c>
      <c r="AY71" s="10" t="str">
        <f t="shared" si="77"/>
        <v>-</v>
      </c>
      <c r="AZ71" s="9" t="str">
        <f t="shared" si="78"/>
        <v>-</v>
      </c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2:68" x14ac:dyDescent="0.3">
      <c r="B72" s="108" t="str">
        <f t="shared" si="63"/>
        <v/>
      </c>
      <c r="C72" s="108" t="str">
        <f t="shared" si="47"/>
        <v/>
      </c>
      <c r="D72" s="3"/>
      <c r="E72" s="3"/>
      <c r="F72" s="3"/>
      <c r="G72" s="20">
        <f>IFERROR(INDEX('Input - Tesco'!F$2:F$200,MATCH('Calculations - Tesco'!$C72,'Input - Tesco'!$B$2:$B$200,0)),"")</f>
        <v>0</v>
      </c>
      <c r="H72" s="20">
        <f>IFERROR(INDEX('Input - Tesco'!G$2:G$200,MATCH('Calculations - Tesco'!$C72,'Input - Tesco'!$B$2:$B$200,0)),"")</f>
        <v>0</v>
      </c>
      <c r="I72" s="21">
        <f>IFERROR(INDEX('Input - Tesco'!H$2:H$200,MATCH('Calculations - Tesco'!$C72,'Input - Tesco'!$B$2:$B$200,0)),"")</f>
        <v>0</v>
      </c>
      <c r="J72" s="21">
        <f>IFERROR(INDEX('Input - Tesco'!I$2:I$200,MATCH('Calculations - Tesco'!$C72,'Input - Tesco'!$B$2:$B$200,0)),"")</f>
        <v>0</v>
      </c>
      <c r="K72" s="20">
        <f>IFERROR(INDEX('Input - Tesco'!J$2:J$200,MATCH('Calculations - Tesco'!$C72,'Input - Tesco'!$B$2:$B$200,0)),"")</f>
        <v>0</v>
      </c>
      <c r="L72" s="20">
        <f>IFERROR(INDEX('Input - Tesco'!K$2:K$200,MATCH('Calculations - Tesco'!$C72,'Input - Tesco'!$B$2:$B$200,0)),"")</f>
        <v>0</v>
      </c>
      <c r="M72" s="21" t="str">
        <f t="shared" si="64"/>
        <v/>
      </c>
      <c r="N72" s="21" t="str">
        <f t="shared" si="48"/>
        <v/>
      </c>
      <c r="O72" s="21">
        <f t="shared" si="65"/>
        <v>0</v>
      </c>
      <c r="P72" s="9">
        <f t="shared" si="79"/>
        <v>0</v>
      </c>
      <c r="Q72" s="9">
        <f t="shared" si="80"/>
        <v>0</v>
      </c>
      <c r="R72" s="22" t="str">
        <f>IFERROR(INDEX(Tesco!$Q$11:$Q$165,MATCH('Calculations - Tesco'!$C72,Tesco!$M$11:$M$165,0)),"")</f>
        <v/>
      </c>
      <c r="S72" s="22" t="str">
        <f>IFERROR(INDEX(Tesco!$R$11:$R$165,MATCH('Calculations - Tesco'!$C72,Tesco!$M$11:$M$165,0)),"")</f>
        <v/>
      </c>
      <c r="T72" s="16" t="e">
        <f t="shared" si="51"/>
        <v>#VALUE!</v>
      </c>
      <c r="U72" s="16" t="e">
        <f t="shared" si="66"/>
        <v>#VALUE!</v>
      </c>
      <c r="V72" s="16" t="e">
        <f t="shared" si="67"/>
        <v>#VALUE!</v>
      </c>
      <c r="W72" s="10" t="str">
        <f t="shared" si="52"/>
        <v>-</v>
      </c>
      <c r="X72" s="10" t="str">
        <f t="shared" si="53"/>
        <v>-</v>
      </c>
      <c r="Y72" s="13" t="str">
        <f t="shared" si="68"/>
        <v>-</v>
      </c>
      <c r="Z72" s="9" t="str">
        <f t="shared" si="54"/>
        <v>-</v>
      </c>
      <c r="AA72" s="16" t="str">
        <f t="shared" si="69"/>
        <v>-</v>
      </c>
      <c r="AB72" s="16" t="str">
        <f t="shared" si="55"/>
        <v>-</v>
      </c>
      <c r="AC72" s="16" t="str">
        <f t="shared" si="56"/>
        <v>-</v>
      </c>
      <c r="AD72" s="16" t="str">
        <f t="shared" si="70"/>
        <v>-</v>
      </c>
      <c r="AE72" s="16"/>
      <c r="AF72" s="31" t="str">
        <f>IFERROR(INDEX(Tesco!$P$11:$P$165,MATCH('Calculations - Tesco'!C72,Tesco!$M$11:$M$165,0)),"")</f>
        <v/>
      </c>
      <c r="AG72" s="23" t="str">
        <f t="shared" si="71"/>
        <v/>
      </c>
      <c r="AH72" s="23" t="str">
        <f t="shared" si="71"/>
        <v/>
      </c>
      <c r="AI72" s="9" t="str">
        <f t="shared" si="57"/>
        <v/>
      </c>
      <c r="AJ72" s="4" t="str">
        <f t="shared" si="58"/>
        <v/>
      </c>
      <c r="AK72" s="4"/>
      <c r="AL72" s="4"/>
      <c r="AM72" s="4"/>
      <c r="AN72" s="4"/>
      <c r="AO72" s="4"/>
      <c r="AP72" s="20" t="str">
        <f t="shared" si="59"/>
        <v>-</v>
      </c>
      <c r="AQ72" s="13" t="str">
        <f t="shared" si="72"/>
        <v>-</v>
      </c>
      <c r="AR72" s="13" t="str">
        <f t="shared" si="73"/>
        <v>-</v>
      </c>
      <c r="AS72" s="13" t="str">
        <f t="shared" si="60"/>
        <v>-</v>
      </c>
      <c r="AT72" s="16" t="str">
        <f t="shared" si="74"/>
        <v>-</v>
      </c>
      <c r="AU72" s="16" t="str">
        <f t="shared" si="61"/>
        <v>-</v>
      </c>
      <c r="AV72" s="16" t="str">
        <f t="shared" si="62"/>
        <v>-</v>
      </c>
      <c r="AW72" s="16" t="str">
        <f t="shared" si="75"/>
        <v>-</v>
      </c>
      <c r="AX72" s="13" t="str">
        <f t="shared" si="76"/>
        <v>-</v>
      </c>
      <c r="AY72" s="10" t="str">
        <f t="shared" si="77"/>
        <v>-</v>
      </c>
      <c r="AZ72" s="9" t="str">
        <f t="shared" si="78"/>
        <v>-</v>
      </c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2:68" x14ac:dyDescent="0.3">
      <c r="B73" s="108" t="str">
        <f t="shared" si="63"/>
        <v/>
      </c>
      <c r="C73" s="108" t="str">
        <f t="shared" si="47"/>
        <v/>
      </c>
      <c r="D73" s="3"/>
      <c r="E73" s="3"/>
      <c r="F73" s="3"/>
      <c r="G73" s="20">
        <f>IFERROR(INDEX('Input - Tesco'!F$2:F$200,MATCH('Calculations - Tesco'!$C73,'Input - Tesco'!$B$2:$B$200,0)),"")</f>
        <v>0</v>
      </c>
      <c r="H73" s="20">
        <f>IFERROR(INDEX('Input - Tesco'!G$2:G$200,MATCH('Calculations - Tesco'!$C73,'Input - Tesco'!$B$2:$B$200,0)),"")</f>
        <v>0</v>
      </c>
      <c r="I73" s="21">
        <f>IFERROR(INDEX('Input - Tesco'!H$2:H$200,MATCH('Calculations - Tesco'!$C73,'Input - Tesco'!$B$2:$B$200,0)),"")</f>
        <v>0</v>
      </c>
      <c r="J73" s="21">
        <f>IFERROR(INDEX('Input - Tesco'!I$2:I$200,MATCH('Calculations - Tesco'!$C73,'Input - Tesco'!$B$2:$B$200,0)),"")</f>
        <v>0</v>
      </c>
      <c r="K73" s="20">
        <f>IFERROR(INDEX('Input - Tesco'!J$2:J$200,MATCH('Calculations - Tesco'!$C73,'Input - Tesco'!$B$2:$B$200,0)),"")</f>
        <v>0</v>
      </c>
      <c r="L73" s="20">
        <f>IFERROR(INDEX('Input - Tesco'!K$2:K$200,MATCH('Calculations - Tesco'!$C73,'Input - Tesco'!$B$2:$B$200,0)),"")</f>
        <v>0</v>
      </c>
      <c r="M73" s="21" t="str">
        <f t="shared" si="64"/>
        <v/>
      </c>
      <c r="N73" s="21" t="str">
        <f t="shared" si="48"/>
        <v/>
      </c>
      <c r="O73" s="21">
        <f t="shared" si="65"/>
        <v>0</v>
      </c>
      <c r="P73" s="9">
        <f t="shared" si="79"/>
        <v>0</v>
      </c>
      <c r="Q73" s="9">
        <f t="shared" si="80"/>
        <v>0</v>
      </c>
      <c r="R73" s="22" t="str">
        <f>IFERROR(INDEX(Tesco!$Q$11:$Q$165,MATCH('Calculations - Tesco'!$C73,Tesco!$M$11:$M$165,0)),"")</f>
        <v/>
      </c>
      <c r="S73" s="22" t="str">
        <f>IFERROR(INDEX(Tesco!$R$11:$R$165,MATCH('Calculations - Tesco'!$C73,Tesco!$M$11:$M$165,0)),"")</f>
        <v/>
      </c>
      <c r="T73" s="16" t="e">
        <f t="shared" si="51"/>
        <v>#VALUE!</v>
      </c>
      <c r="U73" s="16" t="e">
        <f t="shared" si="66"/>
        <v>#VALUE!</v>
      </c>
      <c r="V73" s="16" t="e">
        <f t="shared" si="67"/>
        <v>#VALUE!</v>
      </c>
      <c r="W73" s="10" t="str">
        <f t="shared" si="52"/>
        <v>-</v>
      </c>
      <c r="X73" s="10" t="str">
        <f t="shared" si="53"/>
        <v>-</v>
      </c>
      <c r="Y73" s="13" t="str">
        <f t="shared" si="68"/>
        <v>-</v>
      </c>
      <c r="Z73" s="9" t="str">
        <f t="shared" si="54"/>
        <v>-</v>
      </c>
      <c r="AA73" s="16" t="str">
        <f t="shared" si="69"/>
        <v>-</v>
      </c>
      <c r="AB73" s="16" t="str">
        <f t="shared" si="55"/>
        <v>-</v>
      </c>
      <c r="AC73" s="16" t="str">
        <f t="shared" si="56"/>
        <v>-</v>
      </c>
      <c r="AD73" s="16" t="str">
        <f t="shared" si="70"/>
        <v>-</v>
      </c>
      <c r="AE73" s="16"/>
      <c r="AF73" s="31" t="str">
        <f>IFERROR(INDEX(Tesco!$P$11:$P$165,MATCH('Calculations - Tesco'!C73,Tesco!$M$11:$M$165,0)),"")</f>
        <v/>
      </c>
      <c r="AG73" s="23" t="str">
        <f t="shared" si="71"/>
        <v/>
      </c>
      <c r="AH73" s="23" t="str">
        <f t="shared" si="71"/>
        <v/>
      </c>
      <c r="AI73" s="9" t="str">
        <f t="shared" si="57"/>
        <v/>
      </c>
      <c r="AJ73" s="4" t="str">
        <f t="shared" si="58"/>
        <v/>
      </c>
      <c r="AK73" s="4"/>
      <c r="AL73" s="4"/>
      <c r="AM73" s="4"/>
      <c r="AN73" s="4"/>
      <c r="AO73" s="4"/>
      <c r="AP73" s="20" t="str">
        <f t="shared" si="59"/>
        <v>-</v>
      </c>
      <c r="AQ73" s="13" t="str">
        <f t="shared" si="72"/>
        <v>-</v>
      </c>
      <c r="AR73" s="13" t="str">
        <f t="shared" si="73"/>
        <v>-</v>
      </c>
      <c r="AS73" s="13" t="str">
        <f t="shared" si="60"/>
        <v>-</v>
      </c>
      <c r="AT73" s="16" t="str">
        <f t="shared" si="74"/>
        <v>-</v>
      </c>
      <c r="AU73" s="16" t="str">
        <f t="shared" si="61"/>
        <v>-</v>
      </c>
      <c r="AV73" s="16" t="str">
        <f t="shared" si="62"/>
        <v>-</v>
      </c>
      <c r="AW73" s="16" t="str">
        <f t="shared" si="75"/>
        <v>-</v>
      </c>
      <c r="AX73" s="13" t="str">
        <f t="shared" si="76"/>
        <v>-</v>
      </c>
      <c r="AY73" s="10" t="str">
        <f t="shared" si="77"/>
        <v>-</v>
      </c>
      <c r="AZ73" s="9" t="str">
        <f t="shared" si="78"/>
        <v>-</v>
      </c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2:68" x14ac:dyDescent="0.3">
      <c r="B74" s="108" t="str">
        <f t="shared" si="63"/>
        <v/>
      </c>
      <c r="C74" s="108" t="str">
        <f t="shared" si="47"/>
        <v/>
      </c>
      <c r="D74" s="3"/>
      <c r="E74" s="3"/>
      <c r="F74" s="3"/>
      <c r="G74" s="20">
        <f>IFERROR(INDEX('Input - Tesco'!F$2:F$200,MATCH('Calculations - Tesco'!$C74,'Input - Tesco'!$B$2:$B$200,0)),"")</f>
        <v>0</v>
      </c>
      <c r="H74" s="20">
        <f>IFERROR(INDEX('Input - Tesco'!G$2:G$200,MATCH('Calculations - Tesco'!$C74,'Input - Tesco'!$B$2:$B$200,0)),"")</f>
        <v>0</v>
      </c>
      <c r="I74" s="21">
        <f>IFERROR(INDEX('Input - Tesco'!H$2:H$200,MATCH('Calculations - Tesco'!$C74,'Input - Tesco'!$B$2:$B$200,0)),"")</f>
        <v>0</v>
      </c>
      <c r="J74" s="21">
        <f>IFERROR(INDEX('Input - Tesco'!I$2:I$200,MATCH('Calculations - Tesco'!$C74,'Input - Tesco'!$B$2:$B$200,0)),"")</f>
        <v>0</v>
      </c>
      <c r="K74" s="20">
        <f>IFERROR(INDEX('Input - Tesco'!J$2:J$200,MATCH('Calculations - Tesco'!$C74,'Input - Tesco'!$B$2:$B$200,0)),"")</f>
        <v>0</v>
      </c>
      <c r="L74" s="20">
        <f>IFERROR(INDEX('Input - Tesco'!K$2:K$200,MATCH('Calculations - Tesco'!$C74,'Input - Tesco'!$B$2:$B$200,0)),"")</f>
        <v>0</v>
      </c>
      <c r="M74" s="21" t="str">
        <f t="shared" si="64"/>
        <v/>
      </c>
      <c r="N74" s="21" t="str">
        <f t="shared" si="48"/>
        <v/>
      </c>
      <c r="O74" s="21">
        <f t="shared" si="65"/>
        <v>0</v>
      </c>
      <c r="P74" s="9">
        <f t="shared" si="79"/>
        <v>0</v>
      </c>
      <c r="Q74" s="9">
        <f t="shared" si="80"/>
        <v>0</v>
      </c>
      <c r="R74" s="22" t="str">
        <f>IFERROR(INDEX(Tesco!$Q$11:$Q$165,MATCH('Calculations - Tesco'!$C74,Tesco!$M$11:$M$165,0)),"")</f>
        <v/>
      </c>
      <c r="S74" s="22" t="str">
        <f>IFERROR(INDEX(Tesco!$R$11:$R$165,MATCH('Calculations - Tesco'!$C74,Tesco!$M$11:$M$165,0)),"")</f>
        <v/>
      </c>
      <c r="T74" s="16" t="e">
        <f t="shared" si="51"/>
        <v>#VALUE!</v>
      </c>
      <c r="U74" s="16" t="e">
        <f t="shared" si="66"/>
        <v>#VALUE!</v>
      </c>
      <c r="V74" s="16" t="e">
        <f t="shared" si="67"/>
        <v>#VALUE!</v>
      </c>
      <c r="W74" s="10" t="str">
        <f t="shared" si="52"/>
        <v>-</v>
      </c>
      <c r="X74" s="10" t="str">
        <f t="shared" si="53"/>
        <v>-</v>
      </c>
      <c r="Y74" s="13" t="str">
        <f t="shared" si="68"/>
        <v>-</v>
      </c>
      <c r="Z74" s="9" t="str">
        <f t="shared" si="54"/>
        <v>-</v>
      </c>
      <c r="AA74" s="16" t="str">
        <f t="shared" si="69"/>
        <v>-</v>
      </c>
      <c r="AB74" s="16" t="str">
        <f t="shared" si="55"/>
        <v>-</v>
      </c>
      <c r="AC74" s="16" t="str">
        <f t="shared" si="56"/>
        <v>-</v>
      </c>
      <c r="AD74" s="16" t="str">
        <f t="shared" si="70"/>
        <v>-</v>
      </c>
      <c r="AE74" s="16"/>
      <c r="AF74" s="31" t="str">
        <f>IFERROR(INDEX(Tesco!$P$11:$P$165,MATCH('Calculations - Tesco'!C74,Tesco!$M$11:$M$165,0)),"")</f>
        <v/>
      </c>
      <c r="AG74" s="23" t="str">
        <f t="shared" si="71"/>
        <v/>
      </c>
      <c r="AH74" s="23" t="str">
        <f t="shared" si="71"/>
        <v/>
      </c>
      <c r="AI74" s="9" t="str">
        <f t="shared" si="57"/>
        <v/>
      </c>
      <c r="AJ74" s="4" t="str">
        <f t="shared" si="58"/>
        <v/>
      </c>
      <c r="AK74" s="4"/>
      <c r="AL74" s="4"/>
      <c r="AM74" s="4"/>
      <c r="AN74" s="4"/>
      <c r="AO74" s="4"/>
      <c r="AP74" s="20" t="str">
        <f t="shared" si="59"/>
        <v>-</v>
      </c>
      <c r="AQ74" s="13" t="str">
        <f t="shared" si="72"/>
        <v>-</v>
      </c>
      <c r="AR74" s="13" t="str">
        <f t="shared" si="73"/>
        <v>-</v>
      </c>
      <c r="AS74" s="13" t="str">
        <f t="shared" si="60"/>
        <v>-</v>
      </c>
      <c r="AT74" s="16" t="str">
        <f t="shared" si="74"/>
        <v>-</v>
      </c>
      <c r="AU74" s="16" t="str">
        <f t="shared" si="61"/>
        <v>-</v>
      </c>
      <c r="AV74" s="16" t="str">
        <f t="shared" si="62"/>
        <v>-</v>
      </c>
      <c r="AW74" s="16" t="str">
        <f t="shared" si="75"/>
        <v>-</v>
      </c>
      <c r="AX74" s="13" t="str">
        <f t="shared" si="76"/>
        <v>-</v>
      </c>
      <c r="AY74" s="10" t="str">
        <f t="shared" si="77"/>
        <v>-</v>
      </c>
      <c r="AZ74" s="9" t="str">
        <f t="shared" si="78"/>
        <v>-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2:68" x14ac:dyDescent="0.3">
      <c r="B75" s="108" t="str">
        <f t="shared" si="63"/>
        <v/>
      </c>
      <c r="C75" s="108" t="str">
        <f t="shared" si="47"/>
        <v/>
      </c>
      <c r="D75" s="3"/>
      <c r="E75" s="3"/>
      <c r="F75" s="3"/>
      <c r="G75" s="20">
        <f>IFERROR(INDEX('Input - Tesco'!F$2:F$200,MATCH('Calculations - Tesco'!$C75,'Input - Tesco'!$B$2:$B$200,0)),"")</f>
        <v>0</v>
      </c>
      <c r="H75" s="20">
        <f>IFERROR(INDEX('Input - Tesco'!G$2:G$200,MATCH('Calculations - Tesco'!$C75,'Input - Tesco'!$B$2:$B$200,0)),"")</f>
        <v>0</v>
      </c>
      <c r="I75" s="21">
        <f>IFERROR(INDEX('Input - Tesco'!H$2:H$200,MATCH('Calculations - Tesco'!$C75,'Input - Tesco'!$B$2:$B$200,0)),"")</f>
        <v>0</v>
      </c>
      <c r="J75" s="21">
        <f>IFERROR(INDEX('Input - Tesco'!I$2:I$200,MATCH('Calculations - Tesco'!$C75,'Input - Tesco'!$B$2:$B$200,0)),"")</f>
        <v>0</v>
      </c>
      <c r="K75" s="20">
        <f>IFERROR(INDEX('Input - Tesco'!J$2:J$200,MATCH('Calculations - Tesco'!$C75,'Input - Tesco'!$B$2:$B$200,0)),"")</f>
        <v>0</v>
      </c>
      <c r="L75" s="20">
        <f>IFERROR(INDEX('Input - Tesco'!K$2:K$200,MATCH('Calculations - Tesco'!$C75,'Input - Tesco'!$B$2:$B$200,0)),"")</f>
        <v>0</v>
      </c>
      <c r="M75" s="21" t="str">
        <f t="shared" si="64"/>
        <v/>
      </c>
      <c r="N75" s="21" t="str">
        <f t="shared" si="48"/>
        <v/>
      </c>
      <c r="O75" s="21">
        <f t="shared" si="65"/>
        <v>0</v>
      </c>
      <c r="P75" s="9">
        <f t="shared" si="79"/>
        <v>0</v>
      </c>
      <c r="Q75" s="9">
        <f t="shared" si="80"/>
        <v>0</v>
      </c>
      <c r="R75" s="22" t="str">
        <f>IFERROR(INDEX(Tesco!$Q$11:$Q$165,MATCH('Calculations - Tesco'!$C75,Tesco!$M$11:$M$165,0)),"")</f>
        <v/>
      </c>
      <c r="S75" s="22" t="str">
        <f>IFERROR(INDEX(Tesco!$R$11:$R$165,MATCH('Calculations - Tesco'!$C75,Tesco!$M$11:$M$165,0)),"")</f>
        <v/>
      </c>
      <c r="T75" s="16" t="e">
        <f t="shared" si="51"/>
        <v>#VALUE!</v>
      </c>
      <c r="U75" s="16" t="e">
        <f t="shared" si="66"/>
        <v>#VALUE!</v>
      </c>
      <c r="V75" s="16" t="e">
        <f t="shared" si="67"/>
        <v>#VALUE!</v>
      </c>
      <c r="W75" s="10" t="str">
        <f t="shared" si="52"/>
        <v>-</v>
      </c>
      <c r="X75" s="10" t="str">
        <f t="shared" si="53"/>
        <v>-</v>
      </c>
      <c r="Y75" s="13" t="str">
        <f t="shared" si="68"/>
        <v>-</v>
      </c>
      <c r="Z75" s="9" t="str">
        <f t="shared" si="54"/>
        <v>-</v>
      </c>
      <c r="AA75" s="16" t="str">
        <f t="shared" si="69"/>
        <v>-</v>
      </c>
      <c r="AB75" s="16" t="str">
        <f t="shared" si="55"/>
        <v>-</v>
      </c>
      <c r="AC75" s="16" t="str">
        <f t="shared" si="56"/>
        <v>-</v>
      </c>
      <c r="AD75" s="16" t="str">
        <f t="shared" si="70"/>
        <v>-</v>
      </c>
      <c r="AE75" s="16"/>
      <c r="AF75" s="31" t="str">
        <f>IFERROR(INDEX(Tesco!$P$11:$P$165,MATCH('Calculations - Tesco'!C75,Tesco!$M$11:$M$165,0)),"")</f>
        <v/>
      </c>
      <c r="AG75" s="23" t="str">
        <f t="shared" si="71"/>
        <v/>
      </c>
      <c r="AH75" s="23" t="str">
        <f t="shared" si="71"/>
        <v/>
      </c>
      <c r="AI75" s="9" t="str">
        <f t="shared" si="57"/>
        <v/>
      </c>
      <c r="AJ75" s="4" t="str">
        <f t="shared" si="58"/>
        <v/>
      </c>
      <c r="AK75" s="4"/>
      <c r="AL75" s="4"/>
      <c r="AM75" s="4"/>
      <c r="AN75" s="4"/>
      <c r="AO75" s="4"/>
      <c r="AP75" s="20" t="str">
        <f t="shared" si="59"/>
        <v>-</v>
      </c>
      <c r="AQ75" s="13" t="str">
        <f t="shared" si="72"/>
        <v>-</v>
      </c>
      <c r="AR75" s="13" t="str">
        <f t="shared" si="73"/>
        <v>-</v>
      </c>
      <c r="AS75" s="13" t="str">
        <f t="shared" si="60"/>
        <v>-</v>
      </c>
      <c r="AT75" s="16" t="str">
        <f t="shared" si="74"/>
        <v>-</v>
      </c>
      <c r="AU75" s="16" t="str">
        <f t="shared" si="61"/>
        <v>-</v>
      </c>
      <c r="AV75" s="16" t="str">
        <f t="shared" si="62"/>
        <v>-</v>
      </c>
      <c r="AW75" s="16" t="str">
        <f t="shared" si="75"/>
        <v>-</v>
      </c>
      <c r="AX75" s="13" t="str">
        <f t="shared" si="76"/>
        <v>-</v>
      </c>
      <c r="AY75" s="10" t="str">
        <f t="shared" si="77"/>
        <v>-</v>
      </c>
      <c r="AZ75" s="9" t="str">
        <f t="shared" si="78"/>
        <v>-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2:68" x14ac:dyDescent="0.3">
      <c r="B76" s="108" t="str">
        <f t="shared" si="63"/>
        <v/>
      </c>
      <c r="C76" s="108" t="str">
        <f t="shared" si="47"/>
        <v/>
      </c>
      <c r="D76" s="3"/>
      <c r="E76" s="3"/>
      <c r="F76" s="3"/>
      <c r="G76" s="20">
        <f>IFERROR(INDEX('Input - Tesco'!F$2:F$200,MATCH('Calculations - Tesco'!$C76,'Input - Tesco'!$B$2:$B$200,0)),"")</f>
        <v>0</v>
      </c>
      <c r="H76" s="20">
        <f>IFERROR(INDEX('Input - Tesco'!G$2:G$200,MATCH('Calculations - Tesco'!$C76,'Input - Tesco'!$B$2:$B$200,0)),"")</f>
        <v>0</v>
      </c>
      <c r="I76" s="21">
        <f>IFERROR(INDEX('Input - Tesco'!H$2:H$200,MATCH('Calculations - Tesco'!$C76,'Input - Tesco'!$B$2:$B$200,0)),"")</f>
        <v>0</v>
      </c>
      <c r="J76" s="21">
        <f>IFERROR(INDEX('Input - Tesco'!I$2:I$200,MATCH('Calculations - Tesco'!$C76,'Input - Tesco'!$B$2:$B$200,0)),"")</f>
        <v>0</v>
      </c>
      <c r="K76" s="20">
        <f>IFERROR(INDEX('Input - Tesco'!J$2:J$200,MATCH('Calculations - Tesco'!$C76,'Input - Tesco'!$B$2:$B$200,0)),"")</f>
        <v>0</v>
      </c>
      <c r="L76" s="20">
        <f>IFERROR(INDEX('Input - Tesco'!K$2:K$200,MATCH('Calculations - Tesco'!$C76,'Input - Tesco'!$B$2:$B$200,0)),"")</f>
        <v>0</v>
      </c>
      <c r="M76" s="21" t="str">
        <f t="shared" si="64"/>
        <v/>
      </c>
      <c r="N76" s="21" t="str">
        <f t="shared" si="48"/>
        <v/>
      </c>
      <c r="O76" s="21">
        <f t="shared" si="65"/>
        <v>0</v>
      </c>
      <c r="P76" s="9">
        <f t="shared" si="79"/>
        <v>0</v>
      </c>
      <c r="Q76" s="9">
        <f t="shared" si="80"/>
        <v>0</v>
      </c>
      <c r="R76" s="22" t="str">
        <f>IFERROR(INDEX(Tesco!$Q$11:$Q$165,MATCH('Calculations - Tesco'!$C76,Tesco!$M$11:$M$165,0)),"")</f>
        <v/>
      </c>
      <c r="S76" s="22" t="str">
        <f>IFERROR(INDEX(Tesco!$R$11:$R$165,MATCH('Calculations - Tesco'!$C76,Tesco!$M$11:$M$165,0)),"")</f>
        <v/>
      </c>
      <c r="T76" s="16" t="e">
        <f t="shared" si="51"/>
        <v>#VALUE!</v>
      </c>
      <c r="U76" s="16" t="e">
        <f t="shared" si="66"/>
        <v>#VALUE!</v>
      </c>
      <c r="V76" s="16" t="e">
        <f t="shared" si="67"/>
        <v>#VALUE!</v>
      </c>
      <c r="W76" s="10" t="str">
        <f t="shared" si="52"/>
        <v>-</v>
      </c>
      <c r="X76" s="10" t="str">
        <f t="shared" si="53"/>
        <v>-</v>
      </c>
      <c r="Y76" s="13" t="str">
        <f t="shared" si="68"/>
        <v>-</v>
      </c>
      <c r="Z76" s="9" t="str">
        <f t="shared" si="54"/>
        <v>-</v>
      </c>
      <c r="AA76" s="16" t="str">
        <f t="shared" si="69"/>
        <v>-</v>
      </c>
      <c r="AB76" s="16" t="str">
        <f t="shared" si="55"/>
        <v>-</v>
      </c>
      <c r="AC76" s="16" t="str">
        <f t="shared" si="56"/>
        <v>-</v>
      </c>
      <c r="AD76" s="16" t="str">
        <f t="shared" si="70"/>
        <v>-</v>
      </c>
      <c r="AE76" s="16"/>
      <c r="AF76" s="31" t="str">
        <f>IFERROR(INDEX(Tesco!$P$11:$P$165,MATCH('Calculations - Tesco'!C76,Tesco!$M$11:$M$165,0)),"")</f>
        <v/>
      </c>
      <c r="AG76" s="23" t="str">
        <f t="shared" si="71"/>
        <v/>
      </c>
      <c r="AH76" s="23" t="str">
        <f t="shared" si="71"/>
        <v/>
      </c>
      <c r="AI76" s="9" t="str">
        <f t="shared" si="57"/>
        <v/>
      </c>
      <c r="AJ76" s="4" t="str">
        <f t="shared" si="58"/>
        <v/>
      </c>
      <c r="AK76" s="4"/>
      <c r="AL76" s="4"/>
      <c r="AM76" s="4"/>
      <c r="AN76" s="4"/>
      <c r="AO76" s="4"/>
      <c r="AP76" s="20" t="str">
        <f t="shared" si="59"/>
        <v>-</v>
      </c>
      <c r="AQ76" s="13" t="str">
        <f t="shared" si="72"/>
        <v>-</v>
      </c>
      <c r="AR76" s="13" t="str">
        <f t="shared" si="73"/>
        <v>-</v>
      </c>
      <c r="AS76" s="13" t="str">
        <f t="shared" si="60"/>
        <v>-</v>
      </c>
      <c r="AT76" s="16" t="str">
        <f t="shared" si="74"/>
        <v>-</v>
      </c>
      <c r="AU76" s="16" t="str">
        <f t="shared" si="61"/>
        <v>-</v>
      </c>
      <c r="AV76" s="16" t="str">
        <f t="shared" si="62"/>
        <v>-</v>
      </c>
      <c r="AW76" s="16" t="str">
        <f t="shared" si="75"/>
        <v>-</v>
      </c>
      <c r="AX76" s="13" t="str">
        <f t="shared" si="76"/>
        <v>-</v>
      </c>
      <c r="AY76" s="10" t="str">
        <f t="shared" si="77"/>
        <v>-</v>
      </c>
      <c r="AZ76" s="9" t="str">
        <f t="shared" si="78"/>
        <v>-</v>
      </c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2:68" x14ac:dyDescent="0.3">
      <c r="B77" s="108" t="str">
        <f t="shared" si="63"/>
        <v/>
      </c>
      <c r="C77" s="108" t="str">
        <f t="shared" si="47"/>
        <v/>
      </c>
      <c r="D77" s="3"/>
      <c r="E77" s="3"/>
      <c r="F77" s="3"/>
      <c r="G77" s="20">
        <f>IFERROR(INDEX('Input - Tesco'!F$2:F$200,MATCH('Calculations - Tesco'!$C77,'Input - Tesco'!$B$2:$B$200,0)),"")</f>
        <v>0</v>
      </c>
      <c r="H77" s="20">
        <f>IFERROR(INDEX('Input - Tesco'!G$2:G$200,MATCH('Calculations - Tesco'!$C77,'Input - Tesco'!$B$2:$B$200,0)),"")</f>
        <v>0</v>
      </c>
      <c r="I77" s="21">
        <f>IFERROR(INDEX('Input - Tesco'!H$2:H$200,MATCH('Calculations - Tesco'!$C77,'Input - Tesco'!$B$2:$B$200,0)),"")</f>
        <v>0</v>
      </c>
      <c r="J77" s="21">
        <f>IFERROR(INDEX('Input - Tesco'!I$2:I$200,MATCH('Calculations - Tesco'!$C77,'Input - Tesco'!$B$2:$B$200,0)),"")</f>
        <v>0</v>
      </c>
      <c r="K77" s="20">
        <f>IFERROR(INDEX('Input - Tesco'!J$2:J$200,MATCH('Calculations - Tesco'!$C77,'Input - Tesco'!$B$2:$B$200,0)),"")</f>
        <v>0</v>
      </c>
      <c r="L77" s="20">
        <f>IFERROR(INDEX('Input - Tesco'!K$2:K$200,MATCH('Calculations - Tesco'!$C77,'Input - Tesco'!$B$2:$B$200,0)),"")</f>
        <v>0</v>
      </c>
      <c r="M77" s="21" t="str">
        <f t="shared" si="64"/>
        <v/>
      </c>
      <c r="N77" s="21" t="str">
        <f t="shared" si="48"/>
        <v/>
      </c>
      <c r="O77" s="21">
        <f t="shared" si="65"/>
        <v>0</v>
      </c>
      <c r="P77" s="9">
        <f t="shared" si="79"/>
        <v>0</v>
      </c>
      <c r="Q77" s="9">
        <f t="shared" si="80"/>
        <v>0</v>
      </c>
      <c r="R77" s="22" t="str">
        <f>IFERROR(INDEX(Tesco!$Q$11:$Q$165,MATCH('Calculations - Tesco'!$C77,Tesco!$M$11:$M$165,0)),"")</f>
        <v/>
      </c>
      <c r="S77" s="22" t="str">
        <f>IFERROR(INDEX(Tesco!$R$11:$R$165,MATCH('Calculations - Tesco'!$C77,Tesco!$M$11:$M$165,0)),"")</f>
        <v/>
      </c>
      <c r="T77" s="16" t="e">
        <f t="shared" si="51"/>
        <v>#VALUE!</v>
      </c>
      <c r="U77" s="16" t="e">
        <f t="shared" si="66"/>
        <v>#VALUE!</v>
      </c>
      <c r="V77" s="16" t="e">
        <f t="shared" si="67"/>
        <v>#VALUE!</v>
      </c>
      <c r="W77" s="10" t="str">
        <f t="shared" si="52"/>
        <v>-</v>
      </c>
      <c r="X77" s="10" t="str">
        <f t="shared" si="53"/>
        <v>-</v>
      </c>
      <c r="Y77" s="13" t="str">
        <f t="shared" si="68"/>
        <v>-</v>
      </c>
      <c r="Z77" s="9" t="str">
        <f t="shared" si="54"/>
        <v>-</v>
      </c>
      <c r="AA77" s="16" t="str">
        <f t="shared" si="69"/>
        <v>-</v>
      </c>
      <c r="AB77" s="16" t="str">
        <f t="shared" si="55"/>
        <v>-</v>
      </c>
      <c r="AC77" s="16" t="str">
        <f t="shared" si="56"/>
        <v>-</v>
      </c>
      <c r="AD77" s="16" t="str">
        <f t="shared" si="70"/>
        <v>-</v>
      </c>
      <c r="AE77" s="16"/>
      <c r="AF77" s="31" t="str">
        <f>IFERROR(INDEX(Tesco!$P$11:$P$165,MATCH('Calculations - Tesco'!C77,Tesco!$M$11:$M$165,0)),"")</f>
        <v/>
      </c>
      <c r="AG77" s="23" t="str">
        <f t="shared" si="71"/>
        <v/>
      </c>
      <c r="AH77" s="23" t="str">
        <f t="shared" si="71"/>
        <v/>
      </c>
      <c r="AI77" s="9" t="str">
        <f t="shared" si="57"/>
        <v/>
      </c>
      <c r="AJ77" s="4" t="str">
        <f t="shared" si="58"/>
        <v/>
      </c>
      <c r="AK77" s="4"/>
      <c r="AL77" s="4"/>
      <c r="AM77" s="4"/>
      <c r="AN77" s="4"/>
      <c r="AO77" s="4"/>
      <c r="AP77" s="20" t="str">
        <f t="shared" si="59"/>
        <v>-</v>
      </c>
      <c r="AQ77" s="13" t="str">
        <f t="shared" si="72"/>
        <v>-</v>
      </c>
      <c r="AR77" s="13" t="str">
        <f t="shared" si="73"/>
        <v>-</v>
      </c>
      <c r="AS77" s="13" t="str">
        <f t="shared" si="60"/>
        <v>-</v>
      </c>
      <c r="AT77" s="16" t="str">
        <f t="shared" si="74"/>
        <v>-</v>
      </c>
      <c r="AU77" s="16" t="str">
        <f t="shared" si="61"/>
        <v>-</v>
      </c>
      <c r="AV77" s="16" t="str">
        <f t="shared" si="62"/>
        <v>-</v>
      </c>
      <c r="AW77" s="16" t="str">
        <f t="shared" si="75"/>
        <v>-</v>
      </c>
      <c r="AX77" s="13" t="str">
        <f t="shared" si="76"/>
        <v>-</v>
      </c>
      <c r="AY77" s="10" t="str">
        <f t="shared" si="77"/>
        <v>-</v>
      </c>
      <c r="AZ77" s="9" t="str">
        <f t="shared" si="78"/>
        <v>-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2:68" x14ac:dyDescent="0.3">
      <c r="B78" s="108" t="str">
        <f t="shared" si="63"/>
        <v/>
      </c>
      <c r="C78" s="108" t="str">
        <f t="shared" si="47"/>
        <v/>
      </c>
      <c r="D78" s="3"/>
      <c r="E78" s="3"/>
      <c r="F78" s="3"/>
      <c r="G78" s="20">
        <f>IFERROR(INDEX('Input - Tesco'!F$2:F$200,MATCH('Calculations - Tesco'!$C78,'Input - Tesco'!$B$2:$B$200,0)),"")</f>
        <v>0</v>
      </c>
      <c r="H78" s="20">
        <f>IFERROR(INDEX('Input - Tesco'!G$2:G$200,MATCH('Calculations - Tesco'!$C78,'Input - Tesco'!$B$2:$B$200,0)),"")</f>
        <v>0</v>
      </c>
      <c r="I78" s="21">
        <f>IFERROR(INDEX('Input - Tesco'!H$2:H$200,MATCH('Calculations - Tesco'!$C78,'Input - Tesco'!$B$2:$B$200,0)),"")</f>
        <v>0</v>
      </c>
      <c r="J78" s="21">
        <f>IFERROR(INDEX('Input - Tesco'!I$2:I$200,MATCH('Calculations - Tesco'!$C78,'Input - Tesco'!$B$2:$B$200,0)),"")</f>
        <v>0</v>
      </c>
      <c r="K78" s="20">
        <f>IFERROR(INDEX('Input - Tesco'!J$2:J$200,MATCH('Calculations - Tesco'!$C78,'Input - Tesco'!$B$2:$B$200,0)),"")</f>
        <v>0</v>
      </c>
      <c r="L78" s="20">
        <f>IFERROR(INDEX('Input - Tesco'!K$2:K$200,MATCH('Calculations - Tesco'!$C78,'Input - Tesco'!$B$2:$B$200,0)),"")</f>
        <v>0</v>
      </c>
      <c r="M78" s="21" t="str">
        <f t="shared" si="64"/>
        <v/>
      </c>
      <c r="N78" s="21" t="str">
        <f t="shared" si="48"/>
        <v/>
      </c>
      <c r="O78" s="21">
        <f t="shared" si="65"/>
        <v>0</v>
      </c>
      <c r="P78" s="9">
        <f t="shared" si="79"/>
        <v>0</v>
      </c>
      <c r="Q78" s="9">
        <f t="shared" si="80"/>
        <v>0</v>
      </c>
      <c r="R78" s="22" t="str">
        <f>IFERROR(INDEX(Tesco!$Q$11:$Q$165,MATCH('Calculations - Tesco'!$C78,Tesco!$M$11:$M$165,0)),"")</f>
        <v/>
      </c>
      <c r="S78" s="22" t="str">
        <f>IFERROR(INDEX(Tesco!$R$11:$R$165,MATCH('Calculations - Tesco'!$C78,Tesco!$M$11:$M$165,0)),"")</f>
        <v/>
      </c>
      <c r="T78" s="16" t="e">
        <f t="shared" si="51"/>
        <v>#VALUE!</v>
      </c>
      <c r="U78" s="16" t="e">
        <f t="shared" si="66"/>
        <v>#VALUE!</v>
      </c>
      <c r="V78" s="16" t="e">
        <f t="shared" si="67"/>
        <v>#VALUE!</v>
      </c>
      <c r="W78" s="10" t="str">
        <f t="shared" si="52"/>
        <v>-</v>
      </c>
      <c r="X78" s="10" t="str">
        <f t="shared" si="53"/>
        <v>-</v>
      </c>
      <c r="Y78" s="13" t="str">
        <f t="shared" si="68"/>
        <v>-</v>
      </c>
      <c r="Z78" s="9" t="str">
        <f t="shared" si="54"/>
        <v>-</v>
      </c>
      <c r="AA78" s="16" t="str">
        <f t="shared" si="69"/>
        <v>-</v>
      </c>
      <c r="AB78" s="16" t="str">
        <f t="shared" si="55"/>
        <v>-</v>
      </c>
      <c r="AC78" s="16" t="str">
        <f t="shared" si="56"/>
        <v>-</v>
      </c>
      <c r="AD78" s="16" t="str">
        <f t="shared" si="70"/>
        <v>-</v>
      </c>
      <c r="AE78" s="16"/>
      <c r="AF78" s="31" t="str">
        <f>IFERROR(INDEX(Tesco!$P$11:$P$165,MATCH('Calculations - Tesco'!C78,Tesco!$M$11:$M$165,0)),"")</f>
        <v/>
      </c>
      <c r="AG78" s="23" t="str">
        <f t="shared" si="71"/>
        <v/>
      </c>
      <c r="AH78" s="23" t="str">
        <f t="shared" si="71"/>
        <v/>
      </c>
      <c r="AI78" s="9" t="str">
        <f t="shared" si="57"/>
        <v/>
      </c>
      <c r="AJ78" s="4" t="str">
        <f t="shared" si="58"/>
        <v/>
      </c>
      <c r="AK78" s="4"/>
      <c r="AL78" s="4"/>
      <c r="AM78" s="4"/>
      <c r="AN78" s="4"/>
      <c r="AO78" s="4"/>
      <c r="AP78" s="20" t="str">
        <f t="shared" si="59"/>
        <v>-</v>
      </c>
      <c r="AQ78" s="13" t="str">
        <f t="shared" si="72"/>
        <v>-</v>
      </c>
      <c r="AR78" s="13" t="str">
        <f t="shared" si="73"/>
        <v>-</v>
      </c>
      <c r="AS78" s="13" t="str">
        <f t="shared" si="60"/>
        <v>-</v>
      </c>
      <c r="AT78" s="16" t="str">
        <f t="shared" si="74"/>
        <v>-</v>
      </c>
      <c r="AU78" s="16" t="str">
        <f t="shared" si="61"/>
        <v>-</v>
      </c>
      <c r="AV78" s="16" t="str">
        <f t="shared" si="62"/>
        <v>-</v>
      </c>
      <c r="AW78" s="16" t="str">
        <f t="shared" si="75"/>
        <v>-</v>
      </c>
      <c r="AX78" s="13" t="str">
        <f t="shared" si="76"/>
        <v>-</v>
      </c>
      <c r="AY78" s="10" t="str">
        <f t="shared" si="77"/>
        <v>-</v>
      </c>
      <c r="AZ78" s="9" t="str">
        <f t="shared" si="78"/>
        <v>-</v>
      </c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2:68" x14ac:dyDescent="0.3">
      <c r="B79" s="108" t="str">
        <f t="shared" si="63"/>
        <v/>
      </c>
      <c r="C79" s="108" t="str">
        <f t="shared" si="47"/>
        <v/>
      </c>
      <c r="D79" s="3"/>
      <c r="E79" s="3"/>
      <c r="F79" s="3"/>
      <c r="G79" s="20">
        <f>IFERROR(INDEX('Input - Tesco'!F$2:F$200,MATCH('Calculations - Tesco'!$C79,'Input - Tesco'!$B$2:$B$200,0)),"")</f>
        <v>0</v>
      </c>
      <c r="H79" s="20">
        <f>IFERROR(INDEX('Input - Tesco'!G$2:G$200,MATCH('Calculations - Tesco'!$C79,'Input - Tesco'!$B$2:$B$200,0)),"")</f>
        <v>0</v>
      </c>
      <c r="I79" s="21">
        <f>IFERROR(INDEX('Input - Tesco'!H$2:H$200,MATCH('Calculations - Tesco'!$C79,'Input - Tesco'!$B$2:$B$200,0)),"")</f>
        <v>0</v>
      </c>
      <c r="J79" s="21">
        <f>IFERROR(INDEX('Input - Tesco'!I$2:I$200,MATCH('Calculations - Tesco'!$C79,'Input - Tesco'!$B$2:$B$200,0)),"")</f>
        <v>0</v>
      </c>
      <c r="K79" s="20">
        <f>IFERROR(INDEX('Input - Tesco'!J$2:J$200,MATCH('Calculations - Tesco'!$C79,'Input - Tesco'!$B$2:$B$200,0)),"")</f>
        <v>0</v>
      </c>
      <c r="L79" s="20">
        <f>IFERROR(INDEX('Input - Tesco'!K$2:K$200,MATCH('Calculations - Tesco'!$C79,'Input - Tesco'!$B$2:$B$200,0)),"")</f>
        <v>0</v>
      </c>
      <c r="M79" s="21" t="str">
        <f t="shared" si="64"/>
        <v/>
      </c>
      <c r="N79" s="21" t="str">
        <f t="shared" si="48"/>
        <v/>
      </c>
      <c r="O79" s="21">
        <f t="shared" si="65"/>
        <v>0</v>
      </c>
      <c r="P79" s="9">
        <f t="shared" si="79"/>
        <v>0</v>
      </c>
      <c r="Q79" s="9">
        <f t="shared" si="80"/>
        <v>0</v>
      </c>
      <c r="R79" s="22" t="str">
        <f>IFERROR(INDEX(Tesco!$Q$11:$Q$165,MATCH('Calculations - Tesco'!$C79,Tesco!$M$11:$M$165,0)),"")</f>
        <v/>
      </c>
      <c r="S79" s="22" t="str">
        <f>IFERROR(INDEX(Tesco!$R$11:$R$165,MATCH('Calculations - Tesco'!$C79,Tesco!$M$11:$M$165,0)),"")</f>
        <v/>
      </c>
      <c r="T79" s="16" t="e">
        <f t="shared" si="51"/>
        <v>#VALUE!</v>
      </c>
      <c r="U79" s="16" t="e">
        <f t="shared" si="66"/>
        <v>#VALUE!</v>
      </c>
      <c r="V79" s="16" t="e">
        <f t="shared" si="67"/>
        <v>#VALUE!</v>
      </c>
      <c r="W79" s="10" t="str">
        <f t="shared" si="52"/>
        <v>-</v>
      </c>
      <c r="X79" s="10" t="str">
        <f t="shared" si="53"/>
        <v>-</v>
      </c>
      <c r="Y79" s="13" t="str">
        <f t="shared" si="68"/>
        <v>-</v>
      </c>
      <c r="Z79" s="9" t="str">
        <f t="shared" si="54"/>
        <v>-</v>
      </c>
      <c r="AA79" s="16" t="str">
        <f t="shared" si="69"/>
        <v>-</v>
      </c>
      <c r="AB79" s="16" t="str">
        <f t="shared" si="55"/>
        <v>-</v>
      </c>
      <c r="AC79" s="16" t="str">
        <f t="shared" si="56"/>
        <v>-</v>
      </c>
      <c r="AD79" s="16" t="str">
        <f t="shared" si="70"/>
        <v>-</v>
      </c>
      <c r="AE79" s="16"/>
      <c r="AF79" s="31" t="str">
        <f>IFERROR(INDEX(Tesco!$P$11:$P$165,MATCH('Calculations - Tesco'!C79,Tesco!$M$11:$M$165,0)),"")</f>
        <v/>
      </c>
      <c r="AG79" s="23" t="str">
        <f t="shared" si="71"/>
        <v/>
      </c>
      <c r="AH79" s="23" t="str">
        <f t="shared" si="71"/>
        <v/>
      </c>
      <c r="AI79" s="9" t="str">
        <f t="shared" si="57"/>
        <v/>
      </c>
      <c r="AJ79" s="4" t="str">
        <f t="shared" si="58"/>
        <v/>
      </c>
      <c r="AK79" s="4"/>
      <c r="AL79" s="4"/>
      <c r="AM79" s="4"/>
      <c r="AN79" s="4"/>
      <c r="AO79" s="4"/>
      <c r="AP79" s="20" t="str">
        <f t="shared" si="59"/>
        <v>-</v>
      </c>
      <c r="AQ79" s="13" t="str">
        <f t="shared" si="72"/>
        <v>-</v>
      </c>
      <c r="AR79" s="13" t="str">
        <f t="shared" si="73"/>
        <v>-</v>
      </c>
      <c r="AS79" s="13" t="str">
        <f t="shared" si="60"/>
        <v>-</v>
      </c>
      <c r="AT79" s="16" t="str">
        <f t="shared" si="74"/>
        <v>-</v>
      </c>
      <c r="AU79" s="16" t="str">
        <f t="shared" si="61"/>
        <v>-</v>
      </c>
      <c r="AV79" s="16" t="str">
        <f t="shared" si="62"/>
        <v>-</v>
      </c>
      <c r="AW79" s="16" t="str">
        <f t="shared" si="75"/>
        <v>-</v>
      </c>
      <c r="AX79" s="13" t="str">
        <f t="shared" si="76"/>
        <v>-</v>
      </c>
      <c r="AY79" s="10" t="str">
        <f t="shared" si="77"/>
        <v>-</v>
      </c>
      <c r="AZ79" s="9" t="str">
        <f t="shared" si="78"/>
        <v>-</v>
      </c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</row>
    <row r="80" spans="2:68" x14ac:dyDescent="0.3">
      <c r="B80" s="108" t="str">
        <f t="shared" si="63"/>
        <v/>
      </c>
      <c r="C80" s="108" t="str">
        <f t="shared" si="47"/>
        <v/>
      </c>
      <c r="D80" s="3"/>
      <c r="E80" s="3"/>
      <c r="F80" s="3"/>
      <c r="G80" s="20">
        <f>IFERROR(INDEX('Input - Tesco'!F$2:F$200,MATCH('Calculations - Tesco'!$C80,'Input - Tesco'!$B$2:$B$200,0)),"")</f>
        <v>0</v>
      </c>
      <c r="H80" s="20">
        <f>IFERROR(INDEX('Input - Tesco'!G$2:G$200,MATCH('Calculations - Tesco'!$C80,'Input - Tesco'!$B$2:$B$200,0)),"")</f>
        <v>0</v>
      </c>
      <c r="I80" s="21">
        <f>IFERROR(INDEX('Input - Tesco'!H$2:H$200,MATCH('Calculations - Tesco'!$C80,'Input - Tesco'!$B$2:$B$200,0)),"")</f>
        <v>0</v>
      </c>
      <c r="J80" s="21">
        <f>IFERROR(INDEX('Input - Tesco'!I$2:I$200,MATCH('Calculations - Tesco'!$C80,'Input - Tesco'!$B$2:$B$200,0)),"")</f>
        <v>0</v>
      </c>
      <c r="K80" s="20">
        <f>IFERROR(INDEX('Input - Tesco'!J$2:J$200,MATCH('Calculations - Tesco'!$C80,'Input - Tesco'!$B$2:$B$200,0)),"")</f>
        <v>0</v>
      </c>
      <c r="L80" s="20">
        <f>IFERROR(INDEX('Input - Tesco'!K$2:K$200,MATCH('Calculations - Tesco'!$C80,'Input - Tesco'!$B$2:$B$200,0)),"")</f>
        <v>0</v>
      </c>
      <c r="M80" s="21" t="str">
        <f t="shared" si="64"/>
        <v/>
      </c>
      <c r="N80" s="21" t="str">
        <f t="shared" si="48"/>
        <v/>
      </c>
      <c r="O80" s="21">
        <f t="shared" si="65"/>
        <v>0</v>
      </c>
      <c r="P80" s="9">
        <f t="shared" si="79"/>
        <v>0</v>
      </c>
      <c r="Q80" s="9">
        <f t="shared" si="80"/>
        <v>0</v>
      </c>
      <c r="R80" s="22" t="str">
        <f>IFERROR(INDEX(Tesco!$Q$11:$Q$165,MATCH('Calculations - Tesco'!$C80,Tesco!$M$11:$M$165,0)),"")</f>
        <v/>
      </c>
      <c r="S80" s="22" t="str">
        <f>IFERROR(INDEX(Tesco!$R$11:$R$165,MATCH('Calculations - Tesco'!$C80,Tesco!$M$11:$M$165,0)),"")</f>
        <v/>
      </c>
      <c r="T80" s="16" t="e">
        <f t="shared" si="51"/>
        <v>#VALUE!</v>
      </c>
      <c r="U80" s="16" t="e">
        <f t="shared" si="66"/>
        <v>#VALUE!</v>
      </c>
      <c r="V80" s="16" t="e">
        <f t="shared" si="67"/>
        <v>#VALUE!</v>
      </c>
      <c r="W80" s="10" t="str">
        <f t="shared" si="52"/>
        <v>-</v>
      </c>
      <c r="X80" s="10" t="str">
        <f t="shared" si="53"/>
        <v>-</v>
      </c>
      <c r="Y80" s="13" t="str">
        <f t="shared" si="68"/>
        <v>-</v>
      </c>
      <c r="Z80" s="9" t="str">
        <f t="shared" si="54"/>
        <v>-</v>
      </c>
      <c r="AA80" s="16" t="str">
        <f t="shared" si="69"/>
        <v>-</v>
      </c>
      <c r="AB80" s="16" t="str">
        <f t="shared" si="55"/>
        <v>-</v>
      </c>
      <c r="AC80" s="16" t="str">
        <f t="shared" si="56"/>
        <v>-</v>
      </c>
      <c r="AD80" s="16" t="str">
        <f t="shared" si="70"/>
        <v>-</v>
      </c>
      <c r="AE80" s="16"/>
      <c r="AF80" s="31" t="str">
        <f>IFERROR(INDEX(Tesco!$P$11:$P$165,MATCH('Calculations - Tesco'!C80,Tesco!$M$11:$M$165,0)),"")</f>
        <v/>
      </c>
      <c r="AG80" s="23" t="str">
        <f t="shared" si="71"/>
        <v/>
      </c>
      <c r="AH80" s="23" t="str">
        <f t="shared" si="71"/>
        <v/>
      </c>
      <c r="AI80" s="9" t="str">
        <f t="shared" si="57"/>
        <v/>
      </c>
      <c r="AJ80" s="4" t="str">
        <f t="shared" si="58"/>
        <v/>
      </c>
      <c r="AK80" s="4"/>
      <c r="AL80" s="4"/>
      <c r="AM80" s="4"/>
      <c r="AN80" s="4"/>
      <c r="AO80" s="4"/>
      <c r="AP80" s="20" t="str">
        <f t="shared" si="59"/>
        <v>-</v>
      </c>
      <c r="AQ80" s="13" t="str">
        <f t="shared" si="72"/>
        <v>-</v>
      </c>
      <c r="AR80" s="13" t="str">
        <f t="shared" si="73"/>
        <v>-</v>
      </c>
      <c r="AS80" s="13" t="str">
        <f t="shared" si="60"/>
        <v>-</v>
      </c>
      <c r="AT80" s="16" t="str">
        <f t="shared" si="74"/>
        <v>-</v>
      </c>
      <c r="AU80" s="16" t="str">
        <f t="shared" si="61"/>
        <v>-</v>
      </c>
      <c r="AV80" s="16" t="str">
        <f t="shared" si="62"/>
        <v>-</v>
      </c>
      <c r="AW80" s="16" t="str">
        <f t="shared" si="75"/>
        <v>-</v>
      </c>
      <c r="AX80" s="13" t="str">
        <f t="shared" si="76"/>
        <v>-</v>
      </c>
      <c r="AY80" s="10" t="str">
        <f t="shared" si="77"/>
        <v>-</v>
      </c>
      <c r="AZ80" s="9" t="str">
        <f t="shared" si="78"/>
        <v>-</v>
      </c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</row>
    <row r="81" spans="2:68" x14ac:dyDescent="0.3">
      <c r="B81" s="108" t="str">
        <f t="shared" si="63"/>
        <v/>
      </c>
      <c r="C81" s="108" t="str">
        <f t="shared" si="47"/>
        <v/>
      </c>
      <c r="D81" s="3"/>
      <c r="E81" s="3"/>
      <c r="F81" s="3"/>
      <c r="G81" s="20">
        <f>IFERROR(INDEX('Input - Tesco'!F$2:F$200,MATCH('Calculations - Tesco'!$C81,'Input - Tesco'!$B$2:$B$200,0)),"")</f>
        <v>0</v>
      </c>
      <c r="H81" s="20">
        <f>IFERROR(INDEX('Input - Tesco'!G$2:G$200,MATCH('Calculations - Tesco'!$C81,'Input - Tesco'!$B$2:$B$200,0)),"")</f>
        <v>0</v>
      </c>
      <c r="I81" s="21">
        <f>IFERROR(INDEX('Input - Tesco'!H$2:H$200,MATCH('Calculations - Tesco'!$C81,'Input - Tesco'!$B$2:$B$200,0)),"")</f>
        <v>0</v>
      </c>
      <c r="J81" s="21">
        <f>IFERROR(INDEX('Input - Tesco'!I$2:I$200,MATCH('Calculations - Tesco'!$C81,'Input - Tesco'!$B$2:$B$200,0)),"")</f>
        <v>0</v>
      </c>
      <c r="K81" s="20">
        <f>IFERROR(INDEX('Input - Tesco'!J$2:J$200,MATCH('Calculations - Tesco'!$C81,'Input - Tesco'!$B$2:$B$200,0)),"")</f>
        <v>0</v>
      </c>
      <c r="L81" s="20">
        <f>IFERROR(INDEX('Input - Tesco'!K$2:K$200,MATCH('Calculations - Tesco'!$C81,'Input - Tesco'!$B$2:$B$200,0)),"")</f>
        <v>0</v>
      </c>
      <c r="M81" s="21" t="str">
        <f t="shared" si="64"/>
        <v/>
      </c>
      <c r="N81" s="21" t="str">
        <f t="shared" si="48"/>
        <v/>
      </c>
      <c r="O81" s="21">
        <f t="shared" si="65"/>
        <v>0</v>
      </c>
      <c r="P81" s="9">
        <f t="shared" si="79"/>
        <v>0</v>
      </c>
      <c r="Q81" s="9">
        <f t="shared" si="80"/>
        <v>0</v>
      </c>
      <c r="R81" s="22" t="str">
        <f>IFERROR(INDEX(Tesco!$Q$11:$Q$165,MATCH('Calculations - Tesco'!$C81,Tesco!$M$11:$M$165,0)),"")</f>
        <v/>
      </c>
      <c r="S81" s="22" t="str">
        <f>IFERROR(INDEX(Tesco!$R$11:$R$165,MATCH('Calculations - Tesco'!$C81,Tesco!$M$11:$M$165,0)),"")</f>
        <v/>
      </c>
      <c r="T81" s="16" t="e">
        <f t="shared" si="51"/>
        <v>#VALUE!</v>
      </c>
      <c r="U81" s="16" t="e">
        <f t="shared" si="66"/>
        <v>#VALUE!</v>
      </c>
      <c r="V81" s="16" t="e">
        <f t="shared" si="67"/>
        <v>#VALUE!</v>
      </c>
      <c r="W81" s="10" t="str">
        <f t="shared" si="52"/>
        <v>-</v>
      </c>
      <c r="X81" s="10" t="str">
        <f t="shared" si="53"/>
        <v>-</v>
      </c>
      <c r="Y81" s="13" t="str">
        <f t="shared" si="68"/>
        <v>-</v>
      </c>
      <c r="Z81" s="9" t="str">
        <f t="shared" si="54"/>
        <v>-</v>
      </c>
      <c r="AA81" s="16" t="str">
        <f t="shared" si="69"/>
        <v>-</v>
      </c>
      <c r="AB81" s="16" t="str">
        <f t="shared" si="55"/>
        <v>-</v>
      </c>
      <c r="AC81" s="16" t="str">
        <f t="shared" si="56"/>
        <v>-</v>
      </c>
      <c r="AD81" s="16" t="str">
        <f t="shared" si="70"/>
        <v>-</v>
      </c>
      <c r="AE81" s="16"/>
      <c r="AF81" s="31" t="str">
        <f>IFERROR(INDEX(Tesco!$P$11:$P$165,MATCH('Calculations - Tesco'!C81,Tesco!$M$11:$M$165,0)),"")</f>
        <v/>
      </c>
      <c r="AG81" s="23" t="str">
        <f t="shared" si="71"/>
        <v/>
      </c>
      <c r="AH81" s="23" t="str">
        <f t="shared" si="71"/>
        <v/>
      </c>
      <c r="AI81" s="9" t="str">
        <f t="shared" si="57"/>
        <v/>
      </c>
      <c r="AJ81" s="4" t="str">
        <f t="shared" si="58"/>
        <v/>
      </c>
      <c r="AK81" s="4"/>
      <c r="AL81" s="4"/>
      <c r="AM81" s="4"/>
      <c r="AN81" s="4"/>
      <c r="AO81" s="4"/>
      <c r="AP81" s="20" t="str">
        <f t="shared" si="59"/>
        <v>-</v>
      </c>
      <c r="AQ81" s="13" t="str">
        <f t="shared" si="72"/>
        <v>-</v>
      </c>
      <c r="AR81" s="13" t="str">
        <f t="shared" si="73"/>
        <v>-</v>
      </c>
      <c r="AS81" s="13" t="str">
        <f t="shared" si="60"/>
        <v>-</v>
      </c>
      <c r="AT81" s="16" t="str">
        <f t="shared" si="74"/>
        <v>-</v>
      </c>
      <c r="AU81" s="16" t="str">
        <f t="shared" si="61"/>
        <v>-</v>
      </c>
      <c r="AV81" s="16" t="str">
        <f t="shared" si="62"/>
        <v>-</v>
      </c>
      <c r="AW81" s="16" t="str">
        <f t="shared" si="75"/>
        <v>-</v>
      </c>
      <c r="AX81" s="13" t="str">
        <f t="shared" si="76"/>
        <v>-</v>
      </c>
      <c r="AY81" s="10" t="str">
        <f t="shared" si="77"/>
        <v>-</v>
      </c>
      <c r="AZ81" s="9" t="str">
        <f t="shared" si="78"/>
        <v>-</v>
      </c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2:68" x14ac:dyDescent="0.3">
      <c r="B82" s="108" t="str">
        <f t="shared" si="63"/>
        <v/>
      </c>
      <c r="C82" s="108" t="str">
        <f t="shared" si="47"/>
        <v/>
      </c>
      <c r="D82" s="3"/>
      <c r="E82" s="3"/>
      <c r="F82" s="3"/>
      <c r="G82" s="20">
        <f>IFERROR(INDEX('Input - Tesco'!F$2:F$200,MATCH('Calculations - Tesco'!$C82,'Input - Tesco'!$B$2:$B$200,0)),"")</f>
        <v>0</v>
      </c>
      <c r="H82" s="20">
        <f>IFERROR(INDEX('Input - Tesco'!G$2:G$200,MATCH('Calculations - Tesco'!$C82,'Input - Tesco'!$B$2:$B$200,0)),"")</f>
        <v>0</v>
      </c>
      <c r="I82" s="21">
        <f>IFERROR(INDEX('Input - Tesco'!H$2:H$200,MATCH('Calculations - Tesco'!$C82,'Input - Tesco'!$B$2:$B$200,0)),"")</f>
        <v>0</v>
      </c>
      <c r="J82" s="21">
        <f>IFERROR(INDEX('Input - Tesco'!I$2:I$200,MATCH('Calculations - Tesco'!$C82,'Input - Tesco'!$B$2:$B$200,0)),"")</f>
        <v>0</v>
      </c>
      <c r="K82" s="20">
        <f>IFERROR(INDEX('Input - Tesco'!J$2:J$200,MATCH('Calculations - Tesco'!$C82,'Input - Tesco'!$B$2:$B$200,0)),"")</f>
        <v>0</v>
      </c>
      <c r="L82" s="20">
        <f>IFERROR(INDEX('Input - Tesco'!K$2:K$200,MATCH('Calculations - Tesco'!$C82,'Input - Tesco'!$B$2:$B$200,0)),"")</f>
        <v>0</v>
      </c>
      <c r="M82" s="21" t="str">
        <f t="shared" si="64"/>
        <v/>
      </c>
      <c r="N82" s="21" t="str">
        <f t="shared" si="48"/>
        <v/>
      </c>
      <c r="O82" s="21">
        <f t="shared" si="65"/>
        <v>0</v>
      </c>
      <c r="P82" s="9">
        <f t="shared" si="79"/>
        <v>0</v>
      </c>
      <c r="Q82" s="9">
        <f t="shared" si="80"/>
        <v>0</v>
      </c>
      <c r="R82" s="22" t="str">
        <f>IFERROR(INDEX(Tesco!$Q$11:$Q$165,MATCH('Calculations - Tesco'!$C82,Tesco!$M$11:$M$165,0)),"")</f>
        <v/>
      </c>
      <c r="S82" s="22" t="str">
        <f>IFERROR(INDEX(Tesco!$R$11:$R$165,MATCH('Calculations - Tesco'!$C82,Tesco!$M$11:$M$165,0)),"")</f>
        <v/>
      </c>
      <c r="T82" s="16" t="e">
        <f t="shared" si="51"/>
        <v>#VALUE!</v>
      </c>
      <c r="U82" s="16" t="e">
        <f t="shared" si="66"/>
        <v>#VALUE!</v>
      </c>
      <c r="V82" s="16" t="e">
        <f t="shared" si="67"/>
        <v>#VALUE!</v>
      </c>
      <c r="W82" s="10" t="str">
        <f t="shared" si="52"/>
        <v>-</v>
      </c>
      <c r="X82" s="10" t="str">
        <f t="shared" si="53"/>
        <v>-</v>
      </c>
      <c r="Y82" s="13" t="str">
        <f t="shared" si="68"/>
        <v>-</v>
      </c>
      <c r="Z82" s="9" t="str">
        <f t="shared" si="54"/>
        <v>-</v>
      </c>
      <c r="AA82" s="16" t="str">
        <f t="shared" si="69"/>
        <v>-</v>
      </c>
      <c r="AB82" s="16" t="str">
        <f t="shared" si="55"/>
        <v>-</v>
      </c>
      <c r="AC82" s="16" t="str">
        <f t="shared" si="56"/>
        <v>-</v>
      </c>
      <c r="AD82" s="16" t="str">
        <f t="shared" si="70"/>
        <v>-</v>
      </c>
      <c r="AE82" s="16"/>
      <c r="AF82" s="31" t="str">
        <f>IFERROR(INDEX(Tesco!$P$11:$P$165,MATCH('Calculations - Tesco'!C82,Tesco!$M$11:$M$165,0)),"")</f>
        <v/>
      </c>
      <c r="AG82" s="23" t="str">
        <f t="shared" si="71"/>
        <v/>
      </c>
      <c r="AH82" s="23" t="str">
        <f t="shared" si="71"/>
        <v/>
      </c>
      <c r="AI82" s="9" t="str">
        <f t="shared" si="57"/>
        <v/>
      </c>
      <c r="AJ82" s="4" t="str">
        <f t="shared" si="58"/>
        <v/>
      </c>
      <c r="AK82" s="4"/>
      <c r="AL82" s="4"/>
      <c r="AM82" s="4"/>
      <c r="AN82" s="4"/>
      <c r="AO82" s="4"/>
      <c r="AP82" s="20" t="str">
        <f t="shared" si="59"/>
        <v>-</v>
      </c>
      <c r="AQ82" s="13" t="str">
        <f t="shared" si="72"/>
        <v>-</v>
      </c>
      <c r="AR82" s="13" t="str">
        <f t="shared" si="73"/>
        <v>-</v>
      </c>
      <c r="AS82" s="13" t="str">
        <f t="shared" si="60"/>
        <v>-</v>
      </c>
      <c r="AT82" s="16" t="str">
        <f t="shared" si="74"/>
        <v>-</v>
      </c>
      <c r="AU82" s="16" t="str">
        <f t="shared" si="61"/>
        <v>-</v>
      </c>
      <c r="AV82" s="16" t="str">
        <f t="shared" si="62"/>
        <v>-</v>
      </c>
      <c r="AW82" s="16" t="str">
        <f t="shared" si="75"/>
        <v>-</v>
      </c>
      <c r="AX82" s="13" t="str">
        <f t="shared" si="76"/>
        <v>-</v>
      </c>
      <c r="AY82" s="10" t="str">
        <f t="shared" si="77"/>
        <v>-</v>
      </c>
      <c r="AZ82" s="9" t="str">
        <f t="shared" si="78"/>
        <v>-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</row>
    <row r="83" spans="2:68" x14ac:dyDescent="0.3">
      <c r="B83" s="108" t="str">
        <f t="shared" si="63"/>
        <v/>
      </c>
      <c r="C83" s="108" t="str">
        <f t="shared" si="47"/>
        <v/>
      </c>
      <c r="D83" s="3"/>
      <c r="E83" s="3"/>
      <c r="F83" s="3"/>
      <c r="G83" s="20">
        <f>IFERROR(INDEX('Input - Tesco'!F$2:F$200,MATCH('Calculations - Tesco'!$C83,'Input - Tesco'!$B$2:$B$200,0)),"")</f>
        <v>0</v>
      </c>
      <c r="H83" s="20">
        <f>IFERROR(INDEX('Input - Tesco'!G$2:G$200,MATCH('Calculations - Tesco'!$C83,'Input - Tesco'!$B$2:$B$200,0)),"")</f>
        <v>0</v>
      </c>
      <c r="I83" s="21">
        <f>IFERROR(INDEX('Input - Tesco'!H$2:H$200,MATCH('Calculations - Tesco'!$C83,'Input - Tesco'!$B$2:$B$200,0)),"")</f>
        <v>0</v>
      </c>
      <c r="J83" s="21">
        <f>IFERROR(INDEX('Input - Tesco'!I$2:I$200,MATCH('Calculations - Tesco'!$C83,'Input - Tesco'!$B$2:$B$200,0)),"")</f>
        <v>0</v>
      </c>
      <c r="K83" s="20">
        <f>IFERROR(INDEX('Input - Tesco'!J$2:J$200,MATCH('Calculations - Tesco'!$C83,'Input - Tesco'!$B$2:$B$200,0)),"")</f>
        <v>0</v>
      </c>
      <c r="L83" s="20">
        <f>IFERROR(INDEX('Input - Tesco'!K$2:K$200,MATCH('Calculations - Tesco'!$C83,'Input - Tesco'!$B$2:$B$200,0)),"")</f>
        <v>0</v>
      </c>
      <c r="M83" s="21" t="str">
        <f t="shared" si="64"/>
        <v/>
      </c>
      <c r="N83" s="21" t="str">
        <f t="shared" si="48"/>
        <v/>
      </c>
      <c r="O83" s="21">
        <f t="shared" si="65"/>
        <v>0</v>
      </c>
      <c r="P83" s="9">
        <f t="shared" si="79"/>
        <v>0</v>
      </c>
      <c r="Q83" s="9">
        <f t="shared" si="80"/>
        <v>0</v>
      </c>
      <c r="R83" s="22" t="str">
        <f>IFERROR(INDEX(Tesco!$Q$11:$Q$165,MATCH('Calculations - Tesco'!$C83,Tesco!$M$11:$M$165,0)),"")</f>
        <v/>
      </c>
      <c r="S83" s="22" t="str">
        <f>IFERROR(INDEX(Tesco!$R$11:$R$165,MATCH('Calculations - Tesco'!$C83,Tesco!$M$11:$M$165,0)),"")</f>
        <v/>
      </c>
      <c r="T83" s="16" t="e">
        <f t="shared" si="51"/>
        <v>#VALUE!</v>
      </c>
      <c r="U83" s="16" t="e">
        <f t="shared" si="66"/>
        <v>#VALUE!</v>
      </c>
      <c r="V83" s="16" t="e">
        <f t="shared" si="67"/>
        <v>#VALUE!</v>
      </c>
      <c r="W83" s="10" t="str">
        <f t="shared" si="52"/>
        <v>-</v>
      </c>
      <c r="X83" s="10" t="str">
        <f t="shared" si="53"/>
        <v>-</v>
      </c>
      <c r="Y83" s="13" t="str">
        <f t="shared" si="68"/>
        <v>-</v>
      </c>
      <c r="Z83" s="9" t="str">
        <f t="shared" si="54"/>
        <v>-</v>
      </c>
      <c r="AA83" s="16" t="str">
        <f t="shared" si="69"/>
        <v>-</v>
      </c>
      <c r="AB83" s="16" t="str">
        <f t="shared" si="55"/>
        <v>-</v>
      </c>
      <c r="AC83" s="16" t="str">
        <f t="shared" si="56"/>
        <v>-</v>
      </c>
      <c r="AD83" s="16" t="str">
        <f t="shared" si="70"/>
        <v>-</v>
      </c>
      <c r="AE83" s="16"/>
      <c r="AF83" s="31" t="str">
        <f>IFERROR(INDEX(Tesco!$P$11:$P$165,MATCH('Calculations - Tesco'!C83,Tesco!$M$11:$M$165,0)),"")</f>
        <v/>
      </c>
      <c r="AG83" s="23" t="str">
        <f t="shared" si="71"/>
        <v/>
      </c>
      <c r="AH83" s="23" t="str">
        <f t="shared" si="71"/>
        <v/>
      </c>
      <c r="AI83" s="9" t="str">
        <f t="shared" si="57"/>
        <v/>
      </c>
      <c r="AJ83" s="4" t="str">
        <f t="shared" si="58"/>
        <v/>
      </c>
      <c r="AK83" s="4"/>
      <c r="AL83" s="4"/>
      <c r="AM83" s="4"/>
      <c r="AN83" s="4"/>
      <c r="AO83" s="4"/>
      <c r="AP83" s="20" t="str">
        <f t="shared" si="59"/>
        <v>-</v>
      </c>
      <c r="AQ83" s="13" t="str">
        <f t="shared" si="72"/>
        <v>-</v>
      </c>
      <c r="AR83" s="13" t="str">
        <f t="shared" si="73"/>
        <v>-</v>
      </c>
      <c r="AS83" s="13" t="str">
        <f t="shared" si="60"/>
        <v>-</v>
      </c>
      <c r="AT83" s="16" t="str">
        <f t="shared" si="74"/>
        <v>-</v>
      </c>
      <c r="AU83" s="16" t="str">
        <f t="shared" si="61"/>
        <v>-</v>
      </c>
      <c r="AV83" s="16" t="str">
        <f t="shared" si="62"/>
        <v>-</v>
      </c>
      <c r="AW83" s="16" t="str">
        <f t="shared" si="75"/>
        <v>-</v>
      </c>
      <c r="AX83" s="13" t="str">
        <f t="shared" si="76"/>
        <v>-</v>
      </c>
      <c r="AY83" s="10" t="str">
        <f t="shared" si="77"/>
        <v>-</v>
      </c>
      <c r="AZ83" s="9" t="str">
        <f t="shared" si="78"/>
        <v>-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</row>
    <row r="84" spans="2:68" x14ac:dyDescent="0.3">
      <c r="B84" s="108" t="str">
        <f t="shared" si="63"/>
        <v/>
      </c>
      <c r="C84" s="108" t="str">
        <f t="shared" si="47"/>
        <v/>
      </c>
      <c r="D84" s="3"/>
      <c r="E84" s="3"/>
      <c r="F84" s="3"/>
      <c r="G84" s="20">
        <f>IFERROR(INDEX('Input - Tesco'!F$2:F$200,MATCH('Calculations - Tesco'!$C84,'Input - Tesco'!$B$2:$B$200,0)),"")</f>
        <v>0</v>
      </c>
      <c r="H84" s="20">
        <f>IFERROR(INDEX('Input - Tesco'!G$2:G$200,MATCH('Calculations - Tesco'!$C84,'Input - Tesco'!$B$2:$B$200,0)),"")</f>
        <v>0</v>
      </c>
      <c r="I84" s="21">
        <f>IFERROR(INDEX('Input - Tesco'!H$2:H$200,MATCH('Calculations - Tesco'!$C84,'Input - Tesco'!$B$2:$B$200,0)),"")</f>
        <v>0</v>
      </c>
      <c r="J84" s="21">
        <f>IFERROR(INDEX('Input - Tesco'!I$2:I$200,MATCH('Calculations - Tesco'!$C84,'Input - Tesco'!$B$2:$B$200,0)),"")</f>
        <v>0</v>
      </c>
      <c r="K84" s="20">
        <f>IFERROR(INDEX('Input - Tesco'!J$2:J$200,MATCH('Calculations - Tesco'!$C84,'Input - Tesco'!$B$2:$B$200,0)),"")</f>
        <v>0</v>
      </c>
      <c r="L84" s="20">
        <f>IFERROR(INDEX('Input - Tesco'!K$2:K$200,MATCH('Calculations - Tesco'!$C84,'Input - Tesco'!$B$2:$B$200,0)),"")</f>
        <v>0</v>
      </c>
      <c r="M84" s="21" t="str">
        <f t="shared" si="64"/>
        <v/>
      </c>
      <c r="N84" s="21" t="str">
        <f t="shared" si="48"/>
        <v/>
      </c>
      <c r="O84" s="21">
        <f t="shared" si="65"/>
        <v>0</v>
      </c>
      <c r="P84" s="9">
        <f t="shared" si="79"/>
        <v>0</v>
      </c>
      <c r="Q84" s="9">
        <f t="shared" si="80"/>
        <v>0</v>
      </c>
      <c r="R84" s="22" t="str">
        <f>IFERROR(INDEX(Tesco!$Q$11:$Q$165,MATCH('Calculations - Tesco'!$C84,Tesco!$M$11:$M$165,0)),"")</f>
        <v/>
      </c>
      <c r="S84" s="22" t="str">
        <f>IFERROR(INDEX(Tesco!$R$11:$R$165,MATCH('Calculations - Tesco'!$C84,Tesco!$M$11:$M$165,0)),"")</f>
        <v/>
      </c>
      <c r="T84" s="16" t="e">
        <f t="shared" si="51"/>
        <v>#VALUE!</v>
      </c>
      <c r="U84" s="16" t="e">
        <f t="shared" si="66"/>
        <v>#VALUE!</v>
      </c>
      <c r="V84" s="16" t="e">
        <f t="shared" si="67"/>
        <v>#VALUE!</v>
      </c>
      <c r="W84" s="10" t="str">
        <f t="shared" si="52"/>
        <v>-</v>
      </c>
      <c r="X84" s="10" t="str">
        <f t="shared" si="53"/>
        <v>-</v>
      </c>
      <c r="Y84" s="13" t="str">
        <f t="shared" si="68"/>
        <v>-</v>
      </c>
      <c r="Z84" s="9" t="str">
        <f t="shared" si="54"/>
        <v>-</v>
      </c>
      <c r="AA84" s="16" t="str">
        <f t="shared" si="69"/>
        <v>-</v>
      </c>
      <c r="AB84" s="16" t="str">
        <f t="shared" si="55"/>
        <v>-</v>
      </c>
      <c r="AC84" s="16" t="str">
        <f t="shared" si="56"/>
        <v>-</v>
      </c>
      <c r="AD84" s="16" t="str">
        <f t="shared" si="70"/>
        <v>-</v>
      </c>
      <c r="AE84" s="16"/>
      <c r="AF84" s="31" t="str">
        <f>IFERROR(INDEX(Tesco!$P$11:$P$165,MATCH('Calculations - Tesco'!C84,Tesco!$M$11:$M$165,0)),"")</f>
        <v/>
      </c>
      <c r="AG84" s="23" t="str">
        <f t="shared" si="71"/>
        <v/>
      </c>
      <c r="AH84" s="23" t="str">
        <f t="shared" si="71"/>
        <v/>
      </c>
      <c r="AI84" s="9" t="str">
        <f t="shared" si="57"/>
        <v/>
      </c>
      <c r="AJ84" s="4" t="str">
        <f t="shared" si="58"/>
        <v/>
      </c>
      <c r="AK84" s="4"/>
      <c r="AL84" s="4"/>
      <c r="AM84" s="4"/>
      <c r="AN84" s="4"/>
      <c r="AO84" s="4"/>
      <c r="AP84" s="20" t="str">
        <f t="shared" si="59"/>
        <v>-</v>
      </c>
      <c r="AQ84" s="13" t="str">
        <f t="shared" si="72"/>
        <v>-</v>
      </c>
      <c r="AR84" s="13" t="str">
        <f t="shared" si="73"/>
        <v>-</v>
      </c>
      <c r="AS84" s="13" t="str">
        <f t="shared" si="60"/>
        <v>-</v>
      </c>
      <c r="AT84" s="16" t="str">
        <f t="shared" si="74"/>
        <v>-</v>
      </c>
      <c r="AU84" s="16" t="str">
        <f t="shared" si="61"/>
        <v>-</v>
      </c>
      <c r="AV84" s="16" t="str">
        <f t="shared" si="62"/>
        <v>-</v>
      </c>
      <c r="AW84" s="16" t="str">
        <f t="shared" si="75"/>
        <v>-</v>
      </c>
      <c r="AX84" s="13" t="str">
        <f t="shared" si="76"/>
        <v>-</v>
      </c>
      <c r="AY84" s="10" t="str">
        <f t="shared" si="77"/>
        <v>-</v>
      </c>
      <c r="AZ84" s="9" t="str">
        <f t="shared" si="78"/>
        <v>-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</row>
    <row r="85" spans="2:68" x14ac:dyDescent="0.3">
      <c r="B85" s="108" t="str">
        <f t="shared" si="63"/>
        <v/>
      </c>
      <c r="C85" s="108" t="str">
        <f t="shared" si="47"/>
        <v/>
      </c>
      <c r="D85" s="3"/>
      <c r="E85" s="3"/>
      <c r="F85" s="3"/>
      <c r="G85" s="20">
        <f>IFERROR(INDEX('Input - Tesco'!F$2:F$200,MATCH('Calculations - Tesco'!$C85,'Input - Tesco'!$B$2:$B$200,0)),"")</f>
        <v>0</v>
      </c>
      <c r="H85" s="20">
        <f>IFERROR(INDEX('Input - Tesco'!G$2:G$200,MATCH('Calculations - Tesco'!$C85,'Input - Tesco'!$B$2:$B$200,0)),"")</f>
        <v>0</v>
      </c>
      <c r="I85" s="21">
        <f>IFERROR(INDEX('Input - Tesco'!H$2:H$200,MATCH('Calculations - Tesco'!$C85,'Input - Tesco'!$B$2:$B$200,0)),"")</f>
        <v>0</v>
      </c>
      <c r="J85" s="21">
        <f>IFERROR(INDEX('Input - Tesco'!I$2:I$200,MATCH('Calculations - Tesco'!$C85,'Input - Tesco'!$B$2:$B$200,0)),"")</f>
        <v>0</v>
      </c>
      <c r="K85" s="20">
        <f>IFERROR(INDEX('Input - Tesco'!J$2:J$200,MATCH('Calculations - Tesco'!$C85,'Input - Tesco'!$B$2:$B$200,0)),"")</f>
        <v>0</v>
      </c>
      <c r="L85" s="20">
        <f>IFERROR(INDEX('Input - Tesco'!K$2:K$200,MATCH('Calculations - Tesco'!$C85,'Input - Tesco'!$B$2:$B$200,0)),"")</f>
        <v>0</v>
      </c>
      <c r="M85" s="21" t="str">
        <f t="shared" si="64"/>
        <v/>
      </c>
      <c r="N85" s="21" t="str">
        <f t="shared" si="48"/>
        <v/>
      </c>
      <c r="O85" s="21">
        <f t="shared" si="65"/>
        <v>0</v>
      </c>
      <c r="P85" s="9">
        <f t="shared" si="79"/>
        <v>0</v>
      </c>
      <c r="Q85" s="9">
        <f t="shared" si="80"/>
        <v>0</v>
      </c>
      <c r="R85" s="22" t="str">
        <f>IFERROR(INDEX(Tesco!$Q$11:$Q$165,MATCH('Calculations - Tesco'!$C85,Tesco!$M$11:$M$165,0)),"")</f>
        <v/>
      </c>
      <c r="S85" s="22" t="str">
        <f>IFERROR(INDEX(Tesco!$R$11:$R$165,MATCH('Calculations - Tesco'!$C85,Tesco!$M$11:$M$165,0)),"")</f>
        <v/>
      </c>
      <c r="T85" s="16" t="e">
        <f t="shared" si="51"/>
        <v>#VALUE!</v>
      </c>
      <c r="U85" s="16" t="e">
        <f t="shared" si="66"/>
        <v>#VALUE!</v>
      </c>
      <c r="V85" s="16" t="e">
        <f t="shared" si="67"/>
        <v>#VALUE!</v>
      </c>
      <c r="W85" s="10" t="str">
        <f t="shared" si="52"/>
        <v>-</v>
      </c>
      <c r="X85" s="10" t="str">
        <f t="shared" si="53"/>
        <v>-</v>
      </c>
      <c r="Y85" s="13" t="str">
        <f t="shared" si="68"/>
        <v>-</v>
      </c>
      <c r="Z85" s="9" t="str">
        <f t="shared" si="54"/>
        <v>-</v>
      </c>
      <c r="AA85" s="16" t="str">
        <f t="shared" si="69"/>
        <v>-</v>
      </c>
      <c r="AB85" s="16" t="str">
        <f t="shared" si="55"/>
        <v>-</v>
      </c>
      <c r="AC85" s="16" t="str">
        <f t="shared" si="56"/>
        <v>-</v>
      </c>
      <c r="AD85" s="16" t="str">
        <f t="shared" si="70"/>
        <v>-</v>
      </c>
      <c r="AE85" s="16"/>
      <c r="AF85" s="31" t="str">
        <f>IFERROR(INDEX(Tesco!$P$11:$P$165,MATCH('Calculations - Tesco'!C85,Tesco!$M$11:$M$165,0)),"")</f>
        <v/>
      </c>
      <c r="AG85" s="23" t="str">
        <f t="shared" si="71"/>
        <v/>
      </c>
      <c r="AH85" s="23" t="str">
        <f t="shared" si="71"/>
        <v/>
      </c>
      <c r="AI85" s="9" t="str">
        <f t="shared" si="57"/>
        <v/>
      </c>
      <c r="AJ85" s="4" t="str">
        <f t="shared" si="58"/>
        <v/>
      </c>
      <c r="AK85" s="4"/>
      <c r="AL85" s="4"/>
      <c r="AM85" s="4"/>
      <c r="AN85" s="4"/>
      <c r="AO85" s="4"/>
      <c r="AP85" s="20" t="str">
        <f t="shared" si="59"/>
        <v>-</v>
      </c>
      <c r="AQ85" s="13" t="str">
        <f t="shared" si="72"/>
        <v>-</v>
      </c>
      <c r="AR85" s="13" t="str">
        <f t="shared" si="73"/>
        <v>-</v>
      </c>
      <c r="AS85" s="13" t="str">
        <f t="shared" si="60"/>
        <v>-</v>
      </c>
      <c r="AT85" s="16" t="str">
        <f t="shared" si="74"/>
        <v>-</v>
      </c>
      <c r="AU85" s="16" t="str">
        <f t="shared" si="61"/>
        <v>-</v>
      </c>
      <c r="AV85" s="16" t="str">
        <f t="shared" si="62"/>
        <v>-</v>
      </c>
      <c r="AW85" s="16" t="str">
        <f t="shared" si="75"/>
        <v>-</v>
      </c>
      <c r="AX85" s="13" t="str">
        <f t="shared" si="76"/>
        <v>-</v>
      </c>
      <c r="AY85" s="10" t="str">
        <f t="shared" si="77"/>
        <v>-</v>
      </c>
      <c r="AZ85" s="9" t="str">
        <f t="shared" si="78"/>
        <v>-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</row>
    <row r="86" spans="2:68" x14ac:dyDescent="0.3">
      <c r="B86" s="108" t="str">
        <f t="shared" si="63"/>
        <v/>
      </c>
      <c r="C86" s="108" t="str">
        <f t="shared" si="47"/>
        <v/>
      </c>
      <c r="D86" s="3"/>
      <c r="E86" s="3"/>
      <c r="F86" s="3"/>
      <c r="G86" s="20">
        <f>IFERROR(INDEX('Input - Tesco'!F$2:F$200,MATCH('Calculations - Tesco'!$C86,'Input - Tesco'!$B$2:$B$200,0)),"")</f>
        <v>0</v>
      </c>
      <c r="H86" s="20">
        <f>IFERROR(INDEX('Input - Tesco'!G$2:G$200,MATCH('Calculations - Tesco'!$C86,'Input - Tesco'!$B$2:$B$200,0)),"")</f>
        <v>0</v>
      </c>
      <c r="I86" s="21">
        <f>IFERROR(INDEX('Input - Tesco'!H$2:H$200,MATCH('Calculations - Tesco'!$C86,'Input - Tesco'!$B$2:$B$200,0)),"")</f>
        <v>0</v>
      </c>
      <c r="J86" s="21">
        <f>IFERROR(INDEX('Input - Tesco'!I$2:I$200,MATCH('Calculations - Tesco'!$C86,'Input - Tesco'!$B$2:$B$200,0)),"")</f>
        <v>0</v>
      </c>
      <c r="K86" s="20">
        <f>IFERROR(INDEX('Input - Tesco'!J$2:J$200,MATCH('Calculations - Tesco'!$C86,'Input - Tesco'!$B$2:$B$200,0)),"")</f>
        <v>0</v>
      </c>
      <c r="L86" s="20">
        <f>IFERROR(INDEX('Input - Tesco'!K$2:K$200,MATCH('Calculations - Tesco'!$C86,'Input - Tesco'!$B$2:$B$200,0)),"")</f>
        <v>0</v>
      </c>
      <c r="M86" s="21" t="str">
        <f t="shared" si="64"/>
        <v/>
      </c>
      <c r="N86" s="21" t="str">
        <f t="shared" si="48"/>
        <v/>
      </c>
      <c r="O86" s="21">
        <f t="shared" si="65"/>
        <v>0</v>
      </c>
      <c r="P86" s="9">
        <f t="shared" si="79"/>
        <v>0</v>
      </c>
      <c r="Q86" s="9">
        <f t="shared" si="80"/>
        <v>0</v>
      </c>
      <c r="R86" s="22" t="str">
        <f>IFERROR(INDEX(Tesco!$Q$11:$Q$165,MATCH('Calculations - Tesco'!$C86,Tesco!$M$11:$M$165,0)),"")</f>
        <v/>
      </c>
      <c r="S86" s="22" t="str">
        <f>IFERROR(INDEX(Tesco!$R$11:$R$165,MATCH('Calculations - Tesco'!$C86,Tesco!$M$11:$M$165,0)),"")</f>
        <v/>
      </c>
      <c r="T86" s="16" t="e">
        <f t="shared" si="51"/>
        <v>#VALUE!</v>
      </c>
      <c r="U86" s="16" t="e">
        <f t="shared" si="66"/>
        <v>#VALUE!</v>
      </c>
      <c r="V86" s="16" t="e">
        <f t="shared" si="67"/>
        <v>#VALUE!</v>
      </c>
      <c r="W86" s="10" t="str">
        <f t="shared" si="52"/>
        <v>-</v>
      </c>
      <c r="X86" s="10" t="str">
        <f t="shared" si="53"/>
        <v>-</v>
      </c>
      <c r="Y86" s="13" t="str">
        <f t="shared" si="68"/>
        <v>-</v>
      </c>
      <c r="Z86" s="9" t="str">
        <f t="shared" si="54"/>
        <v>-</v>
      </c>
      <c r="AA86" s="16" t="str">
        <f t="shared" si="69"/>
        <v>-</v>
      </c>
      <c r="AB86" s="16" t="str">
        <f t="shared" si="55"/>
        <v>-</v>
      </c>
      <c r="AC86" s="16" t="str">
        <f t="shared" si="56"/>
        <v>-</v>
      </c>
      <c r="AD86" s="16" t="str">
        <f t="shared" si="70"/>
        <v>-</v>
      </c>
      <c r="AE86" s="16"/>
      <c r="AF86" s="31" t="str">
        <f>IFERROR(INDEX(Tesco!$P$11:$P$165,MATCH('Calculations - Tesco'!C86,Tesco!$M$11:$M$165,0)),"")</f>
        <v/>
      </c>
      <c r="AG86" s="23" t="str">
        <f t="shared" si="71"/>
        <v/>
      </c>
      <c r="AH86" s="23" t="str">
        <f t="shared" si="71"/>
        <v/>
      </c>
      <c r="AI86" s="9" t="str">
        <f t="shared" si="57"/>
        <v/>
      </c>
      <c r="AJ86" s="4" t="str">
        <f t="shared" si="58"/>
        <v/>
      </c>
      <c r="AK86" s="4"/>
      <c r="AL86" s="4"/>
      <c r="AM86" s="4"/>
      <c r="AN86" s="4"/>
      <c r="AO86" s="4"/>
      <c r="AP86" s="20" t="str">
        <f t="shared" si="59"/>
        <v>-</v>
      </c>
      <c r="AQ86" s="13" t="str">
        <f t="shared" si="72"/>
        <v>-</v>
      </c>
      <c r="AR86" s="13" t="str">
        <f t="shared" si="73"/>
        <v>-</v>
      </c>
      <c r="AS86" s="13" t="str">
        <f t="shared" si="60"/>
        <v>-</v>
      </c>
      <c r="AT86" s="16" t="str">
        <f t="shared" si="74"/>
        <v>-</v>
      </c>
      <c r="AU86" s="16" t="str">
        <f t="shared" si="61"/>
        <v>-</v>
      </c>
      <c r="AV86" s="16" t="str">
        <f t="shared" si="62"/>
        <v>-</v>
      </c>
      <c r="AW86" s="16" t="str">
        <f t="shared" si="75"/>
        <v>-</v>
      </c>
      <c r="AX86" s="13" t="str">
        <f t="shared" si="76"/>
        <v>-</v>
      </c>
      <c r="AY86" s="10" t="str">
        <f t="shared" si="77"/>
        <v>-</v>
      </c>
      <c r="AZ86" s="9" t="str">
        <f t="shared" si="78"/>
        <v>-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</row>
    <row r="87" spans="2:68" x14ac:dyDescent="0.3">
      <c r="B87" s="108" t="str">
        <f t="shared" si="63"/>
        <v/>
      </c>
      <c r="C87" s="108" t="str">
        <f t="shared" si="47"/>
        <v/>
      </c>
      <c r="D87" s="3"/>
      <c r="E87" s="3"/>
      <c r="F87" s="3"/>
      <c r="G87" s="20">
        <f>IFERROR(INDEX('Input - Tesco'!F$2:F$200,MATCH('Calculations - Tesco'!$C87,'Input - Tesco'!$B$2:$B$200,0)),"")</f>
        <v>0</v>
      </c>
      <c r="H87" s="20">
        <f>IFERROR(INDEX('Input - Tesco'!G$2:G$200,MATCH('Calculations - Tesco'!$C87,'Input - Tesco'!$B$2:$B$200,0)),"")</f>
        <v>0</v>
      </c>
      <c r="I87" s="21">
        <f>IFERROR(INDEX('Input - Tesco'!H$2:H$200,MATCH('Calculations - Tesco'!$C87,'Input - Tesco'!$B$2:$B$200,0)),"")</f>
        <v>0</v>
      </c>
      <c r="J87" s="21">
        <f>IFERROR(INDEX('Input - Tesco'!I$2:I$200,MATCH('Calculations - Tesco'!$C87,'Input - Tesco'!$B$2:$B$200,0)),"")</f>
        <v>0</v>
      </c>
      <c r="K87" s="20">
        <f>IFERROR(INDEX('Input - Tesco'!J$2:J$200,MATCH('Calculations - Tesco'!$C87,'Input - Tesco'!$B$2:$B$200,0)),"")</f>
        <v>0</v>
      </c>
      <c r="L87" s="20">
        <f>IFERROR(INDEX('Input - Tesco'!K$2:K$200,MATCH('Calculations - Tesco'!$C87,'Input - Tesco'!$B$2:$B$200,0)),"")</f>
        <v>0</v>
      </c>
      <c r="M87" s="21" t="str">
        <f t="shared" si="64"/>
        <v/>
      </c>
      <c r="N87" s="21" t="str">
        <f t="shared" si="48"/>
        <v/>
      </c>
      <c r="O87" s="21">
        <f t="shared" si="65"/>
        <v>0</v>
      </c>
      <c r="P87" s="9">
        <f t="shared" si="79"/>
        <v>0</v>
      </c>
      <c r="Q87" s="9">
        <f t="shared" si="80"/>
        <v>0</v>
      </c>
      <c r="R87" s="22" t="str">
        <f>IFERROR(INDEX(Tesco!$Q$11:$Q$165,MATCH('Calculations - Tesco'!$C87,Tesco!$M$11:$M$165,0)),"")</f>
        <v/>
      </c>
      <c r="S87" s="22" t="str">
        <f>IFERROR(INDEX(Tesco!$R$11:$R$165,MATCH('Calculations - Tesco'!$C87,Tesco!$M$11:$M$165,0)),"")</f>
        <v/>
      </c>
      <c r="T87" s="16" t="e">
        <f t="shared" si="51"/>
        <v>#VALUE!</v>
      </c>
      <c r="U87" s="16" t="e">
        <f t="shared" si="66"/>
        <v>#VALUE!</v>
      </c>
      <c r="V87" s="16" t="e">
        <f t="shared" si="67"/>
        <v>#VALUE!</v>
      </c>
      <c r="W87" s="10" t="str">
        <f t="shared" si="52"/>
        <v>-</v>
      </c>
      <c r="X87" s="10" t="str">
        <f t="shared" si="53"/>
        <v>-</v>
      </c>
      <c r="Y87" s="13" t="str">
        <f t="shared" si="68"/>
        <v>-</v>
      </c>
      <c r="Z87" s="9" t="str">
        <f t="shared" si="54"/>
        <v>-</v>
      </c>
      <c r="AA87" s="16" t="str">
        <f t="shared" si="69"/>
        <v>-</v>
      </c>
      <c r="AB87" s="16" t="str">
        <f t="shared" si="55"/>
        <v>-</v>
      </c>
      <c r="AC87" s="16" t="str">
        <f t="shared" si="56"/>
        <v>-</v>
      </c>
      <c r="AD87" s="16" t="str">
        <f t="shared" si="70"/>
        <v>-</v>
      </c>
      <c r="AE87" s="16"/>
      <c r="AF87" s="31" t="str">
        <f>IFERROR(INDEX(Tesco!$P$11:$P$165,MATCH('Calculations - Tesco'!C87,Tesco!$M$11:$M$165,0)),"")</f>
        <v/>
      </c>
      <c r="AG87" s="23" t="str">
        <f t="shared" si="71"/>
        <v/>
      </c>
      <c r="AH87" s="23" t="str">
        <f t="shared" si="71"/>
        <v/>
      </c>
      <c r="AI87" s="9" t="str">
        <f t="shared" si="57"/>
        <v/>
      </c>
      <c r="AJ87" s="4" t="str">
        <f t="shared" si="58"/>
        <v/>
      </c>
      <c r="AK87" s="4"/>
      <c r="AL87" s="4"/>
      <c r="AM87" s="4"/>
      <c r="AN87" s="4"/>
      <c r="AO87" s="4"/>
      <c r="AP87" s="20" t="str">
        <f t="shared" si="59"/>
        <v>-</v>
      </c>
      <c r="AQ87" s="13" t="str">
        <f t="shared" si="72"/>
        <v>-</v>
      </c>
      <c r="AR87" s="13" t="str">
        <f t="shared" si="73"/>
        <v>-</v>
      </c>
      <c r="AS87" s="13" t="str">
        <f t="shared" si="60"/>
        <v>-</v>
      </c>
      <c r="AT87" s="16" t="str">
        <f t="shared" si="74"/>
        <v>-</v>
      </c>
      <c r="AU87" s="16" t="str">
        <f t="shared" si="61"/>
        <v>-</v>
      </c>
      <c r="AV87" s="16" t="str">
        <f t="shared" si="62"/>
        <v>-</v>
      </c>
      <c r="AW87" s="16" t="str">
        <f t="shared" si="75"/>
        <v>-</v>
      </c>
      <c r="AX87" s="13" t="str">
        <f t="shared" si="76"/>
        <v>-</v>
      </c>
      <c r="AY87" s="10" t="str">
        <f t="shared" si="77"/>
        <v>-</v>
      </c>
      <c r="AZ87" s="9" t="str">
        <f t="shared" si="78"/>
        <v>-</v>
      </c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</row>
    <row r="88" spans="2:68" x14ac:dyDescent="0.3">
      <c r="B88" s="108" t="str">
        <f t="shared" si="63"/>
        <v/>
      </c>
      <c r="C88" s="108" t="str">
        <f t="shared" si="47"/>
        <v/>
      </c>
      <c r="D88" s="3"/>
      <c r="E88" s="3"/>
      <c r="F88" s="3"/>
      <c r="G88" s="20">
        <f>IFERROR(INDEX('Input - Tesco'!F$2:F$200,MATCH('Calculations - Tesco'!$C88,'Input - Tesco'!$B$2:$B$200,0)),"")</f>
        <v>0</v>
      </c>
      <c r="H88" s="20">
        <f>IFERROR(INDEX('Input - Tesco'!G$2:G$200,MATCH('Calculations - Tesco'!$C88,'Input - Tesco'!$B$2:$B$200,0)),"")</f>
        <v>0</v>
      </c>
      <c r="I88" s="21">
        <f>IFERROR(INDEX('Input - Tesco'!H$2:H$200,MATCH('Calculations - Tesco'!$C88,'Input - Tesco'!$B$2:$B$200,0)),"")</f>
        <v>0</v>
      </c>
      <c r="J88" s="21">
        <f>IFERROR(INDEX('Input - Tesco'!I$2:I$200,MATCH('Calculations - Tesco'!$C88,'Input - Tesco'!$B$2:$B$200,0)),"")</f>
        <v>0</v>
      </c>
      <c r="K88" s="20">
        <f>IFERROR(INDEX('Input - Tesco'!J$2:J$200,MATCH('Calculations - Tesco'!$C88,'Input - Tesco'!$B$2:$B$200,0)),"")</f>
        <v>0</v>
      </c>
      <c r="L88" s="20">
        <f>IFERROR(INDEX('Input - Tesco'!K$2:K$200,MATCH('Calculations - Tesco'!$C88,'Input - Tesco'!$B$2:$B$200,0)),"")</f>
        <v>0</v>
      </c>
      <c r="M88" s="21" t="str">
        <f t="shared" si="64"/>
        <v/>
      </c>
      <c r="N88" s="21" t="str">
        <f t="shared" si="48"/>
        <v/>
      </c>
      <c r="O88" s="21">
        <f t="shared" si="65"/>
        <v>0</v>
      </c>
      <c r="P88" s="9">
        <f t="shared" si="79"/>
        <v>0</v>
      </c>
      <c r="Q88" s="9">
        <f t="shared" si="80"/>
        <v>0</v>
      </c>
      <c r="R88" s="22" t="str">
        <f>IFERROR(INDEX(Tesco!$Q$11:$Q$165,MATCH('Calculations - Tesco'!$C88,Tesco!$M$11:$M$165,0)),"")</f>
        <v/>
      </c>
      <c r="S88" s="22" t="str">
        <f>IFERROR(INDEX(Tesco!$R$11:$R$165,MATCH('Calculations - Tesco'!$C88,Tesco!$M$11:$M$165,0)),"")</f>
        <v/>
      </c>
      <c r="T88" s="16" t="e">
        <f t="shared" si="51"/>
        <v>#VALUE!</v>
      </c>
      <c r="U88" s="16" t="e">
        <f t="shared" si="66"/>
        <v>#VALUE!</v>
      </c>
      <c r="V88" s="16" t="e">
        <f t="shared" si="67"/>
        <v>#VALUE!</v>
      </c>
      <c r="W88" s="10" t="str">
        <f t="shared" si="52"/>
        <v>-</v>
      </c>
      <c r="X88" s="10" t="str">
        <f t="shared" si="53"/>
        <v>-</v>
      </c>
      <c r="Y88" s="13" t="str">
        <f t="shared" si="68"/>
        <v>-</v>
      </c>
      <c r="Z88" s="9" t="str">
        <f t="shared" si="54"/>
        <v>-</v>
      </c>
      <c r="AA88" s="16" t="str">
        <f t="shared" si="69"/>
        <v>-</v>
      </c>
      <c r="AB88" s="16" t="str">
        <f t="shared" si="55"/>
        <v>-</v>
      </c>
      <c r="AC88" s="16" t="str">
        <f t="shared" si="56"/>
        <v>-</v>
      </c>
      <c r="AD88" s="16" t="str">
        <f t="shared" si="70"/>
        <v>-</v>
      </c>
      <c r="AE88" s="16"/>
      <c r="AF88" s="31" t="str">
        <f>IFERROR(INDEX(Tesco!$P$11:$P$165,MATCH('Calculations - Tesco'!C88,Tesco!$M$11:$M$165,0)),"")</f>
        <v/>
      </c>
      <c r="AG88" s="23" t="str">
        <f t="shared" si="71"/>
        <v/>
      </c>
      <c r="AH88" s="23" t="str">
        <f t="shared" si="71"/>
        <v/>
      </c>
      <c r="AI88" s="9" t="str">
        <f t="shared" si="57"/>
        <v/>
      </c>
      <c r="AJ88" s="4" t="str">
        <f t="shared" si="58"/>
        <v/>
      </c>
      <c r="AK88" s="4"/>
      <c r="AL88" s="4"/>
      <c r="AM88" s="4"/>
      <c r="AN88" s="4"/>
      <c r="AO88" s="4"/>
      <c r="AP88" s="20" t="str">
        <f t="shared" si="59"/>
        <v>-</v>
      </c>
      <c r="AQ88" s="13" t="str">
        <f t="shared" si="72"/>
        <v>-</v>
      </c>
      <c r="AR88" s="13" t="str">
        <f t="shared" si="73"/>
        <v>-</v>
      </c>
      <c r="AS88" s="13" t="str">
        <f t="shared" si="60"/>
        <v>-</v>
      </c>
      <c r="AT88" s="16" t="str">
        <f t="shared" si="74"/>
        <v>-</v>
      </c>
      <c r="AU88" s="16" t="str">
        <f t="shared" si="61"/>
        <v>-</v>
      </c>
      <c r="AV88" s="16" t="str">
        <f t="shared" si="62"/>
        <v>-</v>
      </c>
      <c r="AW88" s="16" t="str">
        <f t="shared" si="75"/>
        <v>-</v>
      </c>
      <c r="AX88" s="13" t="str">
        <f t="shared" si="76"/>
        <v>-</v>
      </c>
      <c r="AY88" s="10" t="str">
        <f t="shared" si="77"/>
        <v>-</v>
      </c>
      <c r="AZ88" s="9" t="str">
        <f t="shared" si="78"/>
        <v>-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</row>
    <row r="89" spans="2:68" x14ac:dyDescent="0.3">
      <c r="B89" s="108" t="str">
        <f t="shared" si="63"/>
        <v/>
      </c>
      <c r="C89" s="108" t="str">
        <f t="shared" si="47"/>
        <v/>
      </c>
      <c r="D89" s="3"/>
      <c r="E89" s="3"/>
      <c r="F89" s="3"/>
      <c r="G89" s="20">
        <f>IFERROR(INDEX('Input - Tesco'!F$2:F$200,MATCH('Calculations - Tesco'!$C89,'Input - Tesco'!$B$2:$B$200,0)),"")</f>
        <v>0</v>
      </c>
      <c r="H89" s="20">
        <f>IFERROR(INDEX('Input - Tesco'!G$2:G$200,MATCH('Calculations - Tesco'!$C89,'Input - Tesco'!$B$2:$B$200,0)),"")</f>
        <v>0</v>
      </c>
      <c r="I89" s="21">
        <f>IFERROR(INDEX('Input - Tesco'!H$2:H$200,MATCH('Calculations - Tesco'!$C89,'Input - Tesco'!$B$2:$B$200,0)),"")</f>
        <v>0</v>
      </c>
      <c r="J89" s="21">
        <f>IFERROR(INDEX('Input - Tesco'!I$2:I$200,MATCH('Calculations - Tesco'!$C89,'Input - Tesco'!$B$2:$B$200,0)),"")</f>
        <v>0</v>
      </c>
      <c r="K89" s="20">
        <f>IFERROR(INDEX('Input - Tesco'!J$2:J$200,MATCH('Calculations - Tesco'!$C89,'Input - Tesco'!$B$2:$B$200,0)),"")</f>
        <v>0</v>
      </c>
      <c r="L89" s="20">
        <f>IFERROR(INDEX('Input - Tesco'!K$2:K$200,MATCH('Calculations - Tesco'!$C89,'Input - Tesco'!$B$2:$B$200,0)),"")</f>
        <v>0</v>
      </c>
      <c r="M89" s="21" t="str">
        <f t="shared" si="64"/>
        <v/>
      </c>
      <c r="N89" s="21" t="str">
        <f t="shared" si="48"/>
        <v/>
      </c>
      <c r="O89" s="21">
        <f t="shared" si="65"/>
        <v>0</v>
      </c>
      <c r="P89" s="9">
        <f t="shared" si="79"/>
        <v>0</v>
      </c>
      <c r="Q89" s="9">
        <f t="shared" si="80"/>
        <v>0</v>
      </c>
      <c r="R89" s="22" t="str">
        <f>IFERROR(INDEX(Tesco!$Q$11:$Q$165,MATCH('Calculations - Tesco'!$C89,Tesco!$M$11:$M$165,0)),"")</f>
        <v/>
      </c>
      <c r="S89" s="22" t="str">
        <f>IFERROR(INDEX(Tesco!$R$11:$R$165,MATCH('Calculations - Tesco'!$C89,Tesco!$M$11:$M$165,0)),"")</f>
        <v/>
      </c>
      <c r="T89" s="16" t="e">
        <f t="shared" si="51"/>
        <v>#VALUE!</v>
      </c>
      <c r="U89" s="16" t="e">
        <f t="shared" si="66"/>
        <v>#VALUE!</v>
      </c>
      <c r="V89" s="16" t="e">
        <f t="shared" si="67"/>
        <v>#VALUE!</v>
      </c>
      <c r="W89" s="10" t="str">
        <f t="shared" si="52"/>
        <v>-</v>
      </c>
      <c r="X89" s="10" t="str">
        <f t="shared" si="53"/>
        <v>-</v>
      </c>
      <c r="Y89" s="13" t="str">
        <f t="shared" si="68"/>
        <v>-</v>
      </c>
      <c r="Z89" s="9" t="str">
        <f t="shared" si="54"/>
        <v>-</v>
      </c>
      <c r="AA89" s="16" t="str">
        <f t="shared" si="69"/>
        <v>-</v>
      </c>
      <c r="AB89" s="16" t="str">
        <f t="shared" si="55"/>
        <v>-</v>
      </c>
      <c r="AC89" s="16" t="str">
        <f t="shared" si="56"/>
        <v>-</v>
      </c>
      <c r="AD89" s="16" t="str">
        <f t="shared" si="70"/>
        <v>-</v>
      </c>
      <c r="AE89" s="16"/>
      <c r="AF89" s="31" t="str">
        <f>IFERROR(INDEX(Tesco!$P$11:$P$165,MATCH('Calculations - Tesco'!C89,Tesco!$M$11:$M$165,0)),"")</f>
        <v/>
      </c>
      <c r="AG89" s="23" t="str">
        <f t="shared" si="71"/>
        <v/>
      </c>
      <c r="AH89" s="23" t="str">
        <f t="shared" si="71"/>
        <v/>
      </c>
      <c r="AI89" s="9" t="str">
        <f t="shared" si="57"/>
        <v/>
      </c>
      <c r="AJ89" s="4" t="str">
        <f t="shared" si="58"/>
        <v/>
      </c>
      <c r="AK89" s="4"/>
      <c r="AL89" s="4"/>
      <c r="AM89" s="4"/>
      <c r="AN89" s="4"/>
      <c r="AO89" s="4"/>
      <c r="AP89" s="20" t="str">
        <f t="shared" si="59"/>
        <v>-</v>
      </c>
      <c r="AQ89" s="13" t="str">
        <f t="shared" si="72"/>
        <v>-</v>
      </c>
      <c r="AR89" s="13" t="str">
        <f t="shared" si="73"/>
        <v>-</v>
      </c>
      <c r="AS89" s="13" t="str">
        <f t="shared" si="60"/>
        <v>-</v>
      </c>
      <c r="AT89" s="16" t="str">
        <f t="shared" si="74"/>
        <v>-</v>
      </c>
      <c r="AU89" s="16" t="str">
        <f t="shared" si="61"/>
        <v>-</v>
      </c>
      <c r="AV89" s="16" t="str">
        <f t="shared" si="62"/>
        <v>-</v>
      </c>
      <c r="AW89" s="16" t="str">
        <f t="shared" si="75"/>
        <v>-</v>
      </c>
      <c r="AX89" s="13" t="str">
        <f t="shared" si="76"/>
        <v>-</v>
      </c>
      <c r="AY89" s="10" t="str">
        <f t="shared" si="77"/>
        <v>-</v>
      </c>
      <c r="AZ89" s="9" t="str">
        <f t="shared" si="78"/>
        <v>-</v>
      </c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</row>
    <row r="90" spans="2:68" x14ac:dyDescent="0.3">
      <c r="B90" s="108" t="str">
        <f t="shared" si="63"/>
        <v/>
      </c>
      <c r="C90" s="108" t="str">
        <f t="shared" si="47"/>
        <v/>
      </c>
      <c r="D90" s="3"/>
      <c r="E90" s="3"/>
      <c r="F90" s="3"/>
      <c r="G90" s="20">
        <f>IFERROR(INDEX('Input - Tesco'!F$2:F$200,MATCH('Calculations - Tesco'!$C90,'Input - Tesco'!$B$2:$B$200,0)),"")</f>
        <v>0</v>
      </c>
      <c r="H90" s="20">
        <f>IFERROR(INDEX('Input - Tesco'!G$2:G$200,MATCH('Calculations - Tesco'!$C90,'Input - Tesco'!$B$2:$B$200,0)),"")</f>
        <v>0</v>
      </c>
      <c r="I90" s="21">
        <f>IFERROR(INDEX('Input - Tesco'!H$2:H$200,MATCH('Calculations - Tesco'!$C90,'Input - Tesco'!$B$2:$B$200,0)),"")</f>
        <v>0</v>
      </c>
      <c r="J90" s="21">
        <f>IFERROR(INDEX('Input - Tesco'!I$2:I$200,MATCH('Calculations - Tesco'!$C90,'Input - Tesco'!$B$2:$B$200,0)),"")</f>
        <v>0</v>
      </c>
      <c r="K90" s="20">
        <f>IFERROR(INDEX('Input - Tesco'!J$2:J$200,MATCH('Calculations - Tesco'!$C90,'Input - Tesco'!$B$2:$B$200,0)),"")</f>
        <v>0</v>
      </c>
      <c r="L90" s="20">
        <f>IFERROR(INDEX('Input - Tesco'!K$2:K$200,MATCH('Calculations - Tesco'!$C90,'Input - Tesco'!$B$2:$B$200,0)),"")</f>
        <v>0</v>
      </c>
      <c r="M90" s="21" t="str">
        <f t="shared" si="64"/>
        <v/>
      </c>
      <c r="N90" s="21" t="str">
        <f t="shared" si="48"/>
        <v/>
      </c>
      <c r="O90" s="21">
        <f t="shared" si="65"/>
        <v>0</v>
      </c>
      <c r="P90" s="9">
        <f t="shared" si="79"/>
        <v>0</v>
      </c>
      <c r="Q90" s="9">
        <f t="shared" si="80"/>
        <v>0</v>
      </c>
      <c r="R90" s="22" t="str">
        <f>IFERROR(INDEX(Tesco!$Q$11:$Q$165,MATCH('Calculations - Tesco'!$C90,Tesco!$M$11:$M$165,0)),"")</f>
        <v/>
      </c>
      <c r="S90" s="22" t="str">
        <f>IFERROR(INDEX(Tesco!$R$11:$R$165,MATCH('Calculations - Tesco'!$C90,Tesco!$M$11:$M$165,0)),"")</f>
        <v/>
      </c>
      <c r="T90" s="16" t="e">
        <f t="shared" si="51"/>
        <v>#VALUE!</v>
      </c>
      <c r="U90" s="16" t="e">
        <f t="shared" si="66"/>
        <v>#VALUE!</v>
      </c>
      <c r="V90" s="16" t="e">
        <f t="shared" si="67"/>
        <v>#VALUE!</v>
      </c>
      <c r="W90" s="10" t="str">
        <f t="shared" si="52"/>
        <v>-</v>
      </c>
      <c r="X90" s="10" t="str">
        <f t="shared" si="53"/>
        <v>-</v>
      </c>
      <c r="Y90" s="13" t="str">
        <f t="shared" si="68"/>
        <v>-</v>
      </c>
      <c r="Z90" s="9" t="str">
        <f t="shared" si="54"/>
        <v>-</v>
      </c>
      <c r="AA90" s="16" t="str">
        <f t="shared" si="69"/>
        <v>-</v>
      </c>
      <c r="AB90" s="16" t="str">
        <f t="shared" si="55"/>
        <v>-</v>
      </c>
      <c r="AC90" s="16" t="str">
        <f t="shared" si="56"/>
        <v>-</v>
      </c>
      <c r="AD90" s="16" t="str">
        <f t="shared" si="70"/>
        <v>-</v>
      </c>
      <c r="AE90" s="16"/>
      <c r="AF90" s="31" t="str">
        <f>IFERROR(INDEX(Tesco!$P$11:$P$165,MATCH('Calculations - Tesco'!C90,Tesco!$M$11:$M$165,0)),"")</f>
        <v/>
      </c>
      <c r="AG90" s="23" t="str">
        <f t="shared" si="71"/>
        <v/>
      </c>
      <c r="AH90" s="23" t="str">
        <f t="shared" si="71"/>
        <v/>
      </c>
      <c r="AI90" s="9" t="str">
        <f t="shared" si="57"/>
        <v/>
      </c>
      <c r="AJ90" s="4" t="str">
        <f t="shared" si="58"/>
        <v/>
      </c>
      <c r="AK90" s="4"/>
      <c r="AL90" s="4"/>
      <c r="AM90" s="4"/>
      <c r="AN90" s="4"/>
      <c r="AO90" s="4"/>
      <c r="AP90" s="20" t="str">
        <f t="shared" si="59"/>
        <v>-</v>
      </c>
      <c r="AQ90" s="13" t="str">
        <f t="shared" si="72"/>
        <v>-</v>
      </c>
      <c r="AR90" s="13" t="str">
        <f t="shared" si="73"/>
        <v>-</v>
      </c>
      <c r="AS90" s="13" t="str">
        <f t="shared" si="60"/>
        <v>-</v>
      </c>
      <c r="AT90" s="16" t="str">
        <f t="shared" si="74"/>
        <v>-</v>
      </c>
      <c r="AU90" s="16" t="str">
        <f t="shared" si="61"/>
        <v>-</v>
      </c>
      <c r="AV90" s="16" t="str">
        <f t="shared" si="62"/>
        <v>-</v>
      </c>
      <c r="AW90" s="16" t="str">
        <f t="shared" si="75"/>
        <v>-</v>
      </c>
      <c r="AX90" s="13" t="str">
        <f t="shared" si="76"/>
        <v>-</v>
      </c>
      <c r="AY90" s="10" t="str">
        <f t="shared" si="77"/>
        <v>-</v>
      </c>
      <c r="AZ90" s="9" t="str">
        <f t="shared" si="78"/>
        <v>-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</row>
    <row r="91" spans="2:68" x14ac:dyDescent="0.3">
      <c r="B91" s="108" t="str">
        <f t="shared" si="63"/>
        <v/>
      </c>
      <c r="C91" s="108" t="str">
        <f t="shared" si="47"/>
        <v/>
      </c>
      <c r="D91" s="3"/>
      <c r="E91" s="3"/>
      <c r="F91" s="3"/>
      <c r="G91" s="20">
        <f>IFERROR(INDEX('Input - Tesco'!F$2:F$200,MATCH('Calculations - Tesco'!$C91,'Input - Tesco'!$B$2:$B$200,0)),"")</f>
        <v>0</v>
      </c>
      <c r="H91" s="20">
        <f>IFERROR(INDEX('Input - Tesco'!G$2:G$200,MATCH('Calculations - Tesco'!$C91,'Input - Tesco'!$B$2:$B$200,0)),"")</f>
        <v>0</v>
      </c>
      <c r="I91" s="21">
        <f>IFERROR(INDEX('Input - Tesco'!H$2:H$200,MATCH('Calculations - Tesco'!$C91,'Input - Tesco'!$B$2:$B$200,0)),"")</f>
        <v>0</v>
      </c>
      <c r="J91" s="21">
        <f>IFERROR(INDEX('Input - Tesco'!I$2:I$200,MATCH('Calculations - Tesco'!$C91,'Input - Tesco'!$B$2:$B$200,0)),"")</f>
        <v>0</v>
      </c>
      <c r="K91" s="20">
        <f>IFERROR(INDEX('Input - Tesco'!J$2:J$200,MATCH('Calculations - Tesco'!$C91,'Input - Tesco'!$B$2:$B$200,0)),"")</f>
        <v>0</v>
      </c>
      <c r="L91" s="20">
        <f>IFERROR(INDEX('Input - Tesco'!K$2:K$200,MATCH('Calculations - Tesco'!$C91,'Input - Tesco'!$B$2:$B$200,0)),"")</f>
        <v>0</v>
      </c>
      <c r="M91" s="21" t="str">
        <f t="shared" si="64"/>
        <v/>
      </c>
      <c r="N91" s="21" t="str">
        <f t="shared" si="48"/>
        <v/>
      </c>
      <c r="O91" s="21">
        <f t="shared" si="65"/>
        <v>0</v>
      </c>
      <c r="P91" s="9">
        <f t="shared" si="79"/>
        <v>0</v>
      </c>
      <c r="Q91" s="9">
        <f t="shared" si="80"/>
        <v>0</v>
      </c>
      <c r="R91" s="22" t="str">
        <f>IFERROR(INDEX(Tesco!$Q$11:$Q$165,MATCH('Calculations - Tesco'!$C91,Tesco!$M$11:$M$165,0)),"")</f>
        <v/>
      </c>
      <c r="S91" s="22" t="str">
        <f>IFERROR(INDEX(Tesco!$R$11:$R$165,MATCH('Calculations - Tesco'!$C91,Tesco!$M$11:$M$165,0)),"")</f>
        <v/>
      </c>
      <c r="T91" s="16" t="e">
        <f t="shared" si="51"/>
        <v>#VALUE!</v>
      </c>
      <c r="U91" s="16" t="e">
        <f t="shared" si="66"/>
        <v>#VALUE!</v>
      </c>
      <c r="V91" s="16" t="e">
        <f t="shared" si="67"/>
        <v>#VALUE!</v>
      </c>
      <c r="W91" s="10" t="str">
        <f t="shared" si="52"/>
        <v>-</v>
      </c>
      <c r="X91" s="10" t="str">
        <f t="shared" si="53"/>
        <v>-</v>
      </c>
      <c r="Y91" s="13" t="str">
        <f t="shared" si="68"/>
        <v>-</v>
      </c>
      <c r="Z91" s="9" t="str">
        <f t="shared" si="54"/>
        <v>-</v>
      </c>
      <c r="AA91" s="16" t="str">
        <f t="shared" si="69"/>
        <v>-</v>
      </c>
      <c r="AB91" s="16" t="str">
        <f t="shared" si="55"/>
        <v>-</v>
      </c>
      <c r="AC91" s="16" t="str">
        <f t="shared" si="56"/>
        <v>-</v>
      </c>
      <c r="AD91" s="16" t="str">
        <f t="shared" si="70"/>
        <v>-</v>
      </c>
      <c r="AE91" s="16"/>
      <c r="AF91" s="31" t="str">
        <f>IFERROR(INDEX(Tesco!$P$11:$P$165,MATCH('Calculations - Tesco'!C91,Tesco!$M$11:$M$165,0)),"")</f>
        <v/>
      </c>
      <c r="AG91" s="23" t="str">
        <f t="shared" si="71"/>
        <v/>
      </c>
      <c r="AH91" s="23" t="str">
        <f t="shared" si="71"/>
        <v/>
      </c>
      <c r="AI91" s="9" t="str">
        <f t="shared" si="57"/>
        <v/>
      </c>
      <c r="AJ91" s="4" t="str">
        <f t="shared" si="58"/>
        <v/>
      </c>
      <c r="AK91" s="4"/>
      <c r="AL91" s="4"/>
      <c r="AM91" s="4"/>
      <c r="AN91" s="4"/>
      <c r="AO91" s="4"/>
      <c r="AP91" s="20" t="str">
        <f t="shared" si="59"/>
        <v>-</v>
      </c>
      <c r="AQ91" s="13" t="str">
        <f t="shared" si="72"/>
        <v>-</v>
      </c>
      <c r="AR91" s="13" t="str">
        <f t="shared" si="73"/>
        <v>-</v>
      </c>
      <c r="AS91" s="13" t="str">
        <f t="shared" si="60"/>
        <v>-</v>
      </c>
      <c r="AT91" s="16" t="str">
        <f t="shared" si="74"/>
        <v>-</v>
      </c>
      <c r="AU91" s="16" t="str">
        <f t="shared" si="61"/>
        <v>-</v>
      </c>
      <c r="AV91" s="16" t="str">
        <f t="shared" si="62"/>
        <v>-</v>
      </c>
      <c r="AW91" s="16" t="str">
        <f t="shared" si="75"/>
        <v>-</v>
      </c>
      <c r="AX91" s="13" t="str">
        <f t="shared" si="76"/>
        <v>-</v>
      </c>
      <c r="AY91" s="10" t="str">
        <f t="shared" si="77"/>
        <v>-</v>
      </c>
      <c r="AZ91" s="9" t="str">
        <f t="shared" si="78"/>
        <v>-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</row>
    <row r="92" spans="2:68" x14ac:dyDescent="0.3">
      <c r="B92" s="108" t="str">
        <f t="shared" si="63"/>
        <v/>
      </c>
      <c r="C92" s="108" t="str">
        <f t="shared" si="47"/>
        <v/>
      </c>
      <c r="D92" s="3"/>
      <c r="E92" s="3"/>
      <c r="F92" s="3"/>
      <c r="G92" s="20">
        <f>IFERROR(INDEX('Input - Tesco'!F$2:F$200,MATCH('Calculations - Tesco'!$C92,'Input - Tesco'!$B$2:$B$200,0)),"")</f>
        <v>0</v>
      </c>
      <c r="H92" s="20">
        <f>IFERROR(INDEX('Input - Tesco'!G$2:G$200,MATCH('Calculations - Tesco'!$C92,'Input - Tesco'!$B$2:$B$200,0)),"")</f>
        <v>0</v>
      </c>
      <c r="I92" s="21">
        <f>IFERROR(INDEX('Input - Tesco'!H$2:H$200,MATCH('Calculations - Tesco'!$C92,'Input - Tesco'!$B$2:$B$200,0)),"")</f>
        <v>0</v>
      </c>
      <c r="J92" s="21">
        <f>IFERROR(INDEX('Input - Tesco'!I$2:I$200,MATCH('Calculations - Tesco'!$C92,'Input - Tesco'!$B$2:$B$200,0)),"")</f>
        <v>0</v>
      </c>
      <c r="K92" s="20">
        <f>IFERROR(INDEX('Input - Tesco'!J$2:J$200,MATCH('Calculations - Tesco'!$C92,'Input - Tesco'!$B$2:$B$200,0)),"")</f>
        <v>0</v>
      </c>
      <c r="L92" s="20">
        <f>IFERROR(INDEX('Input - Tesco'!K$2:K$200,MATCH('Calculations - Tesco'!$C92,'Input - Tesco'!$B$2:$B$200,0)),"")</f>
        <v>0</v>
      </c>
      <c r="M92" s="21" t="str">
        <f t="shared" si="64"/>
        <v/>
      </c>
      <c r="N92" s="21" t="str">
        <f t="shared" si="48"/>
        <v/>
      </c>
      <c r="O92" s="21">
        <f t="shared" si="65"/>
        <v>0</v>
      </c>
      <c r="P92" s="9">
        <f t="shared" si="79"/>
        <v>0</v>
      </c>
      <c r="Q92" s="9">
        <f t="shared" si="80"/>
        <v>0</v>
      </c>
      <c r="R92" s="22" t="str">
        <f>IFERROR(INDEX(Tesco!$Q$11:$Q$165,MATCH('Calculations - Tesco'!$C92,Tesco!$M$11:$M$165,0)),"")</f>
        <v/>
      </c>
      <c r="S92" s="22" t="str">
        <f>IFERROR(INDEX(Tesco!$R$11:$R$165,MATCH('Calculations - Tesco'!$C92,Tesco!$M$11:$M$165,0)),"")</f>
        <v/>
      </c>
      <c r="T92" s="16" t="e">
        <f t="shared" si="51"/>
        <v>#VALUE!</v>
      </c>
      <c r="U92" s="16" t="e">
        <f t="shared" si="66"/>
        <v>#VALUE!</v>
      </c>
      <c r="V92" s="16" t="e">
        <f t="shared" si="67"/>
        <v>#VALUE!</v>
      </c>
      <c r="W92" s="10" t="str">
        <f t="shared" si="52"/>
        <v>-</v>
      </c>
      <c r="X92" s="10" t="str">
        <f t="shared" si="53"/>
        <v>-</v>
      </c>
      <c r="Y92" s="13" t="str">
        <f t="shared" si="68"/>
        <v>-</v>
      </c>
      <c r="Z92" s="9" t="str">
        <f t="shared" si="54"/>
        <v>-</v>
      </c>
      <c r="AA92" s="16" t="str">
        <f t="shared" si="69"/>
        <v>-</v>
      </c>
      <c r="AB92" s="16" t="str">
        <f t="shared" si="55"/>
        <v>-</v>
      </c>
      <c r="AC92" s="16" t="str">
        <f t="shared" si="56"/>
        <v>-</v>
      </c>
      <c r="AD92" s="16" t="str">
        <f t="shared" si="70"/>
        <v>-</v>
      </c>
      <c r="AE92" s="16"/>
      <c r="AF92" s="31" t="str">
        <f>IFERROR(INDEX(Tesco!$P$11:$P$165,MATCH('Calculations - Tesco'!C92,Tesco!$M$11:$M$165,0)),"")</f>
        <v/>
      </c>
      <c r="AG92" s="23" t="str">
        <f t="shared" si="71"/>
        <v/>
      </c>
      <c r="AH92" s="23" t="str">
        <f t="shared" si="71"/>
        <v/>
      </c>
      <c r="AI92" s="9" t="str">
        <f t="shared" si="57"/>
        <v/>
      </c>
      <c r="AJ92" s="4" t="str">
        <f t="shared" si="58"/>
        <v/>
      </c>
      <c r="AK92" s="4"/>
      <c r="AL92" s="4"/>
      <c r="AM92" s="4"/>
      <c r="AN92" s="4"/>
      <c r="AO92" s="4"/>
      <c r="AP92" s="20" t="str">
        <f t="shared" si="59"/>
        <v>-</v>
      </c>
      <c r="AQ92" s="13" t="str">
        <f t="shared" si="72"/>
        <v>-</v>
      </c>
      <c r="AR92" s="13" t="str">
        <f t="shared" si="73"/>
        <v>-</v>
      </c>
      <c r="AS92" s="13" t="str">
        <f t="shared" si="60"/>
        <v>-</v>
      </c>
      <c r="AT92" s="16" t="str">
        <f t="shared" si="74"/>
        <v>-</v>
      </c>
      <c r="AU92" s="16" t="str">
        <f t="shared" si="61"/>
        <v>-</v>
      </c>
      <c r="AV92" s="16" t="str">
        <f t="shared" si="62"/>
        <v>-</v>
      </c>
      <c r="AW92" s="16" t="str">
        <f t="shared" si="75"/>
        <v>-</v>
      </c>
      <c r="AX92" s="13" t="str">
        <f t="shared" si="76"/>
        <v>-</v>
      </c>
      <c r="AY92" s="10" t="str">
        <f t="shared" si="77"/>
        <v>-</v>
      </c>
      <c r="AZ92" s="9" t="str">
        <f t="shared" si="78"/>
        <v>-</v>
      </c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</row>
    <row r="93" spans="2:68" x14ac:dyDescent="0.3">
      <c r="B93" s="108" t="str">
        <f t="shared" si="63"/>
        <v/>
      </c>
      <c r="C93" s="108" t="str">
        <f t="shared" si="47"/>
        <v/>
      </c>
      <c r="D93" s="3"/>
      <c r="E93" s="3"/>
      <c r="F93" s="3"/>
      <c r="G93" s="20">
        <f>IFERROR(INDEX('Input - Tesco'!F$2:F$200,MATCH('Calculations - Tesco'!$C93,'Input - Tesco'!$B$2:$B$200,0)),"")</f>
        <v>0</v>
      </c>
      <c r="H93" s="20">
        <f>IFERROR(INDEX('Input - Tesco'!G$2:G$200,MATCH('Calculations - Tesco'!$C93,'Input - Tesco'!$B$2:$B$200,0)),"")</f>
        <v>0</v>
      </c>
      <c r="I93" s="21">
        <f>IFERROR(INDEX('Input - Tesco'!H$2:H$200,MATCH('Calculations - Tesco'!$C93,'Input - Tesco'!$B$2:$B$200,0)),"")</f>
        <v>0</v>
      </c>
      <c r="J93" s="21">
        <f>IFERROR(INDEX('Input - Tesco'!I$2:I$200,MATCH('Calculations - Tesco'!$C93,'Input - Tesco'!$B$2:$B$200,0)),"")</f>
        <v>0</v>
      </c>
      <c r="K93" s="20">
        <f>IFERROR(INDEX('Input - Tesco'!J$2:J$200,MATCH('Calculations - Tesco'!$C93,'Input - Tesco'!$B$2:$B$200,0)),"")</f>
        <v>0</v>
      </c>
      <c r="L93" s="20">
        <f>IFERROR(INDEX('Input - Tesco'!K$2:K$200,MATCH('Calculations - Tesco'!$C93,'Input - Tesco'!$B$2:$B$200,0)),"")</f>
        <v>0</v>
      </c>
      <c r="M93" s="21" t="str">
        <f t="shared" si="64"/>
        <v/>
      </c>
      <c r="N93" s="21" t="str">
        <f t="shared" si="48"/>
        <v/>
      </c>
      <c r="O93" s="21">
        <f t="shared" si="65"/>
        <v>0</v>
      </c>
      <c r="P93" s="9">
        <f t="shared" si="79"/>
        <v>0</v>
      </c>
      <c r="Q93" s="9">
        <f t="shared" si="80"/>
        <v>0</v>
      </c>
      <c r="R93" s="22" t="str">
        <f>IFERROR(INDEX(Tesco!$Q$11:$Q$165,MATCH('Calculations - Tesco'!$C93,Tesco!$M$11:$M$165,0)),"")</f>
        <v/>
      </c>
      <c r="S93" s="22" t="str">
        <f>IFERROR(INDEX(Tesco!$R$11:$R$165,MATCH('Calculations - Tesco'!$C93,Tesco!$M$11:$M$165,0)),"")</f>
        <v/>
      </c>
      <c r="T93" s="16" t="e">
        <f t="shared" si="51"/>
        <v>#VALUE!</v>
      </c>
      <c r="U93" s="16" t="e">
        <f t="shared" si="66"/>
        <v>#VALUE!</v>
      </c>
      <c r="V93" s="16" t="e">
        <f t="shared" si="67"/>
        <v>#VALUE!</v>
      </c>
      <c r="W93" s="10" t="str">
        <f t="shared" si="52"/>
        <v>-</v>
      </c>
      <c r="X93" s="10" t="str">
        <f t="shared" si="53"/>
        <v>-</v>
      </c>
      <c r="Y93" s="13" t="str">
        <f t="shared" si="68"/>
        <v>-</v>
      </c>
      <c r="Z93" s="9" t="str">
        <f t="shared" si="54"/>
        <v>-</v>
      </c>
      <c r="AA93" s="16" t="str">
        <f t="shared" si="69"/>
        <v>-</v>
      </c>
      <c r="AB93" s="16" t="str">
        <f t="shared" si="55"/>
        <v>-</v>
      </c>
      <c r="AC93" s="16" t="str">
        <f t="shared" si="56"/>
        <v>-</v>
      </c>
      <c r="AD93" s="16" t="str">
        <f t="shared" si="70"/>
        <v>-</v>
      </c>
      <c r="AE93" s="16"/>
      <c r="AF93" s="31" t="str">
        <f>IFERROR(INDEX(Tesco!$P$11:$P$165,MATCH('Calculations - Tesco'!C93,Tesco!$M$11:$M$165,0)),"")</f>
        <v/>
      </c>
      <c r="AG93" s="23" t="str">
        <f t="shared" si="71"/>
        <v/>
      </c>
      <c r="AH93" s="23" t="str">
        <f t="shared" si="71"/>
        <v/>
      </c>
      <c r="AI93" s="9" t="str">
        <f t="shared" si="57"/>
        <v/>
      </c>
      <c r="AJ93" s="4" t="str">
        <f t="shared" si="58"/>
        <v/>
      </c>
      <c r="AK93" s="4"/>
      <c r="AL93" s="4"/>
      <c r="AM93" s="4"/>
      <c r="AN93" s="4"/>
      <c r="AO93" s="4"/>
      <c r="AP93" s="20" t="str">
        <f t="shared" si="59"/>
        <v>-</v>
      </c>
      <c r="AQ93" s="13" t="str">
        <f t="shared" si="72"/>
        <v>-</v>
      </c>
      <c r="AR93" s="13" t="str">
        <f t="shared" si="73"/>
        <v>-</v>
      </c>
      <c r="AS93" s="13" t="str">
        <f t="shared" si="60"/>
        <v>-</v>
      </c>
      <c r="AT93" s="16" t="str">
        <f t="shared" si="74"/>
        <v>-</v>
      </c>
      <c r="AU93" s="16" t="str">
        <f t="shared" si="61"/>
        <v>-</v>
      </c>
      <c r="AV93" s="16" t="str">
        <f t="shared" si="62"/>
        <v>-</v>
      </c>
      <c r="AW93" s="16" t="str">
        <f t="shared" si="75"/>
        <v>-</v>
      </c>
      <c r="AX93" s="13" t="str">
        <f t="shared" si="76"/>
        <v>-</v>
      </c>
      <c r="AY93" s="10" t="str">
        <f t="shared" si="77"/>
        <v>-</v>
      </c>
      <c r="AZ93" s="9" t="str">
        <f t="shared" si="78"/>
        <v>-</v>
      </c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</row>
    <row r="94" spans="2:68" x14ac:dyDescent="0.3">
      <c r="B94" s="108" t="str">
        <f t="shared" si="63"/>
        <v/>
      </c>
      <c r="C94" s="108" t="str">
        <f t="shared" si="47"/>
        <v/>
      </c>
      <c r="D94" s="3"/>
      <c r="E94" s="3"/>
      <c r="F94" s="3"/>
      <c r="G94" s="20">
        <f>IFERROR(INDEX('Input - Tesco'!F$2:F$200,MATCH('Calculations - Tesco'!$C94,'Input - Tesco'!$B$2:$B$200,0)),"")</f>
        <v>0</v>
      </c>
      <c r="H94" s="20">
        <f>IFERROR(INDEX('Input - Tesco'!G$2:G$200,MATCH('Calculations - Tesco'!$C94,'Input - Tesco'!$B$2:$B$200,0)),"")</f>
        <v>0</v>
      </c>
      <c r="I94" s="21">
        <f>IFERROR(INDEX('Input - Tesco'!H$2:H$200,MATCH('Calculations - Tesco'!$C94,'Input - Tesco'!$B$2:$B$200,0)),"")</f>
        <v>0</v>
      </c>
      <c r="J94" s="21">
        <f>IFERROR(INDEX('Input - Tesco'!I$2:I$200,MATCH('Calculations - Tesco'!$C94,'Input - Tesco'!$B$2:$B$200,0)),"")</f>
        <v>0</v>
      </c>
      <c r="K94" s="20">
        <f>IFERROR(INDEX('Input - Tesco'!J$2:J$200,MATCH('Calculations - Tesco'!$C94,'Input - Tesco'!$B$2:$B$200,0)),"")</f>
        <v>0</v>
      </c>
      <c r="L94" s="20">
        <f>IFERROR(INDEX('Input - Tesco'!K$2:K$200,MATCH('Calculations - Tesco'!$C94,'Input - Tesco'!$B$2:$B$200,0)),"")</f>
        <v>0</v>
      </c>
      <c r="M94" s="21" t="str">
        <f t="shared" si="64"/>
        <v/>
      </c>
      <c r="N94" s="21" t="str">
        <f t="shared" si="48"/>
        <v/>
      </c>
      <c r="O94" s="21">
        <f t="shared" si="65"/>
        <v>0</v>
      </c>
      <c r="P94" s="9">
        <f t="shared" si="79"/>
        <v>0</v>
      </c>
      <c r="Q94" s="9">
        <f t="shared" si="80"/>
        <v>0</v>
      </c>
      <c r="R94" s="22" t="str">
        <f>IFERROR(INDEX(Tesco!$Q$11:$Q$165,MATCH('Calculations - Tesco'!$C94,Tesco!$M$11:$M$165,0)),"")</f>
        <v/>
      </c>
      <c r="S94" s="22" t="str">
        <f>IFERROR(INDEX(Tesco!$R$11:$R$165,MATCH('Calculations - Tesco'!$C94,Tesco!$M$11:$M$165,0)),"")</f>
        <v/>
      </c>
      <c r="T94" s="16" t="e">
        <f t="shared" si="51"/>
        <v>#VALUE!</v>
      </c>
      <c r="U94" s="16" t="e">
        <f t="shared" si="66"/>
        <v>#VALUE!</v>
      </c>
      <c r="V94" s="16" t="e">
        <f t="shared" si="67"/>
        <v>#VALUE!</v>
      </c>
      <c r="W94" s="10" t="str">
        <f t="shared" si="52"/>
        <v>-</v>
      </c>
      <c r="X94" s="10" t="str">
        <f t="shared" si="53"/>
        <v>-</v>
      </c>
      <c r="Y94" s="13" t="str">
        <f t="shared" si="68"/>
        <v>-</v>
      </c>
      <c r="Z94" s="9" t="str">
        <f t="shared" si="54"/>
        <v>-</v>
      </c>
      <c r="AA94" s="16" t="str">
        <f t="shared" si="69"/>
        <v>-</v>
      </c>
      <c r="AB94" s="16" t="str">
        <f t="shared" si="55"/>
        <v>-</v>
      </c>
      <c r="AC94" s="16" t="str">
        <f t="shared" si="56"/>
        <v>-</v>
      </c>
      <c r="AD94" s="16" t="str">
        <f t="shared" si="70"/>
        <v>-</v>
      </c>
      <c r="AE94" s="16"/>
      <c r="AF94" s="31" t="str">
        <f>IFERROR(INDEX(Tesco!$P$11:$P$165,MATCH('Calculations - Tesco'!C94,Tesco!$M$11:$M$165,0)),"")</f>
        <v/>
      </c>
      <c r="AG94" s="23" t="str">
        <f t="shared" si="71"/>
        <v/>
      </c>
      <c r="AH94" s="23" t="str">
        <f t="shared" si="71"/>
        <v/>
      </c>
      <c r="AI94" s="9" t="str">
        <f t="shared" si="57"/>
        <v/>
      </c>
      <c r="AJ94" s="4" t="str">
        <f t="shared" si="58"/>
        <v/>
      </c>
      <c r="AK94" s="4"/>
      <c r="AL94" s="4"/>
      <c r="AM94" s="4"/>
      <c r="AN94" s="4"/>
      <c r="AO94" s="4"/>
      <c r="AP94" s="20" t="str">
        <f t="shared" si="59"/>
        <v>-</v>
      </c>
      <c r="AQ94" s="13" t="str">
        <f t="shared" si="72"/>
        <v>-</v>
      </c>
      <c r="AR94" s="13" t="str">
        <f t="shared" si="73"/>
        <v>-</v>
      </c>
      <c r="AS94" s="13" t="str">
        <f t="shared" si="60"/>
        <v>-</v>
      </c>
      <c r="AT94" s="16" t="str">
        <f t="shared" si="74"/>
        <v>-</v>
      </c>
      <c r="AU94" s="16" t="str">
        <f t="shared" si="61"/>
        <v>-</v>
      </c>
      <c r="AV94" s="16" t="str">
        <f t="shared" si="62"/>
        <v>-</v>
      </c>
      <c r="AW94" s="16" t="str">
        <f t="shared" si="75"/>
        <v>-</v>
      </c>
      <c r="AX94" s="13" t="str">
        <f t="shared" si="76"/>
        <v>-</v>
      </c>
      <c r="AY94" s="10" t="str">
        <f t="shared" si="77"/>
        <v>-</v>
      </c>
      <c r="AZ94" s="9" t="str">
        <f t="shared" si="78"/>
        <v>-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</row>
    <row r="95" spans="2:68" x14ac:dyDescent="0.3">
      <c r="B95" s="108" t="str">
        <f t="shared" si="63"/>
        <v/>
      </c>
      <c r="C95" s="108" t="str">
        <f t="shared" si="47"/>
        <v/>
      </c>
      <c r="D95" s="3"/>
      <c r="E95" s="3"/>
      <c r="F95" s="3"/>
      <c r="G95" s="20">
        <f>IFERROR(INDEX('Input - Tesco'!F$2:F$200,MATCH('Calculations - Tesco'!$C95,'Input - Tesco'!$B$2:$B$200,0)),"")</f>
        <v>0</v>
      </c>
      <c r="H95" s="20">
        <f>IFERROR(INDEX('Input - Tesco'!G$2:G$200,MATCH('Calculations - Tesco'!$C95,'Input - Tesco'!$B$2:$B$200,0)),"")</f>
        <v>0</v>
      </c>
      <c r="I95" s="21">
        <f>IFERROR(INDEX('Input - Tesco'!H$2:H$200,MATCH('Calculations - Tesco'!$C95,'Input - Tesco'!$B$2:$B$200,0)),"")</f>
        <v>0</v>
      </c>
      <c r="J95" s="21">
        <f>IFERROR(INDEX('Input - Tesco'!I$2:I$200,MATCH('Calculations - Tesco'!$C95,'Input - Tesco'!$B$2:$B$200,0)),"")</f>
        <v>0</v>
      </c>
      <c r="K95" s="20">
        <f>IFERROR(INDEX('Input - Tesco'!J$2:J$200,MATCH('Calculations - Tesco'!$C95,'Input - Tesco'!$B$2:$B$200,0)),"")</f>
        <v>0</v>
      </c>
      <c r="L95" s="20">
        <f>IFERROR(INDEX('Input - Tesco'!K$2:K$200,MATCH('Calculations - Tesco'!$C95,'Input - Tesco'!$B$2:$B$200,0)),"")</f>
        <v>0</v>
      </c>
      <c r="M95" s="21" t="str">
        <f t="shared" si="64"/>
        <v/>
      </c>
      <c r="N95" s="21" t="str">
        <f t="shared" si="48"/>
        <v/>
      </c>
      <c r="O95" s="21">
        <f t="shared" si="65"/>
        <v>0</v>
      </c>
      <c r="P95" s="9">
        <f t="shared" si="79"/>
        <v>0</v>
      </c>
      <c r="Q95" s="9">
        <f t="shared" si="80"/>
        <v>0</v>
      </c>
      <c r="R95" s="22" t="str">
        <f>IFERROR(INDEX(Tesco!$Q$11:$Q$165,MATCH('Calculations - Tesco'!$C95,Tesco!$M$11:$M$165,0)),"")</f>
        <v/>
      </c>
      <c r="S95" s="22" t="str">
        <f>IFERROR(INDEX(Tesco!$R$11:$R$165,MATCH('Calculations - Tesco'!$C95,Tesco!$M$11:$M$165,0)),"")</f>
        <v/>
      </c>
      <c r="T95" s="16" t="e">
        <f t="shared" si="51"/>
        <v>#VALUE!</v>
      </c>
      <c r="U95" s="16" t="e">
        <f t="shared" si="66"/>
        <v>#VALUE!</v>
      </c>
      <c r="V95" s="16" t="e">
        <f t="shared" si="67"/>
        <v>#VALUE!</v>
      </c>
      <c r="W95" s="10" t="str">
        <f t="shared" si="52"/>
        <v>-</v>
      </c>
      <c r="X95" s="10" t="str">
        <f t="shared" si="53"/>
        <v>-</v>
      </c>
      <c r="Y95" s="13" t="str">
        <f t="shared" si="68"/>
        <v>-</v>
      </c>
      <c r="Z95" s="9" t="str">
        <f t="shared" si="54"/>
        <v>-</v>
      </c>
      <c r="AA95" s="16" t="str">
        <f t="shared" si="69"/>
        <v>-</v>
      </c>
      <c r="AB95" s="16" t="str">
        <f t="shared" si="55"/>
        <v>-</v>
      </c>
      <c r="AC95" s="16" t="str">
        <f t="shared" si="56"/>
        <v>-</v>
      </c>
      <c r="AD95" s="16" t="str">
        <f t="shared" si="70"/>
        <v>-</v>
      </c>
      <c r="AE95" s="16"/>
      <c r="AF95" s="31" t="str">
        <f>IFERROR(INDEX(Tesco!$P$11:$P$165,MATCH('Calculations - Tesco'!C95,Tesco!$M$11:$M$165,0)),"")</f>
        <v/>
      </c>
      <c r="AG95" s="23" t="str">
        <f t="shared" si="71"/>
        <v/>
      </c>
      <c r="AH95" s="23" t="str">
        <f t="shared" si="71"/>
        <v/>
      </c>
      <c r="AI95" s="9" t="str">
        <f t="shared" si="57"/>
        <v/>
      </c>
      <c r="AJ95" s="4" t="str">
        <f t="shared" si="58"/>
        <v/>
      </c>
      <c r="AK95" s="4"/>
      <c r="AL95" s="4"/>
      <c r="AM95" s="4"/>
      <c r="AN95" s="4"/>
      <c r="AO95" s="4"/>
      <c r="AP95" s="20" t="str">
        <f t="shared" si="59"/>
        <v>-</v>
      </c>
      <c r="AQ95" s="13" t="str">
        <f t="shared" si="72"/>
        <v>-</v>
      </c>
      <c r="AR95" s="13" t="str">
        <f t="shared" si="73"/>
        <v>-</v>
      </c>
      <c r="AS95" s="13" t="str">
        <f t="shared" si="60"/>
        <v>-</v>
      </c>
      <c r="AT95" s="16" t="str">
        <f t="shared" si="74"/>
        <v>-</v>
      </c>
      <c r="AU95" s="16" t="str">
        <f t="shared" si="61"/>
        <v>-</v>
      </c>
      <c r="AV95" s="16" t="str">
        <f t="shared" si="62"/>
        <v>-</v>
      </c>
      <c r="AW95" s="16" t="str">
        <f t="shared" si="75"/>
        <v>-</v>
      </c>
      <c r="AX95" s="13" t="str">
        <f t="shared" si="76"/>
        <v>-</v>
      </c>
      <c r="AY95" s="10" t="str">
        <f t="shared" si="77"/>
        <v>-</v>
      </c>
      <c r="AZ95" s="9" t="str">
        <f t="shared" si="78"/>
        <v>-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</row>
    <row r="96" spans="2:68" x14ac:dyDescent="0.3">
      <c r="B96" s="108" t="str">
        <f t="shared" si="63"/>
        <v/>
      </c>
      <c r="C96" s="108" t="str">
        <f t="shared" ref="C96:C159" si="81">IFERROR(D96&amp;E96&amp;F96,"")</f>
        <v/>
      </c>
      <c r="D96" s="3"/>
      <c r="E96" s="3"/>
      <c r="F96" s="3"/>
      <c r="G96" s="20">
        <f>IFERROR(INDEX('Input - Tesco'!F$2:F$200,MATCH('Calculations - Tesco'!$C96,'Input - Tesco'!$B$2:$B$200,0)),"")</f>
        <v>0</v>
      </c>
      <c r="H96" s="20">
        <f>IFERROR(INDEX('Input - Tesco'!G$2:G$200,MATCH('Calculations - Tesco'!$C96,'Input - Tesco'!$B$2:$B$200,0)),"")</f>
        <v>0</v>
      </c>
      <c r="I96" s="21">
        <f>IFERROR(INDEX('Input - Tesco'!H$2:H$200,MATCH('Calculations - Tesco'!$C96,'Input - Tesco'!$B$2:$B$200,0)),"")</f>
        <v>0</v>
      </c>
      <c r="J96" s="21">
        <f>IFERROR(INDEX('Input - Tesco'!I$2:I$200,MATCH('Calculations - Tesco'!$C96,'Input - Tesco'!$B$2:$B$200,0)),"")</f>
        <v>0</v>
      </c>
      <c r="K96" s="20">
        <f>IFERROR(INDEX('Input - Tesco'!J$2:J$200,MATCH('Calculations - Tesco'!$C96,'Input - Tesco'!$B$2:$B$200,0)),"")</f>
        <v>0</v>
      </c>
      <c r="L96" s="20">
        <f>IFERROR(INDEX('Input - Tesco'!K$2:K$200,MATCH('Calculations - Tesco'!$C96,'Input - Tesco'!$B$2:$B$200,0)),"")</f>
        <v>0</v>
      </c>
      <c r="M96" s="21" t="str">
        <f t="shared" si="64"/>
        <v/>
      </c>
      <c r="N96" s="21" t="str">
        <f t="shared" ref="N96:N159" si="82">IFERROR(K96/L96,"")</f>
        <v/>
      </c>
      <c r="O96" s="21">
        <f t="shared" si="65"/>
        <v>0</v>
      </c>
      <c r="P96" s="9">
        <f t="shared" si="79"/>
        <v>0</v>
      </c>
      <c r="Q96" s="9">
        <f t="shared" si="80"/>
        <v>0</v>
      </c>
      <c r="R96" s="22" t="str">
        <f>IFERROR(INDEX(Tesco!$Q$11:$Q$165,MATCH('Calculations - Tesco'!$C96,Tesco!$M$11:$M$165,0)),"")</f>
        <v/>
      </c>
      <c r="S96" s="22" t="str">
        <f>IFERROR(INDEX(Tesco!$R$11:$R$165,MATCH('Calculations - Tesco'!$C96,Tesco!$M$11:$M$165,0)),"")</f>
        <v/>
      </c>
      <c r="T96" s="16" t="e">
        <f t="shared" ref="T96:T159" si="83">R96*G96</f>
        <v>#VALUE!</v>
      </c>
      <c r="U96" s="16" t="e">
        <f t="shared" si="66"/>
        <v>#VALUE!</v>
      </c>
      <c r="V96" s="16" t="e">
        <f t="shared" si="67"/>
        <v>#VALUE!</v>
      </c>
      <c r="W96" s="10" t="str">
        <f t="shared" ref="W96:W159" si="84">IFERROR(V96/H96,"-")</f>
        <v>-</v>
      </c>
      <c r="X96" s="10" t="str">
        <f t="shared" ref="X96:X159" si="85">IFERROR((J96+M96)*H96*0.5,"-")</f>
        <v>-</v>
      </c>
      <c r="Y96" s="13" t="str">
        <f t="shared" si="68"/>
        <v>-</v>
      </c>
      <c r="Z96" s="9" t="str">
        <f t="shared" ref="Z96:Z159" si="86">IFERROR(Y96-P96,"-")</f>
        <v>-</v>
      </c>
      <c r="AA96" s="16" t="str">
        <f t="shared" si="69"/>
        <v>-</v>
      </c>
      <c r="AB96" s="16" t="str">
        <f t="shared" ref="AB96:AB159" si="87">IFERROR(AA96/M96,"-")</f>
        <v>-</v>
      </c>
      <c r="AC96" s="16" t="str">
        <f t="shared" ref="AC96:AC159" si="88">IFERROR(R96*AA96,"-")</f>
        <v>-</v>
      </c>
      <c r="AD96" s="16" t="str">
        <f t="shared" si="70"/>
        <v>-</v>
      </c>
      <c r="AE96" s="16"/>
      <c r="AF96" s="31" t="str">
        <f>IFERROR(INDEX(Tesco!$P$11:$P$165,MATCH('Calculations - Tesco'!C96,Tesco!$M$11:$M$165,0)),"")</f>
        <v/>
      </c>
      <c r="AG96" s="23" t="str">
        <f t="shared" si="71"/>
        <v/>
      </c>
      <c r="AH96" s="23" t="str">
        <f t="shared" si="71"/>
        <v/>
      </c>
      <c r="AI96" s="9" t="str">
        <f t="shared" ref="AI96:AI159" si="89">IFERROR((AF96-M96)/M96,"")</f>
        <v/>
      </c>
      <c r="AJ96" s="4" t="str">
        <f t="shared" ref="AJ96:AJ159" si="90">IFERROR(MAX((1+AI96*O96/5)*H96,0),"")</f>
        <v/>
      </c>
      <c r="AK96" s="4"/>
      <c r="AL96" s="4"/>
      <c r="AM96" s="4"/>
      <c r="AN96" s="4"/>
      <c r="AO96" s="4"/>
      <c r="AP96" s="20" t="str">
        <f t="shared" ref="AP96:AP159" si="91">IFERROR(0.5*(J96+AF96)*AJ96,"-")</f>
        <v>-</v>
      </c>
      <c r="AQ96" s="13" t="str">
        <f t="shared" si="72"/>
        <v>-</v>
      </c>
      <c r="AR96" s="13" t="str">
        <f t="shared" si="73"/>
        <v>-</v>
      </c>
      <c r="AS96" s="13" t="str">
        <f t="shared" ref="AS96:AS159" si="92">IFERROR(AR96-P96,"-")</f>
        <v>-</v>
      </c>
      <c r="AT96" s="16" t="str">
        <f t="shared" si="74"/>
        <v>-</v>
      </c>
      <c r="AU96" s="16" t="str">
        <f t="shared" ref="AU96:AU159" si="93">IFERROR(AT96/AF96,"-")</f>
        <v>-</v>
      </c>
      <c r="AV96" s="16" t="str">
        <f t="shared" ref="AV96:AV159" si="94">IFERROR(AG96*AT96,"-")</f>
        <v>-</v>
      </c>
      <c r="AW96" s="16" t="str">
        <f t="shared" si="75"/>
        <v>-</v>
      </c>
      <c r="AX96" s="13" t="str">
        <f t="shared" si="76"/>
        <v>-</v>
      </c>
      <c r="AY96" s="10" t="str">
        <f t="shared" si="77"/>
        <v>-</v>
      </c>
      <c r="AZ96" s="9" t="str">
        <f t="shared" si="78"/>
        <v>-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</row>
    <row r="97" spans="2:68" x14ac:dyDescent="0.3">
      <c r="B97" s="108" t="str">
        <f t="shared" ref="B97:B160" si="95">IFERROR(D97&amp;E97,"")</f>
        <v/>
      </c>
      <c r="C97" s="108" t="str">
        <f t="shared" si="81"/>
        <v/>
      </c>
      <c r="D97" s="3"/>
      <c r="E97" s="3"/>
      <c r="F97" s="3"/>
      <c r="G97" s="20">
        <f>IFERROR(INDEX('Input - Tesco'!F$2:F$200,MATCH('Calculations - Tesco'!$C97,'Input - Tesco'!$B$2:$B$200,0)),"")</f>
        <v>0</v>
      </c>
      <c r="H97" s="20">
        <f>IFERROR(INDEX('Input - Tesco'!G$2:G$200,MATCH('Calculations - Tesco'!$C97,'Input - Tesco'!$B$2:$B$200,0)),"")</f>
        <v>0</v>
      </c>
      <c r="I97" s="21">
        <f>IFERROR(INDEX('Input - Tesco'!H$2:H$200,MATCH('Calculations - Tesco'!$C97,'Input - Tesco'!$B$2:$B$200,0)),"")</f>
        <v>0</v>
      </c>
      <c r="J97" s="21">
        <f>IFERROR(INDEX('Input - Tesco'!I$2:I$200,MATCH('Calculations - Tesco'!$C97,'Input - Tesco'!$B$2:$B$200,0)),"")</f>
        <v>0</v>
      </c>
      <c r="K97" s="20">
        <f>IFERROR(INDEX('Input - Tesco'!J$2:J$200,MATCH('Calculations - Tesco'!$C97,'Input - Tesco'!$B$2:$B$200,0)),"")</f>
        <v>0</v>
      </c>
      <c r="L97" s="20">
        <f>IFERROR(INDEX('Input - Tesco'!K$2:K$200,MATCH('Calculations - Tesco'!$C97,'Input - Tesco'!$B$2:$B$200,0)),"")</f>
        <v>0</v>
      </c>
      <c r="M97" s="21" t="str">
        <f t="shared" ref="M97:M160" si="96">IFERROR(G97/H97,"")</f>
        <v/>
      </c>
      <c r="N97" s="21" t="str">
        <f t="shared" si="82"/>
        <v/>
      </c>
      <c r="O97" s="21">
        <f t="shared" ref="O97:O160" si="97">IFERROR((M97/(M97-J97)*5),0)</f>
        <v>0</v>
      </c>
      <c r="P97" s="9">
        <f t="shared" si="79"/>
        <v>0</v>
      </c>
      <c r="Q97" s="9">
        <f t="shared" si="80"/>
        <v>0</v>
      </c>
      <c r="R97" s="22" t="str">
        <f>IFERROR(INDEX(Tesco!$Q$11:$Q$165,MATCH('Calculations - Tesco'!$C97,Tesco!$M$11:$M$165,0)),"")</f>
        <v/>
      </c>
      <c r="S97" s="22" t="str">
        <f>IFERROR(INDEX(Tesco!$R$11:$R$165,MATCH('Calculations - Tesco'!$C97,Tesco!$M$11:$M$165,0)),"")</f>
        <v/>
      </c>
      <c r="T97" s="16" t="e">
        <f t="shared" si="83"/>
        <v>#VALUE!</v>
      </c>
      <c r="U97" s="16" t="e">
        <f t="shared" ref="U97:U160" si="98">S97*T97</f>
        <v>#VALUE!</v>
      </c>
      <c r="V97" s="16" t="e">
        <f t="shared" ref="V97:V160" si="99">T97-U97</f>
        <v>#VALUE!</v>
      </c>
      <c r="W97" s="10" t="str">
        <f t="shared" si="84"/>
        <v>-</v>
      </c>
      <c r="X97" s="10" t="str">
        <f t="shared" si="85"/>
        <v>-</v>
      </c>
      <c r="Y97" s="13" t="str">
        <f t="shared" ref="Y97:Y160" si="100">IFERROR(X97/$X$30,"-")</f>
        <v>-</v>
      </c>
      <c r="Z97" s="9" t="str">
        <f t="shared" si="86"/>
        <v>-</v>
      </c>
      <c r="AA97" s="16" t="str">
        <f t="shared" ref="AA97:AA160" si="101">IFERROR(Y97*$G$30,"-")</f>
        <v>-</v>
      </c>
      <c r="AB97" s="16" t="str">
        <f t="shared" si="87"/>
        <v>-</v>
      </c>
      <c r="AC97" s="16" t="str">
        <f t="shared" si="88"/>
        <v>-</v>
      </c>
      <c r="AD97" s="16" t="str">
        <f t="shared" ref="AD97:AD160" si="102">IFERROR(AC97-(W97)*AB97,"-")</f>
        <v>-</v>
      </c>
      <c r="AE97" s="16"/>
      <c r="AF97" s="31" t="str">
        <f>IFERROR(INDEX(Tesco!$P$11:$P$165,MATCH('Calculations - Tesco'!C97,Tesco!$M$11:$M$165,0)),"")</f>
        <v/>
      </c>
      <c r="AG97" s="23" t="str">
        <f t="shared" ref="AG97:AH160" si="103">R97</f>
        <v/>
      </c>
      <c r="AH97" s="23" t="str">
        <f t="shared" si="103"/>
        <v/>
      </c>
      <c r="AI97" s="9" t="str">
        <f t="shared" si="89"/>
        <v/>
      </c>
      <c r="AJ97" s="4" t="str">
        <f t="shared" si="90"/>
        <v/>
      </c>
      <c r="AK97" s="4"/>
      <c r="AL97" s="4"/>
      <c r="AM97" s="4"/>
      <c r="AN97" s="4"/>
      <c r="AO97" s="4"/>
      <c r="AP97" s="20" t="str">
        <f t="shared" si="91"/>
        <v>-</v>
      </c>
      <c r="AQ97" s="13" t="str">
        <f t="shared" ref="AQ97:AQ160" si="104">IFERROR(AP97/AP$30,"-")</f>
        <v>-</v>
      </c>
      <c r="AR97" s="13" t="str">
        <f t="shared" ref="AR97:AR160" si="105">IFERROR(AQ97*$P$30,"-")</f>
        <v>-</v>
      </c>
      <c r="AS97" s="13" t="str">
        <f t="shared" si="92"/>
        <v>-</v>
      </c>
      <c r="AT97" s="16" t="str">
        <f t="shared" ref="AT97:AT160" si="106">IFERROR(AR97*AO$32,"-")</f>
        <v>-</v>
      </c>
      <c r="AU97" s="16" t="str">
        <f t="shared" si="93"/>
        <v>-</v>
      </c>
      <c r="AV97" s="16" t="str">
        <f t="shared" si="94"/>
        <v>-</v>
      </c>
      <c r="AW97" s="16" t="str">
        <f t="shared" ref="AW97:AW160" si="107">IFERROR(AV97-(W97*AU97),"-")</f>
        <v>-</v>
      </c>
      <c r="AX97" s="13" t="str">
        <f t="shared" ref="AX97:AX160" si="108">IFERROR(AU97/SUMIFS($AU$32:$AU$229,$B$32:$B$229,$B97),"-")</f>
        <v>-</v>
      </c>
      <c r="AY97" s="10" t="str">
        <f t="shared" ref="AY97:AY160" si="109">IFERROR(AX97*INDEX($AU$4:$AU$24,MATCH($B97,$D$4:$D$24,0)),"-")</f>
        <v>-</v>
      </c>
      <c r="AZ97" s="9" t="str">
        <f t="shared" ref="AZ97:AZ160" si="110">IFERROR(AY97/SUM($AY$32:$AY$229),"-")</f>
        <v>-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</row>
    <row r="98" spans="2:68" x14ac:dyDescent="0.3">
      <c r="B98" s="108" t="str">
        <f t="shared" si="95"/>
        <v/>
      </c>
      <c r="C98" s="108" t="str">
        <f t="shared" si="81"/>
        <v/>
      </c>
      <c r="D98" s="3"/>
      <c r="E98" s="3"/>
      <c r="F98" s="3"/>
      <c r="G98" s="20">
        <f>IFERROR(INDEX('Input - Tesco'!F$2:F$200,MATCH('Calculations - Tesco'!$C98,'Input - Tesco'!$B$2:$B$200,0)),"")</f>
        <v>0</v>
      </c>
      <c r="H98" s="20">
        <f>IFERROR(INDEX('Input - Tesco'!G$2:G$200,MATCH('Calculations - Tesco'!$C98,'Input - Tesco'!$B$2:$B$200,0)),"")</f>
        <v>0</v>
      </c>
      <c r="I98" s="21">
        <f>IFERROR(INDEX('Input - Tesco'!H$2:H$200,MATCH('Calculations - Tesco'!$C98,'Input - Tesco'!$B$2:$B$200,0)),"")</f>
        <v>0</v>
      </c>
      <c r="J98" s="21">
        <f>IFERROR(INDEX('Input - Tesco'!I$2:I$200,MATCH('Calculations - Tesco'!$C98,'Input - Tesco'!$B$2:$B$200,0)),"")</f>
        <v>0</v>
      </c>
      <c r="K98" s="20">
        <f>IFERROR(INDEX('Input - Tesco'!J$2:J$200,MATCH('Calculations - Tesco'!$C98,'Input - Tesco'!$B$2:$B$200,0)),"")</f>
        <v>0</v>
      </c>
      <c r="L98" s="20">
        <f>IFERROR(INDEX('Input - Tesco'!K$2:K$200,MATCH('Calculations - Tesco'!$C98,'Input - Tesco'!$B$2:$B$200,0)),"")</f>
        <v>0</v>
      </c>
      <c r="M98" s="21" t="str">
        <f t="shared" si="96"/>
        <v/>
      </c>
      <c r="N98" s="21" t="str">
        <f t="shared" si="82"/>
        <v/>
      </c>
      <c r="O98" s="21">
        <f t="shared" si="97"/>
        <v>0</v>
      </c>
      <c r="P98" s="9">
        <f t="shared" si="79"/>
        <v>0</v>
      </c>
      <c r="Q98" s="9">
        <f t="shared" si="80"/>
        <v>0</v>
      </c>
      <c r="R98" s="22" t="str">
        <f>IFERROR(INDEX(Tesco!$Q$11:$Q$165,MATCH('Calculations - Tesco'!$C98,Tesco!$M$11:$M$165,0)),"")</f>
        <v/>
      </c>
      <c r="S98" s="22" t="str">
        <f>IFERROR(INDEX(Tesco!$R$11:$R$165,MATCH('Calculations - Tesco'!$C98,Tesco!$M$11:$M$165,0)),"")</f>
        <v/>
      </c>
      <c r="T98" s="16" t="e">
        <f t="shared" si="83"/>
        <v>#VALUE!</v>
      </c>
      <c r="U98" s="16" t="e">
        <f t="shared" si="98"/>
        <v>#VALUE!</v>
      </c>
      <c r="V98" s="16" t="e">
        <f t="shared" si="99"/>
        <v>#VALUE!</v>
      </c>
      <c r="W98" s="10" t="str">
        <f t="shared" si="84"/>
        <v>-</v>
      </c>
      <c r="X98" s="10" t="str">
        <f t="shared" si="85"/>
        <v>-</v>
      </c>
      <c r="Y98" s="13" t="str">
        <f t="shared" si="100"/>
        <v>-</v>
      </c>
      <c r="Z98" s="9" t="str">
        <f t="shared" si="86"/>
        <v>-</v>
      </c>
      <c r="AA98" s="16" t="str">
        <f t="shared" si="101"/>
        <v>-</v>
      </c>
      <c r="AB98" s="16" t="str">
        <f t="shared" si="87"/>
        <v>-</v>
      </c>
      <c r="AC98" s="16" t="str">
        <f t="shared" si="88"/>
        <v>-</v>
      </c>
      <c r="AD98" s="16" t="str">
        <f t="shared" si="102"/>
        <v>-</v>
      </c>
      <c r="AE98" s="16"/>
      <c r="AF98" s="31" t="str">
        <f>IFERROR(INDEX(Tesco!$P$11:$P$165,MATCH('Calculations - Tesco'!C98,Tesco!$M$11:$M$165,0)),"")</f>
        <v/>
      </c>
      <c r="AG98" s="23" t="str">
        <f t="shared" si="103"/>
        <v/>
      </c>
      <c r="AH98" s="23" t="str">
        <f t="shared" si="103"/>
        <v/>
      </c>
      <c r="AI98" s="9" t="str">
        <f t="shared" si="89"/>
        <v/>
      </c>
      <c r="AJ98" s="4" t="str">
        <f t="shared" si="90"/>
        <v/>
      </c>
      <c r="AK98" s="4"/>
      <c r="AL98" s="4"/>
      <c r="AM98" s="4"/>
      <c r="AN98" s="4"/>
      <c r="AO98" s="4"/>
      <c r="AP98" s="20" t="str">
        <f t="shared" si="91"/>
        <v>-</v>
      </c>
      <c r="AQ98" s="13" t="str">
        <f t="shared" si="104"/>
        <v>-</v>
      </c>
      <c r="AR98" s="13" t="str">
        <f t="shared" si="105"/>
        <v>-</v>
      </c>
      <c r="AS98" s="13" t="str">
        <f t="shared" si="92"/>
        <v>-</v>
      </c>
      <c r="AT98" s="16" t="str">
        <f t="shared" si="106"/>
        <v>-</v>
      </c>
      <c r="AU98" s="16" t="str">
        <f t="shared" si="93"/>
        <v>-</v>
      </c>
      <c r="AV98" s="16" t="str">
        <f t="shared" si="94"/>
        <v>-</v>
      </c>
      <c r="AW98" s="16" t="str">
        <f t="shared" si="107"/>
        <v>-</v>
      </c>
      <c r="AX98" s="13" t="str">
        <f t="shared" si="108"/>
        <v>-</v>
      </c>
      <c r="AY98" s="10" t="str">
        <f t="shared" si="109"/>
        <v>-</v>
      </c>
      <c r="AZ98" s="9" t="str">
        <f t="shared" si="110"/>
        <v>-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</row>
    <row r="99" spans="2:68" x14ac:dyDescent="0.3">
      <c r="B99" s="108" t="str">
        <f t="shared" si="95"/>
        <v/>
      </c>
      <c r="C99" s="108" t="str">
        <f t="shared" si="81"/>
        <v/>
      </c>
      <c r="D99" s="3"/>
      <c r="E99" s="3"/>
      <c r="F99" s="3"/>
      <c r="G99" s="20">
        <f>IFERROR(INDEX('Input - Tesco'!F$2:F$200,MATCH('Calculations - Tesco'!$C99,'Input - Tesco'!$B$2:$B$200,0)),"")</f>
        <v>0</v>
      </c>
      <c r="H99" s="20">
        <f>IFERROR(INDEX('Input - Tesco'!G$2:G$200,MATCH('Calculations - Tesco'!$C99,'Input - Tesco'!$B$2:$B$200,0)),"")</f>
        <v>0</v>
      </c>
      <c r="I99" s="21">
        <f>IFERROR(INDEX('Input - Tesco'!H$2:H$200,MATCH('Calculations - Tesco'!$C99,'Input - Tesco'!$B$2:$B$200,0)),"")</f>
        <v>0</v>
      </c>
      <c r="J99" s="21">
        <f>IFERROR(INDEX('Input - Tesco'!I$2:I$200,MATCH('Calculations - Tesco'!$C99,'Input - Tesco'!$B$2:$B$200,0)),"")</f>
        <v>0</v>
      </c>
      <c r="K99" s="20">
        <f>IFERROR(INDEX('Input - Tesco'!J$2:J$200,MATCH('Calculations - Tesco'!$C99,'Input - Tesco'!$B$2:$B$200,0)),"")</f>
        <v>0</v>
      </c>
      <c r="L99" s="20">
        <f>IFERROR(INDEX('Input - Tesco'!K$2:K$200,MATCH('Calculations - Tesco'!$C99,'Input - Tesco'!$B$2:$B$200,0)),"")</f>
        <v>0</v>
      </c>
      <c r="M99" s="21" t="str">
        <f t="shared" si="96"/>
        <v/>
      </c>
      <c r="N99" s="21" t="str">
        <f t="shared" si="82"/>
        <v/>
      </c>
      <c r="O99" s="21">
        <f t="shared" si="97"/>
        <v>0</v>
      </c>
      <c r="P99" s="9">
        <f t="shared" si="79"/>
        <v>0</v>
      </c>
      <c r="Q99" s="9">
        <f t="shared" si="80"/>
        <v>0</v>
      </c>
      <c r="R99" s="22" t="str">
        <f>IFERROR(INDEX(Tesco!$Q$11:$Q$165,MATCH('Calculations - Tesco'!$C99,Tesco!$M$11:$M$165,0)),"")</f>
        <v/>
      </c>
      <c r="S99" s="22" t="str">
        <f>IFERROR(INDEX(Tesco!$R$11:$R$165,MATCH('Calculations - Tesco'!$C99,Tesco!$M$11:$M$165,0)),"")</f>
        <v/>
      </c>
      <c r="T99" s="16" t="e">
        <f t="shared" si="83"/>
        <v>#VALUE!</v>
      </c>
      <c r="U99" s="16" t="e">
        <f t="shared" si="98"/>
        <v>#VALUE!</v>
      </c>
      <c r="V99" s="16" t="e">
        <f t="shared" si="99"/>
        <v>#VALUE!</v>
      </c>
      <c r="W99" s="10" t="str">
        <f t="shared" si="84"/>
        <v>-</v>
      </c>
      <c r="X99" s="10" t="str">
        <f t="shared" si="85"/>
        <v>-</v>
      </c>
      <c r="Y99" s="13" t="str">
        <f t="shared" si="100"/>
        <v>-</v>
      </c>
      <c r="Z99" s="9" t="str">
        <f t="shared" si="86"/>
        <v>-</v>
      </c>
      <c r="AA99" s="16" t="str">
        <f t="shared" si="101"/>
        <v>-</v>
      </c>
      <c r="AB99" s="16" t="str">
        <f t="shared" si="87"/>
        <v>-</v>
      </c>
      <c r="AC99" s="16" t="str">
        <f t="shared" si="88"/>
        <v>-</v>
      </c>
      <c r="AD99" s="16" t="str">
        <f t="shared" si="102"/>
        <v>-</v>
      </c>
      <c r="AE99" s="16"/>
      <c r="AF99" s="31" t="str">
        <f>IFERROR(INDEX(Tesco!$P$11:$P$165,MATCH('Calculations - Tesco'!C99,Tesco!$M$11:$M$165,0)),"")</f>
        <v/>
      </c>
      <c r="AG99" s="23" t="str">
        <f t="shared" si="103"/>
        <v/>
      </c>
      <c r="AH99" s="23" t="str">
        <f t="shared" si="103"/>
        <v/>
      </c>
      <c r="AI99" s="9" t="str">
        <f t="shared" si="89"/>
        <v/>
      </c>
      <c r="AJ99" s="4" t="str">
        <f t="shared" si="90"/>
        <v/>
      </c>
      <c r="AK99" s="4"/>
      <c r="AL99" s="4"/>
      <c r="AM99" s="4"/>
      <c r="AN99" s="4"/>
      <c r="AO99" s="4"/>
      <c r="AP99" s="20" t="str">
        <f t="shared" si="91"/>
        <v>-</v>
      </c>
      <c r="AQ99" s="13" t="str">
        <f t="shared" si="104"/>
        <v>-</v>
      </c>
      <c r="AR99" s="13" t="str">
        <f t="shared" si="105"/>
        <v>-</v>
      </c>
      <c r="AS99" s="13" t="str">
        <f t="shared" si="92"/>
        <v>-</v>
      </c>
      <c r="AT99" s="16" t="str">
        <f t="shared" si="106"/>
        <v>-</v>
      </c>
      <c r="AU99" s="16" t="str">
        <f t="shared" si="93"/>
        <v>-</v>
      </c>
      <c r="AV99" s="16" t="str">
        <f t="shared" si="94"/>
        <v>-</v>
      </c>
      <c r="AW99" s="16" t="str">
        <f t="shared" si="107"/>
        <v>-</v>
      </c>
      <c r="AX99" s="13" t="str">
        <f t="shared" si="108"/>
        <v>-</v>
      </c>
      <c r="AY99" s="10" t="str">
        <f t="shared" si="109"/>
        <v>-</v>
      </c>
      <c r="AZ99" s="9" t="str">
        <f t="shared" si="110"/>
        <v>-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</row>
    <row r="100" spans="2:68" x14ac:dyDescent="0.3">
      <c r="B100" s="108" t="str">
        <f t="shared" si="95"/>
        <v/>
      </c>
      <c r="C100" s="108" t="str">
        <f t="shared" si="81"/>
        <v/>
      </c>
      <c r="D100" s="3"/>
      <c r="E100" s="3"/>
      <c r="F100" s="3"/>
      <c r="G100" s="20">
        <f>IFERROR(INDEX('Input - Tesco'!F$2:F$200,MATCH('Calculations - Tesco'!$C100,'Input - Tesco'!$B$2:$B$200,0)),"")</f>
        <v>0</v>
      </c>
      <c r="H100" s="20">
        <f>IFERROR(INDEX('Input - Tesco'!G$2:G$200,MATCH('Calculations - Tesco'!$C100,'Input - Tesco'!$B$2:$B$200,0)),"")</f>
        <v>0</v>
      </c>
      <c r="I100" s="21">
        <f>IFERROR(INDEX('Input - Tesco'!H$2:H$200,MATCH('Calculations - Tesco'!$C100,'Input - Tesco'!$B$2:$B$200,0)),"")</f>
        <v>0</v>
      </c>
      <c r="J100" s="21">
        <f>IFERROR(INDEX('Input - Tesco'!I$2:I$200,MATCH('Calculations - Tesco'!$C100,'Input - Tesco'!$B$2:$B$200,0)),"")</f>
        <v>0</v>
      </c>
      <c r="K100" s="20">
        <f>IFERROR(INDEX('Input - Tesco'!J$2:J$200,MATCH('Calculations - Tesco'!$C100,'Input - Tesco'!$B$2:$B$200,0)),"")</f>
        <v>0</v>
      </c>
      <c r="L100" s="20">
        <f>IFERROR(INDEX('Input - Tesco'!K$2:K$200,MATCH('Calculations - Tesco'!$C100,'Input - Tesco'!$B$2:$B$200,0)),"")</f>
        <v>0</v>
      </c>
      <c r="M100" s="21" t="str">
        <f t="shared" si="96"/>
        <v/>
      </c>
      <c r="N100" s="21" t="str">
        <f t="shared" si="82"/>
        <v/>
      </c>
      <c r="O100" s="21">
        <f t="shared" si="97"/>
        <v>0</v>
      </c>
      <c r="P100" s="9">
        <f t="shared" si="79"/>
        <v>0</v>
      </c>
      <c r="Q100" s="9">
        <f t="shared" si="80"/>
        <v>0</v>
      </c>
      <c r="R100" s="22" t="str">
        <f>IFERROR(INDEX(Tesco!$Q$11:$Q$165,MATCH('Calculations - Tesco'!$C100,Tesco!$M$11:$M$165,0)),"")</f>
        <v/>
      </c>
      <c r="S100" s="22" t="str">
        <f>IFERROR(INDEX(Tesco!$R$11:$R$165,MATCH('Calculations - Tesco'!$C100,Tesco!$M$11:$M$165,0)),"")</f>
        <v/>
      </c>
      <c r="T100" s="16" t="e">
        <f t="shared" si="83"/>
        <v>#VALUE!</v>
      </c>
      <c r="U100" s="16" t="e">
        <f t="shared" si="98"/>
        <v>#VALUE!</v>
      </c>
      <c r="V100" s="16" t="e">
        <f t="shared" si="99"/>
        <v>#VALUE!</v>
      </c>
      <c r="W100" s="10" t="str">
        <f t="shared" si="84"/>
        <v>-</v>
      </c>
      <c r="X100" s="10" t="str">
        <f t="shared" si="85"/>
        <v>-</v>
      </c>
      <c r="Y100" s="13" t="str">
        <f t="shared" si="100"/>
        <v>-</v>
      </c>
      <c r="Z100" s="9" t="str">
        <f t="shared" si="86"/>
        <v>-</v>
      </c>
      <c r="AA100" s="16" t="str">
        <f t="shared" si="101"/>
        <v>-</v>
      </c>
      <c r="AB100" s="16" t="str">
        <f t="shared" si="87"/>
        <v>-</v>
      </c>
      <c r="AC100" s="16" t="str">
        <f t="shared" si="88"/>
        <v>-</v>
      </c>
      <c r="AD100" s="16" t="str">
        <f t="shared" si="102"/>
        <v>-</v>
      </c>
      <c r="AE100" s="16"/>
      <c r="AF100" s="31" t="str">
        <f>IFERROR(INDEX(Tesco!$P$11:$P$165,MATCH('Calculations - Tesco'!C100,Tesco!$M$11:$M$165,0)),"")</f>
        <v/>
      </c>
      <c r="AG100" s="23" t="str">
        <f t="shared" si="103"/>
        <v/>
      </c>
      <c r="AH100" s="23" t="str">
        <f t="shared" si="103"/>
        <v/>
      </c>
      <c r="AI100" s="9" t="str">
        <f t="shared" si="89"/>
        <v/>
      </c>
      <c r="AJ100" s="4" t="str">
        <f t="shared" si="90"/>
        <v/>
      </c>
      <c r="AK100" s="4"/>
      <c r="AL100" s="4"/>
      <c r="AM100" s="4"/>
      <c r="AN100" s="4"/>
      <c r="AO100" s="4"/>
      <c r="AP100" s="20" t="str">
        <f t="shared" si="91"/>
        <v>-</v>
      </c>
      <c r="AQ100" s="13" t="str">
        <f t="shared" si="104"/>
        <v>-</v>
      </c>
      <c r="AR100" s="13" t="str">
        <f t="shared" si="105"/>
        <v>-</v>
      </c>
      <c r="AS100" s="13" t="str">
        <f t="shared" si="92"/>
        <v>-</v>
      </c>
      <c r="AT100" s="16" t="str">
        <f t="shared" si="106"/>
        <v>-</v>
      </c>
      <c r="AU100" s="16" t="str">
        <f t="shared" si="93"/>
        <v>-</v>
      </c>
      <c r="AV100" s="16" t="str">
        <f t="shared" si="94"/>
        <v>-</v>
      </c>
      <c r="AW100" s="16" t="str">
        <f t="shared" si="107"/>
        <v>-</v>
      </c>
      <c r="AX100" s="13" t="str">
        <f t="shared" si="108"/>
        <v>-</v>
      </c>
      <c r="AY100" s="10" t="str">
        <f t="shared" si="109"/>
        <v>-</v>
      </c>
      <c r="AZ100" s="9" t="str">
        <f t="shared" si="110"/>
        <v>-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</row>
    <row r="101" spans="2:68" x14ac:dyDescent="0.3">
      <c r="B101" s="108" t="str">
        <f t="shared" si="95"/>
        <v/>
      </c>
      <c r="C101" s="108" t="str">
        <f t="shared" si="81"/>
        <v/>
      </c>
      <c r="D101" s="3"/>
      <c r="E101" s="3"/>
      <c r="F101" s="3"/>
      <c r="G101" s="20">
        <f>IFERROR(INDEX('Input - Tesco'!F$2:F$200,MATCH('Calculations - Tesco'!$C101,'Input - Tesco'!$B$2:$B$200,0)),"")</f>
        <v>0</v>
      </c>
      <c r="H101" s="20">
        <f>IFERROR(INDEX('Input - Tesco'!G$2:G$200,MATCH('Calculations - Tesco'!$C101,'Input - Tesco'!$B$2:$B$200,0)),"")</f>
        <v>0</v>
      </c>
      <c r="I101" s="21">
        <f>IFERROR(INDEX('Input - Tesco'!H$2:H$200,MATCH('Calculations - Tesco'!$C101,'Input - Tesco'!$B$2:$B$200,0)),"")</f>
        <v>0</v>
      </c>
      <c r="J101" s="21">
        <f>IFERROR(INDEX('Input - Tesco'!I$2:I$200,MATCH('Calculations - Tesco'!$C101,'Input - Tesco'!$B$2:$B$200,0)),"")</f>
        <v>0</v>
      </c>
      <c r="K101" s="20">
        <f>IFERROR(INDEX('Input - Tesco'!J$2:J$200,MATCH('Calculations - Tesco'!$C101,'Input - Tesco'!$B$2:$B$200,0)),"")</f>
        <v>0</v>
      </c>
      <c r="L101" s="20">
        <f>IFERROR(INDEX('Input - Tesco'!K$2:K$200,MATCH('Calculations - Tesco'!$C101,'Input - Tesco'!$B$2:$B$200,0)),"")</f>
        <v>0</v>
      </c>
      <c r="M101" s="21" t="str">
        <f t="shared" si="96"/>
        <v/>
      </c>
      <c r="N101" s="21" t="str">
        <f t="shared" si="82"/>
        <v/>
      </c>
      <c r="O101" s="21">
        <f t="shared" si="97"/>
        <v>0</v>
      </c>
      <c r="P101" s="9">
        <f t="shared" si="79"/>
        <v>0</v>
      </c>
      <c r="Q101" s="9">
        <f t="shared" si="80"/>
        <v>0</v>
      </c>
      <c r="R101" s="22" t="str">
        <f>IFERROR(INDEX(Tesco!$Q$11:$Q$165,MATCH('Calculations - Tesco'!$C101,Tesco!$M$11:$M$165,0)),"")</f>
        <v/>
      </c>
      <c r="S101" s="22" t="str">
        <f>IFERROR(INDEX(Tesco!$R$11:$R$165,MATCH('Calculations - Tesco'!$C101,Tesco!$M$11:$M$165,0)),"")</f>
        <v/>
      </c>
      <c r="T101" s="16" t="e">
        <f t="shared" si="83"/>
        <v>#VALUE!</v>
      </c>
      <c r="U101" s="16" t="e">
        <f t="shared" si="98"/>
        <v>#VALUE!</v>
      </c>
      <c r="V101" s="16" t="e">
        <f t="shared" si="99"/>
        <v>#VALUE!</v>
      </c>
      <c r="W101" s="10" t="str">
        <f t="shared" si="84"/>
        <v>-</v>
      </c>
      <c r="X101" s="10" t="str">
        <f t="shared" si="85"/>
        <v>-</v>
      </c>
      <c r="Y101" s="13" t="str">
        <f t="shared" si="100"/>
        <v>-</v>
      </c>
      <c r="Z101" s="9" t="str">
        <f t="shared" si="86"/>
        <v>-</v>
      </c>
      <c r="AA101" s="16" t="str">
        <f t="shared" si="101"/>
        <v>-</v>
      </c>
      <c r="AB101" s="16" t="str">
        <f t="shared" si="87"/>
        <v>-</v>
      </c>
      <c r="AC101" s="16" t="str">
        <f t="shared" si="88"/>
        <v>-</v>
      </c>
      <c r="AD101" s="16" t="str">
        <f t="shared" si="102"/>
        <v>-</v>
      </c>
      <c r="AE101" s="16"/>
      <c r="AF101" s="31" t="str">
        <f>IFERROR(INDEX(Tesco!$P$11:$P$165,MATCH('Calculations - Tesco'!C101,Tesco!$M$11:$M$165,0)),"")</f>
        <v/>
      </c>
      <c r="AG101" s="23" t="str">
        <f t="shared" si="103"/>
        <v/>
      </c>
      <c r="AH101" s="23" t="str">
        <f t="shared" si="103"/>
        <v/>
      </c>
      <c r="AI101" s="9" t="str">
        <f t="shared" si="89"/>
        <v/>
      </c>
      <c r="AJ101" s="4" t="str">
        <f t="shared" si="90"/>
        <v/>
      </c>
      <c r="AK101" s="4"/>
      <c r="AL101" s="4"/>
      <c r="AM101" s="4"/>
      <c r="AN101" s="4"/>
      <c r="AO101" s="4"/>
      <c r="AP101" s="20" t="str">
        <f t="shared" si="91"/>
        <v>-</v>
      </c>
      <c r="AQ101" s="13" t="str">
        <f t="shared" si="104"/>
        <v>-</v>
      </c>
      <c r="AR101" s="13" t="str">
        <f t="shared" si="105"/>
        <v>-</v>
      </c>
      <c r="AS101" s="13" t="str">
        <f t="shared" si="92"/>
        <v>-</v>
      </c>
      <c r="AT101" s="16" t="str">
        <f t="shared" si="106"/>
        <v>-</v>
      </c>
      <c r="AU101" s="16" t="str">
        <f t="shared" si="93"/>
        <v>-</v>
      </c>
      <c r="AV101" s="16" t="str">
        <f t="shared" si="94"/>
        <v>-</v>
      </c>
      <c r="AW101" s="16" t="str">
        <f t="shared" si="107"/>
        <v>-</v>
      </c>
      <c r="AX101" s="13" t="str">
        <f t="shared" si="108"/>
        <v>-</v>
      </c>
      <c r="AY101" s="10" t="str">
        <f t="shared" si="109"/>
        <v>-</v>
      </c>
      <c r="AZ101" s="9" t="str">
        <f t="shared" si="110"/>
        <v>-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</row>
    <row r="102" spans="2:68" x14ac:dyDescent="0.3">
      <c r="B102" s="108" t="str">
        <f t="shared" si="95"/>
        <v/>
      </c>
      <c r="C102" s="108" t="str">
        <f t="shared" si="81"/>
        <v/>
      </c>
      <c r="D102" s="3"/>
      <c r="E102" s="3"/>
      <c r="F102" s="3"/>
      <c r="G102" s="20">
        <f>IFERROR(INDEX('Input - Tesco'!F$2:F$200,MATCH('Calculations - Tesco'!$C102,'Input - Tesco'!$B$2:$B$200,0)),"")</f>
        <v>0</v>
      </c>
      <c r="H102" s="20">
        <f>IFERROR(INDEX('Input - Tesco'!G$2:G$200,MATCH('Calculations - Tesco'!$C102,'Input - Tesco'!$B$2:$B$200,0)),"")</f>
        <v>0</v>
      </c>
      <c r="I102" s="21">
        <f>IFERROR(INDEX('Input - Tesco'!H$2:H$200,MATCH('Calculations - Tesco'!$C102,'Input - Tesco'!$B$2:$B$200,0)),"")</f>
        <v>0</v>
      </c>
      <c r="J102" s="21">
        <f>IFERROR(INDEX('Input - Tesco'!I$2:I$200,MATCH('Calculations - Tesco'!$C102,'Input - Tesco'!$B$2:$B$200,0)),"")</f>
        <v>0</v>
      </c>
      <c r="K102" s="20">
        <f>IFERROR(INDEX('Input - Tesco'!J$2:J$200,MATCH('Calculations - Tesco'!$C102,'Input - Tesco'!$B$2:$B$200,0)),"")</f>
        <v>0</v>
      </c>
      <c r="L102" s="20">
        <f>IFERROR(INDEX('Input - Tesco'!K$2:K$200,MATCH('Calculations - Tesco'!$C102,'Input - Tesco'!$B$2:$B$200,0)),"")</f>
        <v>0</v>
      </c>
      <c r="M102" s="21" t="str">
        <f t="shared" si="96"/>
        <v/>
      </c>
      <c r="N102" s="21" t="str">
        <f t="shared" si="82"/>
        <v/>
      </c>
      <c r="O102" s="21">
        <f t="shared" si="97"/>
        <v>0</v>
      </c>
      <c r="P102" s="9">
        <f t="shared" si="79"/>
        <v>0</v>
      </c>
      <c r="Q102" s="9">
        <f t="shared" si="80"/>
        <v>0</v>
      </c>
      <c r="R102" s="22" t="str">
        <f>IFERROR(INDEX(Tesco!$Q$11:$Q$165,MATCH('Calculations - Tesco'!$C102,Tesco!$M$11:$M$165,0)),"")</f>
        <v/>
      </c>
      <c r="S102" s="22" t="str">
        <f>IFERROR(INDEX(Tesco!$R$11:$R$165,MATCH('Calculations - Tesco'!$C102,Tesco!$M$11:$M$165,0)),"")</f>
        <v/>
      </c>
      <c r="T102" s="16" t="e">
        <f t="shared" si="83"/>
        <v>#VALUE!</v>
      </c>
      <c r="U102" s="16" t="e">
        <f t="shared" si="98"/>
        <v>#VALUE!</v>
      </c>
      <c r="V102" s="16" t="e">
        <f t="shared" si="99"/>
        <v>#VALUE!</v>
      </c>
      <c r="W102" s="10" t="str">
        <f t="shared" si="84"/>
        <v>-</v>
      </c>
      <c r="X102" s="10" t="str">
        <f t="shared" si="85"/>
        <v>-</v>
      </c>
      <c r="Y102" s="13" t="str">
        <f t="shared" si="100"/>
        <v>-</v>
      </c>
      <c r="Z102" s="9" t="str">
        <f t="shared" si="86"/>
        <v>-</v>
      </c>
      <c r="AA102" s="16" t="str">
        <f t="shared" si="101"/>
        <v>-</v>
      </c>
      <c r="AB102" s="16" t="str">
        <f t="shared" si="87"/>
        <v>-</v>
      </c>
      <c r="AC102" s="16" t="str">
        <f t="shared" si="88"/>
        <v>-</v>
      </c>
      <c r="AD102" s="16" t="str">
        <f t="shared" si="102"/>
        <v>-</v>
      </c>
      <c r="AE102" s="16"/>
      <c r="AF102" s="31" t="str">
        <f>IFERROR(INDEX(Tesco!$P$11:$P$165,MATCH('Calculations - Tesco'!C102,Tesco!$M$11:$M$165,0)),"")</f>
        <v/>
      </c>
      <c r="AG102" s="23" t="str">
        <f t="shared" si="103"/>
        <v/>
      </c>
      <c r="AH102" s="23" t="str">
        <f t="shared" si="103"/>
        <v/>
      </c>
      <c r="AI102" s="9" t="str">
        <f t="shared" si="89"/>
        <v/>
      </c>
      <c r="AJ102" s="4" t="str">
        <f t="shared" si="90"/>
        <v/>
      </c>
      <c r="AK102" s="4"/>
      <c r="AL102" s="4"/>
      <c r="AM102" s="4"/>
      <c r="AN102" s="4"/>
      <c r="AO102" s="4"/>
      <c r="AP102" s="20" t="str">
        <f t="shared" si="91"/>
        <v>-</v>
      </c>
      <c r="AQ102" s="13" t="str">
        <f t="shared" si="104"/>
        <v>-</v>
      </c>
      <c r="AR102" s="13" t="str">
        <f t="shared" si="105"/>
        <v>-</v>
      </c>
      <c r="AS102" s="13" t="str">
        <f t="shared" si="92"/>
        <v>-</v>
      </c>
      <c r="AT102" s="16" t="str">
        <f t="shared" si="106"/>
        <v>-</v>
      </c>
      <c r="AU102" s="16" t="str">
        <f t="shared" si="93"/>
        <v>-</v>
      </c>
      <c r="AV102" s="16" t="str">
        <f t="shared" si="94"/>
        <v>-</v>
      </c>
      <c r="AW102" s="16" t="str">
        <f t="shared" si="107"/>
        <v>-</v>
      </c>
      <c r="AX102" s="13" t="str">
        <f t="shared" si="108"/>
        <v>-</v>
      </c>
      <c r="AY102" s="10" t="str">
        <f t="shared" si="109"/>
        <v>-</v>
      </c>
      <c r="AZ102" s="9" t="str">
        <f t="shared" si="110"/>
        <v>-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</row>
    <row r="103" spans="2:68" x14ac:dyDescent="0.3">
      <c r="B103" s="108" t="str">
        <f t="shared" si="95"/>
        <v/>
      </c>
      <c r="C103" s="108" t="str">
        <f t="shared" si="81"/>
        <v/>
      </c>
      <c r="D103" s="3"/>
      <c r="E103" s="3"/>
      <c r="F103" s="3"/>
      <c r="G103" s="20">
        <f>IFERROR(INDEX('Input - Tesco'!F$2:F$200,MATCH('Calculations - Tesco'!$C103,'Input - Tesco'!$B$2:$B$200,0)),"")</f>
        <v>0</v>
      </c>
      <c r="H103" s="20">
        <f>IFERROR(INDEX('Input - Tesco'!G$2:G$200,MATCH('Calculations - Tesco'!$C103,'Input - Tesco'!$B$2:$B$200,0)),"")</f>
        <v>0</v>
      </c>
      <c r="I103" s="21">
        <f>IFERROR(INDEX('Input - Tesco'!H$2:H$200,MATCH('Calculations - Tesco'!$C103,'Input - Tesco'!$B$2:$B$200,0)),"")</f>
        <v>0</v>
      </c>
      <c r="J103" s="21">
        <f>IFERROR(INDEX('Input - Tesco'!I$2:I$200,MATCH('Calculations - Tesco'!$C103,'Input - Tesco'!$B$2:$B$200,0)),"")</f>
        <v>0</v>
      </c>
      <c r="K103" s="20">
        <f>IFERROR(INDEX('Input - Tesco'!J$2:J$200,MATCH('Calculations - Tesco'!$C103,'Input - Tesco'!$B$2:$B$200,0)),"")</f>
        <v>0</v>
      </c>
      <c r="L103" s="20">
        <f>IFERROR(INDEX('Input - Tesco'!K$2:K$200,MATCH('Calculations - Tesco'!$C103,'Input - Tesco'!$B$2:$B$200,0)),"")</f>
        <v>0</v>
      </c>
      <c r="M103" s="21" t="str">
        <f t="shared" si="96"/>
        <v/>
      </c>
      <c r="N103" s="21" t="str">
        <f t="shared" si="82"/>
        <v/>
      </c>
      <c r="O103" s="21">
        <f t="shared" si="97"/>
        <v>0</v>
      </c>
      <c r="P103" s="9">
        <f t="shared" si="79"/>
        <v>0</v>
      </c>
      <c r="Q103" s="9">
        <f t="shared" si="80"/>
        <v>0</v>
      </c>
      <c r="R103" s="22" t="str">
        <f>IFERROR(INDEX(Tesco!$Q$11:$Q$165,MATCH('Calculations - Tesco'!$C103,Tesco!$M$11:$M$165,0)),"")</f>
        <v/>
      </c>
      <c r="S103" s="22" t="str">
        <f>IFERROR(INDEX(Tesco!$R$11:$R$165,MATCH('Calculations - Tesco'!$C103,Tesco!$M$11:$M$165,0)),"")</f>
        <v/>
      </c>
      <c r="T103" s="16" t="e">
        <f t="shared" si="83"/>
        <v>#VALUE!</v>
      </c>
      <c r="U103" s="16" t="e">
        <f t="shared" si="98"/>
        <v>#VALUE!</v>
      </c>
      <c r="V103" s="16" t="e">
        <f t="shared" si="99"/>
        <v>#VALUE!</v>
      </c>
      <c r="W103" s="10" t="str">
        <f t="shared" si="84"/>
        <v>-</v>
      </c>
      <c r="X103" s="10" t="str">
        <f t="shared" si="85"/>
        <v>-</v>
      </c>
      <c r="Y103" s="13" t="str">
        <f t="shared" si="100"/>
        <v>-</v>
      </c>
      <c r="Z103" s="9" t="str">
        <f t="shared" si="86"/>
        <v>-</v>
      </c>
      <c r="AA103" s="16" t="str">
        <f t="shared" si="101"/>
        <v>-</v>
      </c>
      <c r="AB103" s="16" t="str">
        <f t="shared" si="87"/>
        <v>-</v>
      </c>
      <c r="AC103" s="16" t="str">
        <f t="shared" si="88"/>
        <v>-</v>
      </c>
      <c r="AD103" s="16" t="str">
        <f t="shared" si="102"/>
        <v>-</v>
      </c>
      <c r="AE103" s="16"/>
      <c r="AF103" s="31" t="str">
        <f>IFERROR(INDEX(Tesco!$P$11:$P$165,MATCH('Calculations - Tesco'!C103,Tesco!$M$11:$M$165,0)),"")</f>
        <v/>
      </c>
      <c r="AG103" s="23" t="str">
        <f t="shared" si="103"/>
        <v/>
      </c>
      <c r="AH103" s="23" t="str">
        <f t="shared" si="103"/>
        <v/>
      </c>
      <c r="AI103" s="9" t="str">
        <f t="shared" si="89"/>
        <v/>
      </c>
      <c r="AJ103" s="4" t="str">
        <f t="shared" si="90"/>
        <v/>
      </c>
      <c r="AK103" s="4"/>
      <c r="AL103" s="4"/>
      <c r="AM103" s="4"/>
      <c r="AN103" s="4"/>
      <c r="AO103" s="4"/>
      <c r="AP103" s="20" t="str">
        <f t="shared" si="91"/>
        <v>-</v>
      </c>
      <c r="AQ103" s="13" t="str">
        <f t="shared" si="104"/>
        <v>-</v>
      </c>
      <c r="AR103" s="13" t="str">
        <f t="shared" si="105"/>
        <v>-</v>
      </c>
      <c r="AS103" s="13" t="str">
        <f t="shared" si="92"/>
        <v>-</v>
      </c>
      <c r="AT103" s="16" t="str">
        <f t="shared" si="106"/>
        <v>-</v>
      </c>
      <c r="AU103" s="16" t="str">
        <f t="shared" si="93"/>
        <v>-</v>
      </c>
      <c r="AV103" s="16" t="str">
        <f t="shared" si="94"/>
        <v>-</v>
      </c>
      <c r="AW103" s="16" t="str">
        <f t="shared" si="107"/>
        <v>-</v>
      </c>
      <c r="AX103" s="13" t="str">
        <f t="shared" si="108"/>
        <v>-</v>
      </c>
      <c r="AY103" s="10" t="str">
        <f t="shared" si="109"/>
        <v>-</v>
      </c>
      <c r="AZ103" s="9" t="str">
        <f t="shared" si="110"/>
        <v>-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</row>
    <row r="104" spans="2:68" x14ac:dyDescent="0.3">
      <c r="B104" s="108" t="str">
        <f t="shared" si="95"/>
        <v/>
      </c>
      <c r="C104" s="108" t="str">
        <f t="shared" si="81"/>
        <v/>
      </c>
      <c r="D104" s="3"/>
      <c r="E104" s="3"/>
      <c r="F104" s="3"/>
      <c r="G104" s="20">
        <f>IFERROR(INDEX('Input - Tesco'!F$2:F$200,MATCH('Calculations - Tesco'!$C104,'Input - Tesco'!$B$2:$B$200,0)),"")</f>
        <v>0</v>
      </c>
      <c r="H104" s="20">
        <f>IFERROR(INDEX('Input - Tesco'!G$2:G$200,MATCH('Calculations - Tesco'!$C104,'Input - Tesco'!$B$2:$B$200,0)),"")</f>
        <v>0</v>
      </c>
      <c r="I104" s="21">
        <f>IFERROR(INDEX('Input - Tesco'!H$2:H$200,MATCH('Calculations - Tesco'!$C104,'Input - Tesco'!$B$2:$B$200,0)),"")</f>
        <v>0</v>
      </c>
      <c r="J104" s="21">
        <f>IFERROR(INDEX('Input - Tesco'!I$2:I$200,MATCH('Calculations - Tesco'!$C104,'Input - Tesco'!$B$2:$B$200,0)),"")</f>
        <v>0</v>
      </c>
      <c r="K104" s="20">
        <f>IFERROR(INDEX('Input - Tesco'!J$2:J$200,MATCH('Calculations - Tesco'!$C104,'Input - Tesco'!$B$2:$B$200,0)),"")</f>
        <v>0</v>
      </c>
      <c r="L104" s="20">
        <f>IFERROR(INDEX('Input - Tesco'!K$2:K$200,MATCH('Calculations - Tesco'!$C104,'Input - Tesco'!$B$2:$B$200,0)),"")</f>
        <v>0</v>
      </c>
      <c r="M104" s="21" t="str">
        <f t="shared" si="96"/>
        <v/>
      </c>
      <c r="N104" s="21" t="str">
        <f t="shared" si="82"/>
        <v/>
      </c>
      <c r="O104" s="21">
        <f t="shared" si="97"/>
        <v>0</v>
      </c>
      <c r="P104" s="9">
        <f t="shared" si="79"/>
        <v>0</v>
      </c>
      <c r="Q104" s="9">
        <f t="shared" si="80"/>
        <v>0</v>
      </c>
      <c r="R104" s="22" t="str">
        <f>IFERROR(INDEX(Tesco!$Q$11:$Q$165,MATCH('Calculations - Tesco'!$C104,Tesco!$M$11:$M$165,0)),"")</f>
        <v/>
      </c>
      <c r="S104" s="22" t="str">
        <f>IFERROR(INDEX(Tesco!$R$11:$R$165,MATCH('Calculations - Tesco'!$C104,Tesco!$M$11:$M$165,0)),"")</f>
        <v/>
      </c>
      <c r="T104" s="16" t="e">
        <f t="shared" si="83"/>
        <v>#VALUE!</v>
      </c>
      <c r="U104" s="16" t="e">
        <f t="shared" si="98"/>
        <v>#VALUE!</v>
      </c>
      <c r="V104" s="16" t="e">
        <f t="shared" si="99"/>
        <v>#VALUE!</v>
      </c>
      <c r="W104" s="10" t="str">
        <f t="shared" si="84"/>
        <v>-</v>
      </c>
      <c r="X104" s="10" t="str">
        <f t="shared" si="85"/>
        <v>-</v>
      </c>
      <c r="Y104" s="13" t="str">
        <f t="shared" si="100"/>
        <v>-</v>
      </c>
      <c r="Z104" s="9" t="str">
        <f t="shared" si="86"/>
        <v>-</v>
      </c>
      <c r="AA104" s="16" t="str">
        <f t="shared" si="101"/>
        <v>-</v>
      </c>
      <c r="AB104" s="16" t="str">
        <f t="shared" si="87"/>
        <v>-</v>
      </c>
      <c r="AC104" s="16" t="str">
        <f t="shared" si="88"/>
        <v>-</v>
      </c>
      <c r="AD104" s="16" t="str">
        <f t="shared" si="102"/>
        <v>-</v>
      </c>
      <c r="AE104" s="16"/>
      <c r="AF104" s="31" t="str">
        <f>IFERROR(INDEX(Tesco!$P$11:$P$165,MATCH('Calculations - Tesco'!C104,Tesco!$M$11:$M$165,0)),"")</f>
        <v/>
      </c>
      <c r="AG104" s="23" t="str">
        <f t="shared" si="103"/>
        <v/>
      </c>
      <c r="AH104" s="23" t="str">
        <f t="shared" si="103"/>
        <v/>
      </c>
      <c r="AI104" s="9" t="str">
        <f t="shared" si="89"/>
        <v/>
      </c>
      <c r="AJ104" s="4" t="str">
        <f t="shared" si="90"/>
        <v/>
      </c>
      <c r="AK104" s="4"/>
      <c r="AL104" s="4"/>
      <c r="AM104" s="4"/>
      <c r="AN104" s="4"/>
      <c r="AO104" s="4"/>
      <c r="AP104" s="20" t="str">
        <f t="shared" si="91"/>
        <v>-</v>
      </c>
      <c r="AQ104" s="13" t="str">
        <f t="shared" si="104"/>
        <v>-</v>
      </c>
      <c r="AR104" s="13" t="str">
        <f t="shared" si="105"/>
        <v>-</v>
      </c>
      <c r="AS104" s="13" t="str">
        <f t="shared" si="92"/>
        <v>-</v>
      </c>
      <c r="AT104" s="16" t="str">
        <f t="shared" si="106"/>
        <v>-</v>
      </c>
      <c r="AU104" s="16" t="str">
        <f t="shared" si="93"/>
        <v>-</v>
      </c>
      <c r="AV104" s="16" t="str">
        <f t="shared" si="94"/>
        <v>-</v>
      </c>
      <c r="AW104" s="16" t="str">
        <f t="shared" si="107"/>
        <v>-</v>
      </c>
      <c r="AX104" s="13" t="str">
        <f t="shared" si="108"/>
        <v>-</v>
      </c>
      <c r="AY104" s="10" t="str">
        <f t="shared" si="109"/>
        <v>-</v>
      </c>
      <c r="AZ104" s="9" t="str">
        <f t="shared" si="110"/>
        <v>-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</row>
    <row r="105" spans="2:68" x14ac:dyDescent="0.3">
      <c r="B105" s="108" t="str">
        <f t="shared" si="95"/>
        <v/>
      </c>
      <c r="C105" s="108" t="str">
        <f t="shared" si="81"/>
        <v/>
      </c>
      <c r="D105" s="3"/>
      <c r="E105" s="3"/>
      <c r="F105" s="3"/>
      <c r="G105" s="20">
        <f>IFERROR(INDEX('Input - Tesco'!F$2:F$200,MATCH('Calculations - Tesco'!$C105,'Input - Tesco'!$B$2:$B$200,0)),"")</f>
        <v>0</v>
      </c>
      <c r="H105" s="20">
        <f>IFERROR(INDEX('Input - Tesco'!G$2:G$200,MATCH('Calculations - Tesco'!$C105,'Input - Tesco'!$B$2:$B$200,0)),"")</f>
        <v>0</v>
      </c>
      <c r="I105" s="21">
        <f>IFERROR(INDEX('Input - Tesco'!H$2:H$200,MATCH('Calculations - Tesco'!$C105,'Input - Tesco'!$B$2:$B$200,0)),"")</f>
        <v>0</v>
      </c>
      <c r="J105" s="21">
        <f>IFERROR(INDEX('Input - Tesco'!I$2:I$200,MATCH('Calculations - Tesco'!$C105,'Input - Tesco'!$B$2:$B$200,0)),"")</f>
        <v>0</v>
      </c>
      <c r="K105" s="20">
        <f>IFERROR(INDEX('Input - Tesco'!J$2:J$200,MATCH('Calculations - Tesco'!$C105,'Input - Tesco'!$B$2:$B$200,0)),"")</f>
        <v>0</v>
      </c>
      <c r="L105" s="20">
        <f>IFERROR(INDEX('Input - Tesco'!K$2:K$200,MATCH('Calculations - Tesco'!$C105,'Input - Tesco'!$B$2:$B$200,0)),"")</f>
        <v>0</v>
      </c>
      <c r="M105" s="21" t="str">
        <f t="shared" si="96"/>
        <v/>
      </c>
      <c r="N105" s="21" t="str">
        <f t="shared" si="82"/>
        <v/>
      </c>
      <c r="O105" s="21">
        <f t="shared" si="97"/>
        <v>0</v>
      </c>
      <c r="P105" s="9">
        <f t="shared" si="79"/>
        <v>0</v>
      </c>
      <c r="Q105" s="9">
        <f t="shared" si="80"/>
        <v>0</v>
      </c>
      <c r="R105" s="22" t="str">
        <f>IFERROR(INDEX(Tesco!$Q$11:$Q$165,MATCH('Calculations - Tesco'!$C105,Tesco!$M$11:$M$165,0)),"")</f>
        <v/>
      </c>
      <c r="S105" s="22" t="str">
        <f>IFERROR(INDEX(Tesco!$R$11:$R$165,MATCH('Calculations - Tesco'!$C105,Tesco!$M$11:$M$165,0)),"")</f>
        <v/>
      </c>
      <c r="T105" s="16" t="e">
        <f t="shared" si="83"/>
        <v>#VALUE!</v>
      </c>
      <c r="U105" s="16" t="e">
        <f t="shared" si="98"/>
        <v>#VALUE!</v>
      </c>
      <c r="V105" s="16" t="e">
        <f t="shared" si="99"/>
        <v>#VALUE!</v>
      </c>
      <c r="W105" s="10" t="str">
        <f t="shared" si="84"/>
        <v>-</v>
      </c>
      <c r="X105" s="10" t="str">
        <f t="shared" si="85"/>
        <v>-</v>
      </c>
      <c r="Y105" s="13" t="str">
        <f t="shared" si="100"/>
        <v>-</v>
      </c>
      <c r="Z105" s="9" t="str">
        <f t="shared" si="86"/>
        <v>-</v>
      </c>
      <c r="AA105" s="16" t="str">
        <f t="shared" si="101"/>
        <v>-</v>
      </c>
      <c r="AB105" s="16" t="str">
        <f t="shared" si="87"/>
        <v>-</v>
      </c>
      <c r="AC105" s="16" t="str">
        <f t="shared" si="88"/>
        <v>-</v>
      </c>
      <c r="AD105" s="16" t="str">
        <f t="shared" si="102"/>
        <v>-</v>
      </c>
      <c r="AE105" s="16"/>
      <c r="AF105" s="31" t="str">
        <f>IFERROR(INDEX(Tesco!$P$11:$P$165,MATCH('Calculations - Tesco'!C105,Tesco!$M$11:$M$165,0)),"")</f>
        <v/>
      </c>
      <c r="AG105" s="23" t="str">
        <f t="shared" si="103"/>
        <v/>
      </c>
      <c r="AH105" s="23" t="str">
        <f t="shared" si="103"/>
        <v/>
      </c>
      <c r="AI105" s="9" t="str">
        <f t="shared" si="89"/>
        <v/>
      </c>
      <c r="AJ105" s="4" t="str">
        <f t="shared" si="90"/>
        <v/>
      </c>
      <c r="AK105" s="4"/>
      <c r="AL105" s="4"/>
      <c r="AM105" s="4"/>
      <c r="AN105" s="4"/>
      <c r="AO105" s="4"/>
      <c r="AP105" s="20" t="str">
        <f t="shared" si="91"/>
        <v>-</v>
      </c>
      <c r="AQ105" s="13" t="str">
        <f t="shared" si="104"/>
        <v>-</v>
      </c>
      <c r="AR105" s="13" t="str">
        <f t="shared" si="105"/>
        <v>-</v>
      </c>
      <c r="AS105" s="13" t="str">
        <f t="shared" si="92"/>
        <v>-</v>
      </c>
      <c r="AT105" s="16" t="str">
        <f t="shared" si="106"/>
        <v>-</v>
      </c>
      <c r="AU105" s="16" t="str">
        <f t="shared" si="93"/>
        <v>-</v>
      </c>
      <c r="AV105" s="16" t="str">
        <f t="shared" si="94"/>
        <v>-</v>
      </c>
      <c r="AW105" s="16" t="str">
        <f t="shared" si="107"/>
        <v>-</v>
      </c>
      <c r="AX105" s="13" t="str">
        <f t="shared" si="108"/>
        <v>-</v>
      </c>
      <c r="AY105" s="10" t="str">
        <f t="shared" si="109"/>
        <v>-</v>
      </c>
      <c r="AZ105" s="9" t="str">
        <f t="shared" si="110"/>
        <v>-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</row>
    <row r="106" spans="2:68" x14ac:dyDescent="0.3">
      <c r="B106" s="108" t="str">
        <f t="shared" si="95"/>
        <v/>
      </c>
      <c r="C106" s="108" t="str">
        <f t="shared" si="81"/>
        <v/>
      </c>
      <c r="D106" s="3"/>
      <c r="E106" s="3"/>
      <c r="F106" s="3"/>
      <c r="G106" s="20">
        <f>IFERROR(INDEX('Input - Tesco'!F$2:F$200,MATCH('Calculations - Tesco'!$C106,'Input - Tesco'!$B$2:$B$200,0)),"")</f>
        <v>0</v>
      </c>
      <c r="H106" s="20">
        <f>IFERROR(INDEX('Input - Tesco'!G$2:G$200,MATCH('Calculations - Tesco'!$C106,'Input - Tesco'!$B$2:$B$200,0)),"")</f>
        <v>0</v>
      </c>
      <c r="I106" s="21">
        <f>IFERROR(INDEX('Input - Tesco'!H$2:H$200,MATCH('Calculations - Tesco'!$C106,'Input - Tesco'!$B$2:$B$200,0)),"")</f>
        <v>0</v>
      </c>
      <c r="J106" s="21">
        <f>IFERROR(INDEX('Input - Tesco'!I$2:I$200,MATCH('Calculations - Tesco'!$C106,'Input - Tesco'!$B$2:$B$200,0)),"")</f>
        <v>0</v>
      </c>
      <c r="K106" s="20">
        <f>IFERROR(INDEX('Input - Tesco'!J$2:J$200,MATCH('Calculations - Tesco'!$C106,'Input - Tesco'!$B$2:$B$200,0)),"")</f>
        <v>0</v>
      </c>
      <c r="L106" s="20">
        <f>IFERROR(INDEX('Input - Tesco'!K$2:K$200,MATCH('Calculations - Tesco'!$C106,'Input - Tesco'!$B$2:$B$200,0)),"")</f>
        <v>0</v>
      </c>
      <c r="M106" s="21" t="str">
        <f t="shared" si="96"/>
        <v/>
      </c>
      <c r="N106" s="21" t="str">
        <f t="shared" si="82"/>
        <v/>
      </c>
      <c r="O106" s="21">
        <f t="shared" si="97"/>
        <v>0</v>
      </c>
      <c r="P106" s="9">
        <f t="shared" si="79"/>
        <v>0</v>
      </c>
      <c r="Q106" s="9">
        <f t="shared" si="80"/>
        <v>0</v>
      </c>
      <c r="R106" s="22" t="str">
        <f>IFERROR(INDEX(Tesco!$Q$11:$Q$165,MATCH('Calculations - Tesco'!$C106,Tesco!$M$11:$M$165,0)),"")</f>
        <v/>
      </c>
      <c r="S106" s="22" t="str">
        <f>IFERROR(INDEX(Tesco!$R$11:$R$165,MATCH('Calculations - Tesco'!$C106,Tesco!$M$11:$M$165,0)),"")</f>
        <v/>
      </c>
      <c r="T106" s="16" t="e">
        <f t="shared" si="83"/>
        <v>#VALUE!</v>
      </c>
      <c r="U106" s="16" t="e">
        <f t="shared" si="98"/>
        <v>#VALUE!</v>
      </c>
      <c r="V106" s="16" t="e">
        <f t="shared" si="99"/>
        <v>#VALUE!</v>
      </c>
      <c r="W106" s="10" t="str">
        <f t="shared" si="84"/>
        <v>-</v>
      </c>
      <c r="X106" s="10" t="str">
        <f t="shared" si="85"/>
        <v>-</v>
      </c>
      <c r="Y106" s="13" t="str">
        <f t="shared" si="100"/>
        <v>-</v>
      </c>
      <c r="Z106" s="9" t="str">
        <f t="shared" si="86"/>
        <v>-</v>
      </c>
      <c r="AA106" s="16" t="str">
        <f t="shared" si="101"/>
        <v>-</v>
      </c>
      <c r="AB106" s="16" t="str">
        <f t="shared" si="87"/>
        <v>-</v>
      </c>
      <c r="AC106" s="16" t="str">
        <f t="shared" si="88"/>
        <v>-</v>
      </c>
      <c r="AD106" s="16" t="str">
        <f t="shared" si="102"/>
        <v>-</v>
      </c>
      <c r="AE106" s="16"/>
      <c r="AF106" s="31" t="str">
        <f>IFERROR(INDEX(Tesco!$P$11:$P$165,MATCH('Calculations - Tesco'!C106,Tesco!$M$11:$M$165,0)),"")</f>
        <v/>
      </c>
      <c r="AG106" s="23" t="str">
        <f t="shared" si="103"/>
        <v/>
      </c>
      <c r="AH106" s="23" t="str">
        <f t="shared" si="103"/>
        <v/>
      </c>
      <c r="AI106" s="9" t="str">
        <f t="shared" si="89"/>
        <v/>
      </c>
      <c r="AJ106" s="4" t="str">
        <f t="shared" si="90"/>
        <v/>
      </c>
      <c r="AK106" s="4"/>
      <c r="AL106" s="4"/>
      <c r="AM106" s="4"/>
      <c r="AN106" s="4"/>
      <c r="AO106" s="4"/>
      <c r="AP106" s="20" t="str">
        <f t="shared" si="91"/>
        <v>-</v>
      </c>
      <c r="AQ106" s="13" t="str">
        <f t="shared" si="104"/>
        <v>-</v>
      </c>
      <c r="AR106" s="13" t="str">
        <f t="shared" si="105"/>
        <v>-</v>
      </c>
      <c r="AS106" s="13" t="str">
        <f t="shared" si="92"/>
        <v>-</v>
      </c>
      <c r="AT106" s="16" t="str">
        <f t="shared" si="106"/>
        <v>-</v>
      </c>
      <c r="AU106" s="16" t="str">
        <f t="shared" si="93"/>
        <v>-</v>
      </c>
      <c r="AV106" s="16" t="str">
        <f t="shared" si="94"/>
        <v>-</v>
      </c>
      <c r="AW106" s="16" t="str">
        <f t="shared" si="107"/>
        <v>-</v>
      </c>
      <c r="AX106" s="13" t="str">
        <f t="shared" si="108"/>
        <v>-</v>
      </c>
      <c r="AY106" s="10" t="str">
        <f t="shared" si="109"/>
        <v>-</v>
      </c>
      <c r="AZ106" s="9" t="str">
        <f t="shared" si="110"/>
        <v>-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</row>
    <row r="107" spans="2:68" x14ac:dyDescent="0.3">
      <c r="B107" s="108" t="str">
        <f t="shared" si="95"/>
        <v/>
      </c>
      <c r="C107" s="108" t="str">
        <f t="shared" si="81"/>
        <v/>
      </c>
      <c r="D107" s="3"/>
      <c r="E107" s="3"/>
      <c r="F107" s="3"/>
      <c r="G107" s="20">
        <f>IFERROR(INDEX('Input - Tesco'!F$2:F$200,MATCH('Calculations - Tesco'!$C107,'Input - Tesco'!$B$2:$B$200,0)),"")</f>
        <v>0</v>
      </c>
      <c r="H107" s="20">
        <f>IFERROR(INDEX('Input - Tesco'!G$2:G$200,MATCH('Calculations - Tesco'!$C107,'Input - Tesco'!$B$2:$B$200,0)),"")</f>
        <v>0</v>
      </c>
      <c r="I107" s="21">
        <f>IFERROR(INDEX('Input - Tesco'!H$2:H$200,MATCH('Calculations - Tesco'!$C107,'Input - Tesco'!$B$2:$B$200,0)),"")</f>
        <v>0</v>
      </c>
      <c r="J107" s="21">
        <f>IFERROR(INDEX('Input - Tesco'!I$2:I$200,MATCH('Calculations - Tesco'!$C107,'Input - Tesco'!$B$2:$B$200,0)),"")</f>
        <v>0</v>
      </c>
      <c r="K107" s="20">
        <f>IFERROR(INDEX('Input - Tesco'!J$2:J$200,MATCH('Calculations - Tesco'!$C107,'Input - Tesco'!$B$2:$B$200,0)),"")</f>
        <v>0</v>
      </c>
      <c r="L107" s="20">
        <f>IFERROR(INDEX('Input - Tesco'!K$2:K$200,MATCH('Calculations - Tesco'!$C107,'Input - Tesco'!$B$2:$B$200,0)),"")</f>
        <v>0</v>
      </c>
      <c r="M107" s="21" t="str">
        <f t="shared" si="96"/>
        <v/>
      </c>
      <c r="N107" s="21" t="str">
        <f t="shared" si="82"/>
        <v/>
      </c>
      <c r="O107" s="21">
        <f t="shared" si="97"/>
        <v>0</v>
      </c>
      <c r="P107" s="9">
        <f t="shared" si="79"/>
        <v>0</v>
      </c>
      <c r="Q107" s="9">
        <f t="shared" si="80"/>
        <v>0</v>
      </c>
      <c r="R107" s="22" t="str">
        <f>IFERROR(INDEX(Tesco!$Q$11:$Q$165,MATCH('Calculations - Tesco'!$C107,Tesco!$M$11:$M$165,0)),"")</f>
        <v/>
      </c>
      <c r="S107" s="22" t="str">
        <f>IFERROR(INDEX(Tesco!$R$11:$R$165,MATCH('Calculations - Tesco'!$C107,Tesco!$M$11:$M$165,0)),"")</f>
        <v/>
      </c>
      <c r="T107" s="16" t="e">
        <f t="shared" si="83"/>
        <v>#VALUE!</v>
      </c>
      <c r="U107" s="16" t="e">
        <f t="shared" si="98"/>
        <v>#VALUE!</v>
      </c>
      <c r="V107" s="16" t="e">
        <f t="shared" si="99"/>
        <v>#VALUE!</v>
      </c>
      <c r="W107" s="10" t="str">
        <f t="shared" si="84"/>
        <v>-</v>
      </c>
      <c r="X107" s="10" t="str">
        <f t="shared" si="85"/>
        <v>-</v>
      </c>
      <c r="Y107" s="13" t="str">
        <f t="shared" si="100"/>
        <v>-</v>
      </c>
      <c r="Z107" s="9" t="str">
        <f t="shared" si="86"/>
        <v>-</v>
      </c>
      <c r="AA107" s="16" t="str">
        <f t="shared" si="101"/>
        <v>-</v>
      </c>
      <c r="AB107" s="16" t="str">
        <f t="shared" si="87"/>
        <v>-</v>
      </c>
      <c r="AC107" s="16" t="str">
        <f t="shared" si="88"/>
        <v>-</v>
      </c>
      <c r="AD107" s="16" t="str">
        <f t="shared" si="102"/>
        <v>-</v>
      </c>
      <c r="AE107" s="16"/>
      <c r="AF107" s="31" t="str">
        <f>IFERROR(INDEX(Tesco!$P$11:$P$165,MATCH('Calculations - Tesco'!C107,Tesco!$M$11:$M$165,0)),"")</f>
        <v/>
      </c>
      <c r="AG107" s="23" t="str">
        <f t="shared" si="103"/>
        <v/>
      </c>
      <c r="AH107" s="23" t="str">
        <f t="shared" si="103"/>
        <v/>
      </c>
      <c r="AI107" s="9" t="str">
        <f t="shared" si="89"/>
        <v/>
      </c>
      <c r="AJ107" s="4" t="str">
        <f t="shared" si="90"/>
        <v/>
      </c>
      <c r="AK107" s="4"/>
      <c r="AL107" s="4"/>
      <c r="AM107" s="4"/>
      <c r="AN107" s="4"/>
      <c r="AO107" s="4"/>
      <c r="AP107" s="20" t="str">
        <f t="shared" si="91"/>
        <v>-</v>
      </c>
      <c r="AQ107" s="13" t="str">
        <f t="shared" si="104"/>
        <v>-</v>
      </c>
      <c r="AR107" s="13" t="str">
        <f t="shared" si="105"/>
        <v>-</v>
      </c>
      <c r="AS107" s="13" t="str">
        <f t="shared" si="92"/>
        <v>-</v>
      </c>
      <c r="AT107" s="16" t="str">
        <f t="shared" si="106"/>
        <v>-</v>
      </c>
      <c r="AU107" s="16" t="str">
        <f t="shared" si="93"/>
        <v>-</v>
      </c>
      <c r="AV107" s="16" t="str">
        <f t="shared" si="94"/>
        <v>-</v>
      </c>
      <c r="AW107" s="16" t="str">
        <f t="shared" si="107"/>
        <v>-</v>
      </c>
      <c r="AX107" s="13" t="str">
        <f t="shared" si="108"/>
        <v>-</v>
      </c>
      <c r="AY107" s="10" t="str">
        <f t="shared" si="109"/>
        <v>-</v>
      </c>
      <c r="AZ107" s="9" t="str">
        <f t="shared" si="110"/>
        <v>-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</row>
    <row r="108" spans="2:68" x14ac:dyDescent="0.3">
      <c r="B108" s="108" t="str">
        <f t="shared" si="95"/>
        <v/>
      </c>
      <c r="C108" s="108" t="str">
        <f t="shared" si="81"/>
        <v/>
      </c>
      <c r="D108" s="3"/>
      <c r="E108" s="3"/>
      <c r="F108" s="3"/>
      <c r="G108" s="20">
        <f>IFERROR(INDEX('Input - Tesco'!F$2:F$200,MATCH('Calculations - Tesco'!$C108,'Input - Tesco'!$B$2:$B$200,0)),"")</f>
        <v>0</v>
      </c>
      <c r="H108" s="20">
        <f>IFERROR(INDEX('Input - Tesco'!G$2:G$200,MATCH('Calculations - Tesco'!$C108,'Input - Tesco'!$B$2:$B$200,0)),"")</f>
        <v>0</v>
      </c>
      <c r="I108" s="21">
        <f>IFERROR(INDEX('Input - Tesco'!H$2:H$200,MATCH('Calculations - Tesco'!$C108,'Input - Tesco'!$B$2:$B$200,0)),"")</f>
        <v>0</v>
      </c>
      <c r="J108" s="21">
        <f>IFERROR(INDEX('Input - Tesco'!I$2:I$200,MATCH('Calculations - Tesco'!$C108,'Input - Tesco'!$B$2:$B$200,0)),"")</f>
        <v>0</v>
      </c>
      <c r="K108" s="20">
        <f>IFERROR(INDEX('Input - Tesco'!J$2:J$200,MATCH('Calculations - Tesco'!$C108,'Input - Tesco'!$B$2:$B$200,0)),"")</f>
        <v>0</v>
      </c>
      <c r="L108" s="20">
        <f>IFERROR(INDEX('Input - Tesco'!K$2:K$200,MATCH('Calculations - Tesco'!$C108,'Input - Tesco'!$B$2:$B$200,0)),"")</f>
        <v>0</v>
      </c>
      <c r="M108" s="21" t="str">
        <f t="shared" si="96"/>
        <v/>
      </c>
      <c r="N108" s="21" t="str">
        <f t="shared" si="82"/>
        <v/>
      </c>
      <c r="O108" s="21">
        <f t="shared" si="97"/>
        <v>0</v>
      </c>
      <c r="P108" s="9">
        <f t="shared" si="79"/>
        <v>0</v>
      </c>
      <c r="Q108" s="9">
        <f t="shared" si="80"/>
        <v>0</v>
      </c>
      <c r="R108" s="22" t="str">
        <f>IFERROR(INDEX(Tesco!$Q$11:$Q$165,MATCH('Calculations - Tesco'!$C108,Tesco!$M$11:$M$165,0)),"")</f>
        <v/>
      </c>
      <c r="S108" s="22" t="str">
        <f>IFERROR(INDEX(Tesco!$R$11:$R$165,MATCH('Calculations - Tesco'!$C108,Tesco!$M$11:$M$165,0)),"")</f>
        <v/>
      </c>
      <c r="T108" s="16" t="e">
        <f t="shared" si="83"/>
        <v>#VALUE!</v>
      </c>
      <c r="U108" s="16" t="e">
        <f t="shared" si="98"/>
        <v>#VALUE!</v>
      </c>
      <c r="V108" s="16" t="e">
        <f t="shared" si="99"/>
        <v>#VALUE!</v>
      </c>
      <c r="W108" s="10" t="str">
        <f t="shared" si="84"/>
        <v>-</v>
      </c>
      <c r="X108" s="10" t="str">
        <f t="shared" si="85"/>
        <v>-</v>
      </c>
      <c r="Y108" s="13" t="str">
        <f t="shared" si="100"/>
        <v>-</v>
      </c>
      <c r="Z108" s="9" t="str">
        <f t="shared" si="86"/>
        <v>-</v>
      </c>
      <c r="AA108" s="16" t="str">
        <f t="shared" si="101"/>
        <v>-</v>
      </c>
      <c r="AB108" s="16" t="str">
        <f t="shared" si="87"/>
        <v>-</v>
      </c>
      <c r="AC108" s="16" t="str">
        <f t="shared" si="88"/>
        <v>-</v>
      </c>
      <c r="AD108" s="16" t="str">
        <f t="shared" si="102"/>
        <v>-</v>
      </c>
      <c r="AE108" s="16"/>
      <c r="AF108" s="31" t="str">
        <f>IFERROR(INDEX(Tesco!$P$11:$P$165,MATCH('Calculations - Tesco'!C108,Tesco!$M$11:$M$165,0)),"")</f>
        <v/>
      </c>
      <c r="AG108" s="23" t="str">
        <f t="shared" si="103"/>
        <v/>
      </c>
      <c r="AH108" s="23" t="str">
        <f t="shared" si="103"/>
        <v/>
      </c>
      <c r="AI108" s="9" t="str">
        <f t="shared" si="89"/>
        <v/>
      </c>
      <c r="AJ108" s="4" t="str">
        <f t="shared" si="90"/>
        <v/>
      </c>
      <c r="AK108" s="4"/>
      <c r="AL108" s="4"/>
      <c r="AM108" s="4"/>
      <c r="AN108" s="4"/>
      <c r="AO108" s="4"/>
      <c r="AP108" s="20" t="str">
        <f t="shared" si="91"/>
        <v>-</v>
      </c>
      <c r="AQ108" s="13" t="str">
        <f t="shared" si="104"/>
        <v>-</v>
      </c>
      <c r="AR108" s="13" t="str">
        <f t="shared" si="105"/>
        <v>-</v>
      </c>
      <c r="AS108" s="13" t="str">
        <f t="shared" si="92"/>
        <v>-</v>
      </c>
      <c r="AT108" s="16" t="str">
        <f t="shared" si="106"/>
        <v>-</v>
      </c>
      <c r="AU108" s="16" t="str">
        <f t="shared" si="93"/>
        <v>-</v>
      </c>
      <c r="AV108" s="16" t="str">
        <f t="shared" si="94"/>
        <v>-</v>
      </c>
      <c r="AW108" s="16" t="str">
        <f t="shared" si="107"/>
        <v>-</v>
      </c>
      <c r="AX108" s="13" t="str">
        <f t="shared" si="108"/>
        <v>-</v>
      </c>
      <c r="AY108" s="10" t="str">
        <f t="shared" si="109"/>
        <v>-</v>
      </c>
      <c r="AZ108" s="9" t="str">
        <f t="shared" si="110"/>
        <v>-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</row>
    <row r="109" spans="2:68" x14ac:dyDescent="0.3">
      <c r="B109" s="108" t="str">
        <f t="shared" si="95"/>
        <v/>
      </c>
      <c r="C109" s="108" t="str">
        <f t="shared" si="81"/>
        <v/>
      </c>
      <c r="D109" s="3"/>
      <c r="E109" s="3"/>
      <c r="F109" s="3"/>
      <c r="G109" s="20">
        <f>IFERROR(INDEX('Input - Tesco'!F$2:F$200,MATCH('Calculations - Tesco'!$C109,'Input - Tesco'!$B$2:$B$200,0)),"")</f>
        <v>0</v>
      </c>
      <c r="H109" s="20">
        <f>IFERROR(INDEX('Input - Tesco'!G$2:G$200,MATCH('Calculations - Tesco'!$C109,'Input - Tesco'!$B$2:$B$200,0)),"")</f>
        <v>0</v>
      </c>
      <c r="I109" s="21">
        <f>IFERROR(INDEX('Input - Tesco'!H$2:H$200,MATCH('Calculations - Tesco'!$C109,'Input - Tesco'!$B$2:$B$200,0)),"")</f>
        <v>0</v>
      </c>
      <c r="J109" s="21">
        <f>IFERROR(INDEX('Input - Tesco'!I$2:I$200,MATCH('Calculations - Tesco'!$C109,'Input - Tesco'!$B$2:$B$200,0)),"")</f>
        <v>0</v>
      </c>
      <c r="K109" s="20">
        <f>IFERROR(INDEX('Input - Tesco'!J$2:J$200,MATCH('Calculations - Tesco'!$C109,'Input - Tesco'!$B$2:$B$200,0)),"")</f>
        <v>0</v>
      </c>
      <c r="L109" s="20">
        <f>IFERROR(INDEX('Input - Tesco'!K$2:K$200,MATCH('Calculations - Tesco'!$C109,'Input - Tesco'!$B$2:$B$200,0)),"")</f>
        <v>0</v>
      </c>
      <c r="M109" s="21" t="str">
        <f t="shared" si="96"/>
        <v/>
      </c>
      <c r="N109" s="21" t="str">
        <f t="shared" si="82"/>
        <v/>
      </c>
      <c r="O109" s="21">
        <f t="shared" si="97"/>
        <v>0</v>
      </c>
      <c r="P109" s="9">
        <f t="shared" si="79"/>
        <v>0</v>
      </c>
      <c r="Q109" s="9">
        <f t="shared" si="80"/>
        <v>0</v>
      </c>
      <c r="R109" s="22" t="str">
        <f>IFERROR(INDEX(Tesco!$Q$11:$Q$165,MATCH('Calculations - Tesco'!$C109,Tesco!$M$11:$M$165,0)),"")</f>
        <v/>
      </c>
      <c r="S109" s="22" t="str">
        <f>IFERROR(INDEX(Tesco!$R$11:$R$165,MATCH('Calculations - Tesco'!$C109,Tesco!$M$11:$M$165,0)),"")</f>
        <v/>
      </c>
      <c r="T109" s="16" t="e">
        <f t="shared" si="83"/>
        <v>#VALUE!</v>
      </c>
      <c r="U109" s="16" t="e">
        <f t="shared" si="98"/>
        <v>#VALUE!</v>
      </c>
      <c r="V109" s="16" t="e">
        <f t="shared" si="99"/>
        <v>#VALUE!</v>
      </c>
      <c r="W109" s="10" t="str">
        <f t="shared" si="84"/>
        <v>-</v>
      </c>
      <c r="X109" s="10" t="str">
        <f t="shared" si="85"/>
        <v>-</v>
      </c>
      <c r="Y109" s="13" t="str">
        <f t="shared" si="100"/>
        <v>-</v>
      </c>
      <c r="Z109" s="9" t="str">
        <f t="shared" si="86"/>
        <v>-</v>
      </c>
      <c r="AA109" s="16" t="str">
        <f t="shared" si="101"/>
        <v>-</v>
      </c>
      <c r="AB109" s="16" t="str">
        <f t="shared" si="87"/>
        <v>-</v>
      </c>
      <c r="AC109" s="16" t="str">
        <f t="shared" si="88"/>
        <v>-</v>
      </c>
      <c r="AD109" s="16" t="str">
        <f t="shared" si="102"/>
        <v>-</v>
      </c>
      <c r="AE109" s="16"/>
      <c r="AF109" s="31" t="str">
        <f>IFERROR(INDEX(Tesco!$P$11:$P$165,MATCH('Calculations - Tesco'!C109,Tesco!$M$11:$M$165,0)),"")</f>
        <v/>
      </c>
      <c r="AG109" s="23" t="str">
        <f t="shared" si="103"/>
        <v/>
      </c>
      <c r="AH109" s="23" t="str">
        <f t="shared" si="103"/>
        <v/>
      </c>
      <c r="AI109" s="9" t="str">
        <f t="shared" si="89"/>
        <v/>
      </c>
      <c r="AJ109" s="4" t="str">
        <f t="shared" si="90"/>
        <v/>
      </c>
      <c r="AK109" s="4"/>
      <c r="AL109" s="4"/>
      <c r="AM109" s="4"/>
      <c r="AN109" s="4"/>
      <c r="AO109" s="4"/>
      <c r="AP109" s="20" t="str">
        <f t="shared" si="91"/>
        <v>-</v>
      </c>
      <c r="AQ109" s="13" t="str">
        <f t="shared" si="104"/>
        <v>-</v>
      </c>
      <c r="AR109" s="13" t="str">
        <f t="shared" si="105"/>
        <v>-</v>
      </c>
      <c r="AS109" s="13" t="str">
        <f t="shared" si="92"/>
        <v>-</v>
      </c>
      <c r="AT109" s="16" t="str">
        <f t="shared" si="106"/>
        <v>-</v>
      </c>
      <c r="AU109" s="16" t="str">
        <f t="shared" si="93"/>
        <v>-</v>
      </c>
      <c r="AV109" s="16" t="str">
        <f t="shared" si="94"/>
        <v>-</v>
      </c>
      <c r="AW109" s="16" t="str">
        <f t="shared" si="107"/>
        <v>-</v>
      </c>
      <c r="AX109" s="13" t="str">
        <f t="shared" si="108"/>
        <v>-</v>
      </c>
      <c r="AY109" s="10" t="str">
        <f t="shared" si="109"/>
        <v>-</v>
      </c>
      <c r="AZ109" s="9" t="str">
        <f t="shared" si="110"/>
        <v>-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</row>
    <row r="110" spans="2:68" x14ac:dyDescent="0.3">
      <c r="B110" s="108" t="str">
        <f t="shared" si="95"/>
        <v/>
      </c>
      <c r="C110" s="108" t="str">
        <f t="shared" si="81"/>
        <v/>
      </c>
      <c r="D110" s="3"/>
      <c r="E110" s="3"/>
      <c r="F110" s="3"/>
      <c r="G110" s="20">
        <f>IFERROR(INDEX('Input - Tesco'!F$2:F$200,MATCH('Calculations - Tesco'!$C110,'Input - Tesco'!$B$2:$B$200,0)),"")</f>
        <v>0</v>
      </c>
      <c r="H110" s="20">
        <f>IFERROR(INDEX('Input - Tesco'!G$2:G$200,MATCH('Calculations - Tesco'!$C110,'Input - Tesco'!$B$2:$B$200,0)),"")</f>
        <v>0</v>
      </c>
      <c r="I110" s="21">
        <f>IFERROR(INDEX('Input - Tesco'!H$2:H$200,MATCH('Calculations - Tesco'!$C110,'Input - Tesco'!$B$2:$B$200,0)),"")</f>
        <v>0</v>
      </c>
      <c r="J110" s="21">
        <f>IFERROR(INDEX('Input - Tesco'!I$2:I$200,MATCH('Calculations - Tesco'!$C110,'Input - Tesco'!$B$2:$B$200,0)),"")</f>
        <v>0</v>
      </c>
      <c r="K110" s="20">
        <f>IFERROR(INDEX('Input - Tesco'!J$2:J$200,MATCH('Calculations - Tesco'!$C110,'Input - Tesco'!$B$2:$B$200,0)),"")</f>
        <v>0</v>
      </c>
      <c r="L110" s="20">
        <f>IFERROR(INDEX('Input - Tesco'!K$2:K$200,MATCH('Calculations - Tesco'!$C110,'Input - Tesco'!$B$2:$B$200,0)),"")</f>
        <v>0</v>
      </c>
      <c r="M110" s="21" t="str">
        <f t="shared" si="96"/>
        <v/>
      </c>
      <c r="N110" s="21" t="str">
        <f t="shared" si="82"/>
        <v/>
      </c>
      <c r="O110" s="21">
        <f t="shared" si="97"/>
        <v>0</v>
      </c>
      <c r="P110" s="9">
        <f t="shared" si="79"/>
        <v>0</v>
      </c>
      <c r="Q110" s="9">
        <f t="shared" si="80"/>
        <v>0</v>
      </c>
      <c r="R110" s="22" t="str">
        <f>IFERROR(INDEX(Tesco!$Q$11:$Q$165,MATCH('Calculations - Tesco'!$C110,Tesco!$M$11:$M$165,0)),"")</f>
        <v/>
      </c>
      <c r="S110" s="22" t="str">
        <f>IFERROR(INDEX(Tesco!$R$11:$R$165,MATCH('Calculations - Tesco'!$C110,Tesco!$M$11:$M$165,0)),"")</f>
        <v/>
      </c>
      <c r="T110" s="16" t="e">
        <f t="shared" si="83"/>
        <v>#VALUE!</v>
      </c>
      <c r="U110" s="16" t="e">
        <f t="shared" si="98"/>
        <v>#VALUE!</v>
      </c>
      <c r="V110" s="16" t="e">
        <f t="shared" si="99"/>
        <v>#VALUE!</v>
      </c>
      <c r="W110" s="10" t="str">
        <f t="shared" si="84"/>
        <v>-</v>
      </c>
      <c r="X110" s="10" t="str">
        <f t="shared" si="85"/>
        <v>-</v>
      </c>
      <c r="Y110" s="13" t="str">
        <f t="shared" si="100"/>
        <v>-</v>
      </c>
      <c r="Z110" s="9" t="str">
        <f t="shared" si="86"/>
        <v>-</v>
      </c>
      <c r="AA110" s="16" t="str">
        <f t="shared" si="101"/>
        <v>-</v>
      </c>
      <c r="AB110" s="16" t="str">
        <f t="shared" si="87"/>
        <v>-</v>
      </c>
      <c r="AC110" s="16" t="str">
        <f t="shared" si="88"/>
        <v>-</v>
      </c>
      <c r="AD110" s="16" t="str">
        <f t="shared" si="102"/>
        <v>-</v>
      </c>
      <c r="AE110" s="16"/>
      <c r="AF110" s="31" t="str">
        <f>IFERROR(INDEX(Tesco!$P$11:$P$165,MATCH('Calculations - Tesco'!C110,Tesco!$M$11:$M$165,0)),"")</f>
        <v/>
      </c>
      <c r="AG110" s="23" t="str">
        <f t="shared" si="103"/>
        <v/>
      </c>
      <c r="AH110" s="23" t="str">
        <f t="shared" si="103"/>
        <v/>
      </c>
      <c r="AI110" s="9" t="str">
        <f t="shared" si="89"/>
        <v/>
      </c>
      <c r="AJ110" s="4" t="str">
        <f t="shared" si="90"/>
        <v/>
      </c>
      <c r="AK110" s="4"/>
      <c r="AL110" s="4"/>
      <c r="AM110" s="4"/>
      <c r="AN110" s="4"/>
      <c r="AO110" s="4"/>
      <c r="AP110" s="20" t="str">
        <f t="shared" si="91"/>
        <v>-</v>
      </c>
      <c r="AQ110" s="13" t="str">
        <f t="shared" si="104"/>
        <v>-</v>
      </c>
      <c r="AR110" s="13" t="str">
        <f t="shared" si="105"/>
        <v>-</v>
      </c>
      <c r="AS110" s="13" t="str">
        <f t="shared" si="92"/>
        <v>-</v>
      </c>
      <c r="AT110" s="16" t="str">
        <f t="shared" si="106"/>
        <v>-</v>
      </c>
      <c r="AU110" s="16" t="str">
        <f t="shared" si="93"/>
        <v>-</v>
      </c>
      <c r="AV110" s="16" t="str">
        <f t="shared" si="94"/>
        <v>-</v>
      </c>
      <c r="AW110" s="16" t="str">
        <f t="shared" si="107"/>
        <v>-</v>
      </c>
      <c r="AX110" s="13" t="str">
        <f t="shared" si="108"/>
        <v>-</v>
      </c>
      <c r="AY110" s="10" t="str">
        <f t="shared" si="109"/>
        <v>-</v>
      </c>
      <c r="AZ110" s="9" t="str">
        <f t="shared" si="110"/>
        <v>-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</row>
    <row r="111" spans="2:68" x14ac:dyDescent="0.3">
      <c r="B111" s="108" t="str">
        <f t="shared" si="95"/>
        <v/>
      </c>
      <c r="C111" s="108" t="str">
        <f t="shared" si="81"/>
        <v/>
      </c>
      <c r="D111" s="3"/>
      <c r="E111" s="3"/>
      <c r="F111" s="3"/>
      <c r="G111" s="20">
        <f>IFERROR(INDEX('Input - Tesco'!F$2:F$200,MATCH('Calculations - Tesco'!$C111,'Input - Tesco'!$B$2:$B$200,0)),"")</f>
        <v>0</v>
      </c>
      <c r="H111" s="20">
        <f>IFERROR(INDEX('Input - Tesco'!G$2:G$200,MATCH('Calculations - Tesco'!$C111,'Input - Tesco'!$B$2:$B$200,0)),"")</f>
        <v>0</v>
      </c>
      <c r="I111" s="21">
        <f>IFERROR(INDEX('Input - Tesco'!H$2:H$200,MATCH('Calculations - Tesco'!$C111,'Input - Tesco'!$B$2:$B$200,0)),"")</f>
        <v>0</v>
      </c>
      <c r="J111" s="21">
        <f>IFERROR(INDEX('Input - Tesco'!I$2:I$200,MATCH('Calculations - Tesco'!$C111,'Input - Tesco'!$B$2:$B$200,0)),"")</f>
        <v>0</v>
      </c>
      <c r="K111" s="20">
        <f>IFERROR(INDEX('Input - Tesco'!J$2:J$200,MATCH('Calculations - Tesco'!$C111,'Input - Tesco'!$B$2:$B$200,0)),"")</f>
        <v>0</v>
      </c>
      <c r="L111" s="20">
        <f>IFERROR(INDEX('Input - Tesco'!K$2:K$200,MATCH('Calculations - Tesco'!$C111,'Input - Tesco'!$B$2:$B$200,0)),"")</f>
        <v>0</v>
      </c>
      <c r="M111" s="21" t="str">
        <f t="shared" si="96"/>
        <v/>
      </c>
      <c r="N111" s="21" t="str">
        <f t="shared" si="82"/>
        <v/>
      </c>
      <c r="O111" s="21">
        <f t="shared" si="97"/>
        <v>0</v>
      </c>
      <c r="P111" s="9">
        <f t="shared" si="79"/>
        <v>0</v>
      </c>
      <c r="Q111" s="9">
        <f t="shared" si="80"/>
        <v>0</v>
      </c>
      <c r="R111" s="22" t="str">
        <f>IFERROR(INDEX(Tesco!$Q$11:$Q$165,MATCH('Calculations - Tesco'!$C111,Tesco!$M$11:$M$165,0)),"")</f>
        <v/>
      </c>
      <c r="S111" s="22" t="str">
        <f>IFERROR(INDEX(Tesco!$R$11:$R$165,MATCH('Calculations - Tesco'!$C111,Tesco!$M$11:$M$165,0)),"")</f>
        <v/>
      </c>
      <c r="T111" s="16" t="e">
        <f t="shared" si="83"/>
        <v>#VALUE!</v>
      </c>
      <c r="U111" s="16" t="e">
        <f t="shared" si="98"/>
        <v>#VALUE!</v>
      </c>
      <c r="V111" s="16" t="e">
        <f t="shared" si="99"/>
        <v>#VALUE!</v>
      </c>
      <c r="W111" s="10" t="str">
        <f t="shared" si="84"/>
        <v>-</v>
      </c>
      <c r="X111" s="10" t="str">
        <f t="shared" si="85"/>
        <v>-</v>
      </c>
      <c r="Y111" s="13" t="str">
        <f t="shared" si="100"/>
        <v>-</v>
      </c>
      <c r="Z111" s="9" t="str">
        <f t="shared" si="86"/>
        <v>-</v>
      </c>
      <c r="AA111" s="16" t="str">
        <f t="shared" si="101"/>
        <v>-</v>
      </c>
      <c r="AB111" s="16" t="str">
        <f t="shared" si="87"/>
        <v>-</v>
      </c>
      <c r="AC111" s="16" t="str">
        <f t="shared" si="88"/>
        <v>-</v>
      </c>
      <c r="AD111" s="16" t="str">
        <f t="shared" si="102"/>
        <v>-</v>
      </c>
      <c r="AE111" s="16"/>
      <c r="AF111" s="31" t="str">
        <f>IFERROR(INDEX(Tesco!$P$11:$P$165,MATCH('Calculations - Tesco'!C111,Tesco!$M$11:$M$165,0)),"")</f>
        <v/>
      </c>
      <c r="AG111" s="23" t="str">
        <f t="shared" si="103"/>
        <v/>
      </c>
      <c r="AH111" s="23" t="str">
        <f t="shared" si="103"/>
        <v/>
      </c>
      <c r="AI111" s="9" t="str">
        <f t="shared" si="89"/>
        <v/>
      </c>
      <c r="AJ111" s="4" t="str">
        <f t="shared" si="90"/>
        <v/>
      </c>
      <c r="AK111" s="4"/>
      <c r="AL111" s="4"/>
      <c r="AM111" s="4"/>
      <c r="AN111" s="4"/>
      <c r="AO111" s="4"/>
      <c r="AP111" s="20" t="str">
        <f t="shared" si="91"/>
        <v>-</v>
      </c>
      <c r="AQ111" s="13" t="str">
        <f t="shared" si="104"/>
        <v>-</v>
      </c>
      <c r="AR111" s="13" t="str">
        <f t="shared" si="105"/>
        <v>-</v>
      </c>
      <c r="AS111" s="13" t="str">
        <f t="shared" si="92"/>
        <v>-</v>
      </c>
      <c r="AT111" s="16" t="str">
        <f t="shared" si="106"/>
        <v>-</v>
      </c>
      <c r="AU111" s="16" t="str">
        <f t="shared" si="93"/>
        <v>-</v>
      </c>
      <c r="AV111" s="16" t="str">
        <f t="shared" si="94"/>
        <v>-</v>
      </c>
      <c r="AW111" s="16" t="str">
        <f t="shared" si="107"/>
        <v>-</v>
      </c>
      <c r="AX111" s="13" t="str">
        <f t="shared" si="108"/>
        <v>-</v>
      </c>
      <c r="AY111" s="10" t="str">
        <f t="shared" si="109"/>
        <v>-</v>
      </c>
      <c r="AZ111" s="9" t="str">
        <f t="shared" si="110"/>
        <v>-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</row>
    <row r="112" spans="2:68" x14ac:dyDescent="0.3">
      <c r="B112" s="108" t="str">
        <f t="shared" si="95"/>
        <v/>
      </c>
      <c r="C112" s="108" t="str">
        <f t="shared" si="81"/>
        <v/>
      </c>
      <c r="D112" s="3"/>
      <c r="E112" s="3"/>
      <c r="F112" s="3"/>
      <c r="G112" s="20">
        <f>IFERROR(INDEX('Input - Tesco'!F$2:F$200,MATCH('Calculations - Tesco'!$C112,'Input - Tesco'!$B$2:$B$200,0)),"")</f>
        <v>0</v>
      </c>
      <c r="H112" s="20">
        <f>IFERROR(INDEX('Input - Tesco'!G$2:G$200,MATCH('Calculations - Tesco'!$C112,'Input - Tesco'!$B$2:$B$200,0)),"")</f>
        <v>0</v>
      </c>
      <c r="I112" s="21">
        <f>IFERROR(INDEX('Input - Tesco'!H$2:H$200,MATCH('Calculations - Tesco'!$C112,'Input - Tesco'!$B$2:$B$200,0)),"")</f>
        <v>0</v>
      </c>
      <c r="J112" s="21">
        <f>IFERROR(INDEX('Input - Tesco'!I$2:I$200,MATCH('Calculations - Tesco'!$C112,'Input - Tesco'!$B$2:$B$200,0)),"")</f>
        <v>0</v>
      </c>
      <c r="K112" s="20">
        <f>IFERROR(INDEX('Input - Tesco'!J$2:J$200,MATCH('Calculations - Tesco'!$C112,'Input - Tesco'!$B$2:$B$200,0)),"")</f>
        <v>0</v>
      </c>
      <c r="L112" s="20">
        <f>IFERROR(INDEX('Input - Tesco'!K$2:K$200,MATCH('Calculations - Tesco'!$C112,'Input - Tesco'!$B$2:$B$200,0)),"")</f>
        <v>0</v>
      </c>
      <c r="M112" s="21" t="str">
        <f t="shared" si="96"/>
        <v/>
      </c>
      <c r="N112" s="21" t="str">
        <f t="shared" si="82"/>
        <v/>
      </c>
      <c r="O112" s="21">
        <f t="shared" si="97"/>
        <v>0</v>
      </c>
      <c r="P112" s="9">
        <f t="shared" si="79"/>
        <v>0</v>
      </c>
      <c r="Q112" s="9">
        <f t="shared" si="80"/>
        <v>0</v>
      </c>
      <c r="R112" s="22" t="str">
        <f>IFERROR(INDEX(Tesco!$Q$11:$Q$165,MATCH('Calculations - Tesco'!$C112,Tesco!$M$11:$M$165,0)),"")</f>
        <v/>
      </c>
      <c r="S112" s="22" t="str">
        <f>IFERROR(INDEX(Tesco!$R$11:$R$165,MATCH('Calculations - Tesco'!$C112,Tesco!$M$11:$M$165,0)),"")</f>
        <v/>
      </c>
      <c r="T112" s="16" t="e">
        <f t="shared" si="83"/>
        <v>#VALUE!</v>
      </c>
      <c r="U112" s="16" t="e">
        <f t="shared" si="98"/>
        <v>#VALUE!</v>
      </c>
      <c r="V112" s="16" t="e">
        <f t="shared" si="99"/>
        <v>#VALUE!</v>
      </c>
      <c r="W112" s="10" t="str">
        <f t="shared" si="84"/>
        <v>-</v>
      </c>
      <c r="X112" s="10" t="str">
        <f t="shared" si="85"/>
        <v>-</v>
      </c>
      <c r="Y112" s="13" t="str">
        <f t="shared" si="100"/>
        <v>-</v>
      </c>
      <c r="Z112" s="9" t="str">
        <f t="shared" si="86"/>
        <v>-</v>
      </c>
      <c r="AA112" s="16" t="str">
        <f t="shared" si="101"/>
        <v>-</v>
      </c>
      <c r="AB112" s="16" t="str">
        <f t="shared" si="87"/>
        <v>-</v>
      </c>
      <c r="AC112" s="16" t="str">
        <f t="shared" si="88"/>
        <v>-</v>
      </c>
      <c r="AD112" s="16" t="str">
        <f t="shared" si="102"/>
        <v>-</v>
      </c>
      <c r="AE112" s="16"/>
      <c r="AF112" s="31" t="str">
        <f>IFERROR(INDEX(Tesco!$P$11:$P$165,MATCH('Calculations - Tesco'!C112,Tesco!$M$11:$M$165,0)),"")</f>
        <v/>
      </c>
      <c r="AG112" s="23" t="str">
        <f t="shared" si="103"/>
        <v/>
      </c>
      <c r="AH112" s="23" t="str">
        <f t="shared" si="103"/>
        <v/>
      </c>
      <c r="AI112" s="9" t="str">
        <f t="shared" si="89"/>
        <v/>
      </c>
      <c r="AJ112" s="4" t="str">
        <f t="shared" si="90"/>
        <v/>
      </c>
      <c r="AK112" s="4"/>
      <c r="AL112" s="4"/>
      <c r="AM112" s="4"/>
      <c r="AN112" s="4"/>
      <c r="AO112" s="4"/>
      <c r="AP112" s="20" t="str">
        <f t="shared" si="91"/>
        <v>-</v>
      </c>
      <c r="AQ112" s="13" t="str">
        <f t="shared" si="104"/>
        <v>-</v>
      </c>
      <c r="AR112" s="13" t="str">
        <f t="shared" si="105"/>
        <v>-</v>
      </c>
      <c r="AS112" s="13" t="str">
        <f t="shared" si="92"/>
        <v>-</v>
      </c>
      <c r="AT112" s="16" t="str">
        <f t="shared" si="106"/>
        <v>-</v>
      </c>
      <c r="AU112" s="16" t="str">
        <f t="shared" si="93"/>
        <v>-</v>
      </c>
      <c r="AV112" s="16" t="str">
        <f t="shared" si="94"/>
        <v>-</v>
      </c>
      <c r="AW112" s="16" t="str">
        <f t="shared" si="107"/>
        <v>-</v>
      </c>
      <c r="AX112" s="13" t="str">
        <f t="shared" si="108"/>
        <v>-</v>
      </c>
      <c r="AY112" s="10" t="str">
        <f t="shared" si="109"/>
        <v>-</v>
      </c>
      <c r="AZ112" s="9" t="str">
        <f t="shared" si="110"/>
        <v>-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</row>
    <row r="113" spans="2:68" x14ac:dyDescent="0.3">
      <c r="B113" s="108" t="str">
        <f t="shared" si="95"/>
        <v/>
      </c>
      <c r="C113" s="108" t="str">
        <f t="shared" si="81"/>
        <v/>
      </c>
      <c r="D113" s="3"/>
      <c r="E113" s="3"/>
      <c r="F113" s="3"/>
      <c r="G113" s="20">
        <f>IFERROR(INDEX('Input - Tesco'!F$2:F$200,MATCH('Calculations - Tesco'!$C113,'Input - Tesco'!$B$2:$B$200,0)),"")</f>
        <v>0</v>
      </c>
      <c r="H113" s="20">
        <f>IFERROR(INDEX('Input - Tesco'!G$2:G$200,MATCH('Calculations - Tesco'!$C113,'Input - Tesco'!$B$2:$B$200,0)),"")</f>
        <v>0</v>
      </c>
      <c r="I113" s="21">
        <f>IFERROR(INDEX('Input - Tesco'!H$2:H$200,MATCH('Calculations - Tesco'!$C113,'Input - Tesco'!$B$2:$B$200,0)),"")</f>
        <v>0</v>
      </c>
      <c r="J113" s="21">
        <f>IFERROR(INDEX('Input - Tesco'!I$2:I$200,MATCH('Calculations - Tesco'!$C113,'Input - Tesco'!$B$2:$B$200,0)),"")</f>
        <v>0</v>
      </c>
      <c r="K113" s="20">
        <f>IFERROR(INDEX('Input - Tesco'!J$2:J$200,MATCH('Calculations - Tesco'!$C113,'Input - Tesco'!$B$2:$B$200,0)),"")</f>
        <v>0</v>
      </c>
      <c r="L113" s="20">
        <f>IFERROR(INDEX('Input - Tesco'!K$2:K$200,MATCH('Calculations - Tesco'!$C113,'Input - Tesco'!$B$2:$B$200,0)),"")</f>
        <v>0</v>
      </c>
      <c r="M113" s="21" t="str">
        <f t="shared" si="96"/>
        <v/>
      </c>
      <c r="N113" s="21" t="str">
        <f t="shared" si="82"/>
        <v/>
      </c>
      <c r="O113" s="21">
        <f t="shared" si="97"/>
        <v>0</v>
      </c>
      <c r="P113" s="9">
        <f t="shared" si="79"/>
        <v>0</v>
      </c>
      <c r="Q113" s="9">
        <f t="shared" si="80"/>
        <v>0</v>
      </c>
      <c r="R113" s="22" t="str">
        <f>IFERROR(INDEX(Tesco!$Q$11:$Q$165,MATCH('Calculations - Tesco'!$C113,Tesco!$M$11:$M$165,0)),"")</f>
        <v/>
      </c>
      <c r="S113" s="22" t="str">
        <f>IFERROR(INDEX(Tesco!$R$11:$R$165,MATCH('Calculations - Tesco'!$C113,Tesco!$M$11:$M$165,0)),"")</f>
        <v/>
      </c>
      <c r="T113" s="16" t="e">
        <f t="shared" si="83"/>
        <v>#VALUE!</v>
      </c>
      <c r="U113" s="16" t="e">
        <f t="shared" si="98"/>
        <v>#VALUE!</v>
      </c>
      <c r="V113" s="16" t="e">
        <f t="shared" si="99"/>
        <v>#VALUE!</v>
      </c>
      <c r="W113" s="10" t="str">
        <f t="shared" si="84"/>
        <v>-</v>
      </c>
      <c r="X113" s="10" t="str">
        <f t="shared" si="85"/>
        <v>-</v>
      </c>
      <c r="Y113" s="13" t="str">
        <f t="shared" si="100"/>
        <v>-</v>
      </c>
      <c r="Z113" s="9" t="str">
        <f t="shared" si="86"/>
        <v>-</v>
      </c>
      <c r="AA113" s="16" t="str">
        <f t="shared" si="101"/>
        <v>-</v>
      </c>
      <c r="AB113" s="16" t="str">
        <f t="shared" si="87"/>
        <v>-</v>
      </c>
      <c r="AC113" s="16" t="str">
        <f t="shared" si="88"/>
        <v>-</v>
      </c>
      <c r="AD113" s="16" t="str">
        <f t="shared" si="102"/>
        <v>-</v>
      </c>
      <c r="AE113" s="16"/>
      <c r="AF113" s="31" t="str">
        <f>IFERROR(INDEX(Tesco!$P$11:$P$165,MATCH('Calculations - Tesco'!C113,Tesco!$M$11:$M$165,0)),"")</f>
        <v/>
      </c>
      <c r="AG113" s="23" t="str">
        <f t="shared" si="103"/>
        <v/>
      </c>
      <c r="AH113" s="23" t="str">
        <f t="shared" si="103"/>
        <v/>
      </c>
      <c r="AI113" s="9" t="str">
        <f t="shared" si="89"/>
        <v/>
      </c>
      <c r="AJ113" s="4" t="str">
        <f t="shared" si="90"/>
        <v/>
      </c>
      <c r="AK113" s="4"/>
      <c r="AL113" s="4"/>
      <c r="AM113" s="4"/>
      <c r="AN113" s="4"/>
      <c r="AO113" s="4"/>
      <c r="AP113" s="20" t="str">
        <f t="shared" si="91"/>
        <v>-</v>
      </c>
      <c r="AQ113" s="13" t="str">
        <f t="shared" si="104"/>
        <v>-</v>
      </c>
      <c r="AR113" s="13" t="str">
        <f t="shared" si="105"/>
        <v>-</v>
      </c>
      <c r="AS113" s="13" t="str">
        <f t="shared" si="92"/>
        <v>-</v>
      </c>
      <c r="AT113" s="16" t="str">
        <f t="shared" si="106"/>
        <v>-</v>
      </c>
      <c r="AU113" s="16" t="str">
        <f t="shared" si="93"/>
        <v>-</v>
      </c>
      <c r="AV113" s="16" t="str">
        <f t="shared" si="94"/>
        <v>-</v>
      </c>
      <c r="AW113" s="16" t="str">
        <f t="shared" si="107"/>
        <v>-</v>
      </c>
      <c r="AX113" s="13" t="str">
        <f t="shared" si="108"/>
        <v>-</v>
      </c>
      <c r="AY113" s="10" t="str">
        <f t="shared" si="109"/>
        <v>-</v>
      </c>
      <c r="AZ113" s="9" t="str">
        <f t="shared" si="110"/>
        <v>-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</row>
    <row r="114" spans="2:68" x14ac:dyDescent="0.3">
      <c r="B114" s="108" t="str">
        <f t="shared" si="95"/>
        <v/>
      </c>
      <c r="C114" s="108" t="str">
        <f t="shared" si="81"/>
        <v/>
      </c>
      <c r="D114" s="3"/>
      <c r="E114" s="3"/>
      <c r="F114" s="3"/>
      <c r="G114" s="20">
        <f>IFERROR(INDEX('Input - Tesco'!F$2:F$200,MATCH('Calculations - Tesco'!$C114,'Input - Tesco'!$B$2:$B$200,0)),"")</f>
        <v>0</v>
      </c>
      <c r="H114" s="20">
        <f>IFERROR(INDEX('Input - Tesco'!G$2:G$200,MATCH('Calculations - Tesco'!$C114,'Input - Tesco'!$B$2:$B$200,0)),"")</f>
        <v>0</v>
      </c>
      <c r="I114" s="21">
        <f>IFERROR(INDEX('Input - Tesco'!H$2:H$200,MATCH('Calculations - Tesco'!$C114,'Input - Tesco'!$B$2:$B$200,0)),"")</f>
        <v>0</v>
      </c>
      <c r="J114" s="21">
        <f>IFERROR(INDEX('Input - Tesco'!I$2:I$200,MATCH('Calculations - Tesco'!$C114,'Input - Tesco'!$B$2:$B$200,0)),"")</f>
        <v>0</v>
      </c>
      <c r="K114" s="20">
        <f>IFERROR(INDEX('Input - Tesco'!J$2:J$200,MATCH('Calculations - Tesco'!$C114,'Input - Tesco'!$B$2:$B$200,0)),"")</f>
        <v>0</v>
      </c>
      <c r="L114" s="20">
        <f>IFERROR(INDEX('Input - Tesco'!K$2:K$200,MATCH('Calculations - Tesco'!$C114,'Input - Tesco'!$B$2:$B$200,0)),"")</f>
        <v>0</v>
      </c>
      <c r="M114" s="21" t="str">
        <f t="shared" si="96"/>
        <v/>
      </c>
      <c r="N114" s="21" t="str">
        <f t="shared" si="82"/>
        <v/>
      </c>
      <c r="O114" s="21">
        <f t="shared" si="97"/>
        <v>0</v>
      </c>
      <c r="P114" s="9">
        <f t="shared" si="79"/>
        <v>0</v>
      </c>
      <c r="Q114" s="9">
        <f t="shared" si="80"/>
        <v>0</v>
      </c>
      <c r="R114" s="22" t="str">
        <f>IFERROR(INDEX(Tesco!$Q$11:$Q$165,MATCH('Calculations - Tesco'!$C114,Tesco!$M$11:$M$165,0)),"")</f>
        <v/>
      </c>
      <c r="S114" s="22" t="str">
        <f>IFERROR(INDEX(Tesco!$R$11:$R$165,MATCH('Calculations - Tesco'!$C114,Tesco!$M$11:$M$165,0)),"")</f>
        <v/>
      </c>
      <c r="T114" s="16" t="e">
        <f t="shared" si="83"/>
        <v>#VALUE!</v>
      </c>
      <c r="U114" s="16" t="e">
        <f t="shared" si="98"/>
        <v>#VALUE!</v>
      </c>
      <c r="V114" s="16" t="e">
        <f t="shared" si="99"/>
        <v>#VALUE!</v>
      </c>
      <c r="W114" s="10" t="str">
        <f t="shared" si="84"/>
        <v>-</v>
      </c>
      <c r="X114" s="10" t="str">
        <f t="shared" si="85"/>
        <v>-</v>
      </c>
      <c r="Y114" s="13" t="str">
        <f t="shared" si="100"/>
        <v>-</v>
      </c>
      <c r="Z114" s="9" t="str">
        <f t="shared" si="86"/>
        <v>-</v>
      </c>
      <c r="AA114" s="16" t="str">
        <f t="shared" si="101"/>
        <v>-</v>
      </c>
      <c r="AB114" s="16" t="str">
        <f t="shared" si="87"/>
        <v>-</v>
      </c>
      <c r="AC114" s="16" t="str">
        <f t="shared" si="88"/>
        <v>-</v>
      </c>
      <c r="AD114" s="16" t="str">
        <f t="shared" si="102"/>
        <v>-</v>
      </c>
      <c r="AE114" s="16"/>
      <c r="AF114" s="31" t="str">
        <f>IFERROR(INDEX(Tesco!$P$11:$P$165,MATCH('Calculations - Tesco'!C114,Tesco!$M$11:$M$165,0)),"")</f>
        <v/>
      </c>
      <c r="AG114" s="23" t="str">
        <f t="shared" si="103"/>
        <v/>
      </c>
      <c r="AH114" s="23" t="str">
        <f t="shared" si="103"/>
        <v/>
      </c>
      <c r="AI114" s="9" t="str">
        <f t="shared" si="89"/>
        <v/>
      </c>
      <c r="AJ114" s="4" t="str">
        <f t="shared" si="90"/>
        <v/>
      </c>
      <c r="AK114" s="4"/>
      <c r="AL114" s="4"/>
      <c r="AM114" s="4"/>
      <c r="AN114" s="4"/>
      <c r="AO114" s="4"/>
      <c r="AP114" s="20" t="str">
        <f t="shared" si="91"/>
        <v>-</v>
      </c>
      <c r="AQ114" s="13" t="str">
        <f t="shared" si="104"/>
        <v>-</v>
      </c>
      <c r="AR114" s="13" t="str">
        <f t="shared" si="105"/>
        <v>-</v>
      </c>
      <c r="AS114" s="13" t="str">
        <f t="shared" si="92"/>
        <v>-</v>
      </c>
      <c r="AT114" s="16" t="str">
        <f t="shared" si="106"/>
        <v>-</v>
      </c>
      <c r="AU114" s="16" t="str">
        <f t="shared" si="93"/>
        <v>-</v>
      </c>
      <c r="AV114" s="16" t="str">
        <f t="shared" si="94"/>
        <v>-</v>
      </c>
      <c r="AW114" s="16" t="str">
        <f t="shared" si="107"/>
        <v>-</v>
      </c>
      <c r="AX114" s="13" t="str">
        <f t="shared" si="108"/>
        <v>-</v>
      </c>
      <c r="AY114" s="10" t="str">
        <f t="shared" si="109"/>
        <v>-</v>
      </c>
      <c r="AZ114" s="9" t="str">
        <f t="shared" si="110"/>
        <v>-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</row>
    <row r="115" spans="2:68" x14ac:dyDescent="0.3">
      <c r="B115" s="108" t="str">
        <f t="shared" si="95"/>
        <v/>
      </c>
      <c r="C115" s="108" t="str">
        <f t="shared" si="81"/>
        <v/>
      </c>
      <c r="D115" s="3"/>
      <c r="E115" s="3"/>
      <c r="F115" s="3"/>
      <c r="G115" s="20">
        <f>IFERROR(INDEX('Input - Tesco'!F$2:F$200,MATCH('Calculations - Tesco'!$C115,'Input - Tesco'!$B$2:$B$200,0)),"")</f>
        <v>0</v>
      </c>
      <c r="H115" s="20">
        <f>IFERROR(INDEX('Input - Tesco'!G$2:G$200,MATCH('Calculations - Tesco'!$C115,'Input - Tesco'!$B$2:$B$200,0)),"")</f>
        <v>0</v>
      </c>
      <c r="I115" s="21">
        <f>IFERROR(INDEX('Input - Tesco'!H$2:H$200,MATCH('Calculations - Tesco'!$C115,'Input - Tesco'!$B$2:$B$200,0)),"")</f>
        <v>0</v>
      </c>
      <c r="J115" s="21">
        <f>IFERROR(INDEX('Input - Tesco'!I$2:I$200,MATCH('Calculations - Tesco'!$C115,'Input - Tesco'!$B$2:$B$200,0)),"")</f>
        <v>0</v>
      </c>
      <c r="K115" s="20">
        <f>IFERROR(INDEX('Input - Tesco'!J$2:J$200,MATCH('Calculations - Tesco'!$C115,'Input - Tesco'!$B$2:$B$200,0)),"")</f>
        <v>0</v>
      </c>
      <c r="L115" s="20">
        <f>IFERROR(INDEX('Input - Tesco'!K$2:K$200,MATCH('Calculations - Tesco'!$C115,'Input - Tesco'!$B$2:$B$200,0)),"")</f>
        <v>0</v>
      </c>
      <c r="M115" s="21" t="str">
        <f t="shared" si="96"/>
        <v/>
      </c>
      <c r="N115" s="21" t="str">
        <f t="shared" si="82"/>
        <v/>
      </c>
      <c r="O115" s="21">
        <f t="shared" si="97"/>
        <v>0</v>
      </c>
      <c r="P115" s="9">
        <f t="shared" si="79"/>
        <v>0</v>
      </c>
      <c r="Q115" s="9">
        <f t="shared" si="80"/>
        <v>0</v>
      </c>
      <c r="R115" s="22" t="str">
        <f>IFERROR(INDEX(Tesco!$Q$11:$Q$165,MATCH('Calculations - Tesco'!$C115,Tesco!$M$11:$M$165,0)),"")</f>
        <v/>
      </c>
      <c r="S115" s="22" t="str">
        <f>IFERROR(INDEX(Tesco!$R$11:$R$165,MATCH('Calculations - Tesco'!$C115,Tesco!$M$11:$M$165,0)),"")</f>
        <v/>
      </c>
      <c r="T115" s="16" t="e">
        <f t="shared" si="83"/>
        <v>#VALUE!</v>
      </c>
      <c r="U115" s="16" t="e">
        <f t="shared" si="98"/>
        <v>#VALUE!</v>
      </c>
      <c r="V115" s="16" t="e">
        <f t="shared" si="99"/>
        <v>#VALUE!</v>
      </c>
      <c r="W115" s="10" t="str">
        <f t="shared" si="84"/>
        <v>-</v>
      </c>
      <c r="X115" s="10" t="str">
        <f t="shared" si="85"/>
        <v>-</v>
      </c>
      <c r="Y115" s="13" t="str">
        <f t="shared" si="100"/>
        <v>-</v>
      </c>
      <c r="Z115" s="9" t="str">
        <f t="shared" si="86"/>
        <v>-</v>
      </c>
      <c r="AA115" s="16" t="str">
        <f t="shared" si="101"/>
        <v>-</v>
      </c>
      <c r="AB115" s="16" t="str">
        <f t="shared" si="87"/>
        <v>-</v>
      </c>
      <c r="AC115" s="16" t="str">
        <f t="shared" si="88"/>
        <v>-</v>
      </c>
      <c r="AD115" s="16" t="str">
        <f t="shared" si="102"/>
        <v>-</v>
      </c>
      <c r="AE115" s="16"/>
      <c r="AF115" s="31" t="str">
        <f>IFERROR(INDEX(Tesco!$P$11:$P$165,MATCH('Calculations - Tesco'!C115,Tesco!$M$11:$M$165,0)),"")</f>
        <v/>
      </c>
      <c r="AG115" s="23" t="str">
        <f t="shared" si="103"/>
        <v/>
      </c>
      <c r="AH115" s="23" t="str">
        <f t="shared" si="103"/>
        <v/>
      </c>
      <c r="AI115" s="9" t="str">
        <f t="shared" si="89"/>
        <v/>
      </c>
      <c r="AJ115" s="4" t="str">
        <f t="shared" si="90"/>
        <v/>
      </c>
      <c r="AK115" s="4"/>
      <c r="AL115" s="4"/>
      <c r="AM115" s="4"/>
      <c r="AN115" s="4"/>
      <c r="AO115" s="4"/>
      <c r="AP115" s="20" t="str">
        <f t="shared" si="91"/>
        <v>-</v>
      </c>
      <c r="AQ115" s="13" t="str">
        <f t="shared" si="104"/>
        <v>-</v>
      </c>
      <c r="AR115" s="13" t="str">
        <f t="shared" si="105"/>
        <v>-</v>
      </c>
      <c r="AS115" s="13" t="str">
        <f t="shared" si="92"/>
        <v>-</v>
      </c>
      <c r="AT115" s="16" t="str">
        <f t="shared" si="106"/>
        <v>-</v>
      </c>
      <c r="AU115" s="16" t="str">
        <f t="shared" si="93"/>
        <v>-</v>
      </c>
      <c r="AV115" s="16" t="str">
        <f t="shared" si="94"/>
        <v>-</v>
      </c>
      <c r="AW115" s="16" t="str">
        <f t="shared" si="107"/>
        <v>-</v>
      </c>
      <c r="AX115" s="13" t="str">
        <f t="shared" si="108"/>
        <v>-</v>
      </c>
      <c r="AY115" s="10" t="str">
        <f t="shared" si="109"/>
        <v>-</v>
      </c>
      <c r="AZ115" s="9" t="str">
        <f t="shared" si="110"/>
        <v>-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</row>
    <row r="116" spans="2:68" x14ac:dyDescent="0.3">
      <c r="B116" s="108" t="str">
        <f t="shared" si="95"/>
        <v/>
      </c>
      <c r="C116" s="108" t="str">
        <f t="shared" si="81"/>
        <v/>
      </c>
      <c r="D116" s="3"/>
      <c r="E116" s="3"/>
      <c r="F116" s="3"/>
      <c r="G116" s="20">
        <f>IFERROR(INDEX('Input - Tesco'!F$2:F$200,MATCH('Calculations - Tesco'!$C116,'Input - Tesco'!$B$2:$B$200,0)),"")</f>
        <v>0</v>
      </c>
      <c r="H116" s="20">
        <f>IFERROR(INDEX('Input - Tesco'!G$2:G$200,MATCH('Calculations - Tesco'!$C116,'Input - Tesco'!$B$2:$B$200,0)),"")</f>
        <v>0</v>
      </c>
      <c r="I116" s="21">
        <f>IFERROR(INDEX('Input - Tesco'!H$2:H$200,MATCH('Calculations - Tesco'!$C116,'Input - Tesco'!$B$2:$B$200,0)),"")</f>
        <v>0</v>
      </c>
      <c r="J116" s="21">
        <f>IFERROR(INDEX('Input - Tesco'!I$2:I$200,MATCH('Calculations - Tesco'!$C116,'Input - Tesco'!$B$2:$B$200,0)),"")</f>
        <v>0</v>
      </c>
      <c r="K116" s="20">
        <f>IFERROR(INDEX('Input - Tesco'!J$2:J$200,MATCH('Calculations - Tesco'!$C116,'Input - Tesco'!$B$2:$B$200,0)),"")</f>
        <v>0</v>
      </c>
      <c r="L116" s="20">
        <f>IFERROR(INDEX('Input - Tesco'!K$2:K$200,MATCH('Calculations - Tesco'!$C116,'Input - Tesco'!$B$2:$B$200,0)),"")</f>
        <v>0</v>
      </c>
      <c r="M116" s="21" t="str">
        <f t="shared" si="96"/>
        <v/>
      </c>
      <c r="N116" s="21" t="str">
        <f t="shared" si="82"/>
        <v/>
      </c>
      <c r="O116" s="21">
        <f t="shared" si="97"/>
        <v>0</v>
      </c>
      <c r="P116" s="9">
        <f t="shared" si="79"/>
        <v>0</v>
      </c>
      <c r="Q116" s="9">
        <f t="shared" si="80"/>
        <v>0</v>
      </c>
      <c r="R116" s="22" t="str">
        <f>IFERROR(INDEX(Tesco!$Q$11:$Q$165,MATCH('Calculations - Tesco'!$C116,Tesco!$M$11:$M$165,0)),"")</f>
        <v/>
      </c>
      <c r="S116" s="22" t="str">
        <f>IFERROR(INDEX(Tesco!$R$11:$R$165,MATCH('Calculations - Tesco'!$C116,Tesco!$M$11:$M$165,0)),"")</f>
        <v/>
      </c>
      <c r="T116" s="16" t="e">
        <f t="shared" si="83"/>
        <v>#VALUE!</v>
      </c>
      <c r="U116" s="16" t="e">
        <f t="shared" si="98"/>
        <v>#VALUE!</v>
      </c>
      <c r="V116" s="16" t="e">
        <f t="shared" si="99"/>
        <v>#VALUE!</v>
      </c>
      <c r="W116" s="10" t="str">
        <f t="shared" si="84"/>
        <v>-</v>
      </c>
      <c r="X116" s="10" t="str">
        <f t="shared" si="85"/>
        <v>-</v>
      </c>
      <c r="Y116" s="13" t="str">
        <f t="shared" si="100"/>
        <v>-</v>
      </c>
      <c r="Z116" s="9" t="str">
        <f t="shared" si="86"/>
        <v>-</v>
      </c>
      <c r="AA116" s="16" t="str">
        <f t="shared" si="101"/>
        <v>-</v>
      </c>
      <c r="AB116" s="16" t="str">
        <f t="shared" si="87"/>
        <v>-</v>
      </c>
      <c r="AC116" s="16" t="str">
        <f t="shared" si="88"/>
        <v>-</v>
      </c>
      <c r="AD116" s="16" t="str">
        <f t="shared" si="102"/>
        <v>-</v>
      </c>
      <c r="AE116" s="16"/>
      <c r="AF116" s="31" t="str">
        <f>IFERROR(INDEX(Tesco!$P$11:$P$165,MATCH('Calculations - Tesco'!C116,Tesco!$M$11:$M$165,0)),"")</f>
        <v/>
      </c>
      <c r="AG116" s="23" t="str">
        <f t="shared" si="103"/>
        <v/>
      </c>
      <c r="AH116" s="23" t="str">
        <f t="shared" si="103"/>
        <v/>
      </c>
      <c r="AI116" s="9" t="str">
        <f t="shared" si="89"/>
        <v/>
      </c>
      <c r="AJ116" s="4" t="str">
        <f t="shared" si="90"/>
        <v/>
      </c>
      <c r="AK116" s="4"/>
      <c r="AL116" s="4"/>
      <c r="AM116" s="4"/>
      <c r="AN116" s="4"/>
      <c r="AO116" s="4"/>
      <c r="AP116" s="20" t="str">
        <f t="shared" si="91"/>
        <v>-</v>
      </c>
      <c r="AQ116" s="13" t="str">
        <f t="shared" si="104"/>
        <v>-</v>
      </c>
      <c r="AR116" s="13" t="str">
        <f t="shared" si="105"/>
        <v>-</v>
      </c>
      <c r="AS116" s="13" t="str">
        <f t="shared" si="92"/>
        <v>-</v>
      </c>
      <c r="AT116" s="16" t="str">
        <f t="shared" si="106"/>
        <v>-</v>
      </c>
      <c r="AU116" s="16" t="str">
        <f t="shared" si="93"/>
        <v>-</v>
      </c>
      <c r="AV116" s="16" t="str">
        <f t="shared" si="94"/>
        <v>-</v>
      </c>
      <c r="AW116" s="16" t="str">
        <f t="shared" si="107"/>
        <v>-</v>
      </c>
      <c r="AX116" s="13" t="str">
        <f t="shared" si="108"/>
        <v>-</v>
      </c>
      <c r="AY116" s="10" t="str">
        <f t="shared" si="109"/>
        <v>-</v>
      </c>
      <c r="AZ116" s="9" t="str">
        <f t="shared" si="110"/>
        <v>-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</row>
    <row r="117" spans="2:68" x14ac:dyDescent="0.3">
      <c r="B117" s="108" t="str">
        <f t="shared" si="95"/>
        <v/>
      </c>
      <c r="C117" s="108" t="str">
        <f t="shared" si="81"/>
        <v/>
      </c>
      <c r="D117" s="3"/>
      <c r="E117" s="3"/>
      <c r="F117" s="3"/>
      <c r="G117" s="20">
        <f>IFERROR(INDEX('Input - Tesco'!F$2:F$200,MATCH('Calculations - Tesco'!$C117,'Input - Tesco'!$B$2:$B$200,0)),"")</f>
        <v>0</v>
      </c>
      <c r="H117" s="20">
        <f>IFERROR(INDEX('Input - Tesco'!G$2:G$200,MATCH('Calculations - Tesco'!$C117,'Input - Tesco'!$B$2:$B$200,0)),"")</f>
        <v>0</v>
      </c>
      <c r="I117" s="21">
        <f>IFERROR(INDEX('Input - Tesco'!H$2:H$200,MATCH('Calculations - Tesco'!$C117,'Input - Tesco'!$B$2:$B$200,0)),"")</f>
        <v>0</v>
      </c>
      <c r="J117" s="21">
        <f>IFERROR(INDEX('Input - Tesco'!I$2:I$200,MATCH('Calculations - Tesco'!$C117,'Input - Tesco'!$B$2:$B$200,0)),"")</f>
        <v>0</v>
      </c>
      <c r="K117" s="20">
        <f>IFERROR(INDEX('Input - Tesco'!J$2:J$200,MATCH('Calculations - Tesco'!$C117,'Input - Tesco'!$B$2:$B$200,0)),"")</f>
        <v>0</v>
      </c>
      <c r="L117" s="20">
        <f>IFERROR(INDEX('Input - Tesco'!K$2:K$200,MATCH('Calculations - Tesco'!$C117,'Input - Tesco'!$B$2:$B$200,0)),"")</f>
        <v>0</v>
      </c>
      <c r="M117" s="21" t="str">
        <f t="shared" si="96"/>
        <v/>
      </c>
      <c r="N117" s="21" t="str">
        <f t="shared" si="82"/>
        <v/>
      </c>
      <c r="O117" s="21">
        <f t="shared" si="97"/>
        <v>0</v>
      </c>
      <c r="P117" s="9">
        <f t="shared" si="79"/>
        <v>0</v>
      </c>
      <c r="Q117" s="9">
        <f t="shared" si="80"/>
        <v>0</v>
      </c>
      <c r="R117" s="22" t="str">
        <f>IFERROR(INDEX(Tesco!$Q$11:$Q$165,MATCH('Calculations - Tesco'!$C117,Tesco!$M$11:$M$165,0)),"")</f>
        <v/>
      </c>
      <c r="S117" s="22" t="str">
        <f>IFERROR(INDEX(Tesco!$R$11:$R$165,MATCH('Calculations - Tesco'!$C117,Tesco!$M$11:$M$165,0)),"")</f>
        <v/>
      </c>
      <c r="T117" s="16" t="e">
        <f t="shared" si="83"/>
        <v>#VALUE!</v>
      </c>
      <c r="U117" s="16" t="e">
        <f t="shared" si="98"/>
        <v>#VALUE!</v>
      </c>
      <c r="V117" s="16" t="e">
        <f t="shared" si="99"/>
        <v>#VALUE!</v>
      </c>
      <c r="W117" s="10" t="str">
        <f t="shared" si="84"/>
        <v>-</v>
      </c>
      <c r="X117" s="10" t="str">
        <f t="shared" si="85"/>
        <v>-</v>
      </c>
      <c r="Y117" s="13" t="str">
        <f t="shared" si="100"/>
        <v>-</v>
      </c>
      <c r="Z117" s="9" t="str">
        <f t="shared" si="86"/>
        <v>-</v>
      </c>
      <c r="AA117" s="16" t="str">
        <f t="shared" si="101"/>
        <v>-</v>
      </c>
      <c r="AB117" s="16" t="str">
        <f t="shared" si="87"/>
        <v>-</v>
      </c>
      <c r="AC117" s="16" t="str">
        <f t="shared" si="88"/>
        <v>-</v>
      </c>
      <c r="AD117" s="16" t="str">
        <f t="shared" si="102"/>
        <v>-</v>
      </c>
      <c r="AE117" s="16"/>
      <c r="AF117" s="31" t="str">
        <f>IFERROR(INDEX(Tesco!$P$11:$P$165,MATCH('Calculations - Tesco'!C117,Tesco!$M$11:$M$165,0)),"")</f>
        <v/>
      </c>
      <c r="AG117" s="23" t="str">
        <f t="shared" si="103"/>
        <v/>
      </c>
      <c r="AH117" s="23" t="str">
        <f t="shared" si="103"/>
        <v/>
      </c>
      <c r="AI117" s="9" t="str">
        <f t="shared" si="89"/>
        <v/>
      </c>
      <c r="AJ117" s="4" t="str">
        <f t="shared" si="90"/>
        <v/>
      </c>
      <c r="AK117" s="4"/>
      <c r="AL117" s="4"/>
      <c r="AM117" s="4"/>
      <c r="AN117" s="4"/>
      <c r="AO117" s="4"/>
      <c r="AP117" s="20" t="str">
        <f t="shared" si="91"/>
        <v>-</v>
      </c>
      <c r="AQ117" s="13" t="str">
        <f t="shared" si="104"/>
        <v>-</v>
      </c>
      <c r="AR117" s="13" t="str">
        <f t="shared" si="105"/>
        <v>-</v>
      </c>
      <c r="AS117" s="13" t="str">
        <f t="shared" si="92"/>
        <v>-</v>
      </c>
      <c r="AT117" s="16" t="str">
        <f t="shared" si="106"/>
        <v>-</v>
      </c>
      <c r="AU117" s="16" t="str">
        <f t="shared" si="93"/>
        <v>-</v>
      </c>
      <c r="AV117" s="16" t="str">
        <f t="shared" si="94"/>
        <v>-</v>
      </c>
      <c r="AW117" s="16" t="str">
        <f t="shared" si="107"/>
        <v>-</v>
      </c>
      <c r="AX117" s="13" t="str">
        <f t="shared" si="108"/>
        <v>-</v>
      </c>
      <c r="AY117" s="10" t="str">
        <f t="shared" si="109"/>
        <v>-</v>
      </c>
      <c r="AZ117" s="9" t="str">
        <f t="shared" si="110"/>
        <v>-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</row>
    <row r="118" spans="2:68" x14ac:dyDescent="0.3">
      <c r="B118" s="108" t="str">
        <f t="shared" si="95"/>
        <v/>
      </c>
      <c r="C118" s="108" t="str">
        <f t="shared" si="81"/>
        <v/>
      </c>
      <c r="D118" s="3"/>
      <c r="E118" s="3"/>
      <c r="F118" s="3"/>
      <c r="G118" s="20">
        <f>IFERROR(INDEX('Input - Tesco'!F$2:F$200,MATCH('Calculations - Tesco'!$C118,'Input - Tesco'!$B$2:$B$200,0)),"")</f>
        <v>0</v>
      </c>
      <c r="H118" s="20">
        <f>IFERROR(INDEX('Input - Tesco'!G$2:G$200,MATCH('Calculations - Tesco'!$C118,'Input - Tesco'!$B$2:$B$200,0)),"")</f>
        <v>0</v>
      </c>
      <c r="I118" s="21">
        <f>IFERROR(INDEX('Input - Tesco'!H$2:H$200,MATCH('Calculations - Tesco'!$C118,'Input - Tesco'!$B$2:$B$200,0)),"")</f>
        <v>0</v>
      </c>
      <c r="J118" s="21">
        <f>IFERROR(INDEX('Input - Tesco'!I$2:I$200,MATCH('Calculations - Tesco'!$C118,'Input - Tesco'!$B$2:$B$200,0)),"")</f>
        <v>0</v>
      </c>
      <c r="K118" s="20">
        <f>IFERROR(INDEX('Input - Tesco'!J$2:J$200,MATCH('Calculations - Tesco'!$C118,'Input - Tesco'!$B$2:$B$200,0)),"")</f>
        <v>0</v>
      </c>
      <c r="L118" s="20">
        <f>IFERROR(INDEX('Input - Tesco'!K$2:K$200,MATCH('Calculations - Tesco'!$C118,'Input - Tesco'!$B$2:$B$200,0)),"")</f>
        <v>0</v>
      </c>
      <c r="M118" s="21" t="str">
        <f t="shared" si="96"/>
        <v/>
      </c>
      <c r="N118" s="21" t="str">
        <f t="shared" si="82"/>
        <v/>
      </c>
      <c r="O118" s="21">
        <f t="shared" si="97"/>
        <v>0</v>
      </c>
      <c r="P118" s="9">
        <f t="shared" si="79"/>
        <v>0</v>
      </c>
      <c r="Q118" s="9">
        <f t="shared" si="80"/>
        <v>0</v>
      </c>
      <c r="R118" s="22" t="str">
        <f>IFERROR(INDEX(Tesco!$Q$11:$Q$165,MATCH('Calculations - Tesco'!$C118,Tesco!$M$11:$M$165,0)),"")</f>
        <v/>
      </c>
      <c r="S118" s="22" t="str">
        <f>IFERROR(INDEX(Tesco!$R$11:$R$165,MATCH('Calculations - Tesco'!$C118,Tesco!$M$11:$M$165,0)),"")</f>
        <v/>
      </c>
      <c r="T118" s="16" t="e">
        <f t="shared" si="83"/>
        <v>#VALUE!</v>
      </c>
      <c r="U118" s="16" t="e">
        <f t="shared" si="98"/>
        <v>#VALUE!</v>
      </c>
      <c r="V118" s="16" t="e">
        <f t="shared" si="99"/>
        <v>#VALUE!</v>
      </c>
      <c r="W118" s="10" t="str">
        <f t="shared" si="84"/>
        <v>-</v>
      </c>
      <c r="X118" s="10" t="str">
        <f t="shared" si="85"/>
        <v>-</v>
      </c>
      <c r="Y118" s="13" t="str">
        <f t="shared" si="100"/>
        <v>-</v>
      </c>
      <c r="Z118" s="9" t="str">
        <f t="shared" si="86"/>
        <v>-</v>
      </c>
      <c r="AA118" s="16" t="str">
        <f t="shared" si="101"/>
        <v>-</v>
      </c>
      <c r="AB118" s="16" t="str">
        <f t="shared" si="87"/>
        <v>-</v>
      </c>
      <c r="AC118" s="16" t="str">
        <f t="shared" si="88"/>
        <v>-</v>
      </c>
      <c r="AD118" s="16" t="str">
        <f t="shared" si="102"/>
        <v>-</v>
      </c>
      <c r="AE118" s="16"/>
      <c r="AF118" s="31" t="str">
        <f>IFERROR(INDEX(Tesco!$P$11:$P$165,MATCH('Calculations - Tesco'!C118,Tesco!$M$11:$M$165,0)),"")</f>
        <v/>
      </c>
      <c r="AG118" s="23" t="str">
        <f t="shared" si="103"/>
        <v/>
      </c>
      <c r="AH118" s="23" t="str">
        <f t="shared" si="103"/>
        <v/>
      </c>
      <c r="AI118" s="9" t="str">
        <f t="shared" si="89"/>
        <v/>
      </c>
      <c r="AJ118" s="4" t="str">
        <f t="shared" si="90"/>
        <v/>
      </c>
      <c r="AK118" s="4"/>
      <c r="AL118" s="4"/>
      <c r="AM118" s="4"/>
      <c r="AN118" s="4"/>
      <c r="AO118" s="4"/>
      <c r="AP118" s="20" t="str">
        <f t="shared" si="91"/>
        <v>-</v>
      </c>
      <c r="AQ118" s="13" t="str">
        <f t="shared" si="104"/>
        <v>-</v>
      </c>
      <c r="AR118" s="13" t="str">
        <f t="shared" si="105"/>
        <v>-</v>
      </c>
      <c r="AS118" s="13" t="str">
        <f t="shared" si="92"/>
        <v>-</v>
      </c>
      <c r="AT118" s="16" t="str">
        <f t="shared" si="106"/>
        <v>-</v>
      </c>
      <c r="AU118" s="16" t="str">
        <f t="shared" si="93"/>
        <v>-</v>
      </c>
      <c r="AV118" s="16" t="str">
        <f t="shared" si="94"/>
        <v>-</v>
      </c>
      <c r="AW118" s="16" t="str">
        <f t="shared" si="107"/>
        <v>-</v>
      </c>
      <c r="AX118" s="13" t="str">
        <f t="shared" si="108"/>
        <v>-</v>
      </c>
      <c r="AY118" s="10" t="str">
        <f t="shared" si="109"/>
        <v>-</v>
      </c>
      <c r="AZ118" s="9" t="str">
        <f t="shared" si="110"/>
        <v>-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</row>
    <row r="119" spans="2:68" x14ac:dyDescent="0.3">
      <c r="B119" s="108" t="str">
        <f t="shared" si="95"/>
        <v/>
      </c>
      <c r="C119" s="108" t="str">
        <f t="shared" si="81"/>
        <v/>
      </c>
      <c r="D119" s="3"/>
      <c r="E119" s="3"/>
      <c r="F119" s="3"/>
      <c r="G119" s="20">
        <f>IFERROR(INDEX('Input - Tesco'!F$2:F$200,MATCH('Calculations - Tesco'!$C119,'Input - Tesco'!$B$2:$B$200,0)),"")</f>
        <v>0</v>
      </c>
      <c r="H119" s="20">
        <f>IFERROR(INDEX('Input - Tesco'!G$2:G$200,MATCH('Calculations - Tesco'!$C119,'Input - Tesco'!$B$2:$B$200,0)),"")</f>
        <v>0</v>
      </c>
      <c r="I119" s="21">
        <f>IFERROR(INDEX('Input - Tesco'!H$2:H$200,MATCH('Calculations - Tesco'!$C119,'Input - Tesco'!$B$2:$B$200,0)),"")</f>
        <v>0</v>
      </c>
      <c r="J119" s="21">
        <f>IFERROR(INDEX('Input - Tesco'!I$2:I$200,MATCH('Calculations - Tesco'!$C119,'Input - Tesco'!$B$2:$B$200,0)),"")</f>
        <v>0</v>
      </c>
      <c r="K119" s="20">
        <f>IFERROR(INDEX('Input - Tesco'!J$2:J$200,MATCH('Calculations - Tesco'!$C119,'Input - Tesco'!$B$2:$B$200,0)),"")</f>
        <v>0</v>
      </c>
      <c r="L119" s="20">
        <f>IFERROR(INDEX('Input - Tesco'!K$2:K$200,MATCH('Calculations - Tesco'!$C119,'Input - Tesco'!$B$2:$B$200,0)),"")</f>
        <v>0</v>
      </c>
      <c r="M119" s="21" t="str">
        <f t="shared" si="96"/>
        <v/>
      </c>
      <c r="N119" s="21" t="str">
        <f t="shared" si="82"/>
        <v/>
      </c>
      <c r="O119" s="21">
        <f t="shared" si="97"/>
        <v>0</v>
      </c>
      <c r="P119" s="9">
        <f t="shared" si="79"/>
        <v>0</v>
      </c>
      <c r="Q119" s="9">
        <f t="shared" si="80"/>
        <v>0</v>
      </c>
      <c r="R119" s="22" t="str">
        <f>IFERROR(INDEX(Tesco!$Q$11:$Q$165,MATCH('Calculations - Tesco'!$C119,Tesco!$M$11:$M$165,0)),"")</f>
        <v/>
      </c>
      <c r="S119" s="22" t="str">
        <f>IFERROR(INDEX(Tesco!$R$11:$R$165,MATCH('Calculations - Tesco'!$C119,Tesco!$M$11:$M$165,0)),"")</f>
        <v/>
      </c>
      <c r="T119" s="16" t="e">
        <f t="shared" si="83"/>
        <v>#VALUE!</v>
      </c>
      <c r="U119" s="16" t="e">
        <f t="shared" si="98"/>
        <v>#VALUE!</v>
      </c>
      <c r="V119" s="16" t="e">
        <f t="shared" si="99"/>
        <v>#VALUE!</v>
      </c>
      <c r="W119" s="10" t="str">
        <f t="shared" si="84"/>
        <v>-</v>
      </c>
      <c r="X119" s="10" t="str">
        <f t="shared" si="85"/>
        <v>-</v>
      </c>
      <c r="Y119" s="13" t="str">
        <f t="shared" si="100"/>
        <v>-</v>
      </c>
      <c r="Z119" s="9" t="str">
        <f t="shared" si="86"/>
        <v>-</v>
      </c>
      <c r="AA119" s="16" t="str">
        <f t="shared" si="101"/>
        <v>-</v>
      </c>
      <c r="AB119" s="16" t="str">
        <f t="shared" si="87"/>
        <v>-</v>
      </c>
      <c r="AC119" s="16" t="str">
        <f t="shared" si="88"/>
        <v>-</v>
      </c>
      <c r="AD119" s="16" t="str">
        <f t="shared" si="102"/>
        <v>-</v>
      </c>
      <c r="AE119" s="16"/>
      <c r="AF119" s="31" t="str">
        <f>IFERROR(INDEX(Tesco!$P$11:$P$165,MATCH('Calculations - Tesco'!C119,Tesco!$M$11:$M$165,0)),"")</f>
        <v/>
      </c>
      <c r="AG119" s="23" t="str">
        <f t="shared" si="103"/>
        <v/>
      </c>
      <c r="AH119" s="23" t="str">
        <f t="shared" si="103"/>
        <v/>
      </c>
      <c r="AI119" s="9" t="str">
        <f t="shared" si="89"/>
        <v/>
      </c>
      <c r="AJ119" s="4" t="str">
        <f t="shared" si="90"/>
        <v/>
      </c>
      <c r="AK119" s="4"/>
      <c r="AL119" s="4"/>
      <c r="AM119" s="4"/>
      <c r="AN119" s="4"/>
      <c r="AO119" s="4"/>
      <c r="AP119" s="20" t="str">
        <f t="shared" si="91"/>
        <v>-</v>
      </c>
      <c r="AQ119" s="13" t="str">
        <f t="shared" si="104"/>
        <v>-</v>
      </c>
      <c r="AR119" s="13" t="str">
        <f t="shared" si="105"/>
        <v>-</v>
      </c>
      <c r="AS119" s="13" t="str">
        <f t="shared" si="92"/>
        <v>-</v>
      </c>
      <c r="AT119" s="16" t="str">
        <f t="shared" si="106"/>
        <v>-</v>
      </c>
      <c r="AU119" s="16" t="str">
        <f t="shared" si="93"/>
        <v>-</v>
      </c>
      <c r="AV119" s="16" t="str">
        <f t="shared" si="94"/>
        <v>-</v>
      </c>
      <c r="AW119" s="16" t="str">
        <f t="shared" si="107"/>
        <v>-</v>
      </c>
      <c r="AX119" s="13" t="str">
        <f t="shared" si="108"/>
        <v>-</v>
      </c>
      <c r="AY119" s="10" t="str">
        <f t="shared" si="109"/>
        <v>-</v>
      </c>
      <c r="AZ119" s="9" t="str">
        <f t="shared" si="110"/>
        <v>-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</row>
    <row r="120" spans="2:68" x14ac:dyDescent="0.3">
      <c r="B120" s="108" t="str">
        <f t="shared" si="95"/>
        <v/>
      </c>
      <c r="C120" s="108" t="str">
        <f t="shared" si="81"/>
        <v/>
      </c>
      <c r="D120" s="3"/>
      <c r="E120" s="3"/>
      <c r="F120" s="3"/>
      <c r="G120" s="20">
        <f>IFERROR(INDEX('Input - Tesco'!F$2:F$200,MATCH('Calculations - Tesco'!$C120,'Input - Tesco'!$B$2:$B$200,0)),"")</f>
        <v>0</v>
      </c>
      <c r="H120" s="20">
        <f>IFERROR(INDEX('Input - Tesco'!G$2:G$200,MATCH('Calculations - Tesco'!$C120,'Input - Tesco'!$B$2:$B$200,0)),"")</f>
        <v>0</v>
      </c>
      <c r="I120" s="21">
        <f>IFERROR(INDEX('Input - Tesco'!H$2:H$200,MATCH('Calculations - Tesco'!$C120,'Input - Tesco'!$B$2:$B$200,0)),"")</f>
        <v>0</v>
      </c>
      <c r="J120" s="21">
        <f>IFERROR(INDEX('Input - Tesco'!I$2:I$200,MATCH('Calculations - Tesco'!$C120,'Input - Tesco'!$B$2:$B$200,0)),"")</f>
        <v>0</v>
      </c>
      <c r="K120" s="20">
        <f>IFERROR(INDEX('Input - Tesco'!J$2:J$200,MATCH('Calculations - Tesco'!$C120,'Input - Tesco'!$B$2:$B$200,0)),"")</f>
        <v>0</v>
      </c>
      <c r="L120" s="20">
        <f>IFERROR(INDEX('Input - Tesco'!K$2:K$200,MATCH('Calculations - Tesco'!$C120,'Input - Tesco'!$B$2:$B$200,0)),"")</f>
        <v>0</v>
      </c>
      <c r="M120" s="21" t="str">
        <f t="shared" si="96"/>
        <v/>
      </c>
      <c r="N120" s="21" t="str">
        <f t="shared" si="82"/>
        <v/>
      </c>
      <c r="O120" s="21">
        <f t="shared" si="97"/>
        <v>0</v>
      </c>
      <c r="P120" s="9">
        <f t="shared" si="79"/>
        <v>0</v>
      </c>
      <c r="Q120" s="9">
        <f t="shared" si="80"/>
        <v>0</v>
      </c>
      <c r="R120" s="22" t="str">
        <f>IFERROR(INDEX(Tesco!$Q$11:$Q$165,MATCH('Calculations - Tesco'!$C120,Tesco!$M$11:$M$165,0)),"")</f>
        <v/>
      </c>
      <c r="S120" s="22" t="str">
        <f>IFERROR(INDEX(Tesco!$R$11:$R$165,MATCH('Calculations - Tesco'!$C120,Tesco!$M$11:$M$165,0)),"")</f>
        <v/>
      </c>
      <c r="T120" s="16" t="e">
        <f t="shared" si="83"/>
        <v>#VALUE!</v>
      </c>
      <c r="U120" s="16" t="e">
        <f t="shared" si="98"/>
        <v>#VALUE!</v>
      </c>
      <c r="V120" s="16" t="e">
        <f t="shared" si="99"/>
        <v>#VALUE!</v>
      </c>
      <c r="W120" s="10" t="str">
        <f t="shared" si="84"/>
        <v>-</v>
      </c>
      <c r="X120" s="10" t="str">
        <f t="shared" si="85"/>
        <v>-</v>
      </c>
      <c r="Y120" s="13" t="str">
        <f t="shared" si="100"/>
        <v>-</v>
      </c>
      <c r="Z120" s="9" t="str">
        <f t="shared" si="86"/>
        <v>-</v>
      </c>
      <c r="AA120" s="16" t="str">
        <f t="shared" si="101"/>
        <v>-</v>
      </c>
      <c r="AB120" s="16" t="str">
        <f t="shared" si="87"/>
        <v>-</v>
      </c>
      <c r="AC120" s="16" t="str">
        <f t="shared" si="88"/>
        <v>-</v>
      </c>
      <c r="AD120" s="16" t="str">
        <f t="shared" si="102"/>
        <v>-</v>
      </c>
      <c r="AE120" s="16"/>
      <c r="AF120" s="31" t="str">
        <f>IFERROR(INDEX(Tesco!$P$11:$P$165,MATCH('Calculations - Tesco'!C120,Tesco!$M$11:$M$165,0)),"")</f>
        <v/>
      </c>
      <c r="AG120" s="23" t="str">
        <f t="shared" si="103"/>
        <v/>
      </c>
      <c r="AH120" s="23" t="str">
        <f t="shared" si="103"/>
        <v/>
      </c>
      <c r="AI120" s="9" t="str">
        <f t="shared" si="89"/>
        <v/>
      </c>
      <c r="AJ120" s="4" t="str">
        <f t="shared" si="90"/>
        <v/>
      </c>
      <c r="AK120" s="4"/>
      <c r="AL120" s="4"/>
      <c r="AM120" s="4"/>
      <c r="AN120" s="4"/>
      <c r="AO120" s="4"/>
      <c r="AP120" s="20" t="str">
        <f t="shared" si="91"/>
        <v>-</v>
      </c>
      <c r="AQ120" s="13" t="str">
        <f t="shared" si="104"/>
        <v>-</v>
      </c>
      <c r="AR120" s="13" t="str">
        <f t="shared" si="105"/>
        <v>-</v>
      </c>
      <c r="AS120" s="13" t="str">
        <f t="shared" si="92"/>
        <v>-</v>
      </c>
      <c r="AT120" s="16" t="str">
        <f t="shared" si="106"/>
        <v>-</v>
      </c>
      <c r="AU120" s="16" t="str">
        <f t="shared" si="93"/>
        <v>-</v>
      </c>
      <c r="AV120" s="16" t="str">
        <f t="shared" si="94"/>
        <v>-</v>
      </c>
      <c r="AW120" s="16" t="str">
        <f t="shared" si="107"/>
        <v>-</v>
      </c>
      <c r="AX120" s="13" t="str">
        <f t="shared" si="108"/>
        <v>-</v>
      </c>
      <c r="AY120" s="10" t="str">
        <f t="shared" si="109"/>
        <v>-</v>
      </c>
      <c r="AZ120" s="9" t="str">
        <f t="shared" si="110"/>
        <v>-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</row>
    <row r="121" spans="2:68" x14ac:dyDescent="0.3">
      <c r="B121" s="108" t="str">
        <f t="shared" si="95"/>
        <v/>
      </c>
      <c r="C121" s="108" t="str">
        <f t="shared" si="81"/>
        <v/>
      </c>
      <c r="D121" s="3"/>
      <c r="E121" s="3"/>
      <c r="F121" s="3"/>
      <c r="G121" s="20">
        <f>IFERROR(INDEX('Input - Tesco'!F$2:F$200,MATCH('Calculations - Tesco'!$C121,'Input - Tesco'!$B$2:$B$200,0)),"")</f>
        <v>0</v>
      </c>
      <c r="H121" s="20">
        <f>IFERROR(INDEX('Input - Tesco'!G$2:G$200,MATCH('Calculations - Tesco'!$C121,'Input - Tesco'!$B$2:$B$200,0)),"")</f>
        <v>0</v>
      </c>
      <c r="I121" s="21">
        <f>IFERROR(INDEX('Input - Tesco'!H$2:H$200,MATCH('Calculations - Tesco'!$C121,'Input - Tesco'!$B$2:$B$200,0)),"")</f>
        <v>0</v>
      </c>
      <c r="J121" s="21">
        <f>IFERROR(INDEX('Input - Tesco'!I$2:I$200,MATCH('Calculations - Tesco'!$C121,'Input - Tesco'!$B$2:$B$200,0)),"")</f>
        <v>0</v>
      </c>
      <c r="K121" s="20">
        <f>IFERROR(INDEX('Input - Tesco'!J$2:J$200,MATCH('Calculations - Tesco'!$C121,'Input - Tesco'!$B$2:$B$200,0)),"")</f>
        <v>0</v>
      </c>
      <c r="L121" s="20">
        <f>IFERROR(INDEX('Input - Tesco'!K$2:K$200,MATCH('Calculations - Tesco'!$C121,'Input - Tesco'!$B$2:$B$200,0)),"")</f>
        <v>0</v>
      </c>
      <c r="M121" s="21" t="str">
        <f t="shared" si="96"/>
        <v/>
      </c>
      <c r="N121" s="21" t="str">
        <f t="shared" si="82"/>
        <v/>
      </c>
      <c r="O121" s="21">
        <f t="shared" si="97"/>
        <v>0</v>
      </c>
      <c r="P121" s="9">
        <f t="shared" si="79"/>
        <v>0</v>
      </c>
      <c r="Q121" s="9">
        <f t="shared" si="80"/>
        <v>0</v>
      </c>
      <c r="R121" s="22" t="str">
        <f>IFERROR(INDEX(Tesco!$Q$11:$Q$165,MATCH('Calculations - Tesco'!$C121,Tesco!$M$11:$M$165,0)),"")</f>
        <v/>
      </c>
      <c r="S121" s="22" t="str">
        <f>IFERROR(INDEX(Tesco!$R$11:$R$165,MATCH('Calculations - Tesco'!$C121,Tesco!$M$11:$M$165,0)),"")</f>
        <v/>
      </c>
      <c r="T121" s="16" t="e">
        <f t="shared" si="83"/>
        <v>#VALUE!</v>
      </c>
      <c r="U121" s="16" t="e">
        <f t="shared" si="98"/>
        <v>#VALUE!</v>
      </c>
      <c r="V121" s="16" t="e">
        <f t="shared" si="99"/>
        <v>#VALUE!</v>
      </c>
      <c r="W121" s="10" t="str">
        <f t="shared" si="84"/>
        <v>-</v>
      </c>
      <c r="X121" s="10" t="str">
        <f t="shared" si="85"/>
        <v>-</v>
      </c>
      <c r="Y121" s="13" t="str">
        <f t="shared" si="100"/>
        <v>-</v>
      </c>
      <c r="Z121" s="9" t="str">
        <f t="shared" si="86"/>
        <v>-</v>
      </c>
      <c r="AA121" s="16" t="str">
        <f t="shared" si="101"/>
        <v>-</v>
      </c>
      <c r="AB121" s="16" t="str">
        <f t="shared" si="87"/>
        <v>-</v>
      </c>
      <c r="AC121" s="16" t="str">
        <f t="shared" si="88"/>
        <v>-</v>
      </c>
      <c r="AD121" s="16" t="str">
        <f t="shared" si="102"/>
        <v>-</v>
      </c>
      <c r="AE121" s="16"/>
      <c r="AF121" s="31" t="str">
        <f>IFERROR(INDEX(Tesco!$P$11:$P$165,MATCH('Calculations - Tesco'!C121,Tesco!$M$11:$M$165,0)),"")</f>
        <v/>
      </c>
      <c r="AG121" s="23" t="str">
        <f t="shared" si="103"/>
        <v/>
      </c>
      <c r="AH121" s="23" t="str">
        <f t="shared" si="103"/>
        <v/>
      </c>
      <c r="AI121" s="9" t="str">
        <f t="shared" si="89"/>
        <v/>
      </c>
      <c r="AJ121" s="4" t="str">
        <f t="shared" si="90"/>
        <v/>
      </c>
      <c r="AK121" s="4"/>
      <c r="AL121" s="4"/>
      <c r="AM121" s="4"/>
      <c r="AN121" s="4"/>
      <c r="AO121" s="4"/>
      <c r="AP121" s="20" t="str">
        <f t="shared" si="91"/>
        <v>-</v>
      </c>
      <c r="AQ121" s="13" t="str">
        <f t="shared" si="104"/>
        <v>-</v>
      </c>
      <c r="AR121" s="13" t="str">
        <f t="shared" si="105"/>
        <v>-</v>
      </c>
      <c r="AS121" s="13" t="str">
        <f t="shared" si="92"/>
        <v>-</v>
      </c>
      <c r="AT121" s="16" t="str">
        <f t="shared" si="106"/>
        <v>-</v>
      </c>
      <c r="AU121" s="16" t="str">
        <f t="shared" si="93"/>
        <v>-</v>
      </c>
      <c r="AV121" s="16" t="str">
        <f t="shared" si="94"/>
        <v>-</v>
      </c>
      <c r="AW121" s="16" t="str">
        <f t="shared" si="107"/>
        <v>-</v>
      </c>
      <c r="AX121" s="13" t="str">
        <f t="shared" si="108"/>
        <v>-</v>
      </c>
      <c r="AY121" s="10" t="str">
        <f t="shared" si="109"/>
        <v>-</v>
      </c>
      <c r="AZ121" s="9" t="str">
        <f t="shared" si="110"/>
        <v>-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</row>
    <row r="122" spans="2:68" x14ac:dyDescent="0.3">
      <c r="B122" s="108" t="str">
        <f t="shared" si="95"/>
        <v/>
      </c>
      <c r="C122" s="108" t="str">
        <f t="shared" si="81"/>
        <v/>
      </c>
      <c r="D122" s="3"/>
      <c r="E122" s="3"/>
      <c r="F122" s="3"/>
      <c r="G122" s="20">
        <f>IFERROR(INDEX('Input - Tesco'!F$2:F$200,MATCH('Calculations - Tesco'!$C122,'Input - Tesco'!$B$2:$B$200,0)),"")</f>
        <v>0</v>
      </c>
      <c r="H122" s="20">
        <f>IFERROR(INDEX('Input - Tesco'!G$2:G$200,MATCH('Calculations - Tesco'!$C122,'Input - Tesco'!$B$2:$B$200,0)),"")</f>
        <v>0</v>
      </c>
      <c r="I122" s="21">
        <f>IFERROR(INDEX('Input - Tesco'!H$2:H$200,MATCH('Calculations - Tesco'!$C122,'Input - Tesco'!$B$2:$B$200,0)),"")</f>
        <v>0</v>
      </c>
      <c r="J122" s="21">
        <f>IFERROR(INDEX('Input - Tesco'!I$2:I$200,MATCH('Calculations - Tesco'!$C122,'Input - Tesco'!$B$2:$B$200,0)),"")</f>
        <v>0</v>
      </c>
      <c r="K122" s="20">
        <f>IFERROR(INDEX('Input - Tesco'!J$2:J$200,MATCH('Calculations - Tesco'!$C122,'Input - Tesco'!$B$2:$B$200,0)),"")</f>
        <v>0</v>
      </c>
      <c r="L122" s="20">
        <f>IFERROR(INDEX('Input - Tesco'!K$2:K$200,MATCH('Calculations - Tesco'!$C122,'Input - Tesco'!$B$2:$B$200,0)),"")</f>
        <v>0</v>
      </c>
      <c r="M122" s="21" t="str">
        <f t="shared" si="96"/>
        <v/>
      </c>
      <c r="N122" s="21" t="str">
        <f t="shared" si="82"/>
        <v/>
      </c>
      <c r="O122" s="21">
        <f t="shared" si="97"/>
        <v>0</v>
      </c>
      <c r="P122" s="9">
        <f t="shared" si="79"/>
        <v>0</v>
      </c>
      <c r="Q122" s="9">
        <f t="shared" si="80"/>
        <v>0</v>
      </c>
      <c r="R122" s="22" t="str">
        <f>IFERROR(INDEX(Tesco!$Q$11:$Q$165,MATCH('Calculations - Tesco'!$C122,Tesco!$M$11:$M$165,0)),"")</f>
        <v/>
      </c>
      <c r="S122" s="22" t="str">
        <f>IFERROR(INDEX(Tesco!$R$11:$R$165,MATCH('Calculations - Tesco'!$C122,Tesco!$M$11:$M$165,0)),"")</f>
        <v/>
      </c>
      <c r="T122" s="16" t="e">
        <f t="shared" si="83"/>
        <v>#VALUE!</v>
      </c>
      <c r="U122" s="16" t="e">
        <f t="shared" si="98"/>
        <v>#VALUE!</v>
      </c>
      <c r="V122" s="16" t="e">
        <f t="shared" si="99"/>
        <v>#VALUE!</v>
      </c>
      <c r="W122" s="10" t="str">
        <f t="shared" si="84"/>
        <v>-</v>
      </c>
      <c r="X122" s="10" t="str">
        <f t="shared" si="85"/>
        <v>-</v>
      </c>
      <c r="Y122" s="13" t="str">
        <f t="shared" si="100"/>
        <v>-</v>
      </c>
      <c r="Z122" s="9" t="str">
        <f t="shared" si="86"/>
        <v>-</v>
      </c>
      <c r="AA122" s="16" t="str">
        <f t="shared" si="101"/>
        <v>-</v>
      </c>
      <c r="AB122" s="16" t="str">
        <f t="shared" si="87"/>
        <v>-</v>
      </c>
      <c r="AC122" s="16" t="str">
        <f t="shared" si="88"/>
        <v>-</v>
      </c>
      <c r="AD122" s="16" t="str">
        <f t="shared" si="102"/>
        <v>-</v>
      </c>
      <c r="AE122" s="16"/>
      <c r="AF122" s="31" t="str">
        <f>IFERROR(INDEX(Tesco!$P$11:$P$165,MATCH('Calculations - Tesco'!C122,Tesco!$M$11:$M$165,0)),"")</f>
        <v/>
      </c>
      <c r="AG122" s="23" t="str">
        <f t="shared" si="103"/>
        <v/>
      </c>
      <c r="AH122" s="23" t="str">
        <f t="shared" si="103"/>
        <v/>
      </c>
      <c r="AI122" s="9" t="str">
        <f t="shared" si="89"/>
        <v/>
      </c>
      <c r="AJ122" s="4" t="str">
        <f t="shared" si="90"/>
        <v/>
      </c>
      <c r="AK122" s="4"/>
      <c r="AL122" s="4"/>
      <c r="AM122" s="4"/>
      <c r="AN122" s="4"/>
      <c r="AO122" s="4"/>
      <c r="AP122" s="20" t="str">
        <f t="shared" si="91"/>
        <v>-</v>
      </c>
      <c r="AQ122" s="13" t="str">
        <f t="shared" si="104"/>
        <v>-</v>
      </c>
      <c r="AR122" s="13" t="str">
        <f t="shared" si="105"/>
        <v>-</v>
      </c>
      <c r="AS122" s="13" t="str">
        <f t="shared" si="92"/>
        <v>-</v>
      </c>
      <c r="AT122" s="16" t="str">
        <f t="shared" si="106"/>
        <v>-</v>
      </c>
      <c r="AU122" s="16" t="str">
        <f t="shared" si="93"/>
        <v>-</v>
      </c>
      <c r="AV122" s="16" t="str">
        <f t="shared" si="94"/>
        <v>-</v>
      </c>
      <c r="AW122" s="16" t="str">
        <f t="shared" si="107"/>
        <v>-</v>
      </c>
      <c r="AX122" s="13" t="str">
        <f t="shared" si="108"/>
        <v>-</v>
      </c>
      <c r="AY122" s="10" t="str">
        <f t="shared" si="109"/>
        <v>-</v>
      </c>
      <c r="AZ122" s="9" t="str">
        <f t="shared" si="110"/>
        <v>-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</row>
    <row r="123" spans="2:68" x14ac:dyDescent="0.3">
      <c r="B123" s="108" t="str">
        <f t="shared" si="95"/>
        <v/>
      </c>
      <c r="C123" s="108" t="str">
        <f t="shared" si="81"/>
        <v/>
      </c>
      <c r="D123" s="3"/>
      <c r="E123" s="3"/>
      <c r="F123" s="3"/>
      <c r="G123" s="20">
        <f>IFERROR(INDEX('Input - Tesco'!F$2:F$200,MATCH('Calculations - Tesco'!$C123,'Input - Tesco'!$B$2:$B$200,0)),"")</f>
        <v>0</v>
      </c>
      <c r="H123" s="20">
        <f>IFERROR(INDEX('Input - Tesco'!G$2:G$200,MATCH('Calculations - Tesco'!$C123,'Input - Tesco'!$B$2:$B$200,0)),"")</f>
        <v>0</v>
      </c>
      <c r="I123" s="21">
        <f>IFERROR(INDEX('Input - Tesco'!H$2:H$200,MATCH('Calculations - Tesco'!$C123,'Input - Tesco'!$B$2:$B$200,0)),"")</f>
        <v>0</v>
      </c>
      <c r="J123" s="21">
        <f>IFERROR(INDEX('Input - Tesco'!I$2:I$200,MATCH('Calculations - Tesco'!$C123,'Input - Tesco'!$B$2:$B$200,0)),"")</f>
        <v>0</v>
      </c>
      <c r="K123" s="20">
        <f>IFERROR(INDEX('Input - Tesco'!J$2:J$200,MATCH('Calculations - Tesco'!$C123,'Input - Tesco'!$B$2:$B$200,0)),"")</f>
        <v>0</v>
      </c>
      <c r="L123" s="20">
        <f>IFERROR(INDEX('Input - Tesco'!K$2:K$200,MATCH('Calculations - Tesco'!$C123,'Input - Tesco'!$B$2:$B$200,0)),"")</f>
        <v>0</v>
      </c>
      <c r="M123" s="21" t="str">
        <f t="shared" si="96"/>
        <v/>
      </c>
      <c r="N123" s="21" t="str">
        <f t="shared" si="82"/>
        <v/>
      </c>
      <c r="O123" s="21">
        <f t="shared" si="97"/>
        <v>0</v>
      </c>
      <c r="P123" s="9">
        <f t="shared" si="79"/>
        <v>0</v>
      </c>
      <c r="Q123" s="9">
        <f t="shared" si="80"/>
        <v>0</v>
      </c>
      <c r="R123" s="22" t="str">
        <f>IFERROR(INDEX(Tesco!$Q$11:$Q$165,MATCH('Calculations - Tesco'!$C123,Tesco!$M$11:$M$165,0)),"")</f>
        <v/>
      </c>
      <c r="S123" s="22" t="str">
        <f>IFERROR(INDEX(Tesco!$R$11:$R$165,MATCH('Calculations - Tesco'!$C123,Tesco!$M$11:$M$165,0)),"")</f>
        <v/>
      </c>
      <c r="T123" s="16" t="e">
        <f t="shared" si="83"/>
        <v>#VALUE!</v>
      </c>
      <c r="U123" s="16" t="e">
        <f t="shared" si="98"/>
        <v>#VALUE!</v>
      </c>
      <c r="V123" s="16" t="e">
        <f t="shared" si="99"/>
        <v>#VALUE!</v>
      </c>
      <c r="W123" s="10" t="str">
        <f t="shared" si="84"/>
        <v>-</v>
      </c>
      <c r="X123" s="10" t="str">
        <f t="shared" si="85"/>
        <v>-</v>
      </c>
      <c r="Y123" s="13" t="str">
        <f t="shared" si="100"/>
        <v>-</v>
      </c>
      <c r="Z123" s="9" t="str">
        <f t="shared" si="86"/>
        <v>-</v>
      </c>
      <c r="AA123" s="16" t="str">
        <f t="shared" si="101"/>
        <v>-</v>
      </c>
      <c r="AB123" s="16" t="str">
        <f t="shared" si="87"/>
        <v>-</v>
      </c>
      <c r="AC123" s="16" t="str">
        <f t="shared" si="88"/>
        <v>-</v>
      </c>
      <c r="AD123" s="16" t="str">
        <f t="shared" si="102"/>
        <v>-</v>
      </c>
      <c r="AE123" s="16"/>
      <c r="AF123" s="31" t="str">
        <f>IFERROR(INDEX(Tesco!$P$11:$P$165,MATCH('Calculations - Tesco'!C123,Tesco!$M$11:$M$165,0)),"")</f>
        <v/>
      </c>
      <c r="AG123" s="23" t="str">
        <f t="shared" si="103"/>
        <v/>
      </c>
      <c r="AH123" s="23" t="str">
        <f t="shared" si="103"/>
        <v/>
      </c>
      <c r="AI123" s="9" t="str">
        <f t="shared" si="89"/>
        <v/>
      </c>
      <c r="AJ123" s="4" t="str">
        <f t="shared" si="90"/>
        <v/>
      </c>
      <c r="AK123" s="4"/>
      <c r="AL123" s="4"/>
      <c r="AM123" s="4"/>
      <c r="AN123" s="4"/>
      <c r="AO123" s="4"/>
      <c r="AP123" s="20" t="str">
        <f t="shared" si="91"/>
        <v>-</v>
      </c>
      <c r="AQ123" s="13" t="str">
        <f t="shared" si="104"/>
        <v>-</v>
      </c>
      <c r="AR123" s="13" t="str">
        <f t="shared" si="105"/>
        <v>-</v>
      </c>
      <c r="AS123" s="13" t="str">
        <f t="shared" si="92"/>
        <v>-</v>
      </c>
      <c r="AT123" s="16" t="str">
        <f t="shared" si="106"/>
        <v>-</v>
      </c>
      <c r="AU123" s="16" t="str">
        <f t="shared" si="93"/>
        <v>-</v>
      </c>
      <c r="AV123" s="16" t="str">
        <f t="shared" si="94"/>
        <v>-</v>
      </c>
      <c r="AW123" s="16" t="str">
        <f t="shared" si="107"/>
        <v>-</v>
      </c>
      <c r="AX123" s="13" t="str">
        <f t="shared" si="108"/>
        <v>-</v>
      </c>
      <c r="AY123" s="10" t="str">
        <f t="shared" si="109"/>
        <v>-</v>
      </c>
      <c r="AZ123" s="9" t="str">
        <f t="shared" si="110"/>
        <v>-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</row>
    <row r="124" spans="2:68" x14ac:dyDescent="0.3">
      <c r="B124" s="108" t="str">
        <f t="shared" si="95"/>
        <v/>
      </c>
      <c r="C124" s="108" t="str">
        <f t="shared" si="81"/>
        <v/>
      </c>
      <c r="D124" s="3"/>
      <c r="E124" s="3"/>
      <c r="F124" s="3"/>
      <c r="G124" s="20">
        <f>IFERROR(INDEX('Input - Tesco'!F$2:F$200,MATCH('Calculations - Tesco'!$C124,'Input - Tesco'!$B$2:$B$200,0)),"")</f>
        <v>0</v>
      </c>
      <c r="H124" s="20">
        <f>IFERROR(INDEX('Input - Tesco'!G$2:G$200,MATCH('Calculations - Tesco'!$C124,'Input - Tesco'!$B$2:$B$200,0)),"")</f>
        <v>0</v>
      </c>
      <c r="I124" s="21">
        <f>IFERROR(INDEX('Input - Tesco'!H$2:H$200,MATCH('Calculations - Tesco'!$C124,'Input - Tesco'!$B$2:$B$200,0)),"")</f>
        <v>0</v>
      </c>
      <c r="J124" s="21">
        <f>IFERROR(INDEX('Input - Tesco'!I$2:I$200,MATCH('Calculations - Tesco'!$C124,'Input - Tesco'!$B$2:$B$200,0)),"")</f>
        <v>0</v>
      </c>
      <c r="K124" s="20">
        <f>IFERROR(INDEX('Input - Tesco'!J$2:J$200,MATCH('Calculations - Tesco'!$C124,'Input - Tesco'!$B$2:$B$200,0)),"")</f>
        <v>0</v>
      </c>
      <c r="L124" s="20">
        <f>IFERROR(INDEX('Input - Tesco'!K$2:K$200,MATCH('Calculations - Tesco'!$C124,'Input - Tesco'!$B$2:$B$200,0)),"")</f>
        <v>0</v>
      </c>
      <c r="M124" s="21" t="str">
        <f t="shared" si="96"/>
        <v/>
      </c>
      <c r="N124" s="21" t="str">
        <f t="shared" si="82"/>
        <v/>
      </c>
      <c r="O124" s="21">
        <f t="shared" si="97"/>
        <v>0</v>
      </c>
      <c r="P124" s="9">
        <f t="shared" si="79"/>
        <v>0</v>
      </c>
      <c r="Q124" s="9">
        <f t="shared" si="80"/>
        <v>0</v>
      </c>
      <c r="R124" s="22" t="str">
        <f>IFERROR(INDEX(Tesco!$Q$11:$Q$165,MATCH('Calculations - Tesco'!$C124,Tesco!$M$11:$M$165,0)),"")</f>
        <v/>
      </c>
      <c r="S124" s="22" t="str">
        <f>IFERROR(INDEX(Tesco!$R$11:$R$165,MATCH('Calculations - Tesco'!$C124,Tesco!$M$11:$M$165,0)),"")</f>
        <v/>
      </c>
      <c r="T124" s="16" t="e">
        <f t="shared" si="83"/>
        <v>#VALUE!</v>
      </c>
      <c r="U124" s="16" t="e">
        <f t="shared" si="98"/>
        <v>#VALUE!</v>
      </c>
      <c r="V124" s="16" t="e">
        <f t="shared" si="99"/>
        <v>#VALUE!</v>
      </c>
      <c r="W124" s="10" t="str">
        <f t="shared" si="84"/>
        <v>-</v>
      </c>
      <c r="X124" s="10" t="str">
        <f t="shared" si="85"/>
        <v>-</v>
      </c>
      <c r="Y124" s="13" t="str">
        <f t="shared" si="100"/>
        <v>-</v>
      </c>
      <c r="Z124" s="9" t="str">
        <f t="shared" si="86"/>
        <v>-</v>
      </c>
      <c r="AA124" s="16" t="str">
        <f t="shared" si="101"/>
        <v>-</v>
      </c>
      <c r="AB124" s="16" t="str">
        <f t="shared" si="87"/>
        <v>-</v>
      </c>
      <c r="AC124" s="16" t="str">
        <f t="shared" si="88"/>
        <v>-</v>
      </c>
      <c r="AD124" s="16" t="str">
        <f t="shared" si="102"/>
        <v>-</v>
      </c>
      <c r="AE124" s="16"/>
      <c r="AF124" s="31" t="str">
        <f>IFERROR(INDEX(Tesco!$P$11:$P$165,MATCH('Calculations - Tesco'!C124,Tesco!$M$11:$M$165,0)),"")</f>
        <v/>
      </c>
      <c r="AG124" s="23" t="str">
        <f t="shared" si="103"/>
        <v/>
      </c>
      <c r="AH124" s="23" t="str">
        <f t="shared" si="103"/>
        <v/>
      </c>
      <c r="AI124" s="9" t="str">
        <f t="shared" si="89"/>
        <v/>
      </c>
      <c r="AJ124" s="4" t="str">
        <f t="shared" si="90"/>
        <v/>
      </c>
      <c r="AK124" s="4"/>
      <c r="AL124" s="4"/>
      <c r="AM124" s="4"/>
      <c r="AN124" s="4"/>
      <c r="AO124" s="4"/>
      <c r="AP124" s="20" t="str">
        <f t="shared" si="91"/>
        <v>-</v>
      </c>
      <c r="AQ124" s="13" t="str">
        <f t="shared" si="104"/>
        <v>-</v>
      </c>
      <c r="AR124" s="13" t="str">
        <f t="shared" si="105"/>
        <v>-</v>
      </c>
      <c r="AS124" s="13" t="str">
        <f t="shared" si="92"/>
        <v>-</v>
      </c>
      <c r="AT124" s="16" t="str">
        <f t="shared" si="106"/>
        <v>-</v>
      </c>
      <c r="AU124" s="16" t="str">
        <f t="shared" si="93"/>
        <v>-</v>
      </c>
      <c r="AV124" s="16" t="str">
        <f t="shared" si="94"/>
        <v>-</v>
      </c>
      <c r="AW124" s="16" t="str">
        <f t="shared" si="107"/>
        <v>-</v>
      </c>
      <c r="AX124" s="13" t="str">
        <f t="shared" si="108"/>
        <v>-</v>
      </c>
      <c r="AY124" s="10" t="str">
        <f t="shared" si="109"/>
        <v>-</v>
      </c>
      <c r="AZ124" s="9" t="str">
        <f t="shared" si="110"/>
        <v>-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</row>
    <row r="125" spans="2:68" x14ac:dyDescent="0.3">
      <c r="B125" s="108" t="str">
        <f t="shared" si="95"/>
        <v/>
      </c>
      <c r="C125" s="108" t="str">
        <f t="shared" si="81"/>
        <v/>
      </c>
      <c r="D125" s="3"/>
      <c r="E125" s="3"/>
      <c r="F125" s="3"/>
      <c r="G125" s="20">
        <f>IFERROR(INDEX('Input - Tesco'!F$2:F$200,MATCH('Calculations - Tesco'!$C125,'Input - Tesco'!$B$2:$B$200,0)),"")</f>
        <v>0</v>
      </c>
      <c r="H125" s="20">
        <f>IFERROR(INDEX('Input - Tesco'!G$2:G$200,MATCH('Calculations - Tesco'!$C125,'Input - Tesco'!$B$2:$B$200,0)),"")</f>
        <v>0</v>
      </c>
      <c r="I125" s="21">
        <f>IFERROR(INDEX('Input - Tesco'!H$2:H$200,MATCH('Calculations - Tesco'!$C125,'Input - Tesco'!$B$2:$B$200,0)),"")</f>
        <v>0</v>
      </c>
      <c r="J125" s="21">
        <f>IFERROR(INDEX('Input - Tesco'!I$2:I$200,MATCH('Calculations - Tesco'!$C125,'Input - Tesco'!$B$2:$B$200,0)),"")</f>
        <v>0</v>
      </c>
      <c r="K125" s="20">
        <f>IFERROR(INDEX('Input - Tesco'!J$2:J$200,MATCH('Calculations - Tesco'!$C125,'Input - Tesco'!$B$2:$B$200,0)),"")</f>
        <v>0</v>
      </c>
      <c r="L125" s="20">
        <f>IFERROR(INDEX('Input - Tesco'!K$2:K$200,MATCH('Calculations - Tesco'!$C125,'Input - Tesco'!$B$2:$B$200,0)),"")</f>
        <v>0</v>
      </c>
      <c r="M125" s="21" t="str">
        <f t="shared" si="96"/>
        <v/>
      </c>
      <c r="N125" s="21" t="str">
        <f t="shared" si="82"/>
        <v/>
      </c>
      <c r="O125" s="21">
        <f t="shared" si="97"/>
        <v>0</v>
      </c>
      <c r="P125" s="9">
        <f t="shared" si="79"/>
        <v>0</v>
      </c>
      <c r="Q125" s="9">
        <f t="shared" si="80"/>
        <v>0</v>
      </c>
      <c r="R125" s="22" t="str">
        <f>IFERROR(INDEX(Tesco!$Q$11:$Q$165,MATCH('Calculations - Tesco'!$C125,Tesco!$M$11:$M$165,0)),"")</f>
        <v/>
      </c>
      <c r="S125" s="22" t="str">
        <f>IFERROR(INDEX(Tesco!$R$11:$R$165,MATCH('Calculations - Tesco'!$C125,Tesco!$M$11:$M$165,0)),"")</f>
        <v/>
      </c>
      <c r="T125" s="16" t="e">
        <f t="shared" si="83"/>
        <v>#VALUE!</v>
      </c>
      <c r="U125" s="16" t="e">
        <f t="shared" si="98"/>
        <v>#VALUE!</v>
      </c>
      <c r="V125" s="16" t="e">
        <f t="shared" si="99"/>
        <v>#VALUE!</v>
      </c>
      <c r="W125" s="10" t="str">
        <f t="shared" si="84"/>
        <v>-</v>
      </c>
      <c r="X125" s="10" t="str">
        <f t="shared" si="85"/>
        <v>-</v>
      </c>
      <c r="Y125" s="13" t="str">
        <f t="shared" si="100"/>
        <v>-</v>
      </c>
      <c r="Z125" s="9" t="str">
        <f t="shared" si="86"/>
        <v>-</v>
      </c>
      <c r="AA125" s="16" t="str">
        <f t="shared" si="101"/>
        <v>-</v>
      </c>
      <c r="AB125" s="16" t="str">
        <f t="shared" si="87"/>
        <v>-</v>
      </c>
      <c r="AC125" s="16" t="str">
        <f t="shared" si="88"/>
        <v>-</v>
      </c>
      <c r="AD125" s="16" t="str">
        <f t="shared" si="102"/>
        <v>-</v>
      </c>
      <c r="AE125" s="16"/>
      <c r="AF125" s="31" t="str">
        <f>IFERROR(INDEX(Tesco!$P$11:$P$165,MATCH('Calculations - Tesco'!C125,Tesco!$M$11:$M$165,0)),"")</f>
        <v/>
      </c>
      <c r="AG125" s="23" t="str">
        <f t="shared" si="103"/>
        <v/>
      </c>
      <c r="AH125" s="23" t="str">
        <f t="shared" si="103"/>
        <v/>
      </c>
      <c r="AI125" s="9" t="str">
        <f t="shared" si="89"/>
        <v/>
      </c>
      <c r="AJ125" s="4" t="str">
        <f t="shared" si="90"/>
        <v/>
      </c>
      <c r="AK125" s="4"/>
      <c r="AL125" s="4"/>
      <c r="AM125" s="4"/>
      <c r="AN125" s="4"/>
      <c r="AO125" s="4"/>
      <c r="AP125" s="20" t="str">
        <f t="shared" si="91"/>
        <v>-</v>
      </c>
      <c r="AQ125" s="13" t="str">
        <f t="shared" si="104"/>
        <v>-</v>
      </c>
      <c r="AR125" s="13" t="str">
        <f t="shared" si="105"/>
        <v>-</v>
      </c>
      <c r="AS125" s="13" t="str">
        <f t="shared" si="92"/>
        <v>-</v>
      </c>
      <c r="AT125" s="16" t="str">
        <f t="shared" si="106"/>
        <v>-</v>
      </c>
      <c r="AU125" s="16" t="str">
        <f t="shared" si="93"/>
        <v>-</v>
      </c>
      <c r="AV125" s="16" t="str">
        <f t="shared" si="94"/>
        <v>-</v>
      </c>
      <c r="AW125" s="16" t="str">
        <f t="shared" si="107"/>
        <v>-</v>
      </c>
      <c r="AX125" s="13" t="str">
        <f t="shared" si="108"/>
        <v>-</v>
      </c>
      <c r="AY125" s="10" t="str">
        <f t="shared" si="109"/>
        <v>-</v>
      </c>
      <c r="AZ125" s="9" t="str">
        <f t="shared" si="110"/>
        <v>-</v>
      </c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</row>
    <row r="126" spans="2:68" x14ac:dyDescent="0.3">
      <c r="B126" s="108" t="str">
        <f t="shared" si="95"/>
        <v/>
      </c>
      <c r="C126" s="108" t="str">
        <f t="shared" si="81"/>
        <v/>
      </c>
      <c r="D126" s="3"/>
      <c r="E126" s="3"/>
      <c r="F126" s="3"/>
      <c r="G126" s="20">
        <f>IFERROR(INDEX('Input - Tesco'!F$2:F$200,MATCH('Calculations - Tesco'!$C126,'Input - Tesco'!$B$2:$B$200,0)),"")</f>
        <v>0</v>
      </c>
      <c r="H126" s="20">
        <f>IFERROR(INDEX('Input - Tesco'!G$2:G$200,MATCH('Calculations - Tesco'!$C126,'Input - Tesco'!$B$2:$B$200,0)),"")</f>
        <v>0</v>
      </c>
      <c r="I126" s="21">
        <f>IFERROR(INDEX('Input - Tesco'!H$2:H$200,MATCH('Calculations - Tesco'!$C126,'Input - Tesco'!$B$2:$B$200,0)),"")</f>
        <v>0</v>
      </c>
      <c r="J126" s="21">
        <f>IFERROR(INDEX('Input - Tesco'!I$2:I$200,MATCH('Calculations - Tesco'!$C126,'Input - Tesco'!$B$2:$B$200,0)),"")</f>
        <v>0</v>
      </c>
      <c r="K126" s="20">
        <f>IFERROR(INDEX('Input - Tesco'!J$2:J$200,MATCH('Calculations - Tesco'!$C126,'Input - Tesco'!$B$2:$B$200,0)),"")</f>
        <v>0</v>
      </c>
      <c r="L126" s="20">
        <f>IFERROR(INDEX('Input - Tesco'!K$2:K$200,MATCH('Calculations - Tesco'!$C126,'Input - Tesco'!$B$2:$B$200,0)),"")</f>
        <v>0</v>
      </c>
      <c r="M126" s="21" t="str">
        <f t="shared" si="96"/>
        <v/>
      </c>
      <c r="N126" s="21" t="str">
        <f t="shared" si="82"/>
        <v/>
      </c>
      <c r="O126" s="21">
        <f t="shared" si="97"/>
        <v>0</v>
      </c>
      <c r="P126" s="9">
        <f t="shared" si="79"/>
        <v>0</v>
      </c>
      <c r="Q126" s="9">
        <f t="shared" si="80"/>
        <v>0</v>
      </c>
      <c r="R126" s="22" t="str">
        <f>IFERROR(INDEX(Tesco!$Q$11:$Q$165,MATCH('Calculations - Tesco'!$C126,Tesco!$M$11:$M$165,0)),"")</f>
        <v/>
      </c>
      <c r="S126" s="22" t="str">
        <f>IFERROR(INDEX(Tesco!$R$11:$R$165,MATCH('Calculations - Tesco'!$C126,Tesco!$M$11:$M$165,0)),"")</f>
        <v/>
      </c>
      <c r="T126" s="16" t="e">
        <f t="shared" si="83"/>
        <v>#VALUE!</v>
      </c>
      <c r="U126" s="16" t="e">
        <f t="shared" si="98"/>
        <v>#VALUE!</v>
      </c>
      <c r="V126" s="16" t="e">
        <f t="shared" si="99"/>
        <v>#VALUE!</v>
      </c>
      <c r="W126" s="10" t="str">
        <f t="shared" si="84"/>
        <v>-</v>
      </c>
      <c r="X126" s="10" t="str">
        <f t="shared" si="85"/>
        <v>-</v>
      </c>
      <c r="Y126" s="13" t="str">
        <f t="shared" si="100"/>
        <v>-</v>
      </c>
      <c r="Z126" s="9" t="str">
        <f t="shared" si="86"/>
        <v>-</v>
      </c>
      <c r="AA126" s="16" t="str">
        <f t="shared" si="101"/>
        <v>-</v>
      </c>
      <c r="AB126" s="16" t="str">
        <f t="shared" si="87"/>
        <v>-</v>
      </c>
      <c r="AC126" s="16" t="str">
        <f t="shared" si="88"/>
        <v>-</v>
      </c>
      <c r="AD126" s="16" t="str">
        <f t="shared" si="102"/>
        <v>-</v>
      </c>
      <c r="AE126" s="16"/>
      <c r="AF126" s="31" t="str">
        <f>IFERROR(INDEX(Tesco!$P$11:$P$165,MATCH('Calculations - Tesco'!C126,Tesco!$M$11:$M$165,0)),"")</f>
        <v/>
      </c>
      <c r="AG126" s="23" t="str">
        <f t="shared" si="103"/>
        <v/>
      </c>
      <c r="AH126" s="23" t="str">
        <f t="shared" si="103"/>
        <v/>
      </c>
      <c r="AI126" s="9" t="str">
        <f t="shared" si="89"/>
        <v/>
      </c>
      <c r="AJ126" s="4" t="str">
        <f t="shared" si="90"/>
        <v/>
      </c>
      <c r="AK126" s="4"/>
      <c r="AL126" s="4"/>
      <c r="AM126" s="4"/>
      <c r="AN126" s="4"/>
      <c r="AO126" s="4"/>
      <c r="AP126" s="20" t="str">
        <f t="shared" si="91"/>
        <v>-</v>
      </c>
      <c r="AQ126" s="13" t="str">
        <f t="shared" si="104"/>
        <v>-</v>
      </c>
      <c r="AR126" s="13" t="str">
        <f t="shared" si="105"/>
        <v>-</v>
      </c>
      <c r="AS126" s="13" t="str">
        <f t="shared" si="92"/>
        <v>-</v>
      </c>
      <c r="AT126" s="16" t="str">
        <f t="shared" si="106"/>
        <v>-</v>
      </c>
      <c r="AU126" s="16" t="str">
        <f t="shared" si="93"/>
        <v>-</v>
      </c>
      <c r="AV126" s="16" t="str">
        <f t="shared" si="94"/>
        <v>-</v>
      </c>
      <c r="AW126" s="16" t="str">
        <f t="shared" si="107"/>
        <v>-</v>
      </c>
      <c r="AX126" s="13" t="str">
        <f t="shared" si="108"/>
        <v>-</v>
      </c>
      <c r="AY126" s="10" t="str">
        <f t="shared" si="109"/>
        <v>-</v>
      </c>
      <c r="AZ126" s="9" t="str">
        <f t="shared" si="110"/>
        <v>-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</row>
    <row r="127" spans="2:68" x14ac:dyDescent="0.3">
      <c r="B127" s="108" t="str">
        <f t="shared" si="95"/>
        <v/>
      </c>
      <c r="C127" s="108" t="str">
        <f t="shared" si="81"/>
        <v/>
      </c>
      <c r="D127" s="3"/>
      <c r="E127" s="3"/>
      <c r="F127" s="3"/>
      <c r="G127" s="20">
        <f>IFERROR(INDEX('Input - Tesco'!F$2:F$200,MATCH('Calculations - Tesco'!$C127,'Input - Tesco'!$B$2:$B$200,0)),"")</f>
        <v>0</v>
      </c>
      <c r="H127" s="20">
        <f>IFERROR(INDEX('Input - Tesco'!G$2:G$200,MATCH('Calculations - Tesco'!$C127,'Input - Tesco'!$B$2:$B$200,0)),"")</f>
        <v>0</v>
      </c>
      <c r="I127" s="21">
        <f>IFERROR(INDEX('Input - Tesco'!H$2:H$200,MATCH('Calculations - Tesco'!$C127,'Input - Tesco'!$B$2:$B$200,0)),"")</f>
        <v>0</v>
      </c>
      <c r="J127" s="21">
        <f>IFERROR(INDEX('Input - Tesco'!I$2:I$200,MATCH('Calculations - Tesco'!$C127,'Input - Tesco'!$B$2:$B$200,0)),"")</f>
        <v>0</v>
      </c>
      <c r="K127" s="20">
        <f>IFERROR(INDEX('Input - Tesco'!J$2:J$200,MATCH('Calculations - Tesco'!$C127,'Input - Tesco'!$B$2:$B$200,0)),"")</f>
        <v>0</v>
      </c>
      <c r="L127" s="20">
        <f>IFERROR(INDEX('Input - Tesco'!K$2:K$200,MATCH('Calculations - Tesco'!$C127,'Input - Tesco'!$B$2:$B$200,0)),"")</f>
        <v>0</v>
      </c>
      <c r="M127" s="21" t="str">
        <f t="shared" si="96"/>
        <v/>
      </c>
      <c r="N127" s="21" t="str">
        <f t="shared" si="82"/>
        <v/>
      </c>
      <c r="O127" s="21">
        <f t="shared" si="97"/>
        <v>0</v>
      </c>
      <c r="P127" s="9">
        <f t="shared" si="79"/>
        <v>0</v>
      </c>
      <c r="Q127" s="9">
        <f t="shared" si="80"/>
        <v>0</v>
      </c>
      <c r="R127" s="22" t="str">
        <f>IFERROR(INDEX(Tesco!$Q$11:$Q$165,MATCH('Calculations - Tesco'!$C127,Tesco!$M$11:$M$165,0)),"")</f>
        <v/>
      </c>
      <c r="S127" s="22" t="str">
        <f>IFERROR(INDEX(Tesco!$R$11:$R$165,MATCH('Calculations - Tesco'!$C127,Tesco!$M$11:$M$165,0)),"")</f>
        <v/>
      </c>
      <c r="T127" s="16" t="e">
        <f t="shared" si="83"/>
        <v>#VALUE!</v>
      </c>
      <c r="U127" s="16" t="e">
        <f t="shared" si="98"/>
        <v>#VALUE!</v>
      </c>
      <c r="V127" s="16" t="e">
        <f t="shared" si="99"/>
        <v>#VALUE!</v>
      </c>
      <c r="W127" s="10" t="str">
        <f t="shared" si="84"/>
        <v>-</v>
      </c>
      <c r="X127" s="10" t="str">
        <f t="shared" si="85"/>
        <v>-</v>
      </c>
      <c r="Y127" s="13" t="str">
        <f t="shared" si="100"/>
        <v>-</v>
      </c>
      <c r="Z127" s="9" t="str">
        <f t="shared" si="86"/>
        <v>-</v>
      </c>
      <c r="AA127" s="16" t="str">
        <f t="shared" si="101"/>
        <v>-</v>
      </c>
      <c r="AB127" s="16" t="str">
        <f t="shared" si="87"/>
        <v>-</v>
      </c>
      <c r="AC127" s="16" t="str">
        <f t="shared" si="88"/>
        <v>-</v>
      </c>
      <c r="AD127" s="16" t="str">
        <f t="shared" si="102"/>
        <v>-</v>
      </c>
      <c r="AE127" s="16"/>
      <c r="AF127" s="31" t="str">
        <f>IFERROR(INDEX(Tesco!$P$11:$P$165,MATCH('Calculations - Tesco'!C127,Tesco!$M$11:$M$165,0)),"")</f>
        <v/>
      </c>
      <c r="AG127" s="23" t="str">
        <f t="shared" si="103"/>
        <v/>
      </c>
      <c r="AH127" s="23" t="str">
        <f t="shared" si="103"/>
        <v/>
      </c>
      <c r="AI127" s="9" t="str">
        <f t="shared" si="89"/>
        <v/>
      </c>
      <c r="AJ127" s="4" t="str">
        <f t="shared" si="90"/>
        <v/>
      </c>
      <c r="AK127" s="4"/>
      <c r="AL127" s="4"/>
      <c r="AM127" s="4"/>
      <c r="AN127" s="4"/>
      <c r="AO127" s="4"/>
      <c r="AP127" s="20" t="str">
        <f t="shared" si="91"/>
        <v>-</v>
      </c>
      <c r="AQ127" s="13" t="str">
        <f t="shared" si="104"/>
        <v>-</v>
      </c>
      <c r="AR127" s="13" t="str">
        <f t="shared" si="105"/>
        <v>-</v>
      </c>
      <c r="AS127" s="13" t="str">
        <f t="shared" si="92"/>
        <v>-</v>
      </c>
      <c r="AT127" s="16" t="str">
        <f t="shared" si="106"/>
        <v>-</v>
      </c>
      <c r="AU127" s="16" t="str">
        <f t="shared" si="93"/>
        <v>-</v>
      </c>
      <c r="AV127" s="16" t="str">
        <f t="shared" si="94"/>
        <v>-</v>
      </c>
      <c r="AW127" s="16" t="str">
        <f t="shared" si="107"/>
        <v>-</v>
      </c>
      <c r="AX127" s="13" t="str">
        <f t="shared" si="108"/>
        <v>-</v>
      </c>
      <c r="AY127" s="10" t="str">
        <f t="shared" si="109"/>
        <v>-</v>
      </c>
      <c r="AZ127" s="9" t="str">
        <f t="shared" si="110"/>
        <v>-</v>
      </c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</row>
    <row r="128" spans="2:68" x14ac:dyDescent="0.3">
      <c r="B128" s="108" t="str">
        <f t="shared" si="95"/>
        <v/>
      </c>
      <c r="C128" s="108" t="str">
        <f t="shared" si="81"/>
        <v/>
      </c>
      <c r="D128" s="3"/>
      <c r="E128" s="3"/>
      <c r="F128" s="3"/>
      <c r="G128" s="20">
        <f>IFERROR(INDEX('Input - Tesco'!F$2:F$200,MATCH('Calculations - Tesco'!$C128,'Input - Tesco'!$B$2:$B$200,0)),"")</f>
        <v>0</v>
      </c>
      <c r="H128" s="20">
        <f>IFERROR(INDEX('Input - Tesco'!G$2:G$200,MATCH('Calculations - Tesco'!$C128,'Input - Tesco'!$B$2:$B$200,0)),"")</f>
        <v>0</v>
      </c>
      <c r="I128" s="21">
        <f>IFERROR(INDEX('Input - Tesco'!H$2:H$200,MATCH('Calculations - Tesco'!$C128,'Input - Tesco'!$B$2:$B$200,0)),"")</f>
        <v>0</v>
      </c>
      <c r="J128" s="21">
        <f>IFERROR(INDEX('Input - Tesco'!I$2:I$200,MATCH('Calculations - Tesco'!$C128,'Input - Tesco'!$B$2:$B$200,0)),"")</f>
        <v>0</v>
      </c>
      <c r="K128" s="20">
        <f>IFERROR(INDEX('Input - Tesco'!J$2:J$200,MATCH('Calculations - Tesco'!$C128,'Input - Tesco'!$B$2:$B$200,0)),"")</f>
        <v>0</v>
      </c>
      <c r="L128" s="20">
        <f>IFERROR(INDEX('Input - Tesco'!K$2:K$200,MATCH('Calculations - Tesco'!$C128,'Input - Tesco'!$B$2:$B$200,0)),"")</f>
        <v>0</v>
      </c>
      <c r="M128" s="21" t="str">
        <f t="shared" si="96"/>
        <v/>
      </c>
      <c r="N128" s="21" t="str">
        <f t="shared" si="82"/>
        <v/>
      </c>
      <c r="O128" s="21">
        <f t="shared" si="97"/>
        <v>0</v>
      </c>
      <c r="P128" s="9">
        <f t="shared" ref="P128:P191" si="111">G128/SUM(G$32:G$229)</f>
        <v>0</v>
      </c>
      <c r="Q128" s="9">
        <f t="shared" ref="Q128:Q191" si="112">H128/SUM(H$32:H$229)</f>
        <v>0</v>
      </c>
      <c r="R128" s="22" t="str">
        <f>IFERROR(INDEX(Tesco!$Q$11:$Q$165,MATCH('Calculations - Tesco'!$C128,Tesco!$M$11:$M$165,0)),"")</f>
        <v/>
      </c>
      <c r="S128" s="22" t="str">
        <f>IFERROR(INDEX(Tesco!$R$11:$R$165,MATCH('Calculations - Tesco'!$C128,Tesco!$M$11:$M$165,0)),"")</f>
        <v/>
      </c>
      <c r="T128" s="16" t="e">
        <f t="shared" si="83"/>
        <v>#VALUE!</v>
      </c>
      <c r="U128" s="16" t="e">
        <f t="shared" si="98"/>
        <v>#VALUE!</v>
      </c>
      <c r="V128" s="16" t="e">
        <f t="shared" si="99"/>
        <v>#VALUE!</v>
      </c>
      <c r="W128" s="10" t="str">
        <f t="shared" si="84"/>
        <v>-</v>
      </c>
      <c r="X128" s="10" t="str">
        <f t="shared" si="85"/>
        <v>-</v>
      </c>
      <c r="Y128" s="13" t="str">
        <f t="shared" si="100"/>
        <v>-</v>
      </c>
      <c r="Z128" s="9" t="str">
        <f t="shared" si="86"/>
        <v>-</v>
      </c>
      <c r="AA128" s="16" t="str">
        <f t="shared" si="101"/>
        <v>-</v>
      </c>
      <c r="AB128" s="16" t="str">
        <f t="shared" si="87"/>
        <v>-</v>
      </c>
      <c r="AC128" s="16" t="str">
        <f t="shared" si="88"/>
        <v>-</v>
      </c>
      <c r="AD128" s="16" t="str">
        <f t="shared" si="102"/>
        <v>-</v>
      </c>
      <c r="AE128" s="16"/>
      <c r="AF128" s="31" t="str">
        <f>IFERROR(INDEX(Tesco!$P$11:$P$165,MATCH('Calculations - Tesco'!C128,Tesco!$M$11:$M$165,0)),"")</f>
        <v/>
      </c>
      <c r="AG128" s="23" t="str">
        <f t="shared" si="103"/>
        <v/>
      </c>
      <c r="AH128" s="23" t="str">
        <f t="shared" si="103"/>
        <v/>
      </c>
      <c r="AI128" s="9" t="str">
        <f t="shared" si="89"/>
        <v/>
      </c>
      <c r="AJ128" s="4" t="str">
        <f t="shared" si="90"/>
        <v/>
      </c>
      <c r="AK128" s="4"/>
      <c r="AL128" s="4"/>
      <c r="AM128" s="4"/>
      <c r="AN128" s="4"/>
      <c r="AO128" s="4"/>
      <c r="AP128" s="20" t="str">
        <f t="shared" si="91"/>
        <v>-</v>
      </c>
      <c r="AQ128" s="13" t="str">
        <f t="shared" si="104"/>
        <v>-</v>
      </c>
      <c r="AR128" s="13" t="str">
        <f t="shared" si="105"/>
        <v>-</v>
      </c>
      <c r="AS128" s="13" t="str">
        <f t="shared" si="92"/>
        <v>-</v>
      </c>
      <c r="AT128" s="16" t="str">
        <f t="shared" si="106"/>
        <v>-</v>
      </c>
      <c r="AU128" s="16" t="str">
        <f t="shared" si="93"/>
        <v>-</v>
      </c>
      <c r="AV128" s="16" t="str">
        <f t="shared" si="94"/>
        <v>-</v>
      </c>
      <c r="AW128" s="16" t="str">
        <f t="shared" si="107"/>
        <v>-</v>
      </c>
      <c r="AX128" s="13" t="str">
        <f t="shared" si="108"/>
        <v>-</v>
      </c>
      <c r="AY128" s="10" t="str">
        <f t="shared" si="109"/>
        <v>-</v>
      </c>
      <c r="AZ128" s="9" t="str">
        <f t="shared" si="110"/>
        <v>-</v>
      </c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</row>
    <row r="129" spans="2:68" x14ac:dyDescent="0.3">
      <c r="B129" s="108" t="str">
        <f t="shared" si="95"/>
        <v/>
      </c>
      <c r="C129" s="108" t="str">
        <f t="shared" si="81"/>
        <v/>
      </c>
      <c r="D129" s="3"/>
      <c r="E129" s="3"/>
      <c r="F129" s="3"/>
      <c r="G129" s="20">
        <f>IFERROR(INDEX('Input - Tesco'!F$2:F$200,MATCH('Calculations - Tesco'!$C129,'Input - Tesco'!$B$2:$B$200,0)),"")</f>
        <v>0</v>
      </c>
      <c r="H129" s="20">
        <f>IFERROR(INDEX('Input - Tesco'!G$2:G$200,MATCH('Calculations - Tesco'!$C129,'Input - Tesco'!$B$2:$B$200,0)),"")</f>
        <v>0</v>
      </c>
      <c r="I129" s="21">
        <f>IFERROR(INDEX('Input - Tesco'!H$2:H$200,MATCH('Calculations - Tesco'!$C129,'Input - Tesco'!$B$2:$B$200,0)),"")</f>
        <v>0</v>
      </c>
      <c r="J129" s="21">
        <f>IFERROR(INDEX('Input - Tesco'!I$2:I$200,MATCH('Calculations - Tesco'!$C129,'Input - Tesco'!$B$2:$B$200,0)),"")</f>
        <v>0</v>
      </c>
      <c r="K129" s="20">
        <f>IFERROR(INDEX('Input - Tesco'!J$2:J$200,MATCH('Calculations - Tesco'!$C129,'Input - Tesco'!$B$2:$B$200,0)),"")</f>
        <v>0</v>
      </c>
      <c r="L129" s="20">
        <f>IFERROR(INDEX('Input - Tesco'!K$2:K$200,MATCH('Calculations - Tesco'!$C129,'Input - Tesco'!$B$2:$B$200,0)),"")</f>
        <v>0</v>
      </c>
      <c r="M129" s="21" t="str">
        <f t="shared" si="96"/>
        <v/>
      </c>
      <c r="N129" s="21" t="str">
        <f t="shared" si="82"/>
        <v/>
      </c>
      <c r="O129" s="21">
        <f t="shared" si="97"/>
        <v>0</v>
      </c>
      <c r="P129" s="9">
        <f t="shared" si="111"/>
        <v>0</v>
      </c>
      <c r="Q129" s="9">
        <f t="shared" si="112"/>
        <v>0</v>
      </c>
      <c r="R129" s="22" t="str">
        <f>IFERROR(INDEX(Tesco!$Q$11:$Q$165,MATCH('Calculations - Tesco'!$C129,Tesco!$M$11:$M$165,0)),"")</f>
        <v/>
      </c>
      <c r="S129" s="22" t="str">
        <f>IFERROR(INDEX(Tesco!$R$11:$R$165,MATCH('Calculations - Tesco'!$C129,Tesco!$M$11:$M$165,0)),"")</f>
        <v/>
      </c>
      <c r="T129" s="16" t="e">
        <f t="shared" si="83"/>
        <v>#VALUE!</v>
      </c>
      <c r="U129" s="16" t="e">
        <f t="shared" si="98"/>
        <v>#VALUE!</v>
      </c>
      <c r="V129" s="16" t="e">
        <f t="shared" si="99"/>
        <v>#VALUE!</v>
      </c>
      <c r="W129" s="10" t="str">
        <f t="shared" si="84"/>
        <v>-</v>
      </c>
      <c r="X129" s="10" t="str">
        <f t="shared" si="85"/>
        <v>-</v>
      </c>
      <c r="Y129" s="13" t="str">
        <f t="shared" si="100"/>
        <v>-</v>
      </c>
      <c r="Z129" s="9" t="str">
        <f t="shared" si="86"/>
        <v>-</v>
      </c>
      <c r="AA129" s="16" t="str">
        <f t="shared" si="101"/>
        <v>-</v>
      </c>
      <c r="AB129" s="16" t="str">
        <f t="shared" si="87"/>
        <v>-</v>
      </c>
      <c r="AC129" s="16" t="str">
        <f t="shared" si="88"/>
        <v>-</v>
      </c>
      <c r="AD129" s="16" t="str">
        <f t="shared" si="102"/>
        <v>-</v>
      </c>
      <c r="AE129" s="16"/>
      <c r="AF129" s="31" t="str">
        <f>IFERROR(INDEX(Tesco!$P$11:$P$165,MATCH('Calculations - Tesco'!C129,Tesco!$M$11:$M$165,0)),"")</f>
        <v/>
      </c>
      <c r="AG129" s="23" t="str">
        <f t="shared" si="103"/>
        <v/>
      </c>
      <c r="AH129" s="23" t="str">
        <f t="shared" si="103"/>
        <v/>
      </c>
      <c r="AI129" s="9" t="str">
        <f t="shared" si="89"/>
        <v/>
      </c>
      <c r="AJ129" s="4" t="str">
        <f t="shared" si="90"/>
        <v/>
      </c>
      <c r="AK129" s="4"/>
      <c r="AL129" s="4"/>
      <c r="AM129" s="4"/>
      <c r="AN129" s="4"/>
      <c r="AO129" s="4"/>
      <c r="AP129" s="20" t="str">
        <f t="shared" si="91"/>
        <v>-</v>
      </c>
      <c r="AQ129" s="13" t="str">
        <f t="shared" si="104"/>
        <v>-</v>
      </c>
      <c r="AR129" s="13" t="str">
        <f t="shared" si="105"/>
        <v>-</v>
      </c>
      <c r="AS129" s="13" t="str">
        <f t="shared" si="92"/>
        <v>-</v>
      </c>
      <c r="AT129" s="16" t="str">
        <f t="shared" si="106"/>
        <v>-</v>
      </c>
      <c r="AU129" s="16" t="str">
        <f t="shared" si="93"/>
        <v>-</v>
      </c>
      <c r="AV129" s="16" t="str">
        <f t="shared" si="94"/>
        <v>-</v>
      </c>
      <c r="AW129" s="16" t="str">
        <f t="shared" si="107"/>
        <v>-</v>
      </c>
      <c r="AX129" s="13" t="str">
        <f t="shared" si="108"/>
        <v>-</v>
      </c>
      <c r="AY129" s="10" t="str">
        <f t="shared" si="109"/>
        <v>-</v>
      </c>
      <c r="AZ129" s="9" t="str">
        <f t="shared" si="110"/>
        <v>-</v>
      </c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</row>
    <row r="130" spans="2:68" x14ac:dyDescent="0.3">
      <c r="B130" s="108" t="str">
        <f t="shared" si="95"/>
        <v/>
      </c>
      <c r="C130" s="108" t="str">
        <f t="shared" si="81"/>
        <v/>
      </c>
      <c r="D130" s="3"/>
      <c r="E130" s="3"/>
      <c r="F130" s="3"/>
      <c r="G130" s="20">
        <f>IFERROR(INDEX('Input - Tesco'!F$2:F$200,MATCH('Calculations - Tesco'!$C130,'Input - Tesco'!$B$2:$B$200,0)),"")</f>
        <v>0</v>
      </c>
      <c r="H130" s="20">
        <f>IFERROR(INDEX('Input - Tesco'!G$2:G$200,MATCH('Calculations - Tesco'!$C130,'Input - Tesco'!$B$2:$B$200,0)),"")</f>
        <v>0</v>
      </c>
      <c r="I130" s="21">
        <f>IFERROR(INDEX('Input - Tesco'!H$2:H$200,MATCH('Calculations - Tesco'!$C130,'Input - Tesco'!$B$2:$B$200,0)),"")</f>
        <v>0</v>
      </c>
      <c r="J130" s="21">
        <f>IFERROR(INDEX('Input - Tesco'!I$2:I$200,MATCH('Calculations - Tesco'!$C130,'Input - Tesco'!$B$2:$B$200,0)),"")</f>
        <v>0</v>
      </c>
      <c r="K130" s="20">
        <f>IFERROR(INDEX('Input - Tesco'!J$2:J$200,MATCH('Calculations - Tesco'!$C130,'Input - Tesco'!$B$2:$B$200,0)),"")</f>
        <v>0</v>
      </c>
      <c r="L130" s="20">
        <f>IFERROR(INDEX('Input - Tesco'!K$2:K$200,MATCH('Calculations - Tesco'!$C130,'Input - Tesco'!$B$2:$B$200,0)),"")</f>
        <v>0</v>
      </c>
      <c r="M130" s="21" t="str">
        <f t="shared" si="96"/>
        <v/>
      </c>
      <c r="N130" s="21" t="str">
        <f t="shared" si="82"/>
        <v/>
      </c>
      <c r="O130" s="21">
        <f t="shared" si="97"/>
        <v>0</v>
      </c>
      <c r="P130" s="9">
        <f t="shared" si="111"/>
        <v>0</v>
      </c>
      <c r="Q130" s="9">
        <f t="shared" si="112"/>
        <v>0</v>
      </c>
      <c r="R130" s="22" t="str">
        <f>IFERROR(INDEX(Tesco!$Q$11:$Q$165,MATCH('Calculations - Tesco'!$C130,Tesco!$M$11:$M$165,0)),"")</f>
        <v/>
      </c>
      <c r="S130" s="22" t="str">
        <f>IFERROR(INDEX(Tesco!$R$11:$R$165,MATCH('Calculations - Tesco'!$C130,Tesco!$M$11:$M$165,0)),"")</f>
        <v/>
      </c>
      <c r="T130" s="16" t="e">
        <f t="shared" si="83"/>
        <v>#VALUE!</v>
      </c>
      <c r="U130" s="16" t="e">
        <f t="shared" si="98"/>
        <v>#VALUE!</v>
      </c>
      <c r="V130" s="16" t="e">
        <f t="shared" si="99"/>
        <v>#VALUE!</v>
      </c>
      <c r="W130" s="10" t="str">
        <f t="shared" si="84"/>
        <v>-</v>
      </c>
      <c r="X130" s="10" t="str">
        <f t="shared" si="85"/>
        <v>-</v>
      </c>
      <c r="Y130" s="13" t="str">
        <f t="shared" si="100"/>
        <v>-</v>
      </c>
      <c r="Z130" s="9" t="str">
        <f t="shared" si="86"/>
        <v>-</v>
      </c>
      <c r="AA130" s="16" t="str">
        <f t="shared" si="101"/>
        <v>-</v>
      </c>
      <c r="AB130" s="16" t="str">
        <f t="shared" si="87"/>
        <v>-</v>
      </c>
      <c r="AC130" s="16" t="str">
        <f t="shared" si="88"/>
        <v>-</v>
      </c>
      <c r="AD130" s="16" t="str">
        <f t="shared" si="102"/>
        <v>-</v>
      </c>
      <c r="AE130" s="16"/>
      <c r="AF130" s="31" t="str">
        <f>IFERROR(INDEX(Tesco!$P$11:$P$165,MATCH('Calculations - Tesco'!C130,Tesco!$M$11:$M$165,0)),"")</f>
        <v/>
      </c>
      <c r="AG130" s="23" t="str">
        <f t="shared" si="103"/>
        <v/>
      </c>
      <c r="AH130" s="23" t="str">
        <f t="shared" si="103"/>
        <v/>
      </c>
      <c r="AI130" s="9" t="str">
        <f t="shared" si="89"/>
        <v/>
      </c>
      <c r="AJ130" s="4" t="str">
        <f t="shared" si="90"/>
        <v/>
      </c>
      <c r="AK130" s="4"/>
      <c r="AL130" s="4"/>
      <c r="AM130" s="4"/>
      <c r="AN130" s="4"/>
      <c r="AO130" s="4"/>
      <c r="AP130" s="20" t="str">
        <f t="shared" si="91"/>
        <v>-</v>
      </c>
      <c r="AQ130" s="13" t="str">
        <f t="shared" si="104"/>
        <v>-</v>
      </c>
      <c r="AR130" s="13" t="str">
        <f t="shared" si="105"/>
        <v>-</v>
      </c>
      <c r="AS130" s="13" t="str">
        <f t="shared" si="92"/>
        <v>-</v>
      </c>
      <c r="AT130" s="16" t="str">
        <f t="shared" si="106"/>
        <v>-</v>
      </c>
      <c r="AU130" s="16" t="str">
        <f t="shared" si="93"/>
        <v>-</v>
      </c>
      <c r="AV130" s="16" t="str">
        <f t="shared" si="94"/>
        <v>-</v>
      </c>
      <c r="AW130" s="16" t="str">
        <f t="shared" si="107"/>
        <v>-</v>
      </c>
      <c r="AX130" s="13" t="str">
        <f t="shared" si="108"/>
        <v>-</v>
      </c>
      <c r="AY130" s="10" t="str">
        <f t="shared" si="109"/>
        <v>-</v>
      </c>
      <c r="AZ130" s="9" t="str">
        <f t="shared" si="110"/>
        <v>-</v>
      </c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</row>
    <row r="131" spans="2:68" x14ac:dyDescent="0.3">
      <c r="B131" s="108" t="str">
        <f t="shared" si="95"/>
        <v/>
      </c>
      <c r="C131" s="108" t="str">
        <f t="shared" si="81"/>
        <v/>
      </c>
      <c r="D131" s="3"/>
      <c r="E131" s="3"/>
      <c r="F131" s="3"/>
      <c r="G131" s="20">
        <f>IFERROR(INDEX('Input - Tesco'!F$2:F$200,MATCH('Calculations - Tesco'!$C131,'Input - Tesco'!$B$2:$B$200,0)),"")</f>
        <v>0</v>
      </c>
      <c r="H131" s="20">
        <f>IFERROR(INDEX('Input - Tesco'!G$2:G$200,MATCH('Calculations - Tesco'!$C131,'Input - Tesco'!$B$2:$B$200,0)),"")</f>
        <v>0</v>
      </c>
      <c r="I131" s="21">
        <f>IFERROR(INDEX('Input - Tesco'!H$2:H$200,MATCH('Calculations - Tesco'!$C131,'Input - Tesco'!$B$2:$B$200,0)),"")</f>
        <v>0</v>
      </c>
      <c r="J131" s="21">
        <f>IFERROR(INDEX('Input - Tesco'!I$2:I$200,MATCH('Calculations - Tesco'!$C131,'Input - Tesco'!$B$2:$B$200,0)),"")</f>
        <v>0</v>
      </c>
      <c r="K131" s="20">
        <f>IFERROR(INDEX('Input - Tesco'!J$2:J$200,MATCH('Calculations - Tesco'!$C131,'Input - Tesco'!$B$2:$B$200,0)),"")</f>
        <v>0</v>
      </c>
      <c r="L131" s="20">
        <f>IFERROR(INDEX('Input - Tesco'!K$2:K$200,MATCH('Calculations - Tesco'!$C131,'Input - Tesco'!$B$2:$B$200,0)),"")</f>
        <v>0</v>
      </c>
      <c r="M131" s="21" t="str">
        <f t="shared" si="96"/>
        <v/>
      </c>
      <c r="N131" s="21" t="str">
        <f t="shared" si="82"/>
        <v/>
      </c>
      <c r="O131" s="21">
        <f t="shared" si="97"/>
        <v>0</v>
      </c>
      <c r="P131" s="9">
        <f t="shared" si="111"/>
        <v>0</v>
      </c>
      <c r="Q131" s="9">
        <f t="shared" si="112"/>
        <v>0</v>
      </c>
      <c r="R131" s="22" t="str">
        <f>IFERROR(INDEX(Tesco!$Q$11:$Q$165,MATCH('Calculations - Tesco'!$C131,Tesco!$M$11:$M$165,0)),"")</f>
        <v/>
      </c>
      <c r="S131" s="22" t="str">
        <f>IFERROR(INDEX(Tesco!$R$11:$R$165,MATCH('Calculations - Tesco'!$C131,Tesco!$M$11:$M$165,0)),"")</f>
        <v/>
      </c>
      <c r="T131" s="16" t="e">
        <f t="shared" si="83"/>
        <v>#VALUE!</v>
      </c>
      <c r="U131" s="16" t="e">
        <f t="shared" si="98"/>
        <v>#VALUE!</v>
      </c>
      <c r="V131" s="16" t="e">
        <f t="shared" si="99"/>
        <v>#VALUE!</v>
      </c>
      <c r="W131" s="10" t="str">
        <f t="shared" si="84"/>
        <v>-</v>
      </c>
      <c r="X131" s="10" t="str">
        <f t="shared" si="85"/>
        <v>-</v>
      </c>
      <c r="Y131" s="13" t="str">
        <f t="shared" si="100"/>
        <v>-</v>
      </c>
      <c r="Z131" s="9" t="str">
        <f t="shared" si="86"/>
        <v>-</v>
      </c>
      <c r="AA131" s="16" t="str">
        <f t="shared" si="101"/>
        <v>-</v>
      </c>
      <c r="AB131" s="16" t="str">
        <f t="shared" si="87"/>
        <v>-</v>
      </c>
      <c r="AC131" s="16" t="str">
        <f t="shared" si="88"/>
        <v>-</v>
      </c>
      <c r="AD131" s="16" t="str">
        <f t="shared" si="102"/>
        <v>-</v>
      </c>
      <c r="AE131" s="16"/>
      <c r="AF131" s="31" t="str">
        <f>IFERROR(INDEX(Tesco!$P$11:$P$165,MATCH('Calculations - Tesco'!C131,Tesco!$M$11:$M$165,0)),"")</f>
        <v/>
      </c>
      <c r="AG131" s="23" t="str">
        <f t="shared" si="103"/>
        <v/>
      </c>
      <c r="AH131" s="23" t="str">
        <f t="shared" si="103"/>
        <v/>
      </c>
      <c r="AI131" s="9" t="str">
        <f t="shared" si="89"/>
        <v/>
      </c>
      <c r="AJ131" s="4" t="str">
        <f t="shared" si="90"/>
        <v/>
      </c>
      <c r="AK131" s="4"/>
      <c r="AL131" s="4"/>
      <c r="AM131" s="4"/>
      <c r="AN131" s="4"/>
      <c r="AO131" s="4"/>
      <c r="AP131" s="20" t="str">
        <f t="shared" si="91"/>
        <v>-</v>
      </c>
      <c r="AQ131" s="13" t="str">
        <f t="shared" si="104"/>
        <v>-</v>
      </c>
      <c r="AR131" s="13" t="str">
        <f t="shared" si="105"/>
        <v>-</v>
      </c>
      <c r="AS131" s="13" t="str">
        <f t="shared" si="92"/>
        <v>-</v>
      </c>
      <c r="AT131" s="16" t="str">
        <f t="shared" si="106"/>
        <v>-</v>
      </c>
      <c r="AU131" s="16" t="str">
        <f t="shared" si="93"/>
        <v>-</v>
      </c>
      <c r="AV131" s="16" t="str">
        <f t="shared" si="94"/>
        <v>-</v>
      </c>
      <c r="AW131" s="16" t="str">
        <f t="shared" si="107"/>
        <v>-</v>
      </c>
      <c r="AX131" s="13" t="str">
        <f t="shared" si="108"/>
        <v>-</v>
      </c>
      <c r="AY131" s="10" t="str">
        <f t="shared" si="109"/>
        <v>-</v>
      </c>
      <c r="AZ131" s="9" t="str">
        <f t="shared" si="110"/>
        <v>-</v>
      </c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</row>
    <row r="132" spans="2:68" x14ac:dyDescent="0.3">
      <c r="B132" s="108" t="str">
        <f t="shared" si="95"/>
        <v/>
      </c>
      <c r="C132" s="108" t="str">
        <f t="shared" si="81"/>
        <v/>
      </c>
      <c r="D132" s="3"/>
      <c r="E132" s="3"/>
      <c r="F132" s="3"/>
      <c r="G132" s="20">
        <f>IFERROR(INDEX('Input - Tesco'!F$2:F$200,MATCH('Calculations - Tesco'!$C132,'Input - Tesco'!$B$2:$B$200,0)),"")</f>
        <v>0</v>
      </c>
      <c r="H132" s="20">
        <f>IFERROR(INDEX('Input - Tesco'!G$2:G$200,MATCH('Calculations - Tesco'!$C132,'Input - Tesco'!$B$2:$B$200,0)),"")</f>
        <v>0</v>
      </c>
      <c r="I132" s="21">
        <f>IFERROR(INDEX('Input - Tesco'!H$2:H$200,MATCH('Calculations - Tesco'!$C132,'Input - Tesco'!$B$2:$B$200,0)),"")</f>
        <v>0</v>
      </c>
      <c r="J132" s="21">
        <f>IFERROR(INDEX('Input - Tesco'!I$2:I$200,MATCH('Calculations - Tesco'!$C132,'Input - Tesco'!$B$2:$B$200,0)),"")</f>
        <v>0</v>
      </c>
      <c r="K132" s="20">
        <f>IFERROR(INDEX('Input - Tesco'!J$2:J$200,MATCH('Calculations - Tesco'!$C132,'Input - Tesco'!$B$2:$B$200,0)),"")</f>
        <v>0</v>
      </c>
      <c r="L132" s="20">
        <f>IFERROR(INDEX('Input - Tesco'!K$2:K$200,MATCH('Calculations - Tesco'!$C132,'Input - Tesco'!$B$2:$B$200,0)),"")</f>
        <v>0</v>
      </c>
      <c r="M132" s="21" t="str">
        <f t="shared" si="96"/>
        <v/>
      </c>
      <c r="N132" s="21" t="str">
        <f t="shared" si="82"/>
        <v/>
      </c>
      <c r="O132" s="21">
        <f t="shared" si="97"/>
        <v>0</v>
      </c>
      <c r="P132" s="9">
        <f t="shared" si="111"/>
        <v>0</v>
      </c>
      <c r="Q132" s="9">
        <f t="shared" si="112"/>
        <v>0</v>
      </c>
      <c r="R132" s="22" t="str">
        <f>IFERROR(INDEX(Tesco!$Q$11:$Q$165,MATCH('Calculations - Tesco'!$C132,Tesco!$M$11:$M$165,0)),"")</f>
        <v/>
      </c>
      <c r="S132" s="22" t="str">
        <f>IFERROR(INDEX(Tesco!$R$11:$R$165,MATCH('Calculations - Tesco'!$C132,Tesco!$M$11:$M$165,0)),"")</f>
        <v/>
      </c>
      <c r="T132" s="16" t="e">
        <f t="shared" si="83"/>
        <v>#VALUE!</v>
      </c>
      <c r="U132" s="16" t="e">
        <f t="shared" si="98"/>
        <v>#VALUE!</v>
      </c>
      <c r="V132" s="16" t="e">
        <f t="shared" si="99"/>
        <v>#VALUE!</v>
      </c>
      <c r="W132" s="10" t="str">
        <f t="shared" si="84"/>
        <v>-</v>
      </c>
      <c r="X132" s="10" t="str">
        <f t="shared" si="85"/>
        <v>-</v>
      </c>
      <c r="Y132" s="13" t="str">
        <f t="shared" si="100"/>
        <v>-</v>
      </c>
      <c r="Z132" s="9" t="str">
        <f t="shared" si="86"/>
        <v>-</v>
      </c>
      <c r="AA132" s="16" t="str">
        <f t="shared" si="101"/>
        <v>-</v>
      </c>
      <c r="AB132" s="16" t="str">
        <f t="shared" si="87"/>
        <v>-</v>
      </c>
      <c r="AC132" s="16" t="str">
        <f t="shared" si="88"/>
        <v>-</v>
      </c>
      <c r="AD132" s="16" t="str">
        <f t="shared" si="102"/>
        <v>-</v>
      </c>
      <c r="AE132" s="16"/>
      <c r="AF132" s="31" t="str">
        <f>IFERROR(INDEX(Tesco!$P$11:$P$165,MATCH('Calculations - Tesco'!C132,Tesco!$M$11:$M$165,0)),"")</f>
        <v/>
      </c>
      <c r="AG132" s="23" t="str">
        <f t="shared" si="103"/>
        <v/>
      </c>
      <c r="AH132" s="23" t="str">
        <f t="shared" si="103"/>
        <v/>
      </c>
      <c r="AI132" s="9" t="str">
        <f t="shared" si="89"/>
        <v/>
      </c>
      <c r="AJ132" s="4" t="str">
        <f t="shared" si="90"/>
        <v/>
      </c>
      <c r="AK132" s="4"/>
      <c r="AL132" s="4"/>
      <c r="AM132" s="4"/>
      <c r="AN132" s="4"/>
      <c r="AO132" s="4"/>
      <c r="AP132" s="20" t="str">
        <f t="shared" si="91"/>
        <v>-</v>
      </c>
      <c r="AQ132" s="13" t="str">
        <f t="shared" si="104"/>
        <v>-</v>
      </c>
      <c r="AR132" s="13" t="str">
        <f t="shared" si="105"/>
        <v>-</v>
      </c>
      <c r="AS132" s="13" t="str">
        <f t="shared" si="92"/>
        <v>-</v>
      </c>
      <c r="AT132" s="16" t="str">
        <f t="shared" si="106"/>
        <v>-</v>
      </c>
      <c r="AU132" s="16" t="str">
        <f t="shared" si="93"/>
        <v>-</v>
      </c>
      <c r="AV132" s="16" t="str">
        <f t="shared" si="94"/>
        <v>-</v>
      </c>
      <c r="AW132" s="16" t="str">
        <f t="shared" si="107"/>
        <v>-</v>
      </c>
      <c r="AX132" s="13" t="str">
        <f t="shared" si="108"/>
        <v>-</v>
      </c>
      <c r="AY132" s="10" t="str">
        <f t="shared" si="109"/>
        <v>-</v>
      </c>
      <c r="AZ132" s="9" t="str">
        <f t="shared" si="110"/>
        <v>-</v>
      </c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</row>
    <row r="133" spans="2:68" x14ac:dyDescent="0.3">
      <c r="B133" s="108" t="str">
        <f t="shared" si="95"/>
        <v/>
      </c>
      <c r="C133" s="108" t="str">
        <f t="shared" si="81"/>
        <v/>
      </c>
      <c r="D133" s="3"/>
      <c r="E133" s="3"/>
      <c r="F133" s="3"/>
      <c r="G133" s="20">
        <f>IFERROR(INDEX('Input - Tesco'!F$2:F$200,MATCH('Calculations - Tesco'!$C133,'Input - Tesco'!$B$2:$B$200,0)),"")</f>
        <v>0</v>
      </c>
      <c r="H133" s="20">
        <f>IFERROR(INDEX('Input - Tesco'!G$2:G$200,MATCH('Calculations - Tesco'!$C133,'Input - Tesco'!$B$2:$B$200,0)),"")</f>
        <v>0</v>
      </c>
      <c r="I133" s="21">
        <f>IFERROR(INDEX('Input - Tesco'!H$2:H$200,MATCH('Calculations - Tesco'!$C133,'Input - Tesco'!$B$2:$B$200,0)),"")</f>
        <v>0</v>
      </c>
      <c r="J133" s="21">
        <f>IFERROR(INDEX('Input - Tesco'!I$2:I$200,MATCH('Calculations - Tesco'!$C133,'Input - Tesco'!$B$2:$B$200,0)),"")</f>
        <v>0</v>
      </c>
      <c r="K133" s="20">
        <f>IFERROR(INDEX('Input - Tesco'!J$2:J$200,MATCH('Calculations - Tesco'!$C133,'Input - Tesco'!$B$2:$B$200,0)),"")</f>
        <v>0</v>
      </c>
      <c r="L133" s="20">
        <f>IFERROR(INDEX('Input - Tesco'!K$2:K$200,MATCH('Calculations - Tesco'!$C133,'Input - Tesco'!$B$2:$B$200,0)),"")</f>
        <v>0</v>
      </c>
      <c r="M133" s="21" t="str">
        <f t="shared" si="96"/>
        <v/>
      </c>
      <c r="N133" s="21" t="str">
        <f t="shared" si="82"/>
        <v/>
      </c>
      <c r="O133" s="21">
        <f t="shared" si="97"/>
        <v>0</v>
      </c>
      <c r="P133" s="9">
        <f t="shared" si="111"/>
        <v>0</v>
      </c>
      <c r="Q133" s="9">
        <f t="shared" si="112"/>
        <v>0</v>
      </c>
      <c r="R133" s="22" t="str">
        <f>IFERROR(INDEX(Tesco!$Q$11:$Q$165,MATCH('Calculations - Tesco'!$C133,Tesco!$M$11:$M$165,0)),"")</f>
        <v/>
      </c>
      <c r="S133" s="22" t="str">
        <f>IFERROR(INDEX(Tesco!$R$11:$R$165,MATCH('Calculations - Tesco'!$C133,Tesco!$M$11:$M$165,0)),"")</f>
        <v/>
      </c>
      <c r="T133" s="16" t="e">
        <f t="shared" si="83"/>
        <v>#VALUE!</v>
      </c>
      <c r="U133" s="16" t="e">
        <f t="shared" si="98"/>
        <v>#VALUE!</v>
      </c>
      <c r="V133" s="16" t="e">
        <f t="shared" si="99"/>
        <v>#VALUE!</v>
      </c>
      <c r="W133" s="10" t="str">
        <f t="shared" si="84"/>
        <v>-</v>
      </c>
      <c r="X133" s="10" t="str">
        <f t="shared" si="85"/>
        <v>-</v>
      </c>
      <c r="Y133" s="13" t="str">
        <f t="shared" si="100"/>
        <v>-</v>
      </c>
      <c r="Z133" s="9" t="str">
        <f t="shared" si="86"/>
        <v>-</v>
      </c>
      <c r="AA133" s="16" t="str">
        <f t="shared" si="101"/>
        <v>-</v>
      </c>
      <c r="AB133" s="16" t="str">
        <f t="shared" si="87"/>
        <v>-</v>
      </c>
      <c r="AC133" s="16" t="str">
        <f t="shared" si="88"/>
        <v>-</v>
      </c>
      <c r="AD133" s="16" t="str">
        <f t="shared" si="102"/>
        <v>-</v>
      </c>
      <c r="AE133" s="16"/>
      <c r="AF133" s="31" t="str">
        <f>IFERROR(INDEX(Tesco!$P$11:$P$165,MATCH('Calculations - Tesco'!C133,Tesco!$M$11:$M$165,0)),"")</f>
        <v/>
      </c>
      <c r="AG133" s="23" t="str">
        <f t="shared" si="103"/>
        <v/>
      </c>
      <c r="AH133" s="23" t="str">
        <f t="shared" si="103"/>
        <v/>
      </c>
      <c r="AI133" s="9" t="str">
        <f t="shared" si="89"/>
        <v/>
      </c>
      <c r="AJ133" s="4" t="str">
        <f t="shared" si="90"/>
        <v/>
      </c>
      <c r="AK133" s="4"/>
      <c r="AL133" s="4"/>
      <c r="AM133" s="4"/>
      <c r="AN133" s="4"/>
      <c r="AO133" s="4"/>
      <c r="AP133" s="20" t="str">
        <f t="shared" si="91"/>
        <v>-</v>
      </c>
      <c r="AQ133" s="13" t="str">
        <f t="shared" si="104"/>
        <v>-</v>
      </c>
      <c r="AR133" s="13" t="str">
        <f t="shared" si="105"/>
        <v>-</v>
      </c>
      <c r="AS133" s="13" t="str">
        <f t="shared" si="92"/>
        <v>-</v>
      </c>
      <c r="AT133" s="16" t="str">
        <f t="shared" si="106"/>
        <v>-</v>
      </c>
      <c r="AU133" s="16" t="str">
        <f t="shared" si="93"/>
        <v>-</v>
      </c>
      <c r="AV133" s="16" t="str">
        <f t="shared" si="94"/>
        <v>-</v>
      </c>
      <c r="AW133" s="16" t="str">
        <f t="shared" si="107"/>
        <v>-</v>
      </c>
      <c r="AX133" s="13" t="str">
        <f t="shared" si="108"/>
        <v>-</v>
      </c>
      <c r="AY133" s="10" t="str">
        <f t="shared" si="109"/>
        <v>-</v>
      </c>
      <c r="AZ133" s="9" t="str">
        <f t="shared" si="110"/>
        <v>-</v>
      </c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</row>
    <row r="134" spans="2:68" x14ac:dyDescent="0.3">
      <c r="B134" s="108" t="str">
        <f t="shared" si="95"/>
        <v/>
      </c>
      <c r="C134" s="108" t="str">
        <f t="shared" si="81"/>
        <v/>
      </c>
      <c r="D134" s="3"/>
      <c r="E134" s="3"/>
      <c r="F134" s="3"/>
      <c r="G134" s="20">
        <f>IFERROR(INDEX('Input - Tesco'!F$2:F$200,MATCH('Calculations - Tesco'!$C134,'Input - Tesco'!$B$2:$B$200,0)),"")</f>
        <v>0</v>
      </c>
      <c r="H134" s="20">
        <f>IFERROR(INDEX('Input - Tesco'!G$2:G$200,MATCH('Calculations - Tesco'!$C134,'Input - Tesco'!$B$2:$B$200,0)),"")</f>
        <v>0</v>
      </c>
      <c r="I134" s="21">
        <f>IFERROR(INDEX('Input - Tesco'!H$2:H$200,MATCH('Calculations - Tesco'!$C134,'Input - Tesco'!$B$2:$B$200,0)),"")</f>
        <v>0</v>
      </c>
      <c r="J134" s="21">
        <f>IFERROR(INDEX('Input - Tesco'!I$2:I$200,MATCH('Calculations - Tesco'!$C134,'Input - Tesco'!$B$2:$B$200,0)),"")</f>
        <v>0</v>
      </c>
      <c r="K134" s="20">
        <f>IFERROR(INDEX('Input - Tesco'!J$2:J$200,MATCH('Calculations - Tesco'!$C134,'Input - Tesco'!$B$2:$B$200,0)),"")</f>
        <v>0</v>
      </c>
      <c r="L134" s="20">
        <f>IFERROR(INDEX('Input - Tesco'!K$2:K$200,MATCH('Calculations - Tesco'!$C134,'Input - Tesco'!$B$2:$B$200,0)),"")</f>
        <v>0</v>
      </c>
      <c r="M134" s="21" t="str">
        <f t="shared" si="96"/>
        <v/>
      </c>
      <c r="N134" s="21" t="str">
        <f t="shared" si="82"/>
        <v/>
      </c>
      <c r="O134" s="21">
        <f t="shared" si="97"/>
        <v>0</v>
      </c>
      <c r="P134" s="9">
        <f t="shared" si="111"/>
        <v>0</v>
      </c>
      <c r="Q134" s="9">
        <f t="shared" si="112"/>
        <v>0</v>
      </c>
      <c r="R134" s="22" t="str">
        <f>IFERROR(INDEX(Tesco!$Q$11:$Q$165,MATCH('Calculations - Tesco'!$C134,Tesco!$M$11:$M$165,0)),"")</f>
        <v/>
      </c>
      <c r="S134" s="22" t="str">
        <f>IFERROR(INDEX(Tesco!$R$11:$R$165,MATCH('Calculations - Tesco'!$C134,Tesco!$M$11:$M$165,0)),"")</f>
        <v/>
      </c>
      <c r="T134" s="16" t="e">
        <f t="shared" si="83"/>
        <v>#VALUE!</v>
      </c>
      <c r="U134" s="16" t="e">
        <f t="shared" si="98"/>
        <v>#VALUE!</v>
      </c>
      <c r="V134" s="16" t="e">
        <f t="shared" si="99"/>
        <v>#VALUE!</v>
      </c>
      <c r="W134" s="10" t="str">
        <f t="shared" si="84"/>
        <v>-</v>
      </c>
      <c r="X134" s="10" t="str">
        <f t="shared" si="85"/>
        <v>-</v>
      </c>
      <c r="Y134" s="13" t="str">
        <f t="shared" si="100"/>
        <v>-</v>
      </c>
      <c r="Z134" s="9" t="str">
        <f t="shared" si="86"/>
        <v>-</v>
      </c>
      <c r="AA134" s="16" t="str">
        <f t="shared" si="101"/>
        <v>-</v>
      </c>
      <c r="AB134" s="16" t="str">
        <f t="shared" si="87"/>
        <v>-</v>
      </c>
      <c r="AC134" s="16" t="str">
        <f t="shared" si="88"/>
        <v>-</v>
      </c>
      <c r="AD134" s="16" t="str">
        <f t="shared" si="102"/>
        <v>-</v>
      </c>
      <c r="AE134" s="16"/>
      <c r="AF134" s="31" t="str">
        <f>IFERROR(INDEX(Tesco!$P$11:$P$165,MATCH('Calculations - Tesco'!C134,Tesco!$M$11:$M$165,0)),"")</f>
        <v/>
      </c>
      <c r="AG134" s="23" t="str">
        <f t="shared" si="103"/>
        <v/>
      </c>
      <c r="AH134" s="23" t="str">
        <f t="shared" si="103"/>
        <v/>
      </c>
      <c r="AI134" s="9" t="str">
        <f t="shared" si="89"/>
        <v/>
      </c>
      <c r="AJ134" s="4" t="str">
        <f t="shared" si="90"/>
        <v/>
      </c>
      <c r="AK134" s="4"/>
      <c r="AL134" s="4"/>
      <c r="AM134" s="4"/>
      <c r="AN134" s="4"/>
      <c r="AO134" s="4"/>
      <c r="AP134" s="20" t="str">
        <f t="shared" si="91"/>
        <v>-</v>
      </c>
      <c r="AQ134" s="13" t="str">
        <f t="shared" si="104"/>
        <v>-</v>
      </c>
      <c r="AR134" s="13" t="str">
        <f t="shared" si="105"/>
        <v>-</v>
      </c>
      <c r="AS134" s="13" t="str">
        <f t="shared" si="92"/>
        <v>-</v>
      </c>
      <c r="AT134" s="16" t="str">
        <f t="shared" si="106"/>
        <v>-</v>
      </c>
      <c r="AU134" s="16" t="str">
        <f t="shared" si="93"/>
        <v>-</v>
      </c>
      <c r="AV134" s="16" t="str">
        <f t="shared" si="94"/>
        <v>-</v>
      </c>
      <c r="AW134" s="16" t="str">
        <f t="shared" si="107"/>
        <v>-</v>
      </c>
      <c r="AX134" s="13" t="str">
        <f t="shared" si="108"/>
        <v>-</v>
      </c>
      <c r="AY134" s="10" t="str">
        <f t="shared" si="109"/>
        <v>-</v>
      </c>
      <c r="AZ134" s="9" t="str">
        <f t="shared" si="110"/>
        <v>-</v>
      </c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</row>
    <row r="135" spans="2:68" x14ac:dyDescent="0.3">
      <c r="B135" s="108" t="str">
        <f t="shared" si="95"/>
        <v/>
      </c>
      <c r="C135" s="108" t="str">
        <f t="shared" si="81"/>
        <v/>
      </c>
      <c r="D135" s="3"/>
      <c r="E135" s="3"/>
      <c r="F135" s="3"/>
      <c r="G135" s="20">
        <f>IFERROR(INDEX('Input - Tesco'!F$2:F$200,MATCH('Calculations - Tesco'!$C135,'Input - Tesco'!$B$2:$B$200,0)),"")</f>
        <v>0</v>
      </c>
      <c r="H135" s="20">
        <f>IFERROR(INDEX('Input - Tesco'!G$2:G$200,MATCH('Calculations - Tesco'!$C135,'Input - Tesco'!$B$2:$B$200,0)),"")</f>
        <v>0</v>
      </c>
      <c r="I135" s="21">
        <f>IFERROR(INDEX('Input - Tesco'!H$2:H$200,MATCH('Calculations - Tesco'!$C135,'Input - Tesco'!$B$2:$B$200,0)),"")</f>
        <v>0</v>
      </c>
      <c r="J135" s="21">
        <f>IFERROR(INDEX('Input - Tesco'!I$2:I$200,MATCH('Calculations - Tesco'!$C135,'Input - Tesco'!$B$2:$B$200,0)),"")</f>
        <v>0</v>
      </c>
      <c r="K135" s="20">
        <f>IFERROR(INDEX('Input - Tesco'!J$2:J$200,MATCH('Calculations - Tesco'!$C135,'Input - Tesco'!$B$2:$B$200,0)),"")</f>
        <v>0</v>
      </c>
      <c r="L135" s="20">
        <f>IFERROR(INDEX('Input - Tesco'!K$2:K$200,MATCH('Calculations - Tesco'!$C135,'Input - Tesco'!$B$2:$B$200,0)),"")</f>
        <v>0</v>
      </c>
      <c r="M135" s="21" t="str">
        <f t="shared" si="96"/>
        <v/>
      </c>
      <c r="N135" s="21" t="str">
        <f t="shared" si="82"/>
        <v/>
      </c>
      <c r="O135" s="21">
        <f t="shared" si="97"/>
        <v>0</v>
      </c>
      <c r="P135" s="9">
        <f t="shared" si="111"/>
        <v>0</v>
      </c>
      <c r="Q135" s="9">
        <f t="shared" si="112"/>
        <v>0</v>
      </c>
      <c r="R135" s="22" t="str">
        <f>IFERROR(INDEX(Tesco!$Q$11:$Q$165,MATCH('Calculations - Tesco'!$C135,Tesco!$M$11:$M$165,0)),"")</f>
        <v/>
      </c>
      <c r="S135" s="22" t="str">
        <f>IFERROR(INDEX(Tesco!$R$11:$R$165,MATCH('Calculations - Tesco'!$C135,Tesco!$M$11:$M$165,0)),"")</f>
        <v/>
      </c>
      <c r="T135" s="16" t="e">
        <f t="shared" si="83"/>
        <v>#VALUE!</v>
      </c>
      <c r="U135" s="16" t="e">
        <f t="shared" si="98"/>
        <v>#VALUE!</v>
      </c>
      <c r="V135" s="16" t="e">
        <f t="shared" si="99"/>
        <v>#VALUE!</v>
      </c>
      <c r="W135" s="10" t="str">
        <f t="shared" si="84"/>
        <v>-</v>
      </c>
      <c r="X135" s="10" t="str">
        <f t="shared" si="85"/>
        <v>-</v>
      </c>
      <c r="Y135" s="13" t="str">
        <f t="shared" si="100"/>
        <v>-</v>
      </c>
      <c r="Z135" s="9" t="str">
        <f t="shared" si="86"/>
        <v>-</v>
      </c>
      <c r="AA135" s="16" t="str">
        <f t="shared" si="101"/>
        <v>-</v>
      </c>
      <c r="AB135" s="16" t="str">
        <f t="shared" si="87"/>
        <v>-</v>
      </c>
      <c r="AC135" s="16" t="str">
        <f t="shared" si="88"/>
        <v>-</v>
      </c>
      <c r="AD135" s="16" t="str">
        <f t="shared" si="102"/>
        <v>-</v>
      </c>
      <c r="AE135" s="16"/>
      <c r="AF135" s="31" t="str">
        <f>IFERROR(INDEX(Tesco!$P$11:$P$165,MATCH('Calculations - Tesco'!C135,Tesco!$M$11:$M$165,0)),"")</f>
        <v/>
      </c>
      <c r="AG135" s="23" t="str">
        <f t="shared" si="103"/>
        <v/>
      </c>
      <c r="AH135" s="23" t="str">
        <f t="shared" si="103"/>
        <v/>
      </c>
      <c r="AI135" s="9" t="str">
        <f t="shared" si="89"/>
        <v/>
      </c>
      <c r="AJ135" s="4" t="str">
        <f t="shared" si="90"/>
        <v/>
      </c>
      <c r="AK135" s="4"/>
      <c r="AL135" s="4"/>
      <c r="AM135" s="4"/>
      <c r="AN135" s="4"/>
      <c r="AO135" s="4"/>
      <c r="AP135" s="20" t="str">
        <f t="shared" si="91"/>
        <v>-</v>
      </c>
      <c r="AQ135" s="13" t="str">
        <f t="shared" si="104"/>
        <v>-</v>
      </c>
      <c r="AR135" s="13" t="str">
        <f t="shared" si="105"/>
        <v>-</v>
      </c>
      <c r="AS135" s="13" t="str">
        <f t="shared" si="92"/>
        <v>-</v>
      </c>
      <c r="AT135" s="16" t="str">
        <f t="shared" si="106"/>
        <v>-</v>
      </c>
      <c r="AU135" s="16" t="str">
        <f t="shared" si="93"/>
        <v>-</v>
      </c>
      <c r="AV135" s="16" t="str">
        <f t="shared" si="94"/>
        <v>-</v>
      </c>
      <c r="AW135" s="16" t="str">
        <f t="shared" si="107"/>
        <v>-</v>
      </c>
      <c r="AX135" s="13" t="str">
        <f t="shared" si="108"/>
        <v>-</v>
      </c>
      <c r="AY135" s="10" t="str">
        <f t="shared" si="109"/>
        <v>-</v>
      </c>
      <c r="AZ135" s="9" t="str">
        <f t="shared" si="110"/>
        <v>-</v>
      </c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</row>
    <row r="136" spans="2:68" x14ac:dyDescent="0.3">
      <c r="B136" s="108" t="str">
        <f t="shared" si="95"/>
        <v/>
      </c>
      <c r="C136" s="108" t="str">
        <f t="shared" si="81"/>
        <v/>
      </c>
      <c r="D136" s="3"/>
      <c r="E136" s="3"/>
      <c r="F136" s="3"/>
      <c r="G136" s="20">
        <f>IFERROR(INDEX('Input - Tesco'!F$2:F$200,MATCH('Calculations - Tesco'!$C136,'Input - Tesco'!$B$2:$B$200,0)),"")</f>
        <v>0</v>
      </c>
      <c r="H136" s="20">
        <f>IFERROR(INDEX('Input - Tesco'!G$2:G$200,MATCH('Calculations - Tesco'!$C136,'Input - Tesco'!$B$2:$B$200,0)),"")</f>
        <v>0</v>
      </c>
      <c r="I136" s="21">
        <f>IFERROR(INDEX('Input - Tesco'!H$2:H$200,MATCH('Calculations - Tesco'!$C136,'Input - Tesco'!$B$2:$B$200,0)),"")</f>
        <v>0</v>
      </c>
      <c r="J136" s="21">
        <f>IFERROR(INDEX('Input - Tesco'!I$2:I$200,MATCH('Calculations - Tesco'!$C136,'Input - Tesco'!$B$2:$B$200,0)),"")</f>
        <v>0</v>
      </c>
      <c r="K136" s="20">
        <f>IFERROR(INDEX('Input - Tesco'!J$2:J$200,MATCH('Calculations - Tesco'!$C136,'Input - Tesco'!$B$2:$B$200,0)),"")</f>
        <v>0</v>
      </c>
      <c r="L136" s="20">
        <f>IFERROR(INDEX('Input - Tesco'!K$2:K$200,MATCH('Calculations - Tesco'!$C136,'Input - Tesco'!$B$2:$B$200,0)),"")</f>
        <v>0</v>
      </c>
      <c r="M136" s="21" t="str">
        <f t="shared" si="96"/>
        <v/>
      </c>
      <c r="N136" s="21" t="str">
        <f t="shared" si="82"/>
        <v/>
      </c>
      <c r="O136" s="21">
        <f t="shared" si="97"/>
        <v>0</v>
      </c>
      <c r="P136" s="9">
        <f t="shared" si="111"/>
        <v>0</v>
      </c>
      <c r="Q136" s="9">
        <f t="shared" si="112"/>
        <v>0</v>
      </c>
      <c r="R136" s="22" t="str">
        <f>IFERROR(INDEX(Tesco!$Q$11:$Q$165,MATCH('Calculations - Tesco'!$C136,Tesco!$M$11:$M$165,0)),"")</f>
        <v/>
      </c>
      <c r="S136" s="22" t="str">
        <f>IFERROR(INDEX(Tesco!$R$11:$R$165,MATCH('Calculations - Tesco'!$C136,Tesco!$M$11:$M$165,0)),"")</f>
        <v/>
      </c>
      <c r="T136" s="16" t="e">
        <f t="shared" si="83"/>
        <v>#VALUE!</v>
      </c>
      <c r="U136" s="16" t="e">
        <f t="shared" si="98"/>
        <v>#VALUE!</v>
      </c>
      <c r="V136" s="16" t="e">
        <f t="shared" si="99"/>
        <v>#VALUE!</v>
      </c>
      <c r="W136" s="10" t="str">
        <f t="shared" si="84"/>
        <v>-</v>
      </c>
      <c r="X136" s="10" t="str">
        <f t="shared" si="85"/>
        <v>-</v>
      </c>
      <c r="Y136" s="13" t="str">
        <f t="shared" si="100"/>
        <v>-</v>
      </c>
      <c r="Z136" s="9" t="str">
        <f t="shared" si="86"/>
        <v>-</v>
      </c>
      <c r="AA136" s="16" t="str">
        <f t="shared" si="101"/>
        <v>-</v>
      </c>
      <c r="AB136" s="16" t="str">
        <f t="shared" si="87"/>
        <v>-</v>
      </c>
      <c r="AC136" s="16" t="str">
        <f t="shared" si="88"/>
        <v>-</v>
      </c>
      <c r="AD136" s="16" t="str">
        <f t="shared" si="102"/>
        <v>-</v>
      </c>
      <c r="AE136" s="16"/>
      <c r="AF136" s="31" t="str">
        <f>IFERROR(INDEX(Tesco!$P$11:$P$165,MATCH('Calculations - Tesco'!C136,Tesco!$M$11:$M$165,0)),"")</f>
        <v/>
      </c>
      <c r="AG136" s="23" t="str">
        <f t="shared" si="103"/>
        <v/>
      </c>
      <c r="AH136" s="23" t="str">
        <f t="shared" si="103"/>
        <v/>
      </c>
      <c r="AI136" s="9" t="str">
        <f t="shared" si="89"/>
        <v/>
      </c>
      <c r="AJ136" s="4" t="str">
        <f t="shared" si="90"/>
        <v/>
      </c>
      <c r="AK136" s="4"/>
      <c r="AL136" s="4"/>
      <c r="AM136" s="4"/>
      <c r="AN136" s="4"/>
      <c r="AO136" s="4"/>
      <c r="AP136" s="20" t="str">
        <f t="shared" si="91"/>
        <v>-</v>
      </c>
      <c r="AQ136" s="13" t="str">
        <f t="shared" si="104"/>
        <v>-</v>
      </c>
      <c r="AR136" s="13" t="str">
        <f t="shared" si="105"/>
        <v>-</v>
      </c>
      <c r="AS136" s="13" t="str">
        <f t="shared" si="92"/>
        <v>-</v>
      </c>
      <c r="AT136" s="16" t="str">
        <f t="shared" si="106"/>
        <v>-</v>
      </c>
      <c r="AU136" s="16" t="str">
        <f t="shared" si="93"/>
        <v>-</v>
      </c>
      <c r="AV136" s="16" t="str">
        <f t="shared" si="94"/>
        <v>-</v>
      </c>
      <c r="AW136" s="16" t="str">
        <f t="shared" si="107"/>
        <v>-</v>
      </c>
      <c r="AX136" s="13" t="str">
        <f t="shared" si="108"/>
        <v>-</v>
      </c>
      <c r="AY136" s="10" t="str">
        <f t="shared" si="109"/>
        <v>-</v>
      </c>
      <c r="AZ136" s="9" t="str">
        <f t="shared" si="110"/>
        <v>-</v>
      </c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</row>
    <row r="137" spans="2:68" x14ac:dyDescent="0.3">
      <c r="B137" s="108" t="str">
        <f t="shared" si="95"/>
        <v/>
      </c>
      <c r="C137" s="108" t="str">
        <f t="shared" si="81"/>
        <v/>
      </c>
      <c r="D137" s="3"/>
      <c r="E137" s="3"/>
      <c r="F137" s="3"/>
      <c r="G137" s="20">
        <f>IFERROR(INDEX('Input - Tesco'!F$2:F$200,MATCH('Calculations - Tesco'!$C137,'Input - Tesco'!$B$2:$B$200,0)),"")</f>
        <v>0</v>
      </c>
      <c r="H137" s="20">
        <f>IFERROR(INDEX('Input - Tesco'!G$2:G$200,MATCH('Calculations - Tesco'!$C137,'Input - Tesco'!$B$2:$B$200,0)),"")</f>
        <v>0</v>
      </c>
      <c r="I137" s="21">
        <f>IFERROR(INDEX('Input - Tesco'!H$2:H$200,MATCH('Calculations - Tesco'!$C137,'Input - Tesco'!$B$2:$B$200,0)),"")</f>
        <v>0</v>
      </c>
      <c r="J137" s="21">
        <f>IFERROR(INDEX('Input - Tesco'!I$2:I$200,MATCH('Calculations - Tesco'!$C137,'Input - Tesco'!$B$2:$B$200,0)),"")</f>
        <v>0</v>
      </c>
      <c r="K137" s="20">
        <f>IFERROR(INDEX('Input - Tesco'!J$2:J$200,MATCH('Calculations - Tesco'!$C137,'Input - Tesco'!$B$2:$B$200,0)),"")</f>
        <v>0</v>
      </c>
      <c r="L137" s="20">
        <f>IFERROR(INDEX('Input - Tesco'!K$2:K$200,MATCH('Calculations - Tesco'!$C137,'Input - Tesco'!$B$2:$B$200,0)),"")</f>
        <v>0</v>
      </c>
      <c r="M137" s="21" t="str">
        <f t="shared" si="96"/>
        <v/>
      </c>
      <c r="N137" s="21" t="str">
        <f t="shared" si="82"/>
        <v/>
      </c>
      <c r="O137" s="21">
        <f t="shared" si="97"/>
        <v>0</v>
      </c>
      <c r="P137" s="9">
        <f t="shared" si="111"/>
        <v>0</v>
      </c>
      <c r="Q137" s="9">
        <f t="shared" si="112"/>
        <v>0</v>
      </c>
      <c r="R137" s="22" t="str">
        <f>IFERROR(INDEX(Tesco!$Q$11:$Q$165,MATCH('Calculations - Tesco'!$C137,Tesco!$M$11:$M$165,0)),"")</f>
        <v/>
      </c>
      <c r="S137" s="22" t="str">
        <f>IFERROR(INDEX(Tesco!$R$11:$R$165,MATCH('Calculations - Tesco'!$C137,Tesco!$M$11:$M$165,0)),"")</f>
        <v/>
      </c>
      <c r="T137" s="16" t="e">
        <f t="shared" si="83"/>
        <v>#VALUE!</v>
      </c>
      <c r="U137" s="16" t="e">
        <f t="shared" si="98"/>
        <v>#VALUE!</v>
      </c>
      <c r="V137" s="16" t="e">
        <f t="shared" si="99"/>
        <v>#VALUE!</v>
      </c>
      <c r="W137" s="10" t="str">
        <f t="shared" si="84"/>
        <v>-</v>
      </c>
      <c r="X137" s="10" t="str">
        <f t="shared" si="85"/>
        <v>-</v>
      </c>
      <c r="Y137" s="13" t="str">
        <f t="shared" si="100"/>
        <v>-</v>
      </c>
      <c r="Z137" s="9" t="str">
        <f t="shared" si="86"/>
        <v>-</v>
      </c>
      <c r="AA137" s="16" t="str">
        <f t="shared" si="101"/>
        <v>-</v>
      </c>
      <c r="AB137" s="16" t="str">
        <f t="shared" si="87"/>
        <v>-</v>
      </c>
      <c r="AC137" s="16" t="str">
        <f t="shared" si="88"/>
        <v>-</v>
      </c>
      <c r="AD137" s="16" t="str">
        <f t="shared" si="102"/>
        <v>-</v>
      </c>
      <c r="AE137" s="16"/>
      <c r="AF137" s="31" t="str">
        <f>IFERROR(INDEX(Tesco!$P$11:$P$165,MATCH('Calculations - Tesco'!C137,Tesco!$M$11:$M$165,0)),"")</f>
        <v/>
      </c>
      <c r="AG137" s="23" t="str">
        <f t="shared" si="103"/>
        <v/>
      </c>
      <c r="AH137" s="23" t="str">
        <f t="shared" si="103"/>
        <v/>
      </c>
      <c r="AI137" s="9" t="str">
        <f t="shared" si="89"/>
        <v/>
      </c>
      <c r="AJ137" s="4" t="str">
        <f t="shared" si="90"/>
        <v/>
      </c>
      <c r="AK137" s="4"/>
      <c r="AL137" s="4"/>
      <c r="AM137" s="4"/>
      <c r="AN137" s="4"/>
      <c r="AO137" s="4"/>
      <c r="AP137" s="20" t="str">
        <f t="shared" si="91"/>
        <v>-</v>
      </c>
      <c r="AQ137" s="13" t="str">
        <f t="shared" si="104"/>
        <v>-</v>
      </c>
      <c r="AR137" s="13" t="str">
        <f t="shared" si="105"/>
        <v>-</v>
      </c>
      <c r="AS137" s="13" t="str">
        <f t="shared" si="92"/>
        <v>-</v>
      </c>
      <c r="AT137" s="16" t="str">
        <f t="shared" si="106"/>
        <v>-</v>
      </c>
      <c r="AU137" s="16" t="str">
        <f t="shared" si="93"/>
        <v>-</v>
      </c>
      <c r="AV137" s="16" t="str">
        <f t="shared" si="94"/>
        <v>-</v>
      </c>
      <c r="AW137" s="16" t="str">
        <f t="shared" si="107"/>
        <v>-</v>
      </c>
      <c r="AX137" s="13" t="str">
        <f t="shared" si="108"/>
        <v>-</v>
      </c>
      <c r="AY137" s="10" t="str">
        <f t="shared" si="109"/>
        <v>-</v>
      </c>
      <c r="AZ137" s="9" t="str">
        <f t="shared" si="110"/>
        <v>-</v>
      </c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</row>
    <row r="138" spans="2:68" x14ac:dyDescent="0.3">
      <c r="B138" s="108" t="str">
        <f t="shared" si="95"/>
        <v/>
      </c>
      <c r="C138" s="108" t="str">
        <f t="shared" si="81"/>
        <v/>
      </c>
      <c r="D138" s="3"/>
      <c r="E138" s="3"/>
      <c r="F138" s="3"/>
      <c r="G138" s="20">
        <f>IFERROR(INDEX('Input - Tesco'!F$2:F$200,MATCH('Calculations - Tesco'!$C138,'Input - Tesco'!$B$2:$B$200,0)),"")</f>
        <v>0</v>
      </c>
      <c r="H138" s="20">
        <f>IFERROR(INDEX('Input - Tesco'!G$2:G$200,MATCH('Calculations - Tesco'!$C138,'Input - Tesco'!$B$2:$B$200,0)),"")</f>
        <v>0</v>
      </c>
      <c r="I138" s="21">
        <f>IFERROR(INDEX('Input - Tesco'!H$2:H$200,MATCH('Calculations - Tesco'!$C138,'Input - Tesco'!$B$2:$B$200,0)),"")</f>
        <v>0</v>
      </c>
      <c r="J138" s="21">
        <f>IFERROR(INDEX('Input - Tesco'!I$2:I$200,MATCH('Calculations - Tesco'!$C138,'Input - Tesco'!$B$2:$B$200,0)),"")</f>
        <v>0</v>
      </c>
      <c r="K138" s="20">
        <f>IFERROR(INDEX('Input - Tesco'!J$2:J$200,MATCH('Calculations - Tesco'!$C138,'Input - Tesco'!$B$2:$B$200,0)),"")</f>
        <v>0</v>
      </c>
      <c r="L138" s="20">
        <f>IFERROR(INDEX('Input - Tesco'!K$2:K$200,MATCH('Calculations - Tesco'!$C138,'Input - Tesco'!$B$2:$B$200,0)),"")</f>
        <v>0</v>
      </c>
      <c r="M138" s="21" t="str">
        <f t="shared" si="96"/>
        <v/>
      </c>
      <c r="N138" s="21" t="str">
        <f t="shared" si="82"/>
        <v/>
      </c>
      <c r="O138" s="21">
        <f t="shared" si="97"/>
        <v>0</v>
      </c>
      <c r="P138" s="9">
        <f t="shared" si="111"/>
        <v>0</v>
      </c>
      <c r="Q138" s="9">
        <f t="shared" si="112"/>
        <v>0</v>
      </c>
      <c r="R138" s="22" t="str">
        <f>IFERROR(INDEX(Tesco!$Q$11:$Q$165,MATCH('Calculations - Tesco'!$C138,Tesco!$M$11:$M$165,0)),"")</f>
        <v/>
      </c>
      <c r="S138" s="22" t="str">
        <f>IFERROR(INDEX(Tesco!$R$11:$R$165,MATCH('Calculations - Tesco'!$C138,Tesco!$M$11:$M$165,0)),"")</f>
        <v/>
      </c>
      <c r="T138" s="16" t="e">
        <f t="shared" si="83"/>
        <v>#VALUE!</v>
      </c>
      <c r="U138" s="16" t="e">
        <f t="shared" si="98"/>
        <v>#VALUE!</v>
      </c>
      <c r="V138" s="16" t="e">
        <f t="shared" si="99"/>
        <v>#VALUE!</v>
      </c>
      <c r="W138" s="10" t="str">
        <f t="shared" si="84"/>
        <v>-</v>
      </c>
      <c r="X138" s="10" t="str">
        <f t="shared" si="85"/>
        <v>-</v>
      </c>
      <c r="Y138" s="13" t="str">
        <f t="shared" si="100"/>
        <v>-</v>
      </c>
      <c r="Z138" s="9" t="str">
        <f t="shared" si="86"/>
        <v>-</v>
      </c>
      <c r="AA138" s="16" t="str">
        <f t="shared" si="101"/>
        <v>-</v>
      </c>
      <c r="AB138" s="16" t="str">
        <f t="shared" si="87"/>
        <v>-</v>
      </c>
      <c r="AC138" s="16" t="str">
        <f t="shared" si="88"/>
        <v>-</v>
      </c>
      <c r="AD138" s="16" t="str">
        <f t="shared" si="102"/>
        <v>-</v>
      </c>
      <c r="AE138" s="16"/>
      <c r="AF138" s="31" t="str">
        <f>IFERROR(INDEX(Tesco!$P$11:$P$165,MATCH('Calculations - Tesco'!C138,Tesco!$M$11:$M$165,0)),"")</f>
        <v/>
      </c>
      <c r="AG138" s="23" t="str">
        <f t="shared" si="103"/>
        <v/>
      </c>
      <c r="AH138" s="23" t="str">
        <f t="shared" si="103"/>
        <v/>
      </c>
      <c r="AI138" s="9" t="str">
        <f t="shared" si="89"/>
        <v/>
      </c>
      <c r="AJ138" s="4" t="str">
        <f t="shared" si="90"/>
        <v/>
      </c>
      <c r="AK138" s="4"/>
      <c r="AL138" s="4"/>
      <c r="AM138" s="4"/>
      <c r="AN138" s="4"/>
      <c r="AO138" s="4"/>
      <c r="AP138" s="20" t="str">
        <f t="shared" si="91"/>
        <v>-</v>
      </c>
      <c r="AQ138" s="13" t="str">
        <f t="shared" si="104"/>
        <v>-</v>
      </c>
      <c r="AR138" s="13" t="str">
        <f t="shared" si="105"/>
        <v>-</v>
      </c>
      <c r="AS138" s="13" t="str">
        <f t="shared" si="92"/>
        <v>-</v>
      </c>
      <c r="AT138" s="16" t="str">
        <f t="shared" si="106"/>
        <v>-</v>
      </c>
      <c r="AU138" s="16" t="str">
        <f t="shared" si="93"/>
        <v>-</v>
      </c>
      <c r="AV138" s="16" t="str">
        <f t="shared" si="94"/>
        <v>-</v>
      </c>
      <c r="AW138" s="16" t="str">
        <f t="shared" si="107"/>
        <v>-</v>
      </c>
      <c r="AX138" s="13" t="str">
        <f t="shared" si="108"/>
        <v>-</v>
      </c>
      <c r="AY138" s="10" t="str">
        <f t="shared" si="109"/>
        <v>-</v>
      </c>
      <c r="AZ138" s="9" t="str">
        <f t="shared" si="110"/>
        <v>-</v>
      </c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</row>
    <row r="139" spans="2:68" x14ac:dyDescent="0.3">
      <c r="B139" s="108" t="str">
        <f t="shared" si="95"/>
        <v/>
      </c>
      <c r="C139" s="108" t="str">
        <f t="shared" si="81"/>
        <v/>
      </c>
      <c r="D139" s="3"/>
      <c r="E139" s="3"/>
      <c r="F139" s="3"/>
      <c r="G139" s="20">
        <f>IFERROR(INDEX('Input - Tesco'!F$2:F$200,MATCH('Calculations - Tesco'!$C139,'Input - Tesco'!$B$2:$B$200,0)),"")</f>
        <v>0</v>
      </c>
      <c r="H139" s="20">
        <f>IFERROR(INDEX('Input - Tesco'!G$2:G$200,MATCH('Calculations - Tesco'!$C139,'Input - Tesco'!$B$2:$B$200,0)),"")</f>
        <v>0</v>
      </c>
      <c r="I139" s="21">
        <f>IFERROR(INDEX('Input - Tesco'!H$2:H$200,MATCH('Calculations - Tesco'!$C139,'Input - Tesco'!$B$2:$B$200,0)),"")</f>
        <v>0</v>
      </c>
      <c r="J139" s="21">
        <f>IFERROR(INDEX('Input - Tesco'!I$2:I$200,MATCH('Calculations - Tesco'!$C139,'Input - Tesco'!$B$2:$B$200,0)),"")</f>
        <v>0</v>
      </c>
      <c r="K139" s="20">
        <f>IFERROR(INDEX('Input - Tesco'!J$2:J$200,MATCH('Calculations - Tesco'!$C139,'Input - Tesco'!$B$2:$B$200,0)),"")</f>
        <v>0</v>
      </c>
      <c r="L139" s="20">
        <f>IFERROR(INDEX('Input - Tesco'!K$2:K$200,MATCH('Calculations - Tesco'!$C139,'Input - Tesco'!$B$2:$B$200,0)),"")</f>
        <v>0</v>
      </c>
      <c r="M139" s="21" t="str">
        <f t="shared" si="96"/>
        <v/>
      </c>
      <c r="N139" s="21" t="str">
        <f t="shared" si="82"/>
        <v/>
      </c>
      <c r="O139" s="21">
        <f t="shared" si="97"/>
        <v>0</v>
      </c>
      <c r="P139" s="9">
        <f t="shared" si="111"/>
        <v>0</v>
      </c>
      <c r="Q139" s="9">
        <f t="shared" si="112"/>
        <v>0</v>
      </c>
      <c r="R139" s="22" t="str">
        <f>IFERROR(INDEX(Tesco!$Q$11:$Q$165,MATCH('Calculations - Tesco'!$C139,Tesco!$M$11:$M$165,0)),"")</f>
        <v/>
      </c>
      <c r="S139" s="22" t="str">
        <f>IFERROR(INDEX(Tesco!$R$11:$R$165,MATCH('Calculations - Tesco'!$C139,Tesco!$M$11:$M$165,0)),"")</f>
        <v/>
      </c>
      <c r="T139" s="16" t="e">
        <f t="shared" si="83"/>
        <v>#VALUE!</v>
      </c>
      <c r="U139" s="16" t="e">
        <f t="shared" si="98"/>
        <v>#VALUE!</v>
      </c>
      <c r="V139" s="16" t="e">
        <f t="shared" si="99"/>
        <v>#VALUE!</v>
      </c>
      <c r="W139" s="10" t="str">
        <f t="shared" si="84"/>
        <v>-</v>
      </c>
      <c r="X139" s="10" t="str">
        <f t="shared" si="85"/>
        <v>-</v>
      </c>
      <c r="Y139" s="13" t="str">
        <f t="shared" si="100"/>
        <v>-</v>
      </c>
      <c r="Z139" s="9" t="str">
        <f t="shared" si="86"/>
        <v>-</v>
      </c>
      <c r="AA139" s="16" t="str">
        <f t="shared" si="101"/>
        <v>-</v>
      </c>
      <c r="AB139" s="16" t="str">
        <f t="shared" si="87"/>
        <v>-</v>
      </c>
      <c r="AC139" s="16" t="str">
        <f t="shared" si="88"/>
        <v>-</v>
      </c>
      <c r="AD139" s="16" t="str">
        <f t="shared" si="102"/>
        <v>-</v>
      </c>
      <c r="AE139" s="16"/>
      <c r="AF139" s="31" t="str">
        <f>IFERROR(INDEX(Tesco!$P$11:$P$165,MATCH('Calculations - Tesco'!C139,Tesco!$M$11:$M$165,0)),"")</f>
        <v/>
      </c>
      <c r="AG139" s="23" t="str">
        <f t="shared" si="103"/>
        <v/>
      </c>
      <c r="AH139" s="23" t="str">
        <f t="shared" si="103"/>
        <v/>
      </c>
      <c r="AI139" s="9" t="str">
        <f t="shared" si="89"/>
        <v/>
      </c>
      <c r="AJ139" s="4" t="str">
        <f t="shared" si="90"/>
        <v/>
      </c>
      <c r="AK139" s="4"/>
      <c r="AL139" s="4"/>
      <c r="AM139" s="4"/>
      <c r="AN139" s="4"/>
      <c r="AO139" s="4"/>
      <c r="AP139" s="20" t="str">
        <f t="shared" si="91"/>
        <v>-</v>
      </c>
      <c r="AQ139" s="13" t="str">
        <f t="shared" si="104"/>
        <v>-</v>
      </c>
      <c r="AR139" s="13" t="str">
        <f t="shared" si="105"/>
        <v>-</v>
      </c>
      <c r="AS139" s="13" t="str">
        <f t="shared" si="92"/>
        <v>-</v>
      </c>
      <c r="AT139" s="16" t="str">
        <f t="shared" si="106"/>
        <v>-</v>
      </c>
      <c r="AU139" s="16" t="str">
        <f t="shared" si="93"/>
        <v>-</v>
      </c>
      <c r="AV139" s="16" t="str">
        <f t="shared" si="94"/>
        <v>-</v>
      </c>
      <c r="AW139" s="16" t="str">
        <f t="shared" si="107"/>
        <v>-</v>
      </c>
      <c r="AX139" s="13" t="str">
        <f t="shared" si="108"/>
        <v>-</v>
      </c>
      <c r="AY139" s="10" t="str">
        <f t="shared" si="109"/>
        <v>-</v>
      </c>
      <c r="AZ139" s="9" t="str">
        <f t="shared" si="110"/>
        <v>-</v>
      </c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</row>
    <row r="140" spans="2:68" x14ac:dyDescent="0.3">
      <c r="B140" s="108" t="str">
        <f t="shared" si="95"/>
        <v/>
      </c>
      <c r="C140" s="108" t="str">
        <f t="shared" si="81"/>
        <v/>
      </c>
      <c r="D140" s="3"/>
      <c r="E140" s="3"/>
      <c r="F140" s="3"/>
      <c r="G140" s="20">
        <f>IFERROR(INDEX('Input - Tesco'!F$2:F$200,MATCH('Calculations - Tesco'!$C140,'Input - Tesco'!$B$2:$B$200,0)),"")</f>
        <v>0</v>
      </c>
      <c r="H140" s="20">
        <f>IFERROR(INDEX('Input - Tesco'!G$2:G$200,MATCH('Calculations - Tesco'!$C140,'Input - Tesco'!$B$2:$B$200,0)),"")</f>
        <v>0</v>
      </c>
      <c r="I140" s="21">
        <f>IFERROR(INDEX('Input - Tesco'!H$2:H$200,MATCH('Calculations - Tesco'!$C140,'Input - Tesco'!$B$2:$B$200,0)),"")</f>
        <v>0</v>
      </c>
      <c r="J140" s="21">
        <f>IFERROR(INDEX('Input - Tesco'!I$2:I$200,MATCH('Calculations - Tesco'!$C140,'Input - Tesco'!$B$2:$B$200,0)),"")</f>
        <v>0</v>
      </c>
      <c r="K140" s="20">
        <f>IFERROR(INDEX('Input - Tesco'!J$2:J$200,MATCH('Calculations - Tesco'!$C140,'Input - Tesco'!$B$2:$B$200,0)),"")</f>
        <v>0</v>
      </c>
      <c r="L140" s="20">
        <f>IFERROR(INDEX('Input - Tesco'!K$2:K$200,MATCH('Calculations - Tesco'!$C140,'Input - Tesco'!$B$2:$B$200,0)),"")</f>
        <v>0</v>
      </c>
      <c r="M140" s="21" t="str">
        <f t="shared" si="96"/>
        <v/>
      </c>
      <c r="N140" s="21" t="str">
        <f t="shared" si="82"/>
        <v/>
      </c>
      <c r="O140" s="21">
        <f t="shared" si="97"/>
        <v>0</v>
      </c>
      <c r="P140" s="9">
        <f t="shared" si="111"/>
        <v>0</v>
      </c>
      <c r="Q140" s="9">
        <f t="shared" si="112"/>
        <v>0</v>
      </c>
      <c r="R140" s="22" t="str">
        <f>IFERROR(INDEX(Tesco!$Q$11:$Q$165,MATCH('Calculations - Tesco'!$C140,Tesco!$M$11:$M$165,0)),"")</f>
        <v/>
      </c>
      <c r="S140" s="22" t="str">
        <f>IFERROR(INDEX(Tesco!$R$11:$R$165,MATCH('Calculations - Tesco'!$C140,Tesco!$M$11:$M$165,0)),"")</f>
        <v/>
      </c>
      <c r="T140" s="16" t="e">
        <f t="shared" si="83"/>
        <v>#VALUE!</v>
      </c>
      <c r="U140" s="16" t="e">
        <f t="shared" si="98"/>
        <v>#VALUE!</v>
      </c>
      <c r="V140" s="16" t="e">
        <f t="shared" si="99"/>
        <v>#VALUE!</v>
      </c>
      <c r="W140" s="10" t="str">
        <f t="shared" si="84"/>
        <v>-</v>
      </c>
      <c r="X140" s="10" t="str">
        <f t="shared" si="85"/>
        <v>-</v>
      </c>
      <c r="Y140" s="13" t="str">
        <f t="shared" si="100"/>
        <v>-</v>
      </c>
      <c r="Z140" s="9" t="str">
        <f t="shared" si="86"/>
        <v>-</v>
      </c>
      <c r="AA140" s="16" t="str">
        <f t="shared" si="101"/>
        <v>-</v>
      </c>
      <c r="AB140" s="16" t="str">
        <f t="shared" si="87"/>
        <v>-</v>
      </c>
      <c r="AC140" s="16" t="str">
        <f t="shared" si="88"/>
        <v>-</v>
      </c>
      <c r="AD140" s="16" t="str">
        <f t="shared" si="102"/>
        <v>-</v>
      </c>
      <c r="AE140" s="16"/>
      <c r="AF140" s="31" t="str">
        <f>IFERROR(INDEX(Tesco!$P$11:$P$165,MATCH('Calculations - Tesco'!C140,Tesco!$M$11:$M$165,0)),"")</f>
        <v/>
      </c>
      <c r="AG140" s="23" t="str">
        <f t="shared" si="103"/>
        <v/>
      </c>
      <c r="AH140" s="23" t="str">
        <f t="shared" si="103"/>
        <v/>
      </c>
      <c r="AI140" s="9" t="str">
        <f t="shared" si="89"/>
        <v/>
      </c>
      <c r="AJ140" s="4" t="str">
        <f t="shared" si="90"/>
        <v/>
      </c>
      <c r="AK140" s="4"/>
      <c r="AL140" s="4"/>
      <c r="AM140" s="4"/>
      <c r="AN140" s="4"/>
      <c r="AO140" s="4"/>
      <c r="AP140" s="20" t="str">
        <f t="shared" si="91"/>
        <v>-</v>
      </c>
      <c r="AQ140" s="13" t="str">
        <f t="shared" si="104"/>
        <v>-</v>
      </c>
      <c r="AR140" s="13" t="str">
        <f t="shared" si="105"/>
        <v>-</v>
      </c>
      <c r="AS140" s="13" t="str">
        <f t="shared" si="92"/>
        <v>-</v>
      </c>
      <c r="AT140" s="16" t="str">
        <f t="shared" si="106"/>
        <v>-</v>
      </c>
      <c r="AU140" s="16" t="str">
        <f t="shared" si="93"/>
        <v>-</v>
      </c>
      <c r="AV140" s="16" t="str">
        <f t="shared" si="94"/>
        <v>-</v>
      </c>
      <c r="AW140" s="16" t="str">
        <f t="shared" si="107"/>
        <v>-</v>
      </c>
      <c r="AX140" s="13" t="str">
        <f t="shared" si="108"/>
        <v>-</v>
      </c>
      <c r="AY140" s="10" t="str">
        <f t="shared" si="109"/>
        <v>-</v>
      </c>
      <c r="AZ140" s="9" t="str">
        <f t="shared" si="110"/>
        <v>-</v>
      </c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</row>
    <row r="141" spans="2:68" x14ac:dyDescent="0.3">
      <c r="B141" s="108" t="str">
        <f t="shared" si="95"/>
        <v/>
      </c>
      <c r="C141" s="108" t="str">
        <f t="shared" si="81"/>
        <v/>
      </c>
      <c r="D141" s="3"/>
      <c r="E141" s="3"/>
      <c r="F141" s="3"/>
      <c r="G141" s="20">
        <f>IFERROR(INDEX('Input - Tesco'!F$2:F$200,MATCH('Calculations - Tesco'!$C141,'Input - Tesco'!$B$2:$B$200,0)),"")</f>
        <v>0</v>
      </c>
      <c r="H141" s="20">
        <f>IFERROR(INDEX('Input - Tesco'!G$2:G$200,MATCH('Calculations - Tesco'!$C141,'Input - Tesco'!$B$2:$B$200,0)),"")</f>
        <v>0</v>
      </c>
      <c r="I141" s="21">
        <f>IFERROR(INDEX('Input - Tesco'!H$2:H$200,MATCH('Calculations - Tesco'!$C141,'Input - Tesco'!$B$2:$B$200,0)),"")</f>
        <v>0</v>
      </c>
      <c r="J141" s="21">
        <f>IFERROR(INDEX('Input - Tesco'!I$2:I$200,MATCH('Calculations - Tesco'!$C141,'Input - Tesco'!$B$2:$B$200,0)),"")</f>
        <v>0</v>
      </c>
      <c r="K141" s="20">
        <f>IFERROR(INDEX('Input - Tesco'!J$2:J$200,MATCH('Calculations - Tesco'!$C141,'Input - Tesco'!$B$2:$B$200,0)),"")</f>
        <v>0</v>
      </c>
      <c r="L141" s="20">
        <f>IFERROR(INDEX('Input - Tesco'!K$2:K$200,MATCH('Calculations - Tesco'!$C141,'Input - Tesco'!$B$2:$B$200,0)),"")</f>
        <v>0</v>
      </c>
      <c r="M141" s="21" t="str">
        <f t="shared" si="96"/>
        <v/>
      </c>
      <c r="N141" s="21" t="str">
        <f t="shared" si="82"/>
        <v/>
      </c>
      <c r="O141" s="21">
        <f t="shared" si="97"/>
        <v>0</v>
      </c>
      <c r="P141" s="9">
        <f t="shared" si="111"/>
        <v>0</v>
      </c>
      <c r="Q141" s="9">
        <f t="shared" si="112"/>
        <v>0</v>
      </c>
      <c r="R141" s="22" t="str">
        <f>IFERROR(INDEX(Tesco!$Q$11:$Q$165,MATCH('Calculations - Tesco'!$C141,Tesco!$M$11:$M$165,0)),"")</f>
        <v/>
      </c>
      <c r="S141" s="22" t="str">
        <f>IFERROR(INDEX(Tesco!$R$11:$R$165,MATCH('Calculations - Tesco'!$C141,Tesco!$M$11:$M$165,0)),"")</f>
        <v/>
      </c>
      <c r="T141" s="16" t="e">
        <f t="shared" si="83"/>
        <v>#VALUE!</v>
      </c>
      <c r="U141" s="16" t="e">
        <f t="shared" si="98"/>
        <v>#VALUE!</v>
      </c>
      <c r="V141" s="16" t="e">
        <f t="shared" si="99"/>
        <v>#VALUE!</v>
      </c>
      <c r="W141" s="10" t="str">
        <f t="shared" si="84"/>
        <v>-</v>
      </c>
      <c r="X141" s="10" t="str">
        <f t="shared" si="85"/>
        <v>-</v>
      </c>
      <c r="Y141" s="13" t="str">
        <f t="shared" si="100"/>
        <v>-</v>
      </c>
      <c r="Z141" s="9" t="str">
        <f t="shared" si="86"/>
        <v>-</v>
      </c>
      <c r="AA141" s="16" t="str">
        <f t="shared" si="101"/>
        <v>-</v>
      </c>
      <c r="AB141" s="16" t="str">
        <f t="shared" si="87"/>
        <v>-</v>
      </c>
      <c r="AC141" s="16" t="str">
        <f t="shared" si="88"/>
        <v>-</v>
      </c>
      <c r="AD141" s="16" t="str">
        <f t="shared" si="102"/>
        <v>-</v>
      </c>
      <c r="AE141" s="16"/>
      <c r="AF141" s="31" t="str">
        <f>IFERROR(INDEX(Tesco!$P$11:$P$165,MATCH('Calculations - Tesco'!C141,Tesco!$M$11:$M$165,0)),"")</f>
        <v/>
      </c>
      <c r="AG141" s="23" t="str">
        <f t="shared" si="103"/>
        <v/>
      </c>
      <c r="AH141" s="23" t="str">
        <f t="shared" si="103"/>
        <v/>
      </c>
      <c r="AI141" s="9" t="str">
        <f t="shared" si="89"/>
        <v/>
      </c>
      <c r="AJ141" s="4" t="str">
        <f t="shared" si="90"/>
        <v/>
      </c>
      <c r="AK141" s="4"/>
      <c r="AL141" s="4"/>
      <c r="AM141" s="4"/>
      <c r="AN141" s="4"/>
      <c r="AO141" s="4"/>
      <c r="AP141" s="20" t="str">
        <f t="shared" si="91"/>
        <v>-</v>
      </c>
      <c r="AQ141" s="13" t="str">
        <f t="shared" si="104"/>
        <v>-</v>
      </c>
      <c r="AR141" s="13" t="str">
        <f t="shared" si="105"/>
        <v>-</v>
      </c>
      <c r="AS141" s="13" t="str">
        <f t="shared" si="92"/>
        <v>-</v>
      </c>
      <c r="AT141" s="16" t="str">
        <f t="shared" si="106"/>
        <v>-</v>
      </c>
      <c r="AU141" s="16" t="str">
        <f t="shared" si="93"/>
        <v>-</v>
      </c>
      <c r="AV141" s="16" t="str">
        <f t="shared" si="94"/>
        <v>-</v>
      </c>
      <c r="AW141" s="16" t="str">
        <f t="shared" si="107"/>
        <v>-</v>
      </c>
      <c r="AX141" s="13" t="str">
        <f t="shared" si="108"/>
        <v>-</v>
      </c>
      <c r="AY141" s="10" t="str">
        <f t="shared" si="109"/>
        <v>-</v>
      </c>
      <c r="AZ141" s="9" t="str">
        <f t="shared" si="110"/>
        <v>-</v>
      </c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</row>
    <row r="142" spans="2:68" x14ac:dyDescent="0.3">
      <c r="B142" s="108" t="str">
        <f t="shared" si="95"/>
        <v/>
      </c>
      <c r="C142" s="108" t="str">
        <f t="shared" si="81"/>
        <v/>
      </c>
      <c r="D142" s="3"/>
      <c r="E142" s="3"/>
      <c r="F142" s="3"/>
      <c r="G142" s="20">
        <f>IFERROR(INDEX('Input - Tesco'!F$2:F$200,MATCH('Calculations - Tesco'!$C142,'Input - Tesco'!$B$2:$B$200,0)),"")</f>
        <v>0</v>
      </c>
      <c r="H142" s="20">
        <f>IFERROR(INDEX('Input - Tesco'!G$2:G$200,MATCH('Calculations - Tesco'!$C142,'Input - Tesco'!$B$2:$B$200,0)),"")</f>
        <v>0</v>
      </c>
      <c r="I142" s="21">
        <f>IFERROR(INDEX('Input - Tesco'!H$2:H$200,MATCH('Calculations - Tesco'!$C142,'Input - Tesco'!$B$2:$B$200,0)),"")</f>
        <v>0</v>
      </c>
      <c r="J142" s="21">
        <f>IFERROR(INDEX('Input - Tesco'!I$2:I$200,MATCH('Calculations - Tesco'!$C142,'Input - Tesco'!$B$2:$B$200,0)),"")</f>
        <v>0</v>
      </c>
      <c r="K142" s="20">
        <f>IFERROR(INDEX('Input - Tesco'!J$2:J$200,MATCH('Calculations - Tesco'!$C142,'Input - Tesco'!$B$2:$B$200,0)),"")</f>
        <v>0</v>
      </c>
      <c r="L142" s="20">
        <f>IFERROR(INDEX('Input - Tesco'!K$2:K$200,MATCH('Calculations - Tesco'!$C142,'Input - Tesco'!$B$2:$B$200,0)),"")</f>
        <v>0</v>
      </c>
      <c r="M142" s="21" t="str">
        <f t="shared" si="96"/>
        <v/>
      </c>
      <c r="N142" s="21" t="str">
        <f t="shared" si="82"/>
        <v/>
      </c>
      <c r="O142" s="21">
        <f t="shared" si="97"/>
        <v>0</v>
      </c>
      <c r="P142" s="9">
        <f t="shared" si="111"/>
        <v>0</v>
      </c>
      <c r="Q142" s="9">
        <f t="shared" si="112"/>
        <v>0</v>
      </c>
      <c r="R142" s="22" t="str">
        <f>IFERROR(INDEX(Tesco!$Q$11:$Q$165,MATCH('Calculations - Tesco'!$C142,Tesco!$M$11:$M$165,0)),"")</f>
        <v/>
      </c>
      <c r="S142" s="22" t="str">
        <f>IFERROR(INDEX(Tesco!$R$11:$R$165,MATCH('Calculations - Tesco'!$C142,Tesco!$M$11:$M$165,0)),"")</f>
        <v/>
      </c>
      <c r="T142" s="16" t="e">
        <f t="shared" si="83"/>
        <v>#VALUE!</v>
      </c>
      <c r="U142" s="16" t="e">
        <f t="shared" si="98"/>
        <v>#VALUE!</v>
      </c>
      <c r="V142" s="16" t="e">
        <f t="shared" si="99"/>
        <v>#VALUE!</v>
      </c>
      <c r="W142" s="10" t="str">
        <f t="shared" si="84"/>
        <v>-</v>
      </c>
      <c r="X142" s="10" t="str">
        <f t="shared" si="85"/>
        <v>-</v>
      </c>
      <c r="Y142" s="13" t="str">
        <f t="shared" si="100"/>
        <v>-</v>
      </c>
      <c r="Z142" s="9" t="str">
        <f t="shared" si="86"/>
        <v>-</v>
      </c>
      <c r="AA142" s="16" t="str">
        <f t="shared" si="101"/>
        <v>-</v>
      </c>
      <c r="AB142" s="16" t="str">
        <f t="shared" si="87"/>
        <v>-</v>
      </c>
      <c r="AC142" s="16" t="str">
        <f t="shared" si="88"/>
        <v>-</v>
      </c>
      <c r="AD142" s="16" t="str">
        <f t="shared" si="102"/>
        <v>-</v>
      </c>
      <c r="AE142" s="16"/>
      <c r="AF142" s="31" t="str">
        <f>IFERROR(INDEX(Tesco!$P$11:$P$165,MATCH('Calculations - Tesco'!C142,Tesco!$M$11:$M$165,0)),"")</f>
        <v/>
      </c>
      <c r="AG142" s="23" t="str">
        <f t="shared" si="103"/>
        <v/>
      </c>
      <c r="AH142" s="23" t="str">
        <f t="shared" si="103"/>
        <v/>
      </c>
      <c r="AI142" s="9" t="str">
        <f t="shared" si="89"/>
        <v/>
      </c>
      <c r="AJ142" s="4" t="str">
        <f t="shared" si="90"/>
        <v/>
      </c>
      <c r="AK142" s="4"/>
      <c r="AL142" s="4"/>
      <c r="AM142" s="4"/>
      <c r="AN142" s="4"/>
      <c r="AO142" s="4"/>
      <c r="AP142" s="20" t="str">
        <f t="shared" si="91"/>
        <v>-</v>
      </c>
      <c r="AQ142" s="13" t="str">
        <f t="shared" si="104"/>
        <v>-</v>
      </c>
      <c r="AR142" s="13" t="str">
        <f t="shared" si="105"/>
        <v>-</v>
      </c>
      <c r="AS142" s="13" t="str">
        <f t="shared" si="92"/>
        <v>-</v>
      </c>
      <c r="AT142" s="16" t="str">
        <f t="shared" si="106"/>
        <v>-</v>
      </c>
      <c r="AU142" s="16" t="str">
        <f t="shared" si="93"/>
        <v>-</v>
      </c>
      <c r="AV142" s="16" t="str">
        <f t="shared" si="94"/>
        <v>-</v>
      </c>
      <c r="AW142" s="16" t="str">
        <f t="shared" si="107"/>
        <v>-</v>
      </c>
      <c r="AX142" s="13" t="str">
        <f t="shared" si="108"/>
        <v>-</v>
      </c>
      <c r="AY142" s="10" t="str">
        <f t="shared" si="109"/>
        <v>-</v>
      </c>
      <c r="AZ142" s="9" t="str">
        <f t="shared" si="110"/>
        <v>-</v>
      </c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</row>
    <row r="143" spans="2:68" x14ac:dyDescent="0.3">
      <c r="B143" s="108" t="str">
        <f t="shared" si="95"/>
        <v/>
      </c>
      <c r="C143" s="108" t="str">
        <f t="shared" si="81"/>
        <v/>
      </c>
      <c r="D143" s="3"/>
      <c r="E143" s="3"/>
      <c r="F143" s="3"/>
      <c r="G143" s="20">
        <f>IFERROR(INDEX('Input - Tesco'!F$2:F$200,MATCH('Calculations - Tesco'!$C143,'Input - Tesco'!$B$2:$B$200,0)),"")</f>
        <v>0</v>
      </c>
      <c r="H143" s="20">
        <f>IFERROR(INDEX('Input - Tesco'!G$2:G$200,MATCH('Calculations - Tesco'!$C143,'Input - Tesco'!$B$2:$B$200,0)),"")</f>
        <v>0</v>
      </c>
      <c r="I143" s="21">
        <f>IFERROR(INDEX('Input - Tesco'!H$2:H$200,MATCH('Calculations - Tesco'!$C143,'Input - Tesco'!$B$2:$B$200,0)),"")</f>
        <v>0</v>
      </c>
      <c r="J143" s="21">
        <f>IFERROR(INDEX('Input - Tesco'!I$2:I$200,MATCH('Calculations - Tesco'!$C143,'Input - Tesco'!$B$2:$B$200,0)),"")</f>
        <v>0</v>
      </c>
      <c r="K143" s="20">
        <f>IFERROR(INDEX('Input - Tesco'!J$2:J$200,MATCH('Calculations - Tesco'!$C143,'Input - Tesco'!$B$2:$B$200,0)),"")</f>
        <v>0</v>
      </c>
      <c r="L143" s="20">
        <f>IFERROR(INDEX('Input - Tesco'!K$2:K$200,MATCH('Calculations - Tesco'!$C143,'Input - Tesco'!$B$2:$B$200,0)),"")</f>
        <v>0</v>
      </c>
      <c r="M143" s="21" t="str">
        <f t="shared" si="96"/>
        <v/>
      </c>
      <c r="N143" s="21" t="str">
        <f t="shared" si="82"/>
        <v/>
      </c>
      <c r="O143" s="21">
        <f t="shared" si="97"/>
        <v>0</v>
      </c>
      <c r="P143" s="9">
        <f t="shared" si="111"/>
        <v>0</v>
      </c>
      <c r="Q143" s="9">
        <f t="shared" si="112"/>
        <v>0</v>
      </c>
      <c r="R143" s="22" t="str">
        <f>IFERROR(INDEX(Tesco!$Q$11:$Q$165,MATCH('Calculations - Tesco'!$C143,Tesco!$M$11:$M$165,0)),"")</f>
        <v/>
      </c>
      <c r="S143" s="22" t="str">
        <f>IFERROR(INDEX(Tesco!$R$11:$R$165,MATCH('Calculations - Tesco'!$C143,Tesco!$M$11:$M$165,0)),"")</f>
        <v/>
      </c>
      <c r="T143" s="16" t="e">
        <f t="shared" si="83"/>
        <v>#VALUE!</v>
      </c>
      <c r="U143" s="16" t="e">
        <f t="shared" si="98"/>
        <v>#VALUE!</v>
      </c>
      <c r="V143" s="16" t="e">
        <f t="shared" si="99"/>
        <v>#VALUE!</v>
      </c>
      <c r="W143" s="10" t="str">
        <f t="shared" si="84"/>
        <v>-</v>
      </c>
      <c r="X143" s="10" t="str">
        <f t="shared" si="85"/>
        <v>-</v>
      </c>
      <c r="Y143" s="13" t="str">
        <f t="shared" si="100"/>
        <v>-</v>
      </c>
      <c r="Z143" s="9" t="str">
        <f t="shared" si="86"/>
        <v>-</v>
      </c>
      <c r="AA143" s="16" t="str">
        <f t="shared" si="101"/>
        <v>-</v>
      </c>
      <c r="AB143" s="16" t="str">
        <f t="shared" si="87"/>
        <v>-</v>
      </c>
      <c r="AC143" s="16" t="str">
        <f t="shared" si="88"/>
        <v>-</v>
      </c>
      <c r="AD143" s="16" t="str">
        <f t="shared" si="102"/>
        <v>-</v>
      </c>
      <c r="AE143" s="16"/>
      <c r="AF143" s="31" t="str">
        <f>IFERROR(INDEX(Tesco!$P$11:$P$165,MATCH('Calculations - Tesco'!C143,Tesco!$M$11:$M$165,0)),"")</f>
        <v/>
      </c>
      <c r="AG143" s="23" t="str">
        <f t="shared" si="103"/>
        <v/>
      </c>
      <c r="AH143" s="23" t="str">
        <f t="shared" si="103"/>
        <v/>
      </c>
      <c r="AI143" s="9" t="str">
        <f t="shared" si="89"/>
        <v/>
      </c>
      <c r="AJ143" s="4" t="str">
        <f t="shared" si="90"/>
        <v/>
      </c>
      <c r="AK143" s="4"/>
      <c r="AL143" s="4"/>
      <c r="AM143" s="4"/>
      <c r="AN143" s="4"/>
      <c r="AO143" s="4"/>
      <c r="AP143" s="20" t="str">
        <f t="shared" si="91"/>
        <v>-</v>
      </c>
      <c r="AQ143" s="13" t="str">
        <f t="shared" si="104"/>
        <v>-</v>
      </c>
      <c r="AR143" s="13" t="str">
        <f t="shared" si="105"/>
        <v>-</v>
      </c>
      <c r="AS143" s="13" t="str">
        <f t="shared" si="92"/>
        <v>-</v>
      </c>
      <c r="AT143" s="16" t="str">
        <f t="shared" si="106"/>
        <v>-</v>
      </c>
      <c r="AU143" s="16" t="str">
        <f t="shared" si="93"/>
        <v>-</v>
      </c>
      <c r="AV143" s="16" t="str">
        <f t="shared" si="94"/>
        <v>-</v>
      </c>
      <c r="AW143" s="16" t="str">
        <f t="shared" si="107"/>
        <v>-</v>
      </c>
      <c r="AX143" s="13" t="str">
        <f t="shared" si="108"/>
        <v>-</v>
      </c>
      <c r="AY143" s="10" t="str">
        <f t="shared" si="109"/>
        <v>-</v>
      </c>
      <c r="AZ143" s="9" t="str">
        <f t="shared" si="110"/>
        <v>-</v>
      </c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</row>
    <row r="144" spans="2:68" x14ac:dyDescent="0.3">
      <c r="B144" s="108" t="str">
        <f t="shared" si="95"/>
        <v/>
      </c>
      <c r="C144" s="108" t="str">
        <f t="shared" si="81"/>
        <v/>
      </c>
      <c r="D144" s="3"/>
      <c r="E144" s="3"/>
      <c r="F144" s="3"/>
      <c r="G144" s="20">
        <f>IFERROR(INDEX('Input - Tesco'!F$2:F$200,MATCH('Calculations - Tesco'!$C144,'Input - Tesco'!$B$2:$B$200,0)),"")</f>
        <v>0</v>
      </c>
      <c r="H144" s="20">
        <f>IFERROR(INDEX('Input - Tesco'!G$2:G$200,MATCH('Calculations - Tesco'!$C144,'Input - Tesco'!$B$2:$B$200,0)),"")</f>
        <v>0</v>
      </c>
      <c r="I144" s="21">
        <f>IFERROR(INDEX('Input - Tesco'!H$2:H$200,MATCH('Calculations - Tesco'!$C144,'Input - Tesco'!$B$2:$B$200,0)),"")</f>
        <v>0</v>
      </c>
      <c r="J144" s="21">
        <f>IFERROR(INDEX('Input - Tesco'!I$2:I$200,MATCH('Calculations - Tesco'!$C144,'Input - Tesco'!$B$2:$B$200,0)),"")</f>
        <v>0</v>
      </c>
      <c r="K144" s="20">
        <f>IFERROR(INDEX('Input - Tesco'!J$2:J$200,MATCH('Calculations - Tesco'!$C144,'Input - Tesco'!$B$2:$B$200,0)),"")</f>
        <v>0</v>
      </c>
      <c r="L144" s="20">
        <f>IFERROR(INDEX('Input - Tesco'!K$2:K$200,MATCH('Calculations - Tesco'!$C144,'Input - Tesco'!$B$2:$B$200,0)),"")</f>
        <v>0</v>
      </c>
      <c r="M144" s="21" t="str">
        <f t="shared" si="96"/>
        <v/>
      </c>
      <c r="N144" s="21" t="str">
        <f t="shared" si="82"/>
        <v/>
      </c>
      <c r="O144" s="21">
        <f t="shared" si="97"/>
        <v>0</v>
      </c>
      <c r="P144" s="9">
        <f t="shared" si="111"/>
        <v>0</v>
      </c>
      <c r="Q144" s="9">
        <f t="shared" si="112"/>
        <v>0</v>
      </c>
      <c r="R144" s="22" t="str">
        <f>IFERROR(INDEX(Tesco!$Q$11:$Q$165,MATCH('Calculations - Tesco'!$C144,Tesco!$M$11:$M$165,0)),"")</f>
        <v/>
      </c>
      <c r="S144" s="22" t="str">
        <f>IFERROR(INDEX(Tesco!$R$11:$R$165,MATCH('Calculations - Tesco'!$C144,Tesco!$M$11:$M$165,0)),"")</f>
        <v/>
      </c>
      <c r="T144" s="16" t="e">
        <f t="shared" si="83"/>
        <v>#VALUE!</v>
      </c>
      <c r="U144" s="16" t="e">
        <f t="shared" si="98"/>
        <v>#VALUE!</v>
      </c>
      <c r="V144" s="16" t="e">
        <f t="shared" si="99"/>
        <v>#VALUE!</v>
      </c>
      <c r="W144" s="10" t="str">
        <f t="shared" si="84"/>
        <v>-</v>
      </c>
      <c r="X144" s="10" t="str">
        <f t="shared" si="85"/>
        <v>-</v>
      </c>
      <c r="Y144" s="13" t="str">
        <f t="shared" si="100"/>
        <v>-</v>
      </c>
      <c r="Z144" s="9" t="str">
        <f t="shared" si="86"/>
        <v>-</v>
      </c>
      <c r="AA144" s="16" t="str">
        <f t="shared" si="101"/>
        <v>-</v>
      </c>
      <c r="AB144" s="16" t="str">
        <f t="shared" si="87"/>
        <v>-</v>
      </c>
      <c r="AC144" s="16" t="str">
        <f t="shared" si="88"/>
        <v>-</v>
      </c>
      <c r="AD144" s="16" t="str">
        <f t="shared" si="102"/>
        <v>-</v>
      </c>
      <c r="AE144" s="16"/>
      <c r="AF144" s="31" t="str">
        <f>IFERROR(INDEX(Tesco!$P$11:$P$165,MATCH('Calculations - Tesco'!C144,Tesco!$M$11:$M$165,0)),"")</f>
        <v/>
      </c>
      <c r="AG144" s="23" t="str">
        <f t="shared" si="103"/>
        <v/>
      </c>
      <c r="AH144" s="23" t="str">
        <f t="shared" si="103"/>
        <v/>
      </c>
      <c r="AI144" s="9" t="str">
        <f t="shared" si="89"/>
        <v/>
      </c>
      <c r="AJ144" s="4" t="str">
        <f t="shared" si="90"/>
        <v/>
      </c>
      <c r="AK144" s="4"/>
      <c r="AL144" s="4"/>
      <c r="AM144" s="4"/>
      <c r="AN144" s="4"/>
      <c r="AO144" s="4"/>
      <c r="AP144" s="20" t="str">
        <f t="shared" si="91"/>
        <v>-</v>
      </c>
      <c r="AQ144" s="13" t="str">
        <f t="shared" si="104"/>
        <v>-</v>
      </c>
      <c r="AR144" s="13" t="str">
        <f t="shared" si="105"/>
        <v>-</v>
      </c>
      <c r="AS144" s="13" t="str">
        <f t="shared" si="92"/>
        <v>-</v>
      </c>
      <c r="AT144" s="16" t="str">
        <f t="shared" si="106"/>
        <v>-</v>
      </c>
      <c r="AU144" s="16" t="str">
        <f t="shared" si="93"/>
        <v>-</v>
      </c>
      <c r="AV144" s="16" t="str">
        <f t="shared" si="94"/>
        <v>-</v>
      </c>
      <c r="AW144" s="16" t="str">
        <f t="shared" si="107"/>
        <v>-</v>
      </c>
      <c r="AX144" s="13" t="str">
        <f t="shared" si="108"/>
        <v>-</v>
      </c>
      <c r="AY144" s="10" t="str">
        <f t="shared" si="109"/>
        <v>-</v>
      </c>
      <c r="AZ144" s="9" t="str">
        <f t="shared" si="110"/>
        <v>-</v>
      </c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</row>
    <row r="145" spans="2:68" x14ac:dyDescent="0.3">
      <c r="B145" s="108" t="str">
        <f t="shared" si="95"/>
        <v/>
      </c>
      <c r="C145" s="108" t="str">
        <f t="shared" si="81"/>
        <v/>
      </c>
      <c r="D145" s="3"/>
      <c r="E145" s="3"/>
      <c r="F145" s="3"/>
      <c r="G145" s="20">
        <f>IFERROR(INDEX('Input - Tesco'!F$2:F$200,MATCH('Calculations - Tesco'!$C145,'Input - Tesco'!$B$2:$B$200,0)),"")</f>
        <v>0</v>
      </c>
      <c r="H145" s="20">
        <f>IFERROR(INDEX('Input - Tesco'!G$2:G$200,MATCH('Calculations - Tesco'!$C145,'Input - Tesco'!$B$2:$B$200,0)),"")</f>
        <v>0</v>
      </c>
      <c r="I145" s="21">
        <f>IFERROR(INDEX('Input - Tesco'!H$2:H$200,MATCH('Calculations - Tesco'!$C145,'Input - Tesco'!$B$2:$B$200,0)),"")</f>
        <v>0</v>
      </c>
      <c r="J145" s="21">
        <f>IFERROR(INDEX('Input - Tesco'!I$2:I$200,MATCH('Calculations - Tesco'!$C145,'Input - Tesco'!$B$2:$B$200,0)),"")</f>
        <v>0</v>
      </c>
      <c r="K145" s="20">
        <f>IFERROR(INDEX('Input - Tesco'!J$2:J$200,MATCH('Calculations - Tesco'!$C145,'Input - Tesco'!$B$2:$B$200,0)),"")</f>
        <v>0</v>
      </c>
      <c r="L145" s="20">
        <f>IFERROR(INDEX('Input - Tesco'!K$2:K$200,MATCH('Calculations - Tesco'!$C145,'Input - Tesco'!$B$2:$B$200,0)),"")</f>
        <v>0</v>
      </c>
      <c r="M145" s="21" t="str">
        <f t="shared" si="96"/>
        <v/>
      </c>
      <c r="N145" s="21" t="str">
        <f t="shared" si="82"/>
        <v/>
      </c>
      <c r="O145" s="21">
        <f t="shared" si="97"/>
        <v>0</v>
      </c>
      <c r="P145" s="9">
        <f t="shared" si="111"/>
        <v>0</v>
      </c>
      <c r="Q145" s="9">
        <f t="shared" si="112"/>
        <v>0</v>
      </c>
      <c r="R145" s="22" t="str">
        <f>IFERROR(INDEX(Tesco!$Q$11:$Q$165,MATCH('Calculations - Tesco'!$C145,Tesco!$M$11:$M$165,0)),"")</f>
        <v/>
      </c>
      <c r="S145" s="22" t="str">
        <f>IFERROR(INDEX(Tesco!$R$11:$R$165,MATCH('Calculations - Tesco'!$C145,Tesco!$M$11:$M$165,0)),"")</f>
        <v/>
      </c>
      <c r="T145" s="16" t="e">
        <f t="shared" si="83"/>
        <v>#VALUE!</v>
      </c>
      <c r="U145" s="16" t="e">
        <f t="shared" si="98"/>
        <v>#VALUE!</v>
      </c>
      <c r="V145" s="16" t="e">
        <f t="shared" si="99"/>
        <v>#VALUE!</v>
      </c>
      <c r="W145" s="10" t="str">
        <f t="shared" si="84"/>
        <v>-</v>
      </c>
      <c r="X145" s="10" t="str">
        <f t="shared" si="85"/>
        <v>-</v>
      </c>
      <c r="Y145" s="13" t="str">
        <f t="shared" si="100"/>
        <v>-</v>
      </c>
      <c r="Z145" s="9" t="str">
        <f t="shared" si="86"/>
        <v>-</v>
      </c>
      <c r="AA145" s="16" t="str">
        <f t="shared" si="101"/>
        <v>-</v>
      </c>
      <c r="AB145" s="16" t="str">
        <f t="shared" si="87"/>
        <v>-</v>
      </c>
      <c r="AC145" s="16" t="str">
        <f t="shared" si="88"/>
        <v>-</v>
      </c>
      <c r="AD145" s="16" t="str">
        <f t="shared" si="102"/>
        <v>-</v>
      </c>
      <c r="AE145" s="16"/>
      <c r="AF145" s="31" t="str">
        <f>IFERROR(INDEX(Tesco!$P$11:$P$165,MATCH('Calculations - Tesco'!C145,Tesco!$M$11:$M$165,0)),"")</f>
        <v/>
      </c>
      <c r="AG145" s="23" t="str">
        <f t="shared" si="103"/>
        <v/>
      </c>
      <c r="AH145" s="23" t="str">
        <f t="shared" si="103"/>
        <v/>
      </c>
      <c r="AI145" s="9" t="str">
        <f t="shared" si="89"/>
        <v/>
      </c>
      <c r="AJ145" s="4" t="str">
        <f t="shared" si="90"/>
        <v/>
      </c>
      <c r="AK145" s="4"/>
      <c r="AL145" s="4"/>
      <c r="AM145" s="4"/>
      <c r="AN145" s="4"/>
      <c r="AO145" s="4"/>
      <c r="AP145" s="20" t="str">
        <f t="shared" si="91"/>
        <v>-</v>
      </c>
      <c r="AQ145" s="13" t="str">
        <f t="shared" si="104"/>
        <v>-</v>
      </c>
      <c r="AR145" s="13" t="str">
        <f t="shared" si="105"/>
        <v>-</v>
      </c>
      <c r="AS145" s="13" t="str">
        <f t="shared" si="92"/>
        <v>-</v>
      </c>
      <c r="AT145" s="16" t="str">
        <f t="shared" si="106"/>
        <v>-</v>
      </c>
      <c r="AU145" s="16" t="str">
        <f t="shared" si="93"/>
        <v>-</v>
      </c>
      <c r="AV145" s="16" t="str">
        <f t="shared" si="94"/>
        <v>-</v>
      </c>
      <c r="AW145" s="16" t="str">
        <f t="shared" si="107"/>
        <v>-</v>
      </c>
      <c r="AX145" s="13" t="str">
        <f t="shared" si="108"/>
        <v>-</v>
      </c>
      <c r="AY145" s="10" t="str">
        <f t="shared" si="109"/>
        <v>-</v>
      </c>
      <c r="AZ145" s="9" t="str">
        <f t="shared" si="110"/>
        <v>-</v>
      </c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</row>
    <row r="146" spans="2:68" x14ac:dyDescent="0.3">
      <c r="B146" s="108" t="str">
        <f t="shared" si="95"/>
        <v/>
      </c>
      <c r="C146" s="108" t="str">
        <f t="shared" si="81"/>
        <v/>
      </c>
      <c r="D146" s="3"/>
      <c r="E146" s="3"/>
      <c r="F146" s="3"/>
      <c r="G146" s="20">
        <f>IFERROR(INDEX('Input - Tesco'!F$2:F$200,MATCH('Calculations - Tesco'!$C146,'Input - Tesco'!$B$2:$B$200,0)),"")</f>
        <v>0</v>
      </c>
      <c r="H146" s="20">
        <f>IFERROR(INDEX('Input - Tesco'!G$2:G$200,MATCH('Calculations - Tesco'!$C146,'Input - Tesco'!$B$2:$B$200,0)),"")</f>
        <v>0</v>
      </c>
      <c r="I146" s="21">
        <f>IFERROR(INDEX('Input - Tesco'!H$2:H$200,MATCH('Calculations - Tesco'!$C146,'Input - Tesco'!$B$2:$B$200,0)),"")</f>
        <v>0</v>
      </c>
      <c r="J146" s="21">
        <f>IFERROR(INDEX('Input - Tesco'!I$2:I$200,MATCH('Calculations - Tesco'!$C146,'Input - Tesco'!$B$2:$B$200,0)),"")</f>
        <v>0</v>
      </c>
      <c r="K146" s="20">
        <f>IFERROR(INDEX('Input - Tesco'!J$2:J$200,MATCH('Calculations - Tesco'!$C146,'Input - Tesco'!$B$2:$B$200,0)),"")</f>
        <v>0</v>
      </c>
      <c r="L146" s="20">
        <f>IFERROR(INDEX('Input - Tesco'!K$2:K$200,MATCH('Calculations - Tesco'!$C146,'Input - Tesco'!$B$2:$B$200,0)),"")</f>
        <v>0</v>
      </c>
      <c r="M146" s="21" t="str">
        <f t="shared" si="96"/>
        <v/>
      </c>
      <c r="N146" s="21" t="str">
        <f t="shared" si="82"/>
        <v/>
      </c>
      <c r="O146" s="21">
        <f t="shared" si="97"/>
        <v>0</v>
      </c>
      <c r="P146" s="9">
        <f t="shared" si="111"/>
        <v>0</v>
      </c>
      <c r="Q146" s="9">
        <f t="shared" si="112"/>
        <v>0</v>
      </c>
      <c r="R146" s="22" t="str">
        <f>IFERROR(INDEX(Tesco!$Q$11:$Q$165,MATCH('Calculations - Tesco'!$C146,Tesco!$M$11:$M$165,0)),"")</f>
        <v/>
      </c>
      <c r="S146" s="22" t="str">
        <f>IFERROR(INDEX(Tesco!$R$11:$R$165,MATCH('Calculations - Tesco'!$C146,Tesco!$M$11:$M$165,0)),"")</f>
        <v/>
      </c>
      <c r="T146" s="16" t="e">
        <f t="shared" si="83"/>
        <v>#VALUE!</v>
      </c>
      <c r="U146" s="16" t="e">
        <f t="shared" si="98"/>
        <v>#VALUE!</v>
      </c>
      <c r="V146" s="16" t="e">
        <f t="shared" si="99"/>
        <v>#VALUE!</v>
      </c>
      <c r="W146" s="10" t="str">
        <f t="shared" si="84"/>
        <v>-</v>
      </c>
      <c r="X146" s="10" t="str">
        <f t="shared" si="85"/>
        <v>-</v>
      </c>
      <c r="Y146" s="13" t="str">
        <f t="shared" si="100"/>
        <v>-</v>
      </c>
      <c r="Z146" s="9" t="str">
        <f t="shared" si="86"/>
        <v>-</v>
      </c>
      <c r="AA146" s="16" t="str">
        <f t="shared" si="101"/>
        <v>-</v>
      </c>
      <c r="AB146" s="16" t="str">
        <f t="shared" si="87"/>
        <v>-</v>
      </c>
      <c r="AC146" s="16" t="str">
        <f t="shared" si="88"/>
        <v>-</v>
      </c>
      <c r="AD146" s="16" t="str">
        <f t="shared" si="102"/>
        <v>-</v>
      </c>
      <c r="AE146" s="16"/>
      <c r="AF146" s="31" t="str">
        <f>IFERROR(INDEX(Tesco!$P$11:$P$165,MATCH('Calculations - Tesco'!C146,Tesco!$M$11:$M$165,0)),"")</f>
        <v/>
      </c>
      <c r="AG146" s="23" t="str">
        <f t="shared" si="103"/>
        <v/>
      </c>
      <c r="AH146" s="23" t="str">
        <f t="shared" si="103"/>
        <v/>
      </c>
      <c r="AI146" s="9" t="str">
        <f t="shared" si="89"/>
        <v/>
      </c>
      <c r="AJ146" s="4" t="str">
        <f t="shared" si="90"/>
        <v/>
      </c>
      <c r="AK146" s="4"/>
      <c r="AL146" s="4"/>
      <c r="AM146" s="4"/>
      <c r="AN146" s="4"/>
      <c r="AO146" s="4"/>
      <c r="AP146" s="20" t="str">
        <f t="shared" si="91"/>
        <v>-</v>
      </c>
      <c r="AQ146" s="13" t="str">
        <f t="shared" si="104"/>
        <v>-</v>
      </c>
      <c r="AR146" s="13" t="str">
        <f t="shared" si="105"/>
        <v>-</v>
      </c>
      <c r="AS146" s="13" t="str">
        <f t="shared" si="92"/>
        <v>-</v>
      </c>
      <c r="AT146" s="16" t="str">
        <f t="shared" si="106"/>
        <v>-</v>
      </c>
      <c r="AU146" s="16" t="str">
        <f t="shared" si="93"/>
        <v>-</v>
      </c>
      <c r="AV146" s="16" t="str">
        <f t="shared" si="94"/>
        <v>-</v>
      </c>
      <c r="AW146" s="16" t="str">
        <f t="shared" si="107"/>
        <v>-</v>
      </c>
      <c r="AX146" s="13" t="str">
        <f t="shared" si="108"/>
        <v>-</v>
      </c>
      <c r="AY146" s="10" t="str">
        <f t="shared" si="109"/>
        <v>-</v>
      </c>
      <c r="AZ146" s="9" t="str">
        <f t="shared" si="110"/>
        <v>-</v>
      </c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</row>
    <row r="147" spans="2:68" x14ac:dyDescent="0.3">
      <c r="B147" s="108" t="str">
        <f t="shared" si="95"/>
        <v/>
      </c>
      <c r="C147" s="108" t="str">
        <f t="shared" si="81"/>
        <v/>
      </c>
      <c r="D147" s="3"/>
      <c r="E147" s="3"/>
      <c r="F147" s="3"/>
      <c r="G147" s="20">
        <f>IFERROR(INDEX('Input - Tesco'!F$2:F$200,MATCH('Calculations - Tesco'!$C147,'Input - Tesco'!$B$2:$B$200,0)),"")</f>
        <v>0</v>
      </c>
      <c r="H147" s="20">
        <f>IFERROR(INDEX('Input - Tesco'!G$2:G$200,MATCH('Calculations - Tesco'!$C147,'Input - Tesco'!$B$2:$B$200,0)),"")</f>
        <v>0</v>
      </c>
      <c r="I147" s="21">
        <f>IFERROR(INDEX('Input - Tesco'!H$2:H$200,MATCH('Calculations - Tesco'!$C147,'Input - Tesco'!$B$2:$B$200,0)),"")</f>
        <v>0</v>
      </c>
      <c r="J147" s="21">
        <f>IFERROR(INDEX('Input - Tesco'!I$2:I$200,MATCH('Calculations - Tesco'!$C147,'Input - Tesco'!$B$2:$B$200,0)),"")</f>
        <v>0</v>
      </c>
      <c r="K147" s="20">
        <f>IFERROR(INDEX('Input - Tesco'!J$2:J$200,MATCH('Calculations - Tesco'!$C147,'Input - Tesco'!$B$2:$B$200,0)),"")</f>
        <v>0</v>
      </c>
      <c r="L147" s="20">
        <f>IFERROR(INDEX('Input - Tesco'!K$2:K$200,MATCH('Calculations - Tesco'!$C147,'Input - Tesco'!$B$2:$B$200,0)),"")</f>
        <v>0</v>
      </c>
      <c r="M147" s="21" t="str">
        <f t="shared" si="96"/>
        <v/>
      </c>
      <c r="N147" s="21" t="str">
        <f t="shared" si="82"/>
        <v/>
      </c>
      <c r="O147" s="21">
        <f t="shared" si="97"/>
        <v>0</v>
      </c>
      <c r="P147" s="9">
        <f t="shared" si="111"/>
        <v>0</v>
      </c>
      <c r="Q147" s="9">
        <f t="shared" si="112"/>
        <v>0</v>
      </c>
      <c r="R147" s="22" t="str">
        <f>IFERROR(INDEX(Tesco!$Q$11:$Q$165,MATCH('Calculations - Tesco'!$C147,Tesco!$M$11:$M$165,0)),"")</f>
        <v/>
      </c>
      <c r="S147" s="22" t="str">
        <f>IFERROR(INDEX(Tesco!$R$11:$R$165,MATCH('Calculations - Tesco'!$C147,Tesco!$M$11:$M$165,0)),"")</f>
        <v/>
      </c>
      <c r="T147" s="16" t="e">
        <f t="shared" si="83"/>
        <v>#VALUE!</v>
      </c>
      <c r="U147" s="16" t="e">
        <f t="shared" si="98"/>
        <v>#VALUE!</v>
      </c>
      <c r="V147" s="16" t="e">
        <f t="shared" si="99"/>
        <v>#VALUE!</v>
      </c>
      <c r="W147" s="10" t="str">
        <f t="shared" si="84"/>
        <v>-</v>
      </c>
      <c r="X147" s="10" t="str">
        <f t="shared" si="85"/>
        <v>-</v>
      </c>
      <c r="Y147" s="13" t="str">
        <f t="shared" si="100"/>
        <v>-</v>
      </c>
      <c r="Z147" s="9" t="str">
        <f t="shared" si="86"/>
        <v>-</v>
      </c>
      <c r="AA147" s="16" t="str">
        <f t="shared" si="101"/>
        <v>-</v>
      </c>
      <c r="AB147" s="16" t="str">
        <f t="shared" si="87"/>
        <v>-</v>
      </c>
      <c r="AC147" s="16" t="str">
        <f t="shared" si="88"/>
        <v>-</v>
      </c>
      <c r="AD147" s="16" t="str">
        <f t="shared" si="102"/>
        <v>-</v>
      </c>
      <c r="AE147" s="16"/>
      <c r="AF147" s="31" t="str">
        <f>IFERROR(INDEX(Tesco!$P$11:$P$165,MATCH('Calculations - Tesco'!C147,Tesco!$M$11:$M$165,0)),"")</f>
        <v/>
      </c>
      <c r="AG147" s="23" t="str">
        <f t="shared" si="103"/>
        <v/>
      </c>
      <c r="AH147" s="23" t="str">
        <f t="shared" si="103"/>
        <v/>
      </c>
      <c r="AI147" s="9" t="str">
        <f t="shared" si="89"/>
        <v/>
      </c>
      <c r="AJ147" s="4" t="str">
        <f t="shared" si="90"/>
        <v/>
      </c>
      <c r="AK147" s="4"/>
      <c r="AL147" s="4"/>
      <c r="AM147" s="4"/>
      <c r="AN147" s="4"/>
      <c r="AO147" s="4"/>
      <c r="AP147" s="20" t="str">
        <f t="shared" si="91"/>
        <v>-</v>
      </c>
      <c r="AQ147" s="13" t="str">
        <f t="shared" si="104"/>
        <v>-</v>
      </c>
      <c r="AR147" s="13" t="str">
        <f t="shared" si="105"/>
        <v>-</v>
      </c>
      <c r="AS147" s="13" t="str">
        <f t="shared" si="92"/>
        <v>-</v>
      </c>
      <c r="AT147" s="16" t="str">
        <f t="shared" si="106"/>
        <v>-</v>
      </c>
      <c r="AU147" s="16" t="str">
        <f t="shared" si="93"/>
        <v>-</v>
      </c>
      <c r="AV147" s="16" t="str">
        <f t="shared" si="94"/>
        <v>-</v>
      </c>
      <c r="AW147" s="16" t="str">
        <f t="shared" si="107"/>
        <v>-</v>
      </c>
      <c r="AX147" s="13" t="str">
        <f t="shared" si="108"/>
        <v>-</v>
      </c>
      <c r="AY147" s="10" t="str">
        <f t="shared" si="109"/>
        <v>-</v>
      </c>
      <c r="AZ147" s="9" t="str">
        <f t="shared" si="110"/>
        <v>-</v>
      </c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</row>
    <row r="148" spans="2:68" x14ac:dyDescent="0.3">
      <c r="B148" s="108" t="str">
        <f t="shared" si="95"/>
        <v/>
      </c>
      <c r="C148" s="108" t="str">
        <f t="shared" si="81"/>
        <v/>
      </c>
      <c r="D148" s="3"/>
      <c r="E148" s="3"/>
      <c r="F148" s="3"/>
      <c r="G148" s="20">
        <f>IFERROR(INDEX('Input - Tesco'!F$2:F$200,MATCH('Calculations - Tesco'!$C148,'Input - Tesco'!$B$2:$B$200,0)),"")</f>
        <v>0</v>
      </c>
      <c r="H148" s="20">
        <f>IFERROR(INDEX('Input - Tesco'!G$2:G$200,MATCH('Calculations - Tesco'!$C148,'Input - Tesco'!$B$2:$B$200,0)),"")</f>
        <v>0</v>
      </c>
      <c r="I148" s="21">
        <f>IFERROR(INDEX('Input - Tesco'!H$2:H$200,MATCH('Calculations - Tesco'!$C148,'Input - Tesco'!$B$2:$B$200,0)),"")</f>
        <v>0</v>
      </c>
      <c r="J148" s="21">
        <f>IFERROR(INDEX('Input - Tesco'!I$2:I$200,MATCH('Calculations - Tesco'!$C148,'Input - Tesco'!$B$2:$B$200,0)),"")</f>
        <v>0</v>
      </c>
      <c r="K148" s="20">
        <f>IFERROR(INDEX('Input - Tesco'!J$2:J$200,MATCH('Calculations - Tesco'!$C148,'Input - Tesco'!$B$2:$B$200,0)),"")</f>
        <v>0</v>
      </c>
      <c r="L148" s="20">
        <f>IFERROR(INDEX('Input - Tesco'!K$2:K$200,MATCH('Calculations - Tesco'!$C148,'Input - Tesco'!$B$2:$B$200,0)),"")</f>
        <v>0</v>
      </c>
      <c r="M148" s="21" t="str">
        <f t="shared" si="96"/>
        <v/>
      </c>
      <c r="N148" s="21" t="str">
        <f t="shared" si="82"/>
        <v/>
      </c>
      <c r="O148" s="21">
        <f t="shared" si="97"/>
        <v>0</v>
      </c>
      <c r="P148" s="9">
        <f t="shared" si="111"/>
        <v>0</v>
      </c>
      <c r="Q148" s="9">
        <f t="shared" si="112"/>
        <v>0</v>
      </c>
      <c r="R148" s="22" t="str">
        <f>IFERROR(INDEX(Tesco!$Q$11:$Q$165,MATCH('Calculations - Tesco'!$C148,Tesco!$M$11:$M$165,0)),"")</f>
        <v/>
      </c>
      <c r="S148" s="22" t="str">
        <f>IFERROR(INDEX(Tesco!$R$11:$R$165,MATCH('Calculations - Tesco'!$C148,Tesco!$M$11:$M$165,0)),"")</f>
        <v/>
      </c>
      <c r="T148" s="16" t="e">
        <f t="shared" si="83"/>
        <v>#VALUE!</v>
      </c>
      <c r="U148" s="16" t="e">
        <f t="shared" si="98"/>
        <v>#VALUE!</v>
      </c>
      <c r="V148" s="16" t="e">
        <f t="shared" si="99"/>
        <v>#VALUE!</v>
      </c>
      <c r="W148" s="10" t="str">
        <f t="shared" si="84"/>
        <v>-</v>
      </c>
      <c r="X148" s="10" t="str">
        <f t="shared" si="85"/>
        <v>-</v>
      </c>
      <c r="Y148" s="13" t="str">
        <f t="shared" si="100"/>
        <v>-</v>
      </c>
      <c r="Z148" s="9" t="str">
        <f t="shared" si="86"/>
        <v>-</v>
      </c>
      <c r="AA148" s="16" t="str">
        <f t="shared" si="101"/>
        <v>-</v>
      </c>
      <c r="AB148" s="16" t="str">
        <f t="shared" si="87"/>
        <v>-</v>
      </c>
      <c r="AC148" s="16" t="str">
        <f t="shared" si="88"/>
        <v>-</v>
      </c>
      <c r="AD148" s="16" t="str">
        <f t="shared" si="102"/>
        <v>-</v>
      </c>
      <c r="AE148" s="16"/>
      <c r="AF148" s="31" t="str">
        <f>IFERROR(INDEX(Tesco!$P$11:$P$165,MATCH('Calculations - Tesco'!C148,Tesco!$M$11:$M$165,0)),"")</f>
        <v/>
      </c>
      <c r="AG148" s="23" t="str">
        <f t="shared" si="103"/>
        <v/>
      </c>
      <c r="AH148" s="23" t="str">
        <f t="shared" si="103"/>
        <v/>
      </c>
      <c r="AI148" s="9" t="str">
        <f t="shared" si="89"/>
        <v/>
      </c>
      <c r="AJ148" s="4" t="str">
        <f t="shared" si="90"/>
        <v/>
      </c>
      <c r="AK148" s="4"/>
      <c r="AL148" s="4"/>
      <c r="AM148" s="4"/>
      <c r="AN148" s="4"/>
      <c r="AO148" s="4"/>
      <c r="AP148" s="20" t="str">
        <f t="shared" si="91"/>
        <v>-</v>
      </c>
      <c r="AQ148" s="13" t="str">
        <f t="shared" si="104"/>
        <v>-</v>
      </c>
      <c r="AR148" s="13" t="str">
        <f t="shared" si="105"/>
        <v>-</v>
      </c>
      <c r="AS148" s="13" t="str">
        <f t="shared" si="92"/>
        <v>-</v>
      </c>
      <c r="AT148" s="16" t="str">
        <f t="shared" si="106"/>
        <v>-</v>
      </c>
      <c r="AU148" s="16" t="str">
        <f t="shared" si="93"/>
        <v>-</v>
      </c>
      <c r="AV148" s="16" t="str">
        <f t="shared" si="94"/>
        <v>-</v>
      </c>
      <c r="AW148" s="16" t="str">
        <f t="shared" si="107"/>
        <v>-</v>
      </c>
      <c r="AX148" s="13" t="str">
        <f t="shared" si="108"/>
        <v>-</v>
      </c>
      <c r="AY148" s="10" t="str">
        <f t="shared" si="109"/>
        <v>-</v>
      </c>
      <c r="AZ148" s="9" t="str">
        <f t="shared" si="110"/>
        <v>-</v>
      </c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</row>
    <row r="149" spans="2:68" x14ac:dyDescent="0.3">
      <c r="B149" s="108" t="str">
        <f t="shared" si="95"/>
        <v/>
      </c>
      <c r="C149" s="108" t="str">
        <f t="shared" si="81"/>
        <v/>
      </c>
      <c r="D149" s="3"/>
      <c r="E149" s="3"/>
      <c r="F149" s="3"/>
      <c r="G149" s="20">
        <f>IFERROR(INDEX('Input - Tesco'!F$2:F$200,MATCH('Calculations - Tesco'!$C149,'Input - Tesco'!$B$2:$B$200,0)),"")</f>
        <v>0</v>
      </c>
      <c r="H149" s="20">
        <f>IFERROR(INDEX('Input - Tesco'!G$2:G$200,MATCH('Calculations - Tesco'!$C149,'Input - Tesco'!$B$2:$B$200,0)),"")</f>
        <v>0</v>
      </c>
      <c r="I149" s="21">
        <f>IFERROR(INDEX('Input - Tesco'!H$2:H$200,MATCH('Calculations - Tesco'!$C149,'Input - Tesco'!$B$2:$B$200,0)),"")</f>
        <v>0</v>
      </c>
      <c r="J149" s="21">
        <f>IFERROR(INDEX('Input - Tesco'!I$2:I$200,MATCH('Calculations - Tesco'!$C149,'Input - Tesco'!$B$2:$B$200,0)),"")</f>
        <v>0</v>
      </c>
      <c r="K149" s="20">
        <f>IFERROR(INDEX('Input - Tesco'!J$2:J$200,MATCH('Calculations - Tesco'!$C149,'Input - Tesco'!$B$2:$B$200,0)),"")</f>
        <v>0</v>
      </c>
      <c r="L149" s="20">
        <f>IFERROR(INDEX('Input - Tesco'!K$2:K$200,MATCH('Calculations - Tesco'!$C149,'Input - Tesco'!$B$2:$B$200,0)),"")</f>
        <v>0</v>
      </c>
      <c r="M149" s="21" t="str">
        <f t="shared" si="96"/>
        <v/>
      </c>
      <c r="N149" s="21" t="str">
        <f t="shared" si="82"/>
        <v/>
      </c>
      <c r="O149" s="21">
        <f t="shared" si="97"/>
        <v>0</v>
      </c>
      <c r="P149" s="9">
        <f t="shared" si="111"/>
        <v>0</v>
      </c>
      <c r="Q149" s="9">
        <f t="shared" si="112"/>
        <v>0</v>
      </c>
      <c r="R149" s="22" t="str">
        <f>IFERROR(INDEX(Tesco!$Q$11:$Q$165,MATCH('Calculations - Tesco'!$C149,Tesco!$M$11:$M$165,0)),"")</f>
        <v/>
      </c>
      <c r="S149" s="22" t="str">
        <f>IFERROR(INDEX(Tesco!$R$11:$R$165,MATCH('Calculations - Tesco'!$C149,Tesco!$M$11:$M$165,0)),"")</f>
        <v/>
      </c>
      <c r="T149" s="16" t="e">
        <f t="shared" si="83"/>
        <v>#VALUE!</v>
      </c>
      <c r="U149" s="16" t="e">
        <f t="shared" si="98"/>
        <v>#VALUE!</v>
      </c>
      <c r="V149" s="16" t="e">
        <f t="shared" si="99"/>
        <v>#VALUE!</v>
      </c>
      <c r="W149" s="10" t="str">
        <f t="shared" si="84"/>
        <v>-</v>
      </c>
      <c r="X149" s="10" t="str">
        <f t="shared" si="85"/>
        <v>-</v>
      </c>
      <c r="Y149" s="13" t="str">
        <f t="shared" si="100"/>
        <v>-</v>
      </c>
      <c r="Z149" s="9" t="str">
        <f t="shared" si="86"/>
        <v>-</v>
      </c>
      <c r="AA149" s="16" t="str">
        <f t="shared" si="101"/>
        <v>-</v>
      </c>
      <c r="AB149" s="16" t="str">
        <f t="shared" si="87"/>
        <v>-</v>
      </c>
      <c r="AC149" s="16" t="str">
        <f t="shared" si="88"/>
        <v>-</v>
      </c>
      <c r="AD149" s="16" t="str">
        <f t="shared" si="102"/>
        <v>-</v>
      </c>
      <c r="AE149" s="16"/>
      <c r="AF149" s="31" t="str">
        <f>IFERROR(INDEX(Tesco!$P$11:$P$165,MATCH('Calculations - Tesco'!C149,Tesco!$M$11:$M$165,0)),"")</f>
        <v/>
      </c>
      <c r="AG149" s="23" t="str">
        <f t="shared" si="103"/>
        <v/>
      </c>
      <c r="AH149" s="23" t="str">
        <f t="shared" si="103"/>
        <v/>
      </c>
      <c r="AI149" s="9" t="str">
        <f t="shared" si="89"/>
        <v/>
      </c>
      <c r="AJ149" s="4" t="str">
        <f t="shared" si="90"/>
        <v/>
      </c>
      <c r="AK149" s="4"/>
      <c r="AL149" s="4"/>
      <c r="AM149" s="4"/>
      <c r="AN149" s="4"/>
      <c r="AO149" s="4"/>
      <c r="AP149" s="20" t="str">
        <f t="shared" si="91"/>
        <v>-</v>
      </c>
      <c r="AQ149" s="13" t="str">
        <f t="shared" si="104"/>
        <v>-</v>
      </c>
      <c r="AR149" s="13" t="str">
        <f t="shared" si="105"/>
        <v>-</v>
      </c>
      <c r="AS149" s="13" t="str">
        <f t="shared" si="92"/>
        <v>-</v>
      </c>
      <c r="AT149" s="16" t="str">
        <f t="shared" si="106"/>
        <v>-</v>
      </c>
      <c r="AU149" s="16" t="str">
        <f t="shared" si="93"/>
        <v>-</v>
      </c>
      <c r="AV149" s="16" t="str">
        <f t="shared" si="94"/>
        <v>-</v>
      </c>
      <c r="AW149" s="16" t="str">
        <f t="shared" si="107"/>
        <v>-</v>
      </c>
      <c r="AX149" s="13" t="str">
        <f t="shared" si="108"/>
        <v>-</v>
      </c>
      <c r="AY149" s="10" t="str">
        <f t="shared" si="109"/>
        <v>-</v>
      </c>
      <c r="AZ149" s="9" t="str">
        <f t="shared" si="110"/>
        <v>-</v>
      </c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</row>
    <row r="150" spans="2:68" x14ac:dyDescent="0.3">
      <c r="B150" s="108" t="str">
        <f t="shared" si="95"/>
        <v/>
      </c>
      <c r="C150" s="108" t="str">
        <f t="shared" si="81"/>
        <v/>
      </c>
      <c r="D150" s="3"/>
      <c r="E150" s="3"/>
      <c r="F150" s="3"/>
      <c r="G150" s="20">
        <f>IFERROR(INDEX('Input - Tesco'!F$2:F$200,MATCH('Calculations - Tesco'!$C150,'Input - Tesco'!$B$2:$B$200,0)),"")</f>
        <v>0</v>
      </c>
      <c r="H150" s="20">
        <f>IFERROR(INDEX('Input - Tesco'!G$2:G$200,MATCH('Calculations - Tesco'!$C150,'Input - Tesco'!$B$2:$B$200,0)),"")</f>
        <v>0</v>
      </c>
      <c r="I150" s="21">
        <f>IFERROR(INDEX('Input - Tesco'!H$2:H$200,MATCH('Calculations - Tesco'!$C150,'Input - Tesco'!$B$2:$B$200,0)),"")</f>
        <v>0</v>
      </c>
      <c r="J150" s="21">
        <f>IFERROR(INDEX('Input - Tesco'!I$2:I$200,MATCH('Calculations - Tesco'!$C150,'Input - Tesco'!$B$2:$B$200,0)),"")</f>
        <v>0</v>
      </c>
      <c r="K150" s="20">
        <f>IFERROR(INDEX('Input - Tesco'!J$2:J$200,MATCH('Calculations - Tesco'!$C150,'Input - Tesco'!$B$2:$B$200,0)),"")</f>
        <v>0</v>
      </c>
      <c r="L150" s="20">
        <f>IFERROR(INDEX('Input - Tesco'!K$2:K$200,MATCH('Calculations - Tesco'!$C150,'Input - Tesco'!$B$2:$B$200,0)),"")</f>
        <v>0</v>
      </c>
      <c r="M150" s="21" t="str">
        <f t="shared" si="96"/>
        <v/>
      </c>
      <c r="N150" s="21" t="str">
        <f t="shared" si="82"/>
        <v/>
      </c>
      <c r="O150" s="21">
        <f t="shared" si="97"/>
        <v>0</v>
      </c>
      <c r="P150" s="9">
        <f t="shared" si="111"/>
        <v>0</v>
      </c>
      <c r="Q150" s="9">
        <f t="shared" si="112"/>
        <v>0</v>
      </c>
      <c r="R150" s="22" t="str">
        <f>IFERROR(INDEX(Tesco!$Q$11:$Q$165,MATCH('Calculations - Tesco'!$C150,Tesco!$M$11:$M$165,0)),"")</f>
        <v/>
      </c>
      <c r="S150" s="22" t="str">
        <f>IFERROR(INDEX(Tesco!$R$11:$R$165,MATCH('Calculations - Tesco'!$C150,Tesco!$M$11:$M$165,0)),"")</f>
        <v/>
      </c>
      <c r="T150" s="16" t="e">
        <f t="shared" si="83"/>
        <v>#VALUE!</v>
      </c>
      <c r="U150" s="16" t="e">
        <f t="shared" si="98"/>
        <v>#VALUE!</v>
      </c>
      <c r="V150" s="16" t="e">
        <f t="shared" si="99"/>
        <v>#VALUE!</v>
      </c>
      <c r="W150" s="10" t="str">
        <f t="shared" si="84"/>
        <v>-</v>
      </c>
      <c r="X150" s="10" t="str">
        <f t="shared" si="85"/>
        <v>-</v>
      </c>
      <c r="Y150" s="13" t="str">
        <f t="shared" si="100"/>
        <v>-</v>
      </c>
      <c r="Z150" s="9" t="str">
        <f t="shared" si="86"/>
        <v>-</v>
      </c>
      <c r="AA150" s="16" t="str">
        <f t="shared" si="101"/>
        <v>-</v>
      </c>
      <c r="AB150" s="16" t="str">
        <f t="shared" si="87"/>
        <v>-</v>
      </c>
      <c r="AC150" s="16" t="str">
        <f t="shared" si="88"/>
        <v>-</v>
      </c>
      <c r="AD150" s="16" t="str">
        <f t="shared" si="102"/>
        <v>-</v>
      </c>
      <c r="AE150" s="16"/>
      <c r="AF150" s="31" t="str">
        <f>IFERROR(INDEX(Tesco!$P$11:$P$165,MATCH('Calculations - Tesco'!C150,Tesco!$M$11:$M$165,0)),"")</f>
        <v/>
      </c>
      <c r="AG150" s="23" t="str">
        <f t="shared" si="103"/>
        <v/>
      </c>
      <c r="AH150" s="23" t="str">
        <f t="shared" si="103"/>
        <v/>
      </c>
      <c r="AI150" s="9" t="str">
        <f t="shared" si="89"/>
        <v/>
      </c>
      <c r="AJ150" s="4" t="str">
        <f t="shared" si="90"/>
        <v/>
      </c>
      <c r="AK150" s="4"/>
      <c r="AL150" s="4"/>
      <c r="AM150" s="4"/>
      <c r="AN150" s="4"/>
      <c r="AO150" s="4"/>
      <c r="AP150" s="20" t="str">
        <f t="shared" si="91"/>
        <v>-</v>
      </c>
      <c r="AQ150" s="13" t="str">
        <f t="shared" si="104"/>
        <v>-</v>
      </c>
      <c r="AR150" s="13" t="str">
        <f t="shared" si="105"/>
        <v>-</v>
      </c>
      <c r="AS150" s="13" t="str">
        <f t="shared" si="92"/>
        <v>-</v>
      </c>
      <c r="AT150" s="16" t="str">
        <f t="shared" si="106"/>
        <v>-</v>
      </c>
      <c r="AU150" s="16" t="str">
        <f t="shared" si="93"/>
        <v>-</v>
      </c>
      <c r="AV150" s="16" t="str">
        <f t="shared" si="94"/>
        <v>-</v>
      </c>
      <c r="AW150" s="16" t="str">
        <f t="shared" si="107"/>
        <v>-</v>
      </c>
      <c r="AX150" s="13" t="str">
        <f t="shared" si="108"/>
        <v>-</v>
      </c>
      <c r="AY150" s="10" t="str">
        <f t="shared" si="109"/>
        <v>-</v>
      </c>
      <c r="AZ150" s="9" t="str">
        <f t="shared" si="110"/>
        <v>-</v>
      </c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</row>
    <row r="151" spans="2:68" x14ac:dyDescent="0.3">
      <c r="B151" s="108" t="str">
        <f t="shared" si="95"/>
        <v/>
      </c>
      <c r="C151" s="108" t="str">
        <f t="shared" si="81"/>
        <v/>
      </c>
      <c r="D151" s="3"/>
      <c r="E151" s="3"/>
      <c r="F151" s="3"/>
      <c r="G151" s="20">
        <f>IFERROR(INDEX('Input - Tesco'!F$2:F$200,MATCH('Calculations - Tesco'!$C151,'Input - Tesco'!$B$2:$B$200,0)),"")</f>
        <v>0</v>
      </c>
      <c r="H151" s="20">
        <f>IFERROR(INDEX('Input - Tesco'!G$2:G$200,MATCH('Calculations - Tesco'!$C151,'Input - Tesco'!$B$2:$B$200,0)),"")</f>
        <v>0</v>
      </c>
      <c r="I151" s="21">
        <f>IFERROR(INDEX('Input - Tesco'!H$2:H$200,MATCH('Calculations - Tesco'!$C151,'Input - Tesco'!$B$2:$B$200,0)),"")</f>
        <v>0</v>
      </c>
      <c r="J151" s="21">
        <f>IFERROR(INDEX('Input - Tesco'!I$2:I$200,MATCH('Calculations - Tesco'!$C151,'Input - Tesco'!$B$2:$B$200,0)),"")</f>
        <v>0</v>
      </c>
      <c r="K151" s="20">
        <f>IFERROR(INDEX('Input - Tesco'!J$2:J$200,MATCH('Calculations - Tesco'!$C151,'Input - Tesco'!$B$2:$B$200,0)),"")</f>
        <v>0</v>
      </c>
      <c r="L151" s="20">
        <f>IFERROR(INDEX('Input - Tesco'!K$2:K$200,MATCH('Calculations - Tesco'!$C151,'Input - Tesco'!$B$2:$B$200,0)),"")</f>
        <v>0</v>
      </c>
      <c r="M151" s="21" t="str">
        <f t="shared" si="96"/>
        <v/>
      </c>
      <c r="N151" s="21" t="str">
        <f t="shared" si="82"/>
        <v/>
      </c>
      <c r="O151" s="21">
        <f t="shared" si="97"/>
        <v>0</v>
      </c>
      <c r="P151" s="9">
        <f t="shared" si="111"/>
        <v>0</v>
      </c>
      <c r="Q151" s="9">
        <f t="shared" si="112"/>
        <v>0</v>
      </c>
      <c r="R151" s="22" t="str">
        <f>IFERROR(INDEX(Tesco!$Q$11:$Q$165,MATCH('Calculations - Tesco'!$C151,Tesco!$M$11:$M$165,0)),"")</f>
        <v/>
      </c>
      <c r="S151" s="22" t="str">
        <f>IFERROR(INDEX(Tesco!$R$11:$R$165,MATCH('Calculations - Tesco'!$C151,Tesco!$M$11:$M$165,0)),"")</f>
        <v/>
      </c>
      <c r="T151" s="16" t="e">
        <f t="shared" si="83"/>
        <v>#VALUE!</v>
      </c>
      <c r="U151" s="16" t="e">
        <f t="shared" si="98"/>
        <v>#VALUE!</v>
      </c>
      <c r="V151" s="16" t="e">
        <f t="shared" si="99"/>
        <v>#VALUE!</v>
      </c>
      <c r="W151" s="10" t="str">
        <f t="shared" si="84"/>
        <v>-</v>
      </c>
      <c r="X151" s="10" t="str">
        <f t="shared" si="85"/>
        <v>-</v>
      </c>
      <c r="Y151" s="13" t="str">
        <f t="shared" si="100"/>
        <v>-</v>
      </c>
      <c r="Z151" s="9" t="str">
        <f t="shared" si="86"/>
        <v>-</v>
      </c>
      <c r="AA151" s="16" t="str">
        <f t="shared" si="101"/>
        <v>-</v>
      </c>
      <c r="AB151" s="16" t="str">
        <f t="shared" si="87"/>
        <v>-</v>
      </c>
      <c r="AC151" s="16" t="str">
        <f t="shared" si="88"/>
        <v>-</v>
      </c>
      <c r="AD151" s="16" t="str">
        <f t="shared" si="102"/>
        <v>-</v>
      </c>
      <c r="AE151" s="16"/>
      <c r="AF151" s="31" t="str">
        <f>IFERROR(INDEX(Tesco!$P$11:$P$165,MATCH('Calculations - Tesco'!C151,Tesco!$M$11:$M$165,0)),"")</f>
        <v/>
      </c>
      <c r="AG151" s="23" t="str">
        <f t="shared" si="103"/>
        <v/>
      </c>
      <c r="AH151" s="23" t="str">
        <f t="shared" si="103"/>
        <v/>
      </c>
      <c r="AI151" s="9" t="str">
        <f t="shared" si="89"/>
        <v/>
      </c>
      <c r="AJ151" s="4" t="str">
        <f t="shared" si="90"/>
        <v/>
      </c>
      <c r="AK151" s="4"/>
      <c r="AL151" s="4"/>
      <c r="AM151" s="4"/>
      <c r="AN151" s="4"/>
      <c r="AO151" s="4"/>
      <c r="AP151" s="20" t="str">
        <f t="shared" si="91"/>
        <v>-</v>
      </c>
      <c r="AQ151" s="13" t="str">
        <f t="shared" si="104"/>
        <v>-</v>
      </c>
      <c r="AR151" s="13" t="str">
        <f t="shared" si="105"/>
        <v>-</v>
      </c>
      <c r="AS151" s="13" t="str">
        <f t="shared" si="92"/>
        <v>-</v>
      </c>
      <c r="AT151" s="16" t="str">
        <f t="shared" si="106"/>
        <v>-</v>
      </c>
      <c r="AU151" s="16" t="str">
        <f t="shared" si="93"/>
        <v>-</v>
      </c>
      <c r="AV151" s="16" t="str">
        <f t="shared" si="94"/>
        <v>-</v>
      </c>
      <c r="AW151" s="16" t="str">
        <f t="shared" si="107"/>
        <v>-</v>
      </c>
      <c r="AX151" s="13" t="str">
        <f t="shared" si="108"/>
        <v>-</v>
      </c>
      <c r="AY151" s="10" t="str">
        <f t="shared" si="109"/>
        <v>-</v>
      </c>
      <c r="AZ151" s="9" t="str">
        <f t="shared" si="110"/>
        <v>-</v>
      </c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</row>
    <row r="152" spans="2:68" x14ac:dyDescent="0.3">
      <c r="B152" s="108" t="str">
        <f t="shared" si="95"/>
        <v/>
      </c>
      <c r="C152" s="108" t="str">
        <f t="shared" si="81"/>
        <v/>
      </c>
      <c r="D152" s="3"/>
      <c r="E152" s="3"/>
      <c r="F152" s="3"/>
      <c r="G152" s="20">
        <f>IFERROR(INDEX('Input - Tesco'!F$2:F$200,MATCH('Calculations - Tesco'!$C152,'Input - Tesco'!$B$2:$B$200,0)),"")</f>
        <v>0</v>
      </c>
      <c r="H152" s="20">
        <f>IFERROR(INDEX('Input - Tesco'!G$2:G$200,MATCH('Calculations - Tesco'!$C152,'Input - Tesco'!$B$2:$B$200,0)),"")</f>
        <v>0</v>
      </c>
      <c r="I152" s="21">
        <f>IFERROR(INDEX('Input - Tesco'!H$2:H$200,MATCH('Calculations - Tesco'!$C152,'Input - Tesco'!$B$2:$B$200,0)),"")</f>
        <v>0</v>
      </c>
      <c r="J152" s="21">
        <f>IFERROR(INDEX('Input - Tesco'!I$2:I$200,MATCH('Calculations - Tesco'!$C152,'Input - Tesco'!$B$2:$B$200,0)),"")</f>
        <v>0</v>
      </c>
      <c r="K152" s="20">
        <f>IFERROR(INDEX('Input - Tesco'!J$2:J$200,MATCH('Calculations - Tesco'!$C152,'Input - Tesco'!$B$2:$B$200,0)),"")</f>
        <v>0</v>
      </c>
      <c r="L152" s="20">
        <f>IFERROR(INDEX('Input - Tesco'!K$2:K$200,MATCH('Calculations - Tesco'!$C152,'Input - Tesco'!$B$2:$B$200,0)),"")</f>
        <v>0</v>
      </c>
      <c r="M152" s="21" t="str">
        <f t="shared" si="96"/>
        <v/>
      </c>
      <c r="N152" s="21" t="str">
        <f t="shared" si="82"/>
        <v/>
      </c>
      <c r="O152" s="21">
        <f t="shared" si="97"/>
        <v>0</v>
      </c>
      <c r="P152" s="9">
        <f t="shared" si="111"/>
        <v>0</v>
      </c>
      <c r="Q152" s="9">
        <f t="shared" si="112"/>
        <v>0</v>
      </c>
      <c r="R152" s="22" t="str">
        <f>IFERROR(INDEX(Tesco!$Q$11:$Q$165,MATCH('Calculations - Tesco'!$C152,Tesco!$M$11:$M$165,0)),"")</f>
        <v/>
      </c>
      <c r="S152" s="22" t="str">
        <f>IFERROR(INDEX(Tesco!$R$11:$R$165,MATCH('Calculations - Tesco'!$C152,Tesco!$M$11:$M$165,0)),"")</f>
        <v/>
      </c>
      <c r="T152" s="16" t="e">
        <f t="shared" si="83"/>
        <v>#VALUE!</v>
      </c>
      <c r="U152" s="16" t="e">
        <f t="shared" si="98"/>
        <v>#VALUE!</v>
      </c>
      <c r="V152" s="16" t="e">
        <f t="shared" si="99"/>
        <v>#VALUE!</v>
      </c>
      <c r="W152" s="10" t="str">
        <f t="shared" si="84"/>
        <v>-</v>
      </c>
      <c r="X152" s="10" t="str">
        <f t="shared" si="85"/>
        <v>-</v>
      </c>
      <c r="Y152" s="13" t="str">
        <f t="shared" si="100"/>
        <v>-</v>
      </c>
      <c r="Z152" s="9" t="str">
        <f t="shared" si="86"/>
        <v>-</v>
      </c>
      <c r="AA152" s="16" t="str">
        <f t="shared" si="101"/>
        <v>-</v>
      </c>
      <c r="AB152" s="16" t="str">
        <f t="shared" si="87"/>
        <v>-</v>
      </c>
      <c r="AC152" s="16" t="str">
        <f t="shared" si="88"/>
        <v>-</v>
      </c>
      <c r="AD152" s="16" t="str">
        <f t="shared" si="102"/>
        <v>-</v>
      </c>
      <c r="AE152" s="16"/>
      <c r="AF152" s="31" t="str">
        <f>IFERROR(INDEX(Tesco!$P$11:$P$165,MATCH('Calculations - Tesco'!C152,Tesco!$M$11:$M$165,0)),"")</f>
        <v/>
      </c>
      <c r="AG152" s="23" t="str">
        <f t="shared" si="103"/>
        <v/>
      </c>
      <c r="AH152" s="23" t="str">
        <f t="shared" si="103"/>
        <v/>
      </c>
      <c r="AI152" s="9" t="str">
        <f t="shared" si="89"/>
        <v/>
      </c>
      <c r="AJ152" s="4" t="str">
        <f t="shared" si="90"/>
        <v/>
      </c>
      <c r="AK152" s="4"/>
      <c r="AL152" s="4"/>
      <c r="AM152" s="4"/>
      <c r="AN152" s="4"/>
      <c r="AO152" s="4"/>
      <c r="AP152" s="20" t="str">
        <f t="shared" si="91"/>
        <v>-</v>
      </c>
      <c r="AQ152" s="13" t="str">
        <f t="shared" si="104"/>
        <v>-</v>
      </c>
      <c r="AR152" s="13" t="str">
        <f t="shared" si="105"/>
        <v>-</v>
      </c>
      <c r="AS152" s="13" t="str">
        <f t="shared" si="92"/>
        <v>-</v>
      </c>
      <c r="AT152" s="16" t="str">
        <f t="shared" si="106"/>
        <v>-</v>
      </c>
      <c r="AU152" s="16" t="str">
        <f t="shared" si="93"/>
        <v>-</v>
      </c>
      <c r="AV152" s="16" t="str">
        <f t="shared" si="94"/>
        <v>-</v>
      </c>
      <c r="AW152" s="16" t="str">
        <f t="shared" si="107"/>
        <v>-</v>
      </c>
      <c r="AX152" s="13" t="str">
        <f t="shared" si="108"/>
        <v>-</v>
      </c>
      <c r="AY152" s="10" t="str">
        <f t="shared" si="109"/>
        <v>-</v>
      </c>
      <c r="AZ152" s="9" t="str">
        <f t="shared" si="110"/>
        <v>-</v>
      </c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</row>
    <row r="153" spans="2:68" x14ac:dyDescent="0.3">
      <c r="B153" s="108" t="str">
        <f t="shared" si="95"/>
        <v/>
      </c>
      <c r="C153" s="108" t="str">
        <f t="shared" si="81"/>
        <v/>
      </c>
      <c r="D153" s="3"/>
      <c r="E153" s="3"/>
      <c r="F153" s="3"/>
      <c r="G153" s="20">
        <f>IFERROR(INDEX('Input - Tesco'!F$2:F$200,MATCH('Calculations - Tesco'!$C153,'Input - Tesco'!$B$2:$B$200,0)),"")</f>
        <v>0</v>
      </c>
      <c r="H153" s="20">
        <f>IFERROR(INDEX('Input - Tesco'!G$2:G$200,MATCH('Calculations - Tesco'!$C153,'Input - Tesco'!$B$2:$B$200,0)),"")</f>
        <v>0</v>
      </c>
      <c r="I153" s="21">
        <f>IFERROR(INDEX('Input - Tesco'!H$2:H$200,MATCH('Calculations - Tesco'!$C153,'Input - Tesco'!$B$2:$B$200,0)),"")</f>
        <v>0</v>
      </c>
      <c r="J153" s="21">
        <f>IFERROR(INDEX('Input - Tesco'!I$2:I$200,MATCH('Calculations - Tesco'!$C153,'Input - Tesco'!$B$2:$B$200,0)),"")</f>
        <v>0</v>
      </c>
      <c r="K153" s="20">
        <f>IFERROR(INDEX('Input - Tesco'!J$2:J$200,MATCH('Calculations - Tesco'!$C153,'Input - Tesco'!$B$2:$B$200,0)),"")</f>
        <v>0</v>
      </c>
      <c r="L153" s="20">
        <f>IFERROR(INDEX('Input - Tesco'!K$2:K$200,MATCH('Calculations - Tesco'!$C153,'Input - Tesco'!$B$2:$B$200,0)),"")</f>
        <v>0</v>
      </c>
      <c r="M153" s="21" t="str">
        <f t="shared" si="96"/>
        <v/>
      </c>
      <c r="N153" s="21" t="str">
        <f t="shared" si="82"/>
        <v/>
      </c>
      <c r="O153" s="21">
        <f t="shared" si="97"/>
        <v>0</v>
      </c>
      <c r="P153" s="9">
        <f t="shared" si="111"/>
        <v>0</v>
      </c>
      <c r="Q153" s="9">
        <f t="shared" si="112"/>
        <v>0</v>
      </c>
      <c r="R153" s="22" t="str">
        <f>IFERROR(INDEX(Tesco!$Q$11:$Q$165,MATCH('Calculations - Tesco'!$C153,Tesco!$M$11:$M$165,0)),"")</f>
        <v/>
      </c>
      <c r="S153" s="22" t="str">
        <f>IFERROR(INDEX(Tesco!$R$11:$R$165,MATCH('Calculations - Tesco'!$C153,Tesco!$M$11:$M$165,0)),"")</f>
        <v/>
      </c>
      <c r="T153" s="16" t="e">
        <f t="shared" si="83"/>
        <v>#VALUE!</v>
      </c>
      <c r="U153" s="16" t="e">
        <f t="shared" si="98"/>
        <v>#VALUE!</v>
      </c>
      <c r="V153" s="16" t="e">
        <f t="shared" si="99"/>
        <v>#VALUE!</v>
      </c>
      <c r="W153" s="10" t="str">
        <f t="shared" si="84"/>
        <v>-</v>
      </c>
      <c r="X153" s="10" t="str">
        <f t="shared" si="85"/>
        <v>-</v>
      </c>
      <c r="Y153" s="13" t="str">
        <f t="shared" si="100"/>
        <v>-</v>
      </c>
      <c r="Z153" s="9" t="str">
        <f t="shared" si="86"/>
        <v>-</v>
      </c>
      <c r="AA153" s="16" t="str">
        <f t="shared" si="101"/>
        <v>-</v>
      </c>
      <c r="AB153" s="16" t="str">
        <f t="shared" si="87"/>
        <v>-</v>
      </c>
      <c r="AC153" s="16" t="str">
        <f t="shared" si="88"/>
        <v>-</v>
      </c>
      <c r="AD153" s="16" t="str">
        <f t="shared" si="102"/>
        <v>-</v>
      </c>
      <c r="AE153" s="16"/>
      <c r="AF153" s="31" t="str">
        <f>IFERROR(INDEX(Tesco!$P$11:$P$165,MATCH('Calculations - Tesco'!C153,Tesco!$M$11:$M$165,0)),"")</f>
        <v/>
      </c>
      <c r="AG153" s="23" t="str">
        <f t="shared" si="103"/>
        <v/>
      </c>
      <c r="AH153" s="23" t="str">
        <f t="shared" si="103"/>
        <v/>
      </c>
      <c r="AI153" s="9" t="str">
        <f t="shared" si="89"/>
        <v/>
      </c>
      <c r="AJ153" s="4" t="str">
        <f t="shared" si="90"/>
        <v/>
      </c>
      <c r="AK153" s="4"/>
      <c r="AL153" s="4"/>
      <c r="AM153" s="4"/>
      <c r="AN153" s="4"/>
      <c r="AO153" s="4"/>
      <c r="AP153" s="20" t="str">
        <f t="shared" si="91"/>
        <v>-</v>
      </c>
      <c r="AQ153" s="13" t="str">
        <f t="shared" si="104"/>
        <v>-</v>
      </c>
      <c r="AR153" s="13" t="str">
        <f t="shared" si="105"/>
        <v>-</v>
      </c>
      <c r="AS153" s="13" t="str">
        <f t="shared" si="92"/>
        <v>-</v>
      </c>
      <c r="AT153" s="16" t="str">
        <f t="shared" si="106"/>
        <v>-</v>
      </c>
      <c r="AU153" s="16" t="str">
        <f t="shared" si="93"/>
        <v>-</v>
      </c>
      <c r="AV153" s="16" t="str">
        <f t="shared" si="94"/>
        <v>-</v>
      </c>
      <c r="AW153" s="16" t="str">
        <f t="shared" si="107"/>
        <v>-</v>
      </c>
      <c r="AX153" s="13" t="str">
        <f t="shared" si="108"/>
        <v>-</v>
      </c>
      <c r="AY153" s="10" t="str">
        <f t="shared" si="109"/>
        <v>-</v>
      </c>
      <c r="AZ153" s="9" t="str">
        <f t="shared" si="110"/>
        <v>-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</row>
    <row r="154" spans="2:68" x14ac:dyDescent="0.3">
      <c r="B154" s="108" t="str">
        <f t="shared" si="95"/>
        <v/>
      </c>
      <c r="C154" s="108" t="str">
        <f t="shared" si="81"/>
        <v/>
      </c>
      <c r="D154" s="3"/>
      <c r="E154" s="3"/>
      <c r="F154" s="3"/>
      <c r="G154" s="20">
        <f>IFERROR(INDEX('Input - Tesco'!F$2:F$200,MATCH('Calculations - Tesco'!$C154,'Input - Tesco'!$B$2:$B$200,0)),"")</f>
        <v>0</v>
      </c>
      <c r="H154" s="20">
        <f>IFERROR(INDEX('Input - Tesco'!G$2:G$200,MATCH('Calculations - Tesco'!$C154,'Input - Tesco'!$B$2:$B$200,0)),"")</f>
        <v>0</v>
      </c>
      <c r="I154" s="21">
        <f>IFERROR(INDEX('Input - Tesco'!H$2:H$200,MATCH('Calculations - Tesco'!$C154,'Input - Tesco'!$B$2:$B$200,0)),"")</f>
        <v>0</v>
      </c>
      <c r="J154" s="21">
        <f>IFERROR(INDEX('Input - Tesco'!I$2:I$200,MATCH('Calculations - Tesco'!$C154,'Input - Tesco'!$B$2:$B$200,0)),"")</f>
        <v>0</v>
      </c>
      <c r="K154" s="20">
        <f>IFERROR(INDEX('Input - Tesco'!J$2:J$200,MATCH('Calculations - Tesco'!$C154,'Input - Tesco'!$B$2:$B$200,0)),"")</f>
        <v>0</v>
      </c>
      <c r="L154" s="20">
        <f>IFERROR(INDEX('Input - Tesco'!K$2:K$200,MATCH('Calculations - Tesco'!$C154,'Input - Tesco'!$B$2:$B$200,0)),"")</f>
        <v>0</v>
      </c>
      <c r="M154" s="21" t="str">
        <f t="shared" si="96"/>
        <v/>
      </c>
      <c r="N154" s="21" t="str">
        <f t="shared" si="82"/>
        <v/>
      </c>
      <c r="O154" s="21">
        <f t="shared" si="97"/>
        <v>0</v>
      </c>
      <c r="P154" s="9">
        <f t="shared" si="111"/>
        <v>0</v>
      </c>
      <c r="Q154" s="9">
        <f t="shared" si="112"/>
        <v>0</v>
      </c>
      <c r="R154" s="22" t="str">
        <f>IFERROR(INDEX(Tesco!$Q$11:$Q$165,MATCH('Calculations - Tesco'!$C154,Tesco!$M$11:$M$165,0)),"")</f>
        <v/>
      </c>
      <c r="S154" s="22" t="str">
        <f>IFERROR(INDEX(Tesco!$R$11:$R$165,MATCH('Calculations - Tesco'!$C154,Tesco!$M$11:$M$165,0)),"")</f>
        <v/>
      </c>
      <c r="T154" s="16" t="e">
        <f t="shared" si="83"/>
        <v>#VALUE!</v>
      </c>
      <c r="U154" s="16" t="e">
        <f t="shared" si="98"/>
        <v>#VALUE!</v>
      </c>
      <c r="V154" s="16" t="e">
        <f t="shared" si="99"/>
        <v>#VALUE!</v>
      </c>
      <c r="W154" s="10" t="str">
        <f t="shared" si="84"/>
        <v>-</v>
      </c>
      <c r="X154" s="10" t="str">
        <f t="shared" si="85"/>
        <v>-</v>
      </c>
      <c r="Y154" s="13" t="str">
        <f t="shared" si="100"/>
        <v>-</v>
      </c>
      <c r="Z154" s="9" t="str">
        <f t="shared" si="86"/>
        <v>-</v>
      </c>
      <c r="AA154" s="16" t="str">
        <f t="shared" si="101"/>
        <v>-</v>
      </c>
      <c r="AB154" s="16" t="str">
        <f t="shared" si="87"/>
        <v>-</v>
      </c>
      <c r="AC154" s="16" t="str">
        <f t="shared" si="88"/>
        <v>-</v>
      </c>
      <c r="AD154" s="16" t="str">
        <f t="shared" si="102"/>
        <v>-</v>
      </c>
      <c r="AE154" s="16"/>
      <c r="AF154" s="31" t="str">
        <f>IFERROR(INDEX(Tesco!$P$11:$P$165,MATCH('Calculations - Tesco'!C154,Tesco!$M$11:$M$165,0)),"")</f>
        <v/>
      </c>
      <c r="AG154" s="23" t="str">
        <f t="shared" si="103"/>
        <v/>
      </c>
      <c r="AH154" s="23" t="str">
        <f t="shared" si="103"/>
        <v/>
      </c>
      <c r="AI154" s="9" t="str">
        <f t="shared" si="89"/>
        <v/>
      </c>
      <c r="AJ154" s="4" t="str">
        <f t="shared" si="90"/>
        <v/>
      </c>
      <c r="AK154" s="4"/>
      <c r="AL154" s="4"/>
      <c r="AM154" s="4"/>
      <c r="AN154" s="4"/>
      <c r="AO154" s="4"/>
      <c r="AP154" s="20" t="str">
        <f t="shared" si="91"/>
        <v>-</v>
      </c>
      <c r="AQ154" s="13" t="str">
        <f t="shared" si="104"/>
        <v>-</v>
      </c>
      <c r="AR154" s="13" t="str">
        <f t="shared" si="105"/>
        <v>-</v>
      </c>
      <c r="AS154" s="13" t="str">
        <f t="shared" si="92"/>
        <v>-</v>
      </c>
      <c r="AT154" s="16" t="str">
        <f t="shared" si="106"/>
        <v>-</v>
      </c>
      <c r="AU154" s="16" t="str">
        <f t="shared" si="93"/>
        <v>-</v>
      </c>
      <c r="AV154" s="16" t="str">
        <f t="shared" si="94"/>
        <v>-</v>
      </c>
      <c r="AW154" s="16" t="str">
        <f t="shared" si="107"/>
        <v>-</v>
      </c>
      <c r="AX154" s="13" t="str">
        <f t="shared" si="108"/>
        <v>-</v>
      </c>
      <c r="AY154" s="10" t="str">
        <f t="shared" si="109"/>
        <v>-</v>
      </c>
      <c r="AZ154" s="9" t="str">
        <f t="shared" si="110"/>
        <v>-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</row>
    <row r="155" spans="2:68" x14ac:dyDescent="0.3">
      <c r="B155" s="108" t="str">
        <f t="shared" si="95"/>
        <v/>
      </c>
      <c r="C155" s="108" t="str">
        <f t="shared" si="81"/>
        <v/>
      </c>
      <c r="D155" s="3"/>
      <c r="E155" s="3"/>
      <c r="F155" s="3"/>
      <c r="G155" s="20">
        <f>IFERROR(INDEX('Input - Tesco'!F$2:F$200,MATCH('Calculations - Tesco'!$C155,'Input - Tesco'!$B$2:$B$200,0)),"")</f>
        <v>0</v>
      </c>
      <c r="H155" s="20">
        <f>IFERROR(INDEX('Input - Tesco'!G$2:G$200,MATCH('Calculations - Tesco'!$C155,'Input - Tesco'!$B$2:$B$200,0)),"")</f>
        <v>0</v>
      </c>
      <c r="I155" s="21">
        <f>IFERROR(INDEX('Input - Tesco'!H$2:H$200,MATCH('Calculations - Tesco'!$C155,'Input - Tesco'!$B$2:$B$200,0)),"")</f>
        <v>0</v>
      </c>
      <c r="J155" s="21">
        <f>IFERROR(INDEX('Input - Tesco'!I$2:I$200,MATCH('Calculations - Tesco'!$C155,'Input - Tesco'!$B$2:$B$200,0)),"")</f>
        <v>0</v>
      </c>
      <c r="K155" s="20">
        <f>IFERROR(INDEX('Input - Tesco'!J$2:J$200,MATCH('Calculations - Tesco'!$C155,'Input - Tesco'!$B$2:$B$200,0)),"")</f>
        <v>0</v>
      </c>
      <c r="L155" s="20">
        <f>IFERROR(INDEX('Input - Tesco'!K$2:K$200,MATCH('Calculations - Tesco'!$C155,'Input - Tesco'!$B$2:$B$200,0)),"")</f>
        <v>0</v>
      </c>
      <c r="M155" s="21" t="str">
        <f t="shared" si="96"/>
        <v/>
      </c>
      <c r="N155" s="21" t="str">
        <f t="shared" si="82"/>
        <v/>
      </c>
      <c r="O155" s="21">
        <f t="shared" si="97"/>
        <v>0</v>
      </c>
      <c r="P155" s="9">
        <f t="shared" si="111"/>
        <v>0</v>
      </c>
      <c r="Q155" s="9">
        <f t="shared" si="112"/>
        <v>0</v>
      </c>
      <c r="R155" s="22" t="str">
        <f>IFERROR(INDEX(Tesco!$Q$11:$Q$165,MATCH('Calculations - Tesco'!$C155,Tesco!$M$11:$M$165,0)),"")</f>
        <v/>
      </c>
      <c r="S155" s="22" t="str">
        <f>IFERROR(INDEX(Tesco!$R$11:$R$165,MATCH('Calculations - Tesco'!$C155,Tesco!$M$11:$M$165,0)),"")</f>
        <v/>
      </c>
      <c r="T155" s="16" t="e">
        <f t="shared" si="83"/>
        <v>#VALUE!</v>
      </c>
      <c r="U155" s="16" t="e">
        <f t="shared" si="98"/>
        <v>#VALUE!</v>
      </c>
      <c r="V155" s="16" t="e">
        <f t="shared" si="99"/>
        <v>#VALUE!</v>
      </c>
      <c r="W155" s="10" t="str">
        <f t="shared" si="84"/>
        <v>-</v>
      </c>
      <c r="X155" s="10" t="str">
        <f t="shared" si="85"/>
        <v>-</v>
      </c>
      <c r="Y155" s="13" t="str">
        <f t="shared" si="100"/>
        <v>-</v>
      </c>
      <c r="Z155" s="9" t="str">
        <f t="shared" si="86"/>
        <v>-</v>
      </c>
      <c r="AA155" s="16" t="str">
        <f t="shared" si="101"/>
        <v>-</v>
      </c>
      <c r="AB155" s="16" t="str">
        <f t="shared" si="87"/>
        <v>-</v>
      </c>
      <c r="AC155" s="16" t="str">
        <f t="shared" si="88"/>
        <v>-</v>
      </c>
      <c r="AD155" s="16" t="str">
        <f t="shared" si="102"/>
        <v>-</v>
      </c>
      <c r="AE155" s="16"/>
      <c r="AF155" s="31" t="str">
        <f>IFERROR(INDEX(Tesco!$P$11:$P$165,MATCH('Calculations - Tesco'!C155,Tesco!$M$11:$M$165,0)),"")</f>
        <v/>
      </c>
      <c r="AG155" s="23" t="str">
        <f t="shared" si="103"/>
        <v/>
      </c>
      <c r="AH155" s="23" t="str">
        <f t="shared" si="103"/>
        <v/>
      </c>
      <c r="AI155" s="9" t="str">
        <f t="shared" si="89"/>
        <v/>
      </c>
      <c r="AJ155" s="4" t="str">
        <f t="shared" si="90"/>
        <v/>
      </c>
      <c r="AK155" s="4"/>
      <c r="AL155" s="4"/>
      <c r="AM155" s="4"/>
      <c r="AN155" s="4"/>
      <c r="AO155" s="4"/>
      <c r="AP155" s="20" t="str">
        <f t="shared" si="91"/>
        <v>-</v>
      </c>
      <c r="AQ155" s="13" t="str">
        <f t="shared" si="104"/>
        <v>-</v>
      </c>
      <c r="AR155" s="13" t="str">
        <f t="shared" si="105"/>
        <v>-</v>
      </c>
      <c r="AS155" s="13" t="str">
        <f t="shared" si="92"/>
        <v>-</v>
      </c>
      <c r="AT155" s="16" t="str">
        <f t="shared" si="106"/>
        <v>-</v>
      </c>
      <c r="AU155" s="16" t="str">
        <f t="shared" si="93"/>
        <v>-</v>
      </c>
      <c r="AV155" s="16" t="str">
        <f t="shared" si="94"/>
        <v>-</v>
      </c>
      <c r="AW155" s="16" t="str">
        <f t="shared" si="107"/>
        <v>-</v>
      </c>
      <c r="AX155" s="13" t="str">
        <f t="shared" si="108"/>
        <v>-</v>
      </c>
      <c r="AY155" s="10" t="str">
        <f t="shared" si="109"/>
        <v>-</v>
      </c>
      <c r="AZ155" s="9" t="str">
        <f t="shared" si="110"/>
        <v>-</v>
      </c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</row>
    <row r="156" spans="2:68" x14ac:dyDescent="0.3">
      <c r="B156" s="108" t="str">
        <f t="shared" si="95"/>
        <v/>
      </c>
      <c r="C156" s="108" t="str">
        <f t="shared" si="81"/>
        <v/>
      </c>
      <c r="D156" s="3"/>
      <c r="E156" s="3"/>
      <c r="F156" s="3"/>
      <c r="G156" s="20">
        <f>IFERROR(INDEX('Input - Tesco'!F$2:F$200,MATCH('Calculations - Tesco'!$C156,'Input - Tesco'!$B$2:$B$200,0)),"")</f>
        <v>0</v>
      </c>
      <c r="H156" s="20">
        <f>IFERROR(INDEX('Input - Tesco'!G$2:G$200,MATCH('Calculations - Tesco'!$C156,'Input - Tesco'!$B$2:$B$200,0)),"")</f>
        <v>0</v>
      </c>
      <c r="I156" s="21">
        <f>IFERROR(INDEX('Input - Tesco'!H$2:H$200,MATCH('Calculations - Tesco'!$C156,'Input - Tesco'!$B$2:$B$200,0)),"")</f>
        <v>0</v>
      </c>
      <c r="J156" s="21">
        <f>IFERROR(INDEX('Input - Tesco'!I$2:I$200,MATCH('Calculations - Tesco'!$C156,'Input - Tesco'!$B$2:$B$200,0)),"")</f>
        <v>0</v>
      </c>
      <c r="K156" s="20">
        <f>IFERROR(INDEX('Input - Tesco'!J$2:J$200,MATCH('Calculations - Tesco'!$C156,'Input - Tesco'!$B$2:$B$200,0)),"")</f>
        <v>0</v>
      </c>
      <c r="L156" s="20">
        <f>IFERROR(INDEX('Input - Tesco'!K$2:K$200,MATCH('Calculations - Tesco'!$C156,'Input - Tesco'!$B$2:$B$200,0)),"")</f>
        <v>0</v>
      </c>
      <c r="M156" s="21" t="str">
        <f t="shared" si="96"/>
        <v/>
      </c>
      <c r="N156" s="21" t="str">
        <f t="shared" si="82"/>
        <v/>
      </c>
      <c r="O156" s="21">
        <f t="shared" si="97"/>
        <v>0</v>
      </c>
      <c r="P156" s="9">
        <f t="shared" si="111"/>
        <v>0</v>
      </c>
      <c r="Q156" s="9">
        <f t="shared" si="112"/>
        <v>0</v>
      </c>
      <c r="R156" s="22" t="str">
        <f>IFERROR(INDEX(Tesco!$Q$11:$Q$165,MATCH('Calculations - Tesco'!$C156,Tesco!$M$11:$M$165,0)),"")</f>
        <v/>
      </c>
      <c r="S156" s="22" t="str">
        <f>IFERROR(INDEX(Tesco!$R$11:$R$165,MATCH('Calculations - Tesco'!$C156,Tesco!$M$11:$M$165,0)),"")</f>
        <v/>
      </c>
      <c r="T156" s="16" t="e">
        <f t="shared" si="83"/>
        <v>#VALUE!</v>
      </c>
      <c r="U156" s="16" t="e">
        <f t="shared" si="98"/>
        <v>#VALUE!</v>
      </c>
      <c r="V156" s="16" t="e">
        <f t="shared" si="99"/>
        <v>#VALUE!</v>
      </c>
      <c r="W156" s="10" t="str">
        <f t="shared" si="84"/>
        <v>-</v>
      </c>
      <c r="X156" s="10" t="str">
        <f t="shared" si="85"/>
        <v>-</v>
      </c>
      <c r="Y156" s="13" t="str">
        <f t="shared" si="100"/>
        <v>-</v>
      </c>
      <c r="Z156" s="9" t="str">
        <f t="shared" si="86"/>
        <v>-</v>
      </c>
      <c r="AA156" s="16" t="str">
        <f t="shared" si="101"/>
        <v>-</v>
      </c>
      <c r="AB156" s="16" t="str">
        <f t="shared" si="87"/>
        <v>-</v>
      </c>
      <c r="AC156" s="16" t="str">
        <f t="shared" si="88"/>
        <v>-</v>
      </c>
      <c r="AD156" s="16" t="str">
        <f t="shared" si="102"/>
        <v>-</v>
      </c>
      <c r="AE156" s="16"/>
      <c r="AF156" s="31" t="str">
        <f>IFERROR(INDEX(Tesco!$P$11:$P$165,MATCH('Calculations - Tesco'!C156,Tesco!$M$11:$M$165,0)),"")</f>
        <v/>
      </c>
      <c r="AG156" s="23" t="str">
        <f t="shared" si="103"/>
        <v/>
      </c>
      <c r="AH156" s="23" t="str">
        <f t="shared" si="103"/>
        <v/>
      </c>
      <c r="AI156" s="9" t="str">
        <f t="shared" si="89"/>
        <v/>
      </c>
      <c r="AJ156" s="4" t="str">
        <f t="shared" si="90"/>
        <v/>
      </c>
      <c r="AK156" s="4"/>
      <c r="AL156" s="4"/>
      <c r="AM156" s="4"/>
      <c r="AN156" s="4"/>
      <c r="AO156" s="4"/>
      <c r="AP156" s="20" t="str">
        <f t="shared" si="91"/>
        <v>-</v>
      </c>
      <c r="AQ156" s="13" t="str">
        <f t="shared" si="104"/>
        <v>-</v>
      </c>
      <c r="AR156" s="13" t="str">
        <f t="shared" si="105"/>
        <v>-</v>
      </c>
      <c r="AS156" s="13" t="str">
        <f t="shared" si="92"/>
        <v>-</v>
      </c>
      <c r="AT156" s="16" t="str">
        <f t="shared" si="106"/>
        <v>-</v>
      </c>
      <c r="AU156" s="16" t="str">
        <f t="shared" si="93"/>
        <v>-</v>
      </c>
      <c r="AV156" s="16" t="str">
        <f t="shared" si="94"/>
        <v>-</v>
      </c>
      <c r="AW156" s="16" t="str">
        <f t="shared" si="107"/>
        <v>-</v>
      </c>
      <c r="AX156" s="13" t="str">
        <f t="shared" si="108"/>
        <v>-</v>
      </c>
      <c r="AY156" s="10" t="str">
        <f t="shared" si="109"/>
        <v>-</v>
      </c>
      <c r="AZ156" s="9" t="str">
        <f t="shared" si="110"/>
        <v>-</v>
      </c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</row>
    <row r="157" spans="2:68" x14ac:dyDescent="0.3">
      <c r="B157" s="108" t="str">
        <f t="shared" si="95"/>
        <v/>
      </c>
      <c r="C157" s="108" t="str">
        <f t="shared" si="81"/>
        <v/>
      </c>
      <c r="D157" s="3"/>
      <c r="E157" s="3"/>
      <c r="F157" s="3"/>
      <c r="G157" s="20">
        <f>IFERROR(INDEX('Input - Tesco'!F$2:F$200,MATCH('Calculations - Tesco'!$C157,'Input - Tesco'!$B$2:$B$200,0)),"")</f>
        <v>0</v>
      </c>
      <c r="H157" s="20">
        <f>IFERROR(INDEX('Input - Tesco'!G$2:G$200,MATCH('Calculations - Tesco'!$C157,'Input - Tesco'!$B$2:$B$200,0)),"")</f>
        <v>0</v>
      </c>
      <c r="I157" s="21">
        <f>IFERROR(INDEX('Input - Tesco'!H$2:H$200,MATCH('Calculations - Tesco'!$C157,'Input - Tesco'!$B$2:$B$200,0)),"")</f>
        <v>0</v>
      </c>
      <c r="J157" s="21">
        <f>IFERROR(INDEX('Input - Tesco'!I$2:I$200,MATCH('Calculations - Tesco'!$C157,'Input - Tesco'!$B$2:$B$200,0)),"")</f>
        <v>0</v>
      </c>
      <c r="K157" s="20">
        <f>IFERROR(INDEX('Input - Tesco'!J$2:J$200,MATCH('Calculations - Tesco'!$C157,'Input - Tesco'!$B$2:$B$200,0)),"")</f>
        <v>0</v>
      </c>
      <c r="L157" s="20">
        <f>IFERROR(INDEX('Input - Tesco'!K$2:K$200,MATCH('Calculations - Tesco'!$C157,'Input - Tesco'!$B$2:$B$200,0)),"")</f>
        <v>0</v>
      </c>
      <c r="M157" s="21" t="str">
        <f t="shared" si="96"/>
        <v/>
      </c>
      <c r="N157" s="21" t="str">
        <f t="shared" si="82"/>
        <v/>
      </c>
      <c r="O157" s="21">
        <f t="shared" si="97"/>
        <v>0</v>
      </c>
      <c r="P157" s="9">
        <f t="shared" si="111"/>
        <v>0</v>
      </c>
      <c r="Q157" s="9">
        <f t="shared" si="112"/>
        <v>0</v>
      </c>
      <c r="R157" s="22" t="str">
        <f>IFERROR(INDEX(Tesco!$Q$11:$Q$165,MATCH('Calculations - Tesco'!$C157,Tesco!$M$11:$M$165,0)),"")</f>
        <v/>
      </c>
      <c r="S157" s="22" t="str">
        <f>IFERROR(INDEX(Tesco!$R$11:$R$165,MATCH('Calculations - Tesco'!$C157,Tesco!$M$11:$M$165,0)),"")</f>
        <v/>
      </c>
      <c r="T157" s="16" t="e">
        <f t="shared" si="83"/>
        <v>#VALUE!</v>
      </c>
      <c r="U157" s="16" t="e">
        <f t="shared" si="98"/>
        <v>#VALUE!</v>
      </c>
      <c r="V157" s="16" t="e">
        <f t="shared" si="99"/>
        <v>#VALUE!</v>
      </c>
      <c r="W157" s="10" t="str">
        <f t="shared" si="84"/>
        <v>-</v>
      </c>
      <c r="X157" s="10" t="str">
        <f t="shared" si="85"/>
        <v>-</v>
      </c>
      <c r="Y157" s="13" t="str">
        <f t="shared" si="100"/>
        <v>-</v>
      </c>
      <c r="Z157" s="9" t="str">
        <f t="shared" si="86"/>
        <v>-</v>
      </c>
      <c r="AA157" s="16" t="str">
        <f t="shared" si="101"/>
        <v>-</v>
      </c>
      <c r="AB157" s="16" t="str">
        <f t="shared" si="87"/>
        <v>-</v>
      </c>
      <c r="AC157" s="16" t="str">
        <f t="shared" si="88"/>
        <v>-</v>
      </c>
      <c r="AD157" s="16" t="str">
        <f t="shared" si="102"/>
        <v>-</v>
      </c>
      <c r="AE157" s="16"/>
      <c r="AF157" s="31" t="str">
        <f>IFERROR(INDEX(Tesco!$P$11:$P$165,MATCH('Calculations - Tesco'!C157,Tesco!$M$11:$M$165,0)),"")</f>
        <v/>
      </c>
      <c r="AG157" s="23" t="str">
        <f t="shared" si="103"/>
        <v/>
      </c>
      <c r="AH157" s="23" t="str">
        <f t="shared" si="103"/>
        <v/>
      </c>
      <c r="AI157" s="9" t="str">
        <f t="shared" si="89"/>
        <v/>
      </c>
      <c r="AJ157" s="4" t="str">
        <f t="shared" si="90"/>
        <v/>
      </c>
      <c r="AK157" s="4"/>
      <c r="AL157" s="4"/>
      <c r="AM157" s="4"/>
      <c r="AN157" s="4"/>
      <c r="AO157" s="4"/>
      <c r="AP157" s="20" t="str">
        <f t="shared" si="91"/>
        <v>-</v>
      </c>
      <c r="AQ157" s="13" t="str">
        <f t="shared" si="104"/>
        <v>-</v>
      </c>
      <c r="AR157" s="13" t="str">
        <f t="shared" si="105"/>
        <v>-</v>
      </c>
      <c r="AS157" s="13" t="str">
        <f t="shared" si="92"/>
        <v>-</v>
      </c>
      <c r="AT157" s="16" t="str">
        <f t="shared" si="106"/>
        <v>-</v>
      </c>
      <c r="AU157" s="16" t="str">
        <f t="shared" si="93"/>
        <v>-</v>
      </c>
      <c r="AV157" s="16" t="str">
        <f t="shared" si="94"/>
        <v>-</v>
      </c>
      <c r="AW157" s="16" t="str">
        <f t="shared" si="107"/>
        <v>-</v>
      </c>
      <c r="AX157" s="13" t="str">
        <f t="shared" si="108"/>
        <v>-</v>
      </c>
      <c r="AY157" s="10" t="str">
        <f t="shared" si="109"/>
        <v>-</v>
      </c>
      <c r="AZ157" s="9" t="str">
        <f t="shared" si="110"/>
        <v>-</v>
      </c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</row>
    <row r="158" spans="2:68" x14ac:dyDescent="0.3">
      <c r="B158" s="108" t="str">
        <f t="shared" si="95"/>
        <v/>
      </c>
      <c r="C158" s="108" t="str">
        <f t="shared" si="81"/>
        <v/>
      </c>
      <c r="D158" s="3"/>
      <c r="E158" s="3"/>
      <c r="F158" s="3"/>
      <c r="G158" s="20">
        <f>IFERROR(INDEX('Input - Tesco'!F$2:F$200,MATCH('Calculations - Tesco'!$C158,'Input - Tesco'!$B$2:$B$200,0)),"")</f>
        <v>0</v>
      </c>
      <c r="H158" s="20">
        <f>IFERROR(INDEX('Input - Tesco'!G$2:G$200,MATCH('Calculations - Tesco'!$C158,'Input - Tesco'!$B$2:$B$200,0)),"")</f>
        <v>0</v>
      </c>
      <c r="I158" s="21">
        <f>IFERROR(INDEX('Input - Tesco'!H$2:H$200,MATCH('Calculations - Tesco'!$C158,'Input - Tesco'!$B$2:$B$200,0)),"")</f>
        <v>0</v>
      </c>
      <c r="J158" s="21">
        <f>IFERROR(INDEX('Input - Tesco'!I$2:I$200,MATCH('Calculations - Tesco'!$C158,'Input - Tesco'!$B$2:$B$200,0)),"")</f>
        <v>0</v>
      </c>
      <c r="K158" s="20">
        <f>IFERROR(INDEX('Input - Tesco'!J$2:J$200,MATCH('Calculations - Tesco'!$C158,'Input - Tesco'!$B$2:$B$200,0)),"")</f>
        <v>0</v>
      </c>
      <c r="L158" s="20">
        <f>IFERROR(INDEX('Input - Tesco'!K$2:K$200,MATCH('Calculations - Tesco'!$C158,'Input - Tesco'!$B$2:$B$200,0)),"")</f>
        <v>0</v>
      </c>
      <c r="M158" s="21" t="str">
        <f t="shared" si="96"/>
        <v/>
      </c>
      <c r="N158" s="21" t="str">
        <f t="shared" si="82"/>
        <v/>
      </c>
      <c r="O158" s="21">
        <f t="shared" si="97"/>
        <v>0</v>
      </c>
      <c r="P158" s="9">
        <f t="shared" si="111"/>
        <v>0</v>
      </c>
      <c r="Q158" s="9">
        <f t="shared" si="112"/>
        <v>0</v>
      </c>
      <c r="R158" s="22" t="str">
        <f>IFERROR(INDEX(Tesco!$Q$11:$Q$165,MATCH('Calculations - Tesco'!$C158,Tesco!$M$11:$M$165,0)),"")</f>
        <v/>
      </c>
      <c r="S158" s="22" t="str">
        <f>IFERROR(INDEX(Tesco!$R$11:$R$165,MATCH('Calculations - Tesco'!$C158,Tesco!$M$11:$M$165,0)),"")</f>
        <v/>
      </c>
      <c r="T158" s="16" t="e">
        <f t="shared" si="83"/>
        <v>#VALUE!</v>
      </c>
      <c r="U158" s="16" t="e">
        <f t="shared" si="98"/>
        <v>#VALUE!</v>
      </c>
      <c r="V158" s="16" t="e">
        <f t="shared" si="99"/>
        <v>#VALUE!</v>
      </c>
      <c r="W158" s="10" t="str">
        <f t="shared" si="84"/>
        <v>-</v>
      </c>
      <c r="X158" s="10" t="str">
        <f t="shared" si="85"/>
        <v>-</v>
      </c>
      <c r="Y158" s="13" t="str">
        <f t="shared" si="100"/>
        <v>-</v>
      </c>
      <c r="Z158" s="9" t="str">
        <f t="shared" si="86"/>
        <v>-</v>
      </c>
      <c r="AA158" s="16" t="str">
        <f t="shared" si="101"/>
        <v>-</v>
      </c>
      <c r="AB158" s="16" t="str">
        <f t="shared" si="87"/>
        <v>-</v>
      </c>
      <c r="AC158" s="16" t="str">
        <f t="shared" si="88"/>
        <v>-</v>
      </c>
      <c r="AD158" s="16" t="str">
        <f t="shared" si="102"/>
        <v>-</v>
      </c>
      <c r="AE158" s="16"/>
      <c r="AF158" s="31" t="str">
        <f>IFERROR(INDEX(Tesco!$P$11:$P$165,MATCH('Calculations - Tesco'!C158,Tesco!$M$11:$M$165,0)),"")</f>
        <v/>
      </c>
      <c r="AG158" s="23" t="str">
        <f t="shared" si="103"/>
        <v/>
      </c>
      <c r="AH158" s="23" t="str">
        <f t="shared" si="103"/>
        <v/>
      </c>
      <c r="AI158" s="9" t="str">
        <f t="shared" si="89"/>
        <v/>
      </c>
      <c r="AJ158" s="4" t="str">
        <f t="shared" si="90"/>
        <v/>
      </c>
      <c r="AK158" s="4"/>
      <c r="AL158" s="4"/>
      <c r="AM158" s="4"/>
      <c r="AN158" s="4"/>
      <c r="AO158" s="4"/>
      <c r="AP158" s="20" t="str">
        <f t="shared" si="91"/>
        <v>-</v>
      </c>
      <c r="AQ158" s="13" t="str">
        <f t="shared" si="104"/>
        <v>-</v>
      </c>
      <c r="AR158" s="13" t="str">
        <f t="shared" si="105"/>
        <v>-</v>
      </c>
      <c r="AS158" s="13" t="str">
        <f t="shared" si="92"/>
        <v>-</v>
      </c>
      <c r="AT158" s="16" t="str">
        <f t="shared" si="106"/>
        <v>-</v>
      </c>
      <c r="AU158" s="16" t="str">
        <f t="shared" si="93"/>
        <v>-</v>
      </c>
      <c r="AV158" s="16" t="str">
        <f t="shared" si="94"/>
        <v>-</v>
      </c>
      <c r="AW158" s="16" t="str">
        <f t="shared" si="107"/>
        <v>-</v>
      </c>
      <c r="AX158" s="13" t="str">
        <f t="shared" si="108"/>
        <v>-</v>
      </c>
      <c r="AY158" s="10" t="str">
        <f t="shared" si="109"/>
        <v>-</v>
      </c>
      <c r="AZ158" s="9" t="str">
        <f t="shared" si="110"/>
        <v>-</v>
      </c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</row>
    <row r="159" spans="2:68" x14ac:dyDescent="0.3">
      <c r="B159" s="108" t="str">
        <f t="shared" si="95"/>
        <v/>
      </c>
      <c r="C159" s="108" t="str">
        <f t="shared" si="81"/>
        <v/>
      </c>
      <c r="D159" s="3"/>
      <c r="E159" s="3"/>
      <c r="F159" s="3"/>
      <c r="G159" s="20">
        <f>IFERROR(INDEX('Input - Tesco'!F$2:F$200,MATCH('Calculations - Tesco'!$C159,'Input - Tesco'!$B$2:$B$200,0)),"")</f>
        <v>0</v>
      </c>
      <c r="H159" s="20">
        <f>IFERROR(INDEX('Input - Tesco'!G$2:G$200,MATCH('Calculations - Tesco'!$C159,'Input - Tesco'!$B$2:$B$200,0)),"")</f>
        <v>0</v>
      </c>
      <c r="I159" s="21">
        <f>IFERROR(INDEX('Input - Tesco'!H$2:H$200,MATCH('Calculations - Tesco'!$C159,'Input - Tesco'!$B$2:$B$200,0)),"")</f>
        <v>0</v>
      </c>
      <c r="J159" s="21">
        <f>IFERROR(INDEX('Input - Tesco'!I$2:I$200,MATCH('Calculations - Tesco'!$C159,'Input - Tesco'!$B$2:$B$200,0)),"")</f>
        <v>0</v>
      </c>
      <c r="K159" s="20">
        <f>IFERROR(INDEX('Input - Tesco'!J$2:J$200,MATCH('Calculations - Tesco'!$C159,'Input - Tesco'!$B$2:$B$200,0)),"")</f>
        <v>0</v>
      </c>
      <c r="L159" s="20">
        <f>IFERROR(INDEX('Input - Tesco'!K$2:K$200,MATCH('Calculations - Tesco'!$C159,'Input - Tesco'!$B$2:$B$200,0)),"")</f>
        <v>0</v>
      </c>
      <c r="M159" s="21" t="str">
        <f t="shared" si="96"/>
        <v/>
      </c>
      <c r="N159" s="21" t="str">
        <f t="shared" si="82"/>
        <v/>
      </c>
      <c r="O159" s="21">
        <f t="shared" si="97"/>
        <v>0</v>
      </c>
      <c r="P159" s="9">
        <f t="shared" si="111"/>
        <v>0</v>
      </c>
      <c r="Q159" s="9">
        <f t="shared" si="112"/>
        <v>0</v>
      </c>
      <c r="R159" s="22" t="str">
        <f>IFERROR(INDEX(Tesco!$Q$11:$Q$165,MATCH('Calculations - Tesco'!$C159,Tesco!$M$11:$M$165,0)),"")</f>
        <v/>
      </c>
      <c r="S159" s="22" t="str">
        <f>IFERROR(INDEX(Tesco!$R$11:$R$165,MATCH('Calculations - Tesco'!$C159,Tesco!$M$11:$M$165,0)),"")</f>
        <v/>
      </c>
      <c r="T159" s="16" t="e">
        <f t="shared" si="83"/>
        <v>#VALUE!</v>
      </c>
      <c r="U159" s="16" t="e">
        <f t="shared" si="98"/>
        <v>#VALUE!</v>
      </c>
      <c r="V159" s="16" t="e">
        <f t="shared" si="99"/>
        <v>#VALUE!</v>
      </c>
      <c r="W159" s="10" t="str">
        <f t="shared" si="84"/>
        <v>-</v>
      </c>
      <c r="X159" s="10" t="str">
        <f t="shared" si="85"/>
        <v>-</v>
      </c>
      <c r="Y159" s="13" t="str">
        <f t="shared" si="100"/>
        <v>-</v>
      </c>
      <c r="Z159" s="9" t="str">
        <f t="shared" si="86"/>
        <v>-</v>
      </c>
      <c r="AA159" s="16" t="str">
        <f t="shared" si="101"/>
        <v>-</v>
      </c>
      <c r="AB159" s="16" t="str">
        <f t="shared" si="87"/>
        <v>-</v>
      </c>
      <c r="AC159" s="16" t="str">
        <f t="shared" si="88"/>
        <v>-</v>
      </c>
      <c r="AD159" s="16" t="str">
        <f t="shared" si="102"/>
        <v>-</v>
      </c>
      <c r="AE159" s="16"/>
      <c r="AF159" s="31" t="str">
        <f>IFERROR(INDEX(Tesco!$P$11:$P$165,MATCH('Calculations - Tesco'!C159,Tesco!$M$11:$M$165,0)),"")</f>
        <v/>
      </c>
      <c r="AG159" s="23" t="str">
        <f t="shared" si="103"/>
        <v/>
      </c>
      <c r="AH159" s="23" t="str">
        <f t="shared" si="103"/>
        <v/>
      </c>
      <c r="AI159" s="9" t="str">
        <f t="shared" si="89"/>
        <v/>
      </c>
      <c r="AJ159" s="4" t="str">
        <f t="shared" si="90"/>
        <v/>
      </c>
      <c r="AK159" s="4"/>
      <c r="AL159" s="4"/>
      <c r="AM159" s="4"/>
      <c r="AN159" s="4"/>
      <c r="AO159" s="4"/>
      <c r="AP159" s="20" t="str">
        <f t="shared" si="91"/>
        <v>-</v>
      </c>
      <c r="AQ159" s="13" t="str">
        <f t="shared" si="104"/>
        <v>-</v>
      </c>
      <c r="AR159" s="13" t="str">
        <f t="shared" si="105"/>
        <v>-</v>
      </c>
      <c r="AS159" s="13" t="str">
        <f t="shared" si="92"/>
        <v>-</v>
      </c>
      <c r="AT159" s="16" t="str">
        <f t="shared" si="106"/>
        <v>-</v>
      </c>
      <c r="AU159" s="16" t="str">
        <f t="shared" si="93"/>
        <v>-</v>
      </c>
      <c r="AV159" s="16" t="str">
        <f t="shared" si="94"/>
        <v>-</v>
      </c>
      <c r="AW159" s="16" t="str">
        <f t="shared" si="107"/>
        <v>-</v>
      </c>
      <c r="AX159" s="13" t="str">
        <f t="shared" si="108"/>
        <v>-</v>
      </c>
      <c r="AY159" s="10" t="str">
        <f t="shared" si="109"/>
        <v>-</v>
      </c>
      <c r="AZ159" s="9" t="str">
        <f t="shared" si="110"/>
        <v>-</v>
      </c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</row>
    <row r="160" spans="2:68" x14ac:dyDescent="0.3">
      <c r="B160" s="108" t="str">
        <f t="shared" si="95"/>
        <v/>
      </c>
      <c r="C160" s="108" t="str">
        <f t="shared" ref="C160:C223" si="113">IFERROR(D160&amp;E160&amp;F160,"")</f>
        <v/>
      </c>
      <c r="D160" s="3"/>
      <c r="E160" s="3"/>
      <c r="F160" s="3"/>
      <c r="G160" s="20">
        <f>IFERROR(INDEX('Input - Tesco'!F$2:F$200,MATCH('Calculations - Tesco'!$C160,'Input - Tesco'!$B$2:$B$200,0)),"")</f>
        <v>0</v>
      </c>
      <c r="H160" s="20">
        <f>IFERROR(INDEX('Input - Tesco'!G$2:G$200,MATCH('Calculations - Tesco'!$C160,'Input - Tesco'!$B$2:$B$200,0)),"")</f>
        <v>0</v>
      </c>
      <c r="I160" s="21">
        <f>IFERROR(INDEX('Input - Tesco'!H$2:H$200,MATCH('Calculations - Tesco'!$C160,'Input - Tesco'!$B$2:$B$200,0)),"")</f>
        <v>0</v>
      </c>
      <c r="J160" s="21">
        <f>IFERROR(INDEX('Input - Tesco'!I$2:I$200,MATCH('Calculations - Tesco'!$C160,'Input - Tesco'!$B$2:$B$200,0)),"")</f>
        <v>0</v>
      </c>
      <c r="K160" s="20">
        <f>IFERROR(INDEX('Input - Tesco'!J$2:J$200,MATCH('Calculations - Tesco'!$C160,'Input - Tesco'!$B$2:$B$200,0)),"")</f>
        <v>0</v>
      </c>
      <c r="L160" s="20">
        <f>IFERROR(INDEX('Input - Tesco'!K$2:K$200,MATCH('Calculations - Tesco'!$C160,'Input - Tesco'!$B$2:$B$200,0)),"")</f>
        <v>0</v>
      </c>
      <c r="M160" s="21" t="str">
        <f t="shared" si="96"/>
        <v/>
      </c>
      <c r="N160" s="21" t="str">
        <f t="shared" ref="N160:N223" si="114">IFERROR(K160/L160,"")</f>
        <v/>
      </c>
      <c r="O160" s="21">
        <f t="shared" si="97"/>
        <v>0</v>
      </c>
      <c r="P160" s="9">
        <f t="shared" si="111"/>
        <v>0</v>
      </c>
      <c r="Q160" s="9">
        <f t="shared" si="112"/>
        <v>0</v>
      </c>
      <c r="R160" s="22" t="str">
        <f>IFERROR(INDEX(Tesco!$Q$11:$Q$165,MATCH('Calculations - Tesco'!$C160,Tesco!$M$11:$M$165,0)),"")</f>
        <v/>
      </c>
      <c r="S160" s="22" t="str">
        <f>IFERROR(INDEX(Tesco!$R$11:$R$165,MATCH('Calculations - Tesco'!$C160,Tesco!$M$11:$M$165,0)),"")</f>
        <v/>
      </c>
      <c r="T160" s="16" t="e">
        <f t="shared" ref="T160:T223" si="115">R160*G160</f>
        <v>#VALUE!</v>
      </c>
      <c r="U160" s="16" t="e">
        <f t="shared" si="98"/>
        <v>#VALUE!</v>
      </c>
      <c r="V160" s="16" t="e">
        <f t="shared" si="99"/>
        <v>#VALUE!</v>
      </c>
      <c r="W160" s="10" t="str">
        <f t="shared" ref="W160:W223" si="116">IFERROR(V160/H160,"-")</f>
        <v>-</v>
      </c>
      <c r="X160" s="10" t="str">
        <f t="shared" ref="X160:X223" si="117">IFERROR((J160+M160)*H160*0.5,"-")</f>
        <v>-</v>
      </c>
      <c r="Y160" s="13" t="str">
        <f t="shared" si="100"/>
        <v>-</v>
      </c>
      <c r="Z160" s="9" t="str">
        <f t="shared" ref="Z160:Z223" si="118">IFERROR(Y160-P160,"-")</f>
        <v>-</v>
      </c>
      <c r="AA160" s="16" t="str">
        <f t="shared" si="101"/>
        <v>-</v>
      </c>
      <c r="AB160" s="16" t="str">
        <f t="shared" ref="AB160:AB223" si="119">IFERROR(AA160/M160,"-")</f>
        <v>-</v>
      </c>
      <c r="AC160" s="16" t="str">
        <f t="shared" ref="AC160:AC223" si="120">IFERROR(R160*AA160,"-")</f>
        <v>-</v>
      </c>
      <c r="AD160" s="16" t="str">
        <f t="shared" si="102"/>
        <v>-</v>
      </c>
      <c r="AE160" s="16"/>
      <c r="AF160" s="31" t="str">
        <f>IFERROR(INDEX(Tesco!$P$11:$P$165,MATCH('Calculations - Tesco'!C160,Tesco!$M$11:$M$165,0)),"")</f>
        <v/>
      </c>
      <c r="AG160" s="23" t="str">
        <f t="shared" si="103"/>
        <v/>
      </c>
      <c r="AH160" s="23" t="str">
        <f t="shared" si="103"/>
        <v/>
      </c>
      <c r="AI160" s="9" t="str">
        <f t="shared" ref="AI160:AI223" si="121">IFERROR((AF160-M160)/M160,"")</f>
        <v/>
      </c>
      <c r="AJ160" s="4" t="str">
        <f t="shared" ref="AJ160:AJ223" si="122">IFERROR(MAX((1+AI160*O160/5)*H160,0),"")</f>
        <v/>
      </c>
      <c r="AK160" s="4"/>
      <c r="AL160" s="4"/>
      <c r="AM160" s="4"/>
      <c r="AN160" s="4"/>
      <c r="AO160" s="4"/>
      <c r="AP160" s="20" t="str">
        <f t="shared" ref="AP160:AP223" si="123">IFERROR(0.5*(J160+AF160)*AJ160,"-")</f>
        <v>-</v>
      </c>
      <c r="AQ160" s="13" t="str">
        <f t="shared" si="104"/>
        <v>-</v>
      </c>
      <c r="AR160" s="13" t="str">
        <f t="shared" si="105"/>
        <v>-</v>
      </c>
      <c r="AS160" s="13" t="str">
        <f t="shared" ref="AS160:AS223" si="124">IFERROR(AR160-P160,"-")</f>
        <v>-</v>
      </c>
      <c r="AT160" s="16" t="str">
        <f t="shared" si="106"/>
        <v>-</v>
      </c>
      <c r="AU160" s="16" t="str">
        <f t="shared" ref="AU160:AU223" si="125">IFERROR(AT160/AF160,"-")</f>
        <v>-</v>
      </c>
      <c r="AV160" s="16" t="str">
        <f t="shared" ref="AV160:AV223" si="126">IFERROR(AG160*AT160,"-")</f>
        <v>-</v>
      </c>
      <c r="AW160" s="16" t="str">
        <f t="shared" si="107"/>
        <v>-</v>
      </c>
      <c r="AX160" s="13" t="str">
        <f t="shared" si="108"/>
        <v>-</v>
      </c>
      <c r="AY160" s="10" t="str">
        <f t="shared" si="109"/>
        <v>-</v>
      </c>
      <c r="AZ160" s="9" t="str">
        <f t="shared" si="110"/>
        <v>-</v>
      </c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</row>
    <row r="161" spans="2:68" x14ac:dyDescent="0.3">
      <c r="B161" s="108" t="str">
        <f t="shared" ref="B161:B224" si="127">IFERROR(D161&amp;E161,"")</f>
        <v/>
      </c>
      <c r="C161" s="108" t="str">
        <f t="shared" si="113"/>
        <v/>
      </c>
      <c r="D161" s="3"/>
      <c r="E161" s="3"/>
      <c r="F161" s="3"/>
      <c r="G161" s="20">
        <f>IFERROR(INDEX('Input - Tesco'!F$2:F$200,MATCH('Calculations - Tesco'!$C161,'Input - Tesco'!$B$2:$B$200,0)),"")</f>
        <v>0</v>
      </c>
      <c r="H161" s="20">
        <f>IFERROR(INDEX('Input - Tesco'!G$2:G$200,MATCH('Calculations - Tesco'!$C161,'Input - Tesco'!$B$2:$B$200,0)),"")</f>
        <v>0</v>
      </c>
      <c r="I161" s="21">
        <f>IFERROR(INDEX('Input - Tesco'!H$2:H$200,MATCH('Calculations - Tesco'!$C161,'Input - Tesco'!$B$2:$B$200,0)),"")</f>
        <v>0</v>
      </c>
      <c r="J161" s="21">
        <f>IFERROR(INDEX('Input - Tesco'!I$2:I$200,MATCH('Calculations - Tesco'!$C161,'Input - Tesco'!$B$2:$B$200,0)),"")</f>
        <v>0</v>
      </c>
      <c r="K161" s="20">
        <f>IFERROR(INDEX('Input - Tesco'!J$2:J$200,MATCH('Calculations - Tesco'!$C161,'Input - Tesco'!$B$2:$B$200,0)),"")</f>
        <v>0</v>
      </c>
      <c r="L161" s="20">
        <f>IFERROR(INDEX('Input - Tesco'!K$2:K$200,MATCH('Calculations - Tesco'!$C161,'Input - Tesco'!$B$2:$B$200,0)),"")</f>
        <v>0</v>
      </c>
      <c r="M161" s="21" t="str">
        <f t="shared" ref="M161:M224" si="128">IFERROR(G161/H161,"")</f>
        <v/>
      </c>
      <c r="N161" s="21" t="str">
        <f t="shared" si="114"/>
        <v/>
      </c>
      <c r="O161" s="21">
        <f t="shared" ref="O161:O224" si="129">IFERROR((M161/(M161-J161)*5),0)</f>
        <v>0</v>
      </c>
      <c r="P161" s="9">
        <f t="shared" si="111"/>
        <v>0</v>
      </c>
      <c r="Q161" s="9">
        <f t="shared" si="112"/>
        <v>0</v>
      </c>
      <c r="R161" s="22" t="str">
        <f>IFERROR(INDEX(Tesco!$Q$11:$Q$165,MATCH('Calculations - Tesco'!$C161,Tesco!$M$11:$M$165,0)),"")</f>
        <v/>
      </c>
      <c r="S161" s="22" t="str">
        <f>IFERROR(INDEX(Tesco!$R$11:$R$165,MATCH('Calculations - Tesco'!$C161,Tesco!$M$11:$M$165,0)),"")</f>
        <v/>
      </c>
      <c r="T161" s="16" t="e">
        <f t="shared" si="115"/>
        <v>#VALUE!</v>
      </c>
      <c r="U161" s="16" t="e">
        <f t="shared" ref="U161:U224" si="130">S161*T161</f>
        <v>#VALUE!</v>
      </c>
      <c r="V161" s="16" t="e">
        <f t="shared" ref="V161:V224" si="131">T161-U161</f>
        <v>#VALUE!</v>
      </c>
      <c r="W161" s="10" t="str">
        <f t="shared" si="116"/>
        <v>-</v>
      </c>
      <c r="X161" s="10" t="str">
        <f t="shared" si="117"/>
        <v>-</v>
      </c>
      <c r="Y161" s="13" t="str">
        <f t="shared" ref="Y161:Y224" si="132">IFERROR(X161/$X$30,"-")</f>
        <v>-</v>
      </c>
      <c r="Z161" s="9" t="str">
        <f t="shared" si="118"/>
        <v>-</v>
      </c>
      <c r="AA161" s="16" t="str">
        <f t="shared" ref="AA161:AA224" si="133">IFERROR(Y161*$G$30,"-")</f>
        <v>-</v>
      </c>
      <c r="AB161" s="16" t="str">
        <f t="shared" si="119"/>
        <v>-</v>
      </c>
      <c r="AC161" s="16" t="str">
        <f t="shared" si="120"/>
        <v>-</v>
      </c>
      <c r="AD161" s="16" t="str">
        <f t="shared" ref="AD161:AD224" si="134">IFERROR(AC161-(W161)*AB161,"-")</f>
        <v>-</v>
      </c>
      <c r="AE161" s="16"/>
      <c r="AF161" s="31" t="str">
        <f>IFERROR(INDEX(Tesco!$P$11:$P$165,MATCH('Calculations - Tesco'!C161,Tesco!$M$11:$M$165,0)),"")</f>
        <v/>
      </c>
      <c r="AG161" s="23" t="str">
        <f t="shared" ref="AG161:AH224" si="135">R161</f>
        <v/>
      </c>
      <c r="AH161" s="23" t="str">
        <f t="shared" si="135"/>
        <v/>
      </c>
      <c r="AI161" s="9" t="str">
        <f t="shared" si="121"/>
        <v/>
      </c>
      <c r="AJ161" s="4" t="str">
        <f t="shared" si="122"/>
        <v/>
      </c>
      <c r="AK161" s="4"/>
      <c r="AL161" s="4"/>
      <c r="AM161" s="4"/>
      <c r="AN161" s="4"/>
      <c r="AO161" s="4"/>
      <c r="AP161" s="20" t="str">
        <f t="shared" si="123"/>
        <v>-</v>
      </c>
      <c r="AQ161" s="13" t="str">
        <f t="shared" ref="AQ161:AQ224" si="136">IFERROR(AP161/AP$30,"-")</f>
        <v>-</v>
      </c>
      <c r="AR161" s="13" t="str">
        <f t="shared" ref="AR161:AR224" si="137">IFERROR(AQ161*$P$30,"-")</f>
        <v>-</v>
      </c>
      <c r="AS161" s="13" t="str">
        <f t="shared" si="124"/>
        <v>-</v>
      </c>
      <c r="AT161" s="16" t="str">
        <f t="shared" ref="AT161:AT224" si="138">IFERROR(AR161*AO$32,"-")</f>
        <v>-</v>
      </c>
      <c r="AU161" s="16" t="str">
        <f t="shared" si="125"/>
        <v>-</v>
      </c>
      <c r="AV161" s="16" t="str">
        <f t="shared" si="126"/>
        <v>-</v>
      </c>
      <c r="AW161" s="16" t="str">
        <f t="shared" ref="AW161:AW224" si="139">IFERROR(AV161-(W161*AU161),"-")</f>
        <v>-</v>
      </c>
      <c r="AX161" s="13" t="str">
        <f t="shared" ref="AX161:AX224" si="140">IFERROR(AU161/SUMIFS($AU$32:$AU$229,$B$32:$B$229,$B161),"-")</f>
        <v>-</v>
      </c>
      <c r="AY161" s="10" t="str">
        <f t="shared" ref="AY161:AY224" si="141">IFERROR(AX161*INDEX($AU$4:$AU$24,MATCH($B161,$D$4:$D$24,0)),"-")</f>
        <v>-</v>
      </c>
      <c r="AZ161" s="9" t="str">
        <f t="shared" ref="AZ161:AZ224" si="142">IFERROR(AY161/SUM($AY$32:$AY$229),"-")</f>
        <v>-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</row>
    <row r="162" spans="2:68" x14ac:dyDescent="0.3">
      <c r="B162" s="108" t="str">
        <f t="shared" si="127"/>
        <v/>
      </c>
      <c r="C162" s="108" t="str">
        <f t="shared" si="113"/>
        <v/>
      </c>
      <c r="D162" s="3"/>
      <c r="E162" s="3"/>
      <c r="F162" s="3"/>
      <c r="G162" s="20">
        <f>IFERROR(INDEX('Input - Tesco'!F$2:F$200,MATCH('Calculations - Tesco'!$C162,'Input - Tesco'!$B$2:$B$200,0)),"")</f>
        <v>0</v>
      </c>
      <c r="H162" s="20">
        <f>IFERROR(INDEX('Input - Tesco'!G$2:G$200,MATCH('Calculations - Tesco'!$C162,'Input - Tesco'!$B$2:$B$200,0)),"")</f>
        <v>0</v>
      </c>
      <c r="I162" s="21">
        <f>IFERROR(INDEX('Input - Tesco'!H$2:H$200,MATCH('Calculations - Tesco'!$C162,'Input - Tesco'!$B$2:$B$200,0)),"")</f>
        <v>0</v>
      </c>
      <c r="J162" s="21">
        <f>IFERROR(INDEX('Input - Tesco'!I$2:I$200,MATCH('Calculations - Tesco'!$C162,'Input - Tesco'!$B$2:$B$200,0)),"")</f>
        <v>0</v>
      </c>
      <c r="K162" s="20">
        <f>IFERROR(INDEX('Input - Tesco'!J$2:J$200,MATCH('Calculations - Tesco'!$C162,'Input - Tesco'!$B$2:$B$200,0)),"")</f>
        <v>0</v>
      </c>
      <c r="L162" s="20">
        <f>IFERROR(INDEX('Input - Tesco'!K$2:K$200,MATCH('Calculations - Tesco'!$C162,'Input - Tesco'!$B$2:$B$200,0)),"")</f>
        <v>0</v>
      </c>
      <c r="M162" s="21" t="str">
        <f t="shared" si="128"/>
        <v/>
      </c>
      <c r="N162" s="21" t="str">
        <f t="shared" si="114"/>
        <v/>
      </c>
      <c r="O162" s="21">
        <f t="shared" si="129"/>
        <v>0</v>
      </c>
      <c r="P162" s="9">
        <f t="shared" si="111"/>
        <v>0</v>
      </c>
      <c r="Q162" s="9">
        <f t="shared" si="112"/>
        <v>0</v>
      </c>
      <c r="R162" s="22" t="str">
        <f>IFERROR(INDEX(Tesco!$Q$11:$Q$165,MATCH('Calculations - Tesco'!$C162,Tesco!$M$11:$M$165,0)),"")</f>
        <v/>
      </c>
      <c r="S162" s="22" t="str">
        <f>IFERROR(INDEX(Tesco!$R$11:$R$165,MATCH('Calculations - Tesco'!$C162,Tesco!$M$11:$M$165,0)),"")</f>
        <v/>
      </c>
      <c r="T162" s="16" t="e">
        <f t="shared" si="115"/>
        <v>#VALUE!</v>
      </c>
      <c r="U162" s="16" t="e">
        <f t="shared" si="130"/>
        <v>#VALUE!</v>
      </c>
      <c r="V162" s="16" t="e">
        <f t="shared" si="131"/>
        <v>#VALUE!</v>
      </c>
      <c r="W162" s="10" t="str">
        <f t="shared" si="116"/>
        <v>-</v>
      </c>
      <c r="X162" s="10" t="str">
        <f t="shared" si="117"/>
        <v>-</v>
      </c>
      <c r="Y162" s="13" t="str">
        <f t="shared" si="132"/>
        <v>-</v>
      </c>
      <c r="Z162" s="9" t="str">
        <f t="shared" si="118"/>
        <v>-</v>
      </c>
      <c r="AA162" s="16" t="str">
        <f t="shared" si="133"/>
        <v>-</v>
      </c>
      <c r="AB162" s="16" t="str">
        <f t="shared" si="119"/>
        <v>-</v>
      </c>
      <c r="AC162" s="16" t="str">
        <f t="shared" si="120"/>
        <v>-</v>
      </c>
      <c r="AD162" s="16" t="str">
        <f t="shared" si="134"/>
        <v>-</v>
      </c>
      <c r="AE162" s="16"/>
      <c r="AF162" s="31" t="str">
        <f>IFERROR(INDEX(Tesco!$P$11:$P$165,MATCH('Calculations - Tesco'!C162,Tesco!$M$11:$M$165,0)),"")</f>
        <v/>
      </c>
      <c r="AG162" s="23" t="str">
        <f t="shared" si="135"/>
        <v/>
      </c>
      <c r="AH162" s="23" t="str">
        <f t="shared" si="135"/>
        <v/>
      </c>
      <c r="AI162" s="9" t="str">
        <f t="shared" si="121"/>
        <v/>
      </c>
      <c r="AJ162" s="4" t="str">
        <f t="shared" si="122"/>
        <v/>
      </c>
      <c r="AK162" s="4"/>
      <c r="AL162" s="4"/>
      <c r="AM162" s="4"/>
      <c r="AN162" s="4"/>
      <c r="AO162" s="4"/>
      <c r="AP162" s="20" t="str">
        <f t="shared" si="123"/>
        <v>-</v>
      </c>
      <c r="AQ162" s="13" t="str">
        <f t="shared" si="136"/>
        <v>-</v>
      </c>
      <c r="AR162" s="13" t="str">
        <f t="shared" si="137"/>
        <v>-</v>
      </c>
      <c r="AS162" s="13" t="str">
        <f t="shared" si="124"/>
        <v>-</v>
      </c>
      <c r="AT162" s="16" t="str">
        <f t="shared" si="138"/>
        <v>-</v>
      </c>
      <c r="AU162" s="16" t="str">
        <f t="shared" si="125"/>
        <v>-</v>
      </c>
      <c r="AV162" s="16" t="str">
        <f t="shared" si="126"/>
        <v>-</v>
      </c>
      <c r="AW162" s="16" t="str">
        <f t="shared" si="139"/>
        <v>-</v>
      </c>
      <c r="AX162" s="13" t="str">
        <f t="shared" si="140"/>
        <v>-</v>
      </c>
      <c r="AY162" s="10" t="str">
        <f t="shared" si="141"/>
        <v>-</v>
      </c>
      <c r="AZ162" s="9" t="str">
        <f t="shared" si="142"/>
        <v>-</v>
      </c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</row>
    <row r="163" spans="2:68" x14ac:dyDescent="0.3">
      <c r="B163" s="108" t="str">
        <f t="shared" si="127"/>
        <v/>
      </c>
      <c r="C163" s="108" t="str">
        <f t="shared" si="113"/>
        <v/>
      </c>
      <c r="D163" s="3"/>
      <c r="E163" s="3"/>
      <c r="F163" s="3"/>
      <c r="G163" s="20">
        <f>IFERROR(INDEX('Input - Tesco'!F$2:F$200,MATCH('Calculations - Tesco'!$C163,'Input - Tesco'!$B$2:$B$200,0)),"")</f>
        <v>0</v>
      </c>
      <c r="H163" s="20">
        <f>IFERROR(INDEX('Input - Tesco'!G$2:G$200,MATCH('Calculations - Tesco'!$C163,'Input - Tesco'!$B$2:$B$200,0)),"")</f>
        <v>0</v>
      </c>
      <c r="I163" s="21">
        <f>IFERROR(INDEX('Input - Tesco'!H$2:H$200,MATCH('Calculations - Tesco'!$C163,'Input - Tesco'!$B$2:$B$200,0)),"")</f>
        <v>0</v>
      </c>
      <c r="J163" s="21">
        <f>IFERROR(INDEX('Input - Tesco'!I$2:I$200,MATCH('Calculations - Tesco'!$C163,'Input - Tesco'!$B$2:$B$200,0)),"")</f>
        <v>0</v>
      </c>
      <c r="K163" s="20">
        <f>IFERROR(INDEX('Input - Tesco'!J$2:J$200,MATCH('Calculations - Tesco'!$C163,'Input - Tesco'!$B$2:$B$200,0)),"")</f>
        <v>0</v>
      </c>
      <c r="L163" s="20">
        <f>IFERROR(INDEX('Input - Tesco'!K$2:K$200,MATCH('Calculations - Tesco'!$C163,'Input - Tesco'!$B$2:$B$200,0)),"")</f>
        <v>0</v>
      </c>
      <c r="M163" s="21" t="str">
        <f t="shared" si="128"/>
        <v/>
      </c>
      <c r="N163" s="21" t="str">
        <f t="shared" si="114"/>
        <v/>
      </c>
      <c r="O163" s="21">
        <f t="shared" si="129"/>
        <v>0</v>
      </c>
      <c r="P163" s="9">
        <f t="shared" si="111"/>
        <v>0</v>
      </c>
      <c r="Q163" s="9">
        <f t="shared" si="112"/>
        <v>0</v>
      </c>
      <c r="R163" s="22" t="str">
        <f>IFERROR(INDEX(Tesco!$Q$11:$Q$165,MATCH('Calculations - Tesco'!$C163,Tesco!$M$11:$M$165,0)),"")</f>
        <v/>
      </c>
      <c r="S163" s="22" t="str">
        <f>IFERROR(INDEX(Tesco!$R$11:$R$165,MATCH('Calculations - Tesco'!$C163,Tesco!$M$11:$M$165,0)),"")</f>
        <v/>
      </c>
      <c r="T163" s="16" t="e">
        <f t="shared" si="115"/>
        <v>#VALUE!</v>
      </c>
      <c r="U163" s="16" t="e">
        <f t="shared" si="130"/>
        <v>#VALUE!</v>
      </c>
      <c r="V163" s="16" t="e">
        <f t="shared" si="131"/>
        <v>#VALUE!</v>
      </c>
      <c r="W163" s="10" t="str">
        <f t="shared" si="116"/>
        <v>-</v>
      </c>
      <c r="X163" s="10" t="str">
        <f t="shared" si="117"/>
        <v>-</v>
      </c>
      <c r="Y163" s="13" t="str">
        <f t="shared" si="132"/>
        <v>-</v>
      </c>
      <c r="Z163" s="9" t="str">
        <f t="shared" si="118"/>
        <v>-</v>
      </c>
      <c r="AA163" s="16" t="str">
        <f t="shared" si="133"/>
        <v>-</v>
      </c>
      <c r="AB163" s="16" t="str">
        <f t="shared" si="119"/>
        <v>-</v>
      </c>
      <c r="AC163" s="16" t="str">
        <f t="shared" si="120"/>
        <v>-</v>
      </c>
      <c r="AD163" s="16" t="str">
        <f t="shared" si="134"/>
        <v>-</v>
      </c>
      <c r="AE163" s="16"/>
      <c r="AF163" s="31" t="str">
        <f>IFERROR(INDEX(Tesco!$P$11:$P$165,MATCH('Calculations - Tesco'!C163,Tesco!$M$11:$M$165,0)),"")</f>
        <v/>
      </c>
      <c r="AG163" s="23" t="str">
        <f t="shared" si="135"/>
        <v/>
      </c>
      <c r="AH163" s="23" t="str">
        <f t="shared" si="135"/>
        <v/>
      </c>
      <c r="AI163" s="9" t="str">
        <f t="shared" si="121"/>
        <v/>
      </c>
      <c r="AJ163" s="4" t="str">
        <f t="shared" si="122"/>
        <v/>
      </c>
      <c r="AK163" s="4"/>
      <c r="AL163" s="4"/>
      <c r="AM163" s="4"/>
      <c r="AN163" s="4"/>
      <c r="AO163" s="4"/>
      <c r="AP163" s="20" t="str">
        <f t="shared" si="123"/>
        <v>-</v>
      </c>
      <c r="AQ163" s="13" t="str">
        <f t="shared" si="136"/>
        <v>-</v>
      </c>
      <c r="AR163" s="13" t="str">
        <f t="shared" si="137"/>
        <v>-</v>
      </c>
      <c r="AS163" s="13" t="str">
        <f t="shared" si="124"/>
        <v>-</v>
      </c>
      <c r="AT163" s="16" t="str">
        <f t="shared" si="138"/>
        <v>-</v>
      </c>
      <c r="AU163" s="16" t="str">
        <f t="shared" si="125"/>
        <v>-</v>
      </c>
      <c r="AV163" s="16" t="str">
        <f t="shared" si="126"/>
        <v>-</v>
      </c>
      <c r="AW163" s="16" t="str">
        <f t="shared" si="139"/>
        <v>-</v>
      </c>
      <c r="AX163" s="13" t="str">
        <f t="shared" si="140"/>
        <v>-</v>
      </c>
      <c r="AY163" s="10" t="str">
        <f t="shared" si="141"/>
        <v>-</v>
      </c>
      <c r="AZ163" s="9" t="str">
        <f t="shared" si="142"/>
        <v>-</v>
      </c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</row>
    <row r="164" spans="2:68" x14ac:dyDescent="0.3">
      <c r="B164" s="108" t="str">
        <f t="shared" si="127"/>
        <v/>
      </c>
      <c r="C164" s="108" t="str">
        <f t="shared" si="113"/>
        <v/>
      </c>
      <c r="D164" s="3"/>
      <c r="E164" s="3"/>
      <c r="F164" s="3"/>
      <c r="G164" s="20">
        <f>IFERROR(INDEX('Input - Tesco'!F$2:F$200,MATCH('Calculations - Tesco'!$C164,'Input - Tesco'!$B$2:$B$200,0)),"")</f>
        <v>0</v>
      </c>
      <c r="H164" s="20">
        <f>IFERROR(INDEX('Input - Tesco'!G$2:G$200,MATCH('Calculations - Tesco'!$C164,'Input - Tesco'!$B$2:$B$200,0)),"")</f>
        <v>0</v>
      </c>
      <c r="I164" s="21">
        <f>IFERROR(INDEX('Input - Tesco'!H$2:H$200,MATCH('Calculations - Tesco'!$C164,'Input - Tesco'!$B$2:$B$200,0)),"")</f>
        <v>0</v>
      </c>
      <c r="J164" s="21">
        <f>IFERROR(INDEX('Input - Tesco'!I$2:I$200,MATCH('Calculations - Tesco'!$C164,'Input - Tesco'!$B$2:$B$200,0)),"")</f>
        <v>0</v>
      </c>
      <c r="K164" s="20">
        <f>IFERROR(INDEX('Input - Tesco'!J$2:J$200,MATCH('Calculations - Tesco'!$C164,'Input - Tesco'!$B$2:$B$200,0)),"")</f>
        <v>0</v>
      </c>
      <c r="L164" s="20">
        <f>IFERROR(INDEX('Input - Tesco'!K$2:K$200,MATCH('Calculations - Tesco'!$C164,'Input - Tesco'!$B$2:$B$200,0)),"")</f>
        <v>0</v>
      </c>
      <c r="M164" s="21" t="str">
        <f t="shared" si="128"/>
        <v/>
      </c>
      <c r="N164" s="21" t="str">
        <f t="shared" si="114"/>
        <v/>
      </c>
      <c r="O164" s="21">
        <f t="shared" si="129"/>
        <v>0</v>
      </c>
      <c r="P164" s="9">
        <f t="shared" si="111"/>
        <v>0</v>
      </c>
      <c r="Q164" s="9">
        <f t="shared" si="112"/>
        <v>0</v>
      </c>
      <c r="R164" s="22" t="str">
        <f>IFERROR(INDEX(Tesco!$Q$11:$Q$165,MATCH('Calculations - Tesco'!$C164,Tesco!$M$11:$M$165,0)),"")</f>
        <v/>
      </c>
      <c r="S164" s="22" t="str">
        <f>IFERROR(INDEX(Tesco!$R$11:$R$165,MATCH('Calculations - Tesco'!$C164,Tesco!$M$11:$M$165,0)),"")</f>
        <v/>
      </c>
      <c r="T164" s="16" t="e">
        <f t="shared" si="115"/>
        <v>#VALUE!</v>
      </c>
      <c r="U164" s="16" t="e">
        <f t="shared" si="130"/>
        <v>#VALUE!</v>
      </c>
      <c r="V164" s="16" t="e">
        <f t="shared" si="131"/>
        <v>#VALUE!</v>
      </c>
      <c r="W164" s="10" t="str">
        <f t="shared" si="116"/>
        <v>-</v>
      </c>
      <c r="X164" s="10" t="str">
        <f t="shared" si="117"/>
        <v>-</v>
      </c>
      <c r="Y164" s="13" t="str">
        <f t="shared" si="132"/>
        <v>-</v>
      </c>
      <c r="Z164" s="9" t="str">
        <f t="shared" si="118"/>
        <v>-</v>
      </c>
      <c r="AA164" s="16" t="str">
        <f t="shared" si="133"/>
        <v>-</v>
      </c>
      <c r="AB164" s="16" t="str">
        <f t="shared" si="119"/>
        <v>-</v>
      </c>
      <c r="AC164" s="16" t="str">
        <f t="shared" si="120"/>
        <v>-</v>
      </c>
      <c r="AD164" s="16" t="str">
        <f t="shared" si="134"/>
        <v>-</v>
      </c>
      <c r="AE164" s="16"/>
      <c r="AF164" s="31" t="str">
        <f>IFERROR(INDEX(Tesco!$P$11:$P$165,MATCH('Calculations - Tesco'!C164,Tesco!$M$11:$M$165,0)),"")</f>
        <v/>
      </c>
      <c r="AG164" s="23" t="str">
        <f t="shared" si="135"/>
        <v/>
      </c>
      <c r="AH164" s="23" t="str">
        <f t="shared" si="135"/>
        <v/>
      </c>
      <c r="AI164" s="9" t="str">
        <f t="shared" si="121"/>
        <v/>
      </c>
      <c r="AJ164" s="4" t="str">
        <f t="shared" si="122"/>
        <v/>
      </c>
      <c r="AK164" s="4"/>
      <c r="AL164" s="4"/>
      <c r="AM164" s="4"/>
      <c r="AN164" s="4"/>
      <c r="AO164" s="4"/>
      <c r="AP164" s="20" t="str">
        <f t="shared" si="123"/>
        <v>-</v>
      </c>
      <c r="AQ164" s="13" t="str">
        <f t="shared" si="136"/>
        <v>-</v>
      </c>
      <c r="AR164" s="13" t="str">
        <f t="shared" si="137"/>
        <v>-</v>
      </c>
      <c r="AS164" s="13" t="str">
        <f t="shared" si="124"/>
        <v>-</v>
      </c>
      <c r="AT164" s="16" t="str">
        <f t="shared" si="138"/>
        <v>-</v>
      </c>
      <c r="AU164" s="16" t="str">
        <f t="shared" si="125"/>
        <v>-</v>
      </c>
      <c r="AV164" s="16" t="str">
        <f t="shared" si="126"/>
        <v>-</v>
      </c>
      <c r="AW164" s="16" t="str">
        <f t="shared" si="139"/>
        <v>-</v>
      </c>
      <c r="AX164" s="13" t="str">
        <f t="shared" si="140"/>
        <v>-</v>
      </c>
      <c r="AY164" s="10" t="str">
        <f t="shared" si="141"/>
        <v>-</v>
      </c>
      <c r="AZ164" s="9" t="str">
        <f t="shared" si="142"/>
        <v>-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</row>
    <row r="165" spans="2:68" x14ac:dyDescent="0.3">
      <c r="B165" s="108" t="str">
        <f t="shared" si="127"/>
        <v/>
      </c>
      <c r="C165" s="108" t="str">
        <f t="shared" si="113"/>
        <v/>
      </c>
      <c r="D165" s="3"/>
      <c r="E165" s="3"/>
      <c r="F165" s="3"/>
      <c r="G165" s="20">
        <f>IFERROR(INDEX('Input - Tesco'!F$2:F$200,MATCH('Calculations - Tesco'!$C165,'Input - Tesco'!$B$2:$B$200,0)),"")</f>
        <v>0</v>
      </c>
      <c r="H165" s="20">
        <f>IFERROR(INDEX('Input - Tesco'!G$2:G$200,MATCH('Calculations - Tesco'!$C165,'Input - Tesco'!$B$2:$B$200,0)),"")</f>
        <v>0</v>
      </c>
      <c r="I165" s="21">
        <f>IFERROR(INDEX('Input - Tesco'!H$2:H$200,MATCH('Calculations - Tesco'!$C165,'Input - Tesco'!$B$2:$B$200,0)),"")</f>
        <v>0</v>
      </c>
      <c r="J165" s="21">
        <f>IFERROR(INDEX('Input - Tesco'!I$2:I$200,MATCH('Calculations - Tesco'!$C165,'Input - Tesco'!$B$2:$B$200,0)),"")</f>
        <v>0</v>
      </c>
      <c r="K165" s="20">
        <f>IFERROR(INDEX('Input - Tesco'!J$2:J$200,MATCH('Calculations - Tesco'!$C165,'Input - Tesco'!$B$2:$B$200,0)),"")</f>
        <v>0</v>
      </c>
      <c r="L165" s="20">
        <f>IFERROR(INDEX('Input - Tesco'!K$2:K$200,MATCH('Calculations - Tesco'!$C165,'Input - Tesco'!$B$2:$B$200,0)),"")</f>
        <v>0</v>
      </c>
      <c r="M165" s="21" t="str">
        <f t="shared" si="128"/>
        <v/>
      </c>
      <c r="N165" s="21" t="str">
        <f t="shared" si="114"/>
        <v/>
      </c>
      <c r="O165" s="21">
        <f t="shared" si="129"/>
        <v>0</v>
      </c>
      <c r="P165" s="9">
        <f t="shared" si="111"/>
        <v>0</v>
      </c>
      <c r="Q165" s="9">
        <f t="shared" si="112"/>
        <v>0</v>
      </c>
      <c r="R165" s="22" t="str">
        <f>IFERROR(INDEX(Tesco!$Q$11:$Q$165,MATCH('Calculations - Tesco'!$C165,Tesco!$M$11:$M$165,0)),"")</f>
        <v/>
      </c>
      <c r="S165" s="22" t="str">
        <f>IFERROR(INDEX(Tesco!$R$11:$R$165,MATCH('Calculations - Tesco'!$C165,Tesco!$M$11:$M$165,0)),"")</f>
        <v/>
      </c>
      <c r="T165" s="16" t="e">
        <f t="shared" si="115"/>
        <v>#VALUE!</v>
      </c>
      <c r="U165" s="16" t="e">
        <f t="shared" si="130"/>
        <v>#VALUE!</v>
      </c>
      <c r="V165" s="16" t="e">
        <f t="shared" si="131"/>
        <v>#VALUE!</v>
      </c>
      <c r="W165" s="10" t="str">
        <f t="shared" si="116"/>
        <v>-</v>
      </c>
      <c r="X165" s="10" t="str">
        <f t="shared" si="117"/>
        <v>-</v>
      </c>
      <c r="Y165" s="13" t="str">
        <f t="shared" si="132"/>
        <v>-</v>
      </c>
      <c r="Z165" s="9" t="str">
        <f t="shared" si="118"/>
        <v>-</v>
      </c>
      <c r="AA165" s="16" t="str">
        <f t="shared" si="133"/>
        <v>-</v>
      </c>
      <c r="AB165" s="16" t="str">
        <f t="shared" si="119"/>
        <v>-</v>
      </c>
      <c r="AC165" s="16" t="str">
        <f t="shared" si="120"/>
        <v>-</v>
      </c>
      <c r="AD165" s="16" t="str">
        <f t="shared" si="134"/>
        <v>-</v>
      </c>
      <c r="AE165" s="16"/>
      <c r="AF165" s="31" t="str">
        <f>IFERROR(INDEX(Tesco!$P$11:$P$165,MATCH('Calculations - Tesco'!C165,Tesco!$M$11:$M$165,0)),"")</f>
        <v/>
      </c>
      <c r="AG165" s="23" t="str">
        <f t="shared" si="135"/>
        <v/>
      </c>
      <c r="AH165" s="23" t="str">
        <f t="shared" si="135"/>
        <v/>
      </c>
      <c r="AI165" s="9" t="str">
        <f t="shared" si="121"/>
        <v/>
      </c>
      <c r="AJ165" s="4" t="str">
        <f t="shared" si="122"/>
        <v/>
      </c>
      <c r="AK165" s="4"/>
      <c r="AL165" s="4"/>
      <c r="AM165" s="4"/>
      <c r="AN165" s="4"/>
      <c r="AO165" s="4"/>
      <c r="AP165" s="20" t="str">
        <f t="shared" si="123"/>
        <v>-</v>
      </c>
      <c r="AQ165" s="13" t="str">
        <f t="shared" si="136"/>
        <v>-</v>
      </c>
      <c r="AR165" s="13" t="str">
        <f t="shared" si="137"/>
        <v>-</v>
      </c>
      <c r="AS165" s="13" t="str">
        <f t="shared" si="124"/>
        <v>-</v>
      </c>
      <c r="AT165" s="16" t="str">
        <f t="shared" si="138"/>
        <v>-</v>
      </c>
      <c r="AU165" s="16" t="str">
        <f t="shared" si="125"/>
        <v>-</v>
      </c>
      <c r="AV165" s="16" t="str">
        <f t="shared" si="126"/>
        <v>-</v>
      </c>
      <c r="AW165" s="16" t="str">
        <f t="shared" si="139"/>
        <v>-</v>
      </c>
      <c r="AX165" s="13" t="str">
        <f t="shared" si="140"/>
        <v>-</v>
      </c>
      <c r="AY165" s="10" t="str">
        <f t="shared" si="141"/>
        <v>-</v>
      </c>
      <c r="AZ165" s="9" t="str">
        <f t="shared" si="142"/>
        <v>-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</row>
    <row r="166" spans="2:68" x14ac:dyDescent="0.3">
      <c r="B166" s="108" t="str">
        <f t="shared" si="127"/>
        <v/>
      </c>
      <c r="C166" s="108" t="str">
        <f t="shared" si="113"/>
        <v/>
      </c>
      <c r="D166" s="3"/>
      <c r="E166" s="3"/>
      <c r="F166" s="3"/>
      <c r="G166" s="20">
        <f>IFERROR(INDEX('Input - Tesco'!F$2:F$200,MATCH('Calculations - Tesco'!$C166,'Input - Tesco'!$B$2:$B$200,0)),"")</f>
        <v>0</v>
      </c>
      <c r="H166" s="20">
        <f>IFERROR(INDEX('Input - Tesco'!G$2:G$200,MATCH('Calculations - Tesco'!$C166,'Input - Tesco'!$B$2:$B$200,0)),"")</f>
        <v>0</v>
      </c>
      <c r="I166" s="21">
        <f>IFERROR(INDEX('Input - Tesco'!H$2:H$200,MATCH('Calculations - Tesco'!$C166,'Input - Tesco'!$B$2:$B$200,0)),"")</f>
        <v>0</v>
      </c>
      <c r="J166" s="21">
        <f>IFERROR(INDEX('Input - Tesco'!I$2:I$200,MATCH('Calculations - Tesco'!$C166,'Input - Tesco'!$B$2:$B$200,0)),"")</f>
        <v>0</v>
      </c>
      <c r="K166" s="20">
        <f>IFERROR(INDEX('Input - Tesco'!J$2:J$200,MATCH('Calculations - Tesco'!$C166,'Input - Tesco'!$B$2:$B$200,0)),"")</f>
        <v>0</v>
      </c>
      <c r="L166" s="20">
        <f>IFERROR(INDEX('Input - Tesco'!K$2:K$200,MATCH('Calculations - Tesco'!$C166,'Input - Tesco'!$B$2:$B$200,0)),"")</f>
        <v>0</v>
      </c>
      <c r="M166" s="21" t="str">
        <f t="shared" si="128"/>
        <v/>
      </c>
      <c r="N166" s="21" t="str">
        <f t="shared" si="114"/>
        <v/>
      </c>
      <c r="O166" s="21">
        <f t="shared" si="129"/>
        <v>0</v>
      </c>
      <c r="P166" s="9">
        <f t="shared" si="111"/>
        <v>0</v>
      </c>
      <c r="Q166" s="9">
        <f t="shared" si="112"/>
        <v>0</v>
      </c>
      <c r="R166" s="22" t="str">
        <f>IFERROR(INDEX(Tesco!$Q$11:$Q$165,MATCH('Calculations - Tesco'!$C166,Tesco!$M$11:$M$165,0)),"")</f>
        <v/>
      </c>
      <c r="S166" s="22" t="str">
        <f>IFERROR(INDEX(Tesco!$R$11:$R$165,MATCH('Calculations - Tesco'!$C166,Tesco!$M$11:$M$165,0)),"")</f>
        <v/>
      </c>
      <c r="T166" s="16" t="e">
        <f t="shared" si="115"/>
        <v>#VALUE!</v>
      </c>
      <c r="U166" s="16" t="e">
        <f t="shared" si="130"/>
        <v>#VALUE!</v>
      </c>
      <c r="V166" s="16" t="e">
        <f t="shared" si="131"/>
        <v>#VALUE!</v>
      </c>
      <c r="W166" s="10" t="str">
        <f t="shared" si="116"/>
        <v>-</v>
      </c>
      <c r="X166" s="10" t="str">
        <f t="shared" si="117"/>
        <v>-</v>
      </c>
      <c r="Y166" s="13" t="str">
        <f t="shared" si="132"/>
        <v>-</v>
      </c>
      <c r="Z166" s="9" t="str">
        <f t="shared" si="118"/>
        <v>-</v>
      </c>
      <c r="AA166" s="16" t="str">
        <f t="shared" si="133"/>
        <v>-</v>
      </c>
      <c r="AB166" s="16" t="str">
        <f t="shared" si="119"/>
        <v>-</v>
      </c>
      <c r="AC166" s="16" t="str">
        <f t="shared" si="120"/>
        <v>-</v>
      </c>
      <c r="AD166" s="16" t="str">
        <f t="shared" si="134"/>
        <v>-</v>
      </c>
      <c r="AE166" s="16"/>
      <c r="AF166" s="31" t="str">
        <f>IFERROR(INDEX(Tesco!$P$11:$P$165,MATCH('Calculations - Tesco'!C166,Tesco!$M$11:$M$165,0)),"")</f>
        <v/>
      </c>
      <c r="AG166" s="23" t="str">
        <f t="shared" si="135"/>
        <v/>
      </c>
      <c r="AH166" s="23" t="str">
        <f t="shared" si="135"/>
        <v/>
      </c>
      <c r="AI166" s="9" t="str">
        <f t="shared" si="121"/>
        <v/>
      </c>
      <c r="AJ166" s="4" t="str">
        <f t="shared" si="122"/>
        <v/>
      </c>
      <c r="AK166" s="4"/>
      <c r="AL166" s="4"/>
      <c r="AM166" s="4"/>
      <c r="AN166" s="4"/>
      <c r="AO166" s="4"/>
      <c r="AP166" s="20" t="str">
        <f t="shared" si="123"/>
        <v>-</v>
      </c>
      <c r="AQ166" s="13" t="str">
        <f t="shared" si="136"/>
        <v>-</v>
      </c>
      <c r="AR166" s="13" t="str">
        <f t="shared" si="137"/>
        <v>-</v>
      </c>
      <c r="AS166" s="13" t="str">
        <f t="shared" si="124"/>
        <v>-</v>
      </c>
      <c r="AT166" s="16" t="str">
        <f t="shared" si="138"/>
        <v>-</v>
      </c>
      <c r="AU166" s="16" t="str">
        <f t="shared" si="125"/>
        <v>-</v>
      </c>
      <c r="AV166" s="16" t="str">
        <f t="shared" si="126"/>
        <v>-</v>
      </c>
      <c r="AW166" s="16" t="str">
        <f t="shared" si="139"/>
        <v>-</v>
      </c>
      <c r="AX166" s="13" t="str">
        <f t="shared" si="140"/>
        <v>-</v>
      </c>
      <c r="AY166" s="10" t="str">
        <f t="shared" si="141"/>
        <v>-</v>
      </c>
      <c r="AZ166" s="9" t="str">
        <f t="shared" si="142"/>
        <v>-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</row>
    <row r="167" spans="2:68" x14ac:dyDescent="0.3">
      <c r="B167" s="108" t="str">
        <f t="shared" si="127"/>
        <v/>
      </c>
      <c r="C167" s="108" t="str">
        <f t="shared" si="113"/>
        <v/>
      </c>
      <c r="D167" s="3"/>
      <c r="E167" s="3"/>
      <c r="F167" s="3"/>
      <c r="G167" s="20">
        <f>IFERROR(INDEX('Input - Tesco'!F$2:F$200,MATCH('Calculations - Tesco'!$C167,'Input - Tesco'!$B$2:$B$200,0)),"")</f>
        <v>0</v>
      </c>
      <c r="H167" s="20">
        <f>IFERROR(INDEX('Input - Tesco'!G$2:G$200,MATCH('Calculations - Tesco'!$C167,'Input - Tesco'!$B$2:$B$200,0)),"")</f>
        <v>0</v>
      </c>
      <c r="I167" s="21">
        <f>IFERROR(INDEX('Input - Tesco'!H$2:H$200,MATCH('Calculations - Tesco'!$C167,'Input - Tesco'!$B$2:$B$200,0)),"")</f>
        <v>0</v>
      </c>
      <c r="J167" s="21">
        <f>IFERROR(INDEX('Input - Tesco'!I$2:I$200,MATCH('Calculations - Tesco'!$C167,'Input - Tesco'!$B$2:$B$200,0)),"")</f>
        <v>0</v>
      </c>
      <c r="K167" s="20">
        <f>IFERROR(INDEX('Input - Tesco'!J$2:J$200,MATCH('Calculations - Tesco'!$C167,'Input - Tesco'!$B$2:$B$200,0)),"")</f>
        <v>0</v>
      </c>
      <c r="L167" s="20">
        <f>IFERROR(INDEX('Input - Tesco'!K$2:K$200,MATCH('Calculations - Tesco'!$C167,'Input - Tesco'!$B$2:$B$200,0)),"")</f>
        <v>0</v>
      </c>
      <c r="M167" s="21" t="str">
        <f t="shared" si="128"/>
        <v/>
      </c>
      <c r="N167" s="21" t="str">
        <f t="shared" si="114"/>
        <v/>
      </c>
      <c r="O167" s="21">
        <f t="shared" si="129"/>
        <v>0</v>
      </c>
      <c r="P167" s="9">
        <f t="shared" si="111"/>
        <v>0</v>
      </c>
      <c r="Q167" s="9">
        <f t="shared" si="112"/>
        <v>0</v>
      </c>
      <c r="R167" s="22" t="str">
        <f>IFERROR(INDEX(Tesco!$Q$11:$Q$165,MATCH('Calculations - Tesco'!$C167,Tesco!$M$11:$M$165,0)),"")</f>
        <v/>
      </c>
      <c r="S167" s="22" t="str">
        <f>IFERROR(INDEX(Tesco!$R$11:$R$165,MATCH('Calculations - Tesco'!$C167,Tesco!$M$11:$M$165,0)),"")</f>
        <v/>
      </c>
      <c r="T167" s="16" t="e">
        <f t="shared" si="115"/>
        <v>#VALUE!</v>
      </c>
      <c r="U167" s="16" t="e">
        <f t="shared" si="130"/>
        <v>#VALUE!</v>
      </c>
      <c r="V167" s="16" t="e">
        <f t="shared" si="131"/>
        <v>#VALUE!</v>
      </c>
      <c r="W167" s="10" t="str">
        <f t="shared" si="116"/>
        <v>-</v>
      </c>
      <c r="X167" s="10" t="str">
        <f t="shared" si="117"/>
        <v>-</v>
      </c>
      <c r="Y167" s="13" t="str">
        <f t="shared" si="132"/>
        <v>-</v>
      </c>
      <c r="Z167" s="9" t="str">
        <f t="shared" si="118"/>
        <v>-</v>
      </c>
      <c r="AA167" s="16" t="str">
        <f t="shared" si="133"/>
        <v>-</v>
      </c>
      <c r="AB167" s="16" t="str">
        <f t="shared" si="119"/>
        <v>-</v>
      </c>
      <c r="AC167" s="16" t="str">
        <f t="shared" si="120"/>
        <v>-</v>
      </c>
      <c r="AD167" s="16" t="str">
        <f t="shared" si="134"/>
        <v>-</v>
      </c>
      <c r="AE167" s="16"/>
      <c r="AF167" s="31" t="str">
        <f>IFERROR(INDEX(Tesco!$P$11:$P$165,MATCH('Calculations - Tesco'!C167,Tesco!$M$11:$M$165,0)),"")</f>
        <v/>
      </c>
      <c r="AG167" s="23" t="str">
        <f t="shared" si="135"/>
        <v/>
      </c>
      <c r="AH167" s="23" t="str">
        <f t="shared" si="135"/>
        <v/>
      </c>
      <c r="AI167" s="9" t="str">
        <f t="shared" si="121"/>
        <v/>
      </c>
      <c r="AJ167" s="4" t="str">
        <f t="shared" si="122"/>
        <v/>
      </c>
      <c r="AK167" s="4"/>
      <c r="AL167" s="4"/>
      <c r="AM167" s="4"/>
      <c r="AN167" s="4"/>
      <c r="AO167" s="4"/>
      <c r="AP167" s="20" t="str">
        <f t="shared" si="123"/>
        <v>-</v>
      </c>
      <c r="AQ167" s="13" t="str">
        <f t="shared" si="136"/>
        <v>-</v>
      </c>
      <c r="AR167" s="13" t="str">
        <f t="shared" si="137"/>
        <v>-</v>
      </c>
      <c r="AS167" s="13" t="str">
        <f t="shared" si="124"/>
        <v>-</v>
      </c>
      <c r="AT167" s="16" t="str">
        <f t="shared" si="138"/>
        <v>-</v>
      </c>
      <c r="AU167" s="16" t="str">
        <f t="shared" si="125"/>
        <v>-</v>
      </c>
      <c r="AV167" s="16" t="str">
        <f t="shared" si="126"/>
        <v>-</v>
      </c>
      <c r="AW167" s="16" t="str">
        <f t="shared" si="139"/>
        <v>-</v>
      </c>
      <c r="AX167" s="13" t="str">
        <f t="shared" si="140"/>
        <v>-</v>
      </c>
      <c r="AY167" s="10" t="str">
        <f t="shared" si="141"/>
        <v>-</v>
      </c>
      <c r="AZ167" s="9" t="str">
        <f t="shared" si="142"/>
        <v>-</v>
      </c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</row>
    <row r="168" spans="2:68" x14ac:dyDescent="0.3">
      <c r="B168" s="108" t="str">
        <f t="shared" si="127"/>
        <v/>
      </c>
      <c r="C168" s="108" t="str">
        <f t="shared" si="113"/>
        <v/>
      </c>
      <c r="D168" s="3"/>
      <c r="E168" s="3"/>
      <c r="F168" s="3"/>
      <c r="G168" s="20">
        <f>IFERROR(INDEX('Input - Tesco'!F$2:F$200,MATCH('Calculations - Tesco'!$C168,'Input - Tesco'!$B$2:$B$200,0)),"")</f>
        <v>0</v>
      </c>
      <c r="H168" s="20">
        <f>IFERROR(INDEX('Input - Tesco'!G$2:G$200,MATCH('Calculations - Tesco'!$C168,'Input - Tesco'!$B$2:$B$200,0)),"")</f>
        <v>0</v>
      </c>
      <c r="I168" s="21">
        <f>IFERROR(INDEX('Input - Tesco'!H$2:H$200,MATCH('Calculations - Tesco'!$C168,'Input - Tesco'!$B$2:$B$200,0)),"")</f>
        <v>0</v>
      </c>
      <c r="J168" s="21">
        <f>IFERROR(INDEX('Input - Tesco'!I$2:I$200,MATCH('Calculations - Tesco'!$C168,'Input - Tesco'!$B$2:$B$200,0)),"")</f>
        <v>0</v>
      </c>
      <c r="K168" s="20">
        <f>IFERROR(INDEX('Input - Tesco'!J$2:J$200,MATCH('Calculations - Tesco'!$C168,'Input - Tesco'!$B$2:$B$200,0)),"")</f>
        <v>0</v>
      </c>
      <c r="L168" s="20">
        <f>IFERROR(INDEX('Input - Tesco'!K$2:K$200,MATCH('Calculations - Tesco'!$C168,'Input - Tesco'!$B$2:$B$200,0)),"")</f>
        <v>0</v>
      </c>
      <c r="M168" s="21" t="str">
        <f t="shared" si="128"/>
        <v/>
      </c>
      <c r="N168" s="21" t="str">
        <f t="shared" si="114"/>
        <v/>
      </c>
      <c r="O168" s="21">
        <f t="shared" si="129"/>
        <v>0</v>
      </c>
      <c r="P168" s="9">
        <f t="shared" si="111"/>
        <v>0</v>
      </c>
      <c r="Q168" s="9">
        <f t="shared" si="112"/>
        <v>0</v>
      </c>
      <c r="R168" s="22" t="str">
        <f>IFERROR(INDEX(Tesco!$Q$11:$Q$165,MATCH('Calculations - Tesco'!$C168,Tesco!$M$11:$M$165,0)),"")</f>
        <v/>
      </c>
      <c r="S168" s="22" t="str">
        <f>IFERROR(INDEX(Tesco!$R$11:$R$165,MATCH('Calculations - Tesco'!$C168,Tesco!$M$11:$M$165,0)),"")</f>
        <v/>
      </c>
      <c r="T168" s="16" t="e">
        <f t="shared" si="115"/>
        <v>#VALUE!</v>
      </c>
      <c r="U168" s="16" t="e">
        <f t="shared" si="130"/>
        <v>#VALUE!</v>
      </c>
      <c r="V168" s="16" t="e">
        <f t="shared" si="131"/>
        <v>#VALUE!</v>
      </c>
      <c r="W168" s="10" t="str">
        <f t="shared" si="116"/>
        <v>-</v>
      </c>
      <c r="X168" s="10" t="str">
        <f t="shared" si="117"/>
        <v>-</v>
      </c>
      <c r="Y168" s="13" t="str">
        <f t="shared" si="132"/>
        <v>-</v>
      </c>
      <c r="Z168" s="9" t="str">
        <f t="shared" si="118"/>
        <v>-</v>
      </c>
      <c r="AA168" s="16" t="str">
        <f t="shared" si="133"/>
        <v>-</v>
      </c>
      <c r="AB168" s="16" t="str">
        <f t="shared" si="119"/>
        <v>-</v>
      </c>
      <c r="AC168" s="16" t="str">
        <f t="shared" si="120"/>
        <v>-</v>
      </c>
      <c r="AD168" s="16" t="str">
        <f t="shared" si="134"/>
        <v>-</v>
      </c>
      <c r="AE168" s="16"/>
      <c r="AF168" s="31" t="str">
        <f>IFERROR(INDEX(Tesco!$P$11:$P$165,MATCH('Calculations - Tesco'!C168,Tesco!$M$11:$M$165,0)),"")</f>
        <v/>
      </c>
      <c r="AG168" s="23" t="str">
        <f t="shared" si="135"/>
        <v/>
      </c>
      <c r="AH168" s="23" t="str">
        <f t="shared" si="135"/>
        <v/>
      </c>
      <c r="AI168" s="9" t="str">
        <f t="shared" si="121"/>
        <v/>
      </c>
      <c r="AJ168" s="4" t="str">
        <f t="shared" si="122"/>
        <v/>
      </c>
      <c r="AK168" s="4"/>
      <c r="AL168" s="4"/>
      <c r="AM168" s="4"/>
      <c r="AN168" s="4"/>
      <c r="AO168" s="4"/>
      <c r="AP168" s="20" t="str">
        <f t="shared" si="123"/>
        <v>-</v>
      </c>
      <c r="AQ168" s="13" t="str">
        <f t="shared" si="136"/>
        <v>-</v>
      </c>
      <c r="AR168" s="13" t="str">
        <f t="shared" si="137"/>
        <v>-</v>
      </c>
      <c r="AS168" s="13" t="str">
        <f t="shared" si="124"/>
        <v>-</v>
      </c>
      <c r="AT168" s="16" t="str">
        <f t="shared" si="138"/>
        <v>-</v>
      </c>
      <c r="AU168" s="16" t="str">
        <f t="shared" si="125"/>
        <v>-</v>
      </c>
      <c r="AV168" s="16" t="str">
        <f t="shared" si="126"/>
        <v>-</v>
      </c>
      <c r="AW168" s="16" t="str">
        <f t="shared" si="139"/>
        <v>-</v>
      </c>
      <c r="AX168" s="13" t="str">
        <f t="shared" si="140"/>
        <v>-</v>
      </c>
      <c r="AY168" s="10" t="str">
        <f t="shared" si="141"/>
        <v>-</v>
      </c>
      <c r="AZ168" s="9" t="str">
        <f t="shared" si="142"/>
        <v>-</v>
      </c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</row>
    <row r="169" spans="2:68" x14ac:dyDescent="0.3">
      <c r="B169" s="108" t="str">
        <f t="shared" si="127"/>
        <v/>
      </c>
      <c r="C169" s="108" t="str">
        <f t="shared" si="113"/>
        <v/>
      </c>
      <c r="D169" s="3"/>
      <c r="E169" s="3"/>
      <c r="F169" s="3"/>
      <c r="G169" s="20">
        <f>IFERROR(INDEX('Input - Tesco'!F$2:F$200,MATCH('Calculations - Tesco'!$C169,'Input - Tesco'!$B$2:$B$200,0)),"")</f>
        <v>0</v>
      </c>
      <c r="H169" s="20">
        <f>IFERROR(INDEX('Input - Tesco'!G$2:G$200,MATCH('Calculations - Tesco'!$C169,'Input - Tesco'!$B$2:$B$200,0)),"")</f>
        <v>0</v>
      </c>
      <c r="I169" s="21">
        <f>IFERROR(INDEX('Input - Tesco'!H$2:H$200,MATCH('Calculations - Tesco'!$C169,'Input - Tesco'!$B$2:$B$200,0)),"")</f>
        <v>0</v>
      </c>
      <c r="J169" s="21">
        <f>IFERROR(INDEX('Input - Tesco'!I$2:I$200,MATCH('Calculations - Tesco'!$C169,'Input - Tesco'!$B$2:$B$200,0)),"")</f>
        <v>0</v>
      </c>
      <c r="K169" s="20">
        <f>IFERROR(INDEX('Input - Tesco'!J$2:J$200,MATCH('Calculations - Tesco'!$C169,'Input - Tesco'!$B$2:$B$200,0)),"")</f>
        <v>0</v>
      </c>
      <c r="L169" s="20">
        <f>IFERROR(INDEX('Input - Tesco'!K$2:K$200,MATCH('Calculations - Tesco'!$C169,'Input - Tesco'!$B$2:$B$200,0)),"")</f>
        <v>0</v>
      </c>
      <c r="M169" s="21" t="str">
        <f t="shared" si="128"/>
        <v/>
      </c>
      <c r="N169" s="21" t="str">
        <f t="shared" si="114"/>
        <v/>
      </c>
      <c r="O169" s="21">
        <f t="shared" si="129"/>
        <v>0</v>
      </c>
      <c r="P169" s="9">
        <f t="shared" si="111"/>
        <v>0</v>
      </c>
      <c r="Q169" s="9">
        <f t="shared" si="112"/>
        <v>0</v>
      </c>
      <c r="R169" s="22" t="str">
        <f>IFERROR(INDEX(Tesco!$Q$11:$Q$165,MATCH('Calculations - Tesco'!$C169,Tesco!$M$11:$M$165,0)),"")</f>
        <v/>
      </c>
      <c r="S169" s="22" t="str">
        <f>IFERROR(INDEX(Tesco!$R$11:$R$165,MATCH('Calculations - Tesco'!$C169,Tesco!$M$11:$M$165,0)),"")</f>
        <v/>
      </c>
      <c r="T169" s="16" t="e">
        <f t="shared" si="115"/>
        <v>#VALUE!</v>
      </c>
      <c r="U169" s="16" t="e">
        <f t="shared" si="130"/>
        <v>#VALUE!</v>
      </c>
      <c r="V169" s="16" t="e">
        <f t="shared" si="131"/>
        <v>#VALUE!</v>
      </c>
      <c r="W169" s="10" t="str">
        <f t="shared" si="116"/>
        <v>-</v>
      </c>
      <c r="X169" s="10" t="str">
        <f t="shared" si="117"/>
        <v>-</v>
      </c>
      <c r="Y169" s="13" t="str">
        <f t="shared" si="132"/>
        <v>-</v>
      </c>
      <c r="Z169" s="9" t="str">
        <f t="shared" si="118"/>
        <v>-</v>
      </c>
      <c r="AA169" s="16" t="str">
        <f t="shared" si="133"/>
        <v>-</v>
      </c>
      <c r="AB169" s="16" t="str">
        <f t="shared" si="119"/>
        <v>-</v>
      </c>
      <c r="AC169" s="16" t="str">
        <f t="shared" si="120"/>
        <v>-</v>
      </c>
      <c r="AD169" s="16" t="str">
        <f t="shared" si="134"/>
        <v>-</v>
      </c>
      <c r="AE169" s="16"/>
      <c r="AF169" s="31" t="str">
        <f>IFERROR(INDEX(Tesco!$P$11:$P$165,MATCH('Calculations - Tesco'!C169,Tesco!$M$11:$M$165,0)),"")</f>
        <v/>
      </c>
      <c r="AG169" s="23" t="str">
        <f t="shared" si="135"/>
        <v/>
      </c>
      <c r="AH169" s="23" t="str">
        <f t="shared" si="135"/>
        <v/>
      </c>
      <c r="AI169" s="9" t="str">
        <f t="shared" si="121"/>
        <v/>
      </c>
      <c r="AJ169" s="4" t="str">
        <f t="shared" si="122"/>
        <v/>
      </c>
      <c r="AK169" s="4"/>
      <c r="AL169" s="4"/>
      <c r="AM169" s="4"/>
      <c r="AN169" s="4"/>
      <c r="AO169" s="4"/>
      <c r="AP169" s="20" t="str">
        <f t="shared" si="123"/>
        <v>-</v>
      </c>
      <c r="AQ169" s="13" t="str">
        <f t="shared" si="136"/>
        <v>-</v>
      </c>
      <c r="AR169" s="13" t="str">
        <f t="shared" si="137"/>
        <v>-</v>
      </c>
      <c r="AS169" s="13" t="str">
        <f t="shared" si="124"/>
        <v>-</v>
      </c>
      <c r="AT169" s="16" t="str">
        <f t="shared" si="138"/>
        <v>-</v>
      </c>
      <c r="AU169" s="16" t="str">
        <f t="shared" si="125"/>
        <v>-</v>
      </c>
      <c r="AV169" s="16" t="str">
        <f t="shared" si="126"/>
        <v>-</v>
      </c>
      <c r="AW169" s="16" t="str">
        <f t="shared" si="139"/>
        <v>-</v>
      </c>
      <c r="AX169" s="13" t="str">
        <f t="shared" si="140"/>
        <v>-</v>
      </c>
      <c r="AY169" s="10" t="str">
        <f t="shared" si="141"/>
        <v>-</v>
      </c>
      <c r="AZ169" s="9" t="str">
        <f t="shared" si="142"/>
        <v>-</v>
      </c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</row>
    <row r="170" spans="2:68" x14ac:dyDescent="0.3">
      <c r="B170" s="108" t="str">
        <f t="shared" si="127"/>
        <v/>
      </c>
      <c r="C170" s="108" t="str">
        <f t="shared" si="113"/>
        <v/>
      </c>
      <c r="D170" s="3"/>
      <c r="E170" s="3"/>
      <c r="F170" s="3"/>
      <c r="G170" s="20">
        <f>IFERROR(INDEX('Input - Tesco'!F$2:F$200,MATCH('Calculations - Tesco'!$C170,'Input - Tesco'!$B$2:$B$200,0)),"")</f>
        <v>0</v>
      </c>
      <c r="H170" s="20">
        <f>IFERROR(INDEX('Input - Tesco'!G$2:G$200,MATCH('Calculations - Tesco'!$C170,'Input - Tesco'!$B$2:$B$200,0)),"")</f>
        <v>0</v>
      </c>
      <c r="I170" s="21">
        <f>IFERROR(INDEX('Input - Tesco'!H$2:H$200,MATCH('Calculations - Tesco'!$C170,'Input - Tesco'!$B$2:$B$200,0)),"")</f>
        <v>0</v>
      </c>
      <c r="J170" s="21">
        <f>IFERROR(INDEX('Input - Tesco'!I$2:I$200,MATCH('Calculations - Tesco'!$C170,'Input - Tesco'!$B$2:$B$200,0)),"")</f>
        <v>0</v>
      </c>
      <c r="K170" s="20">
        <f>IFERROR(INDEX('Input - Tesco'!J$2:J$200,MATCH('Calculations - Tesco'!$C170,'Input - Tesco'!$B$2:$B$200,0)),"")</f>
        <v>0</v>
      </c>
      <c r="L170" s="20">
        <f>IFERROR(INDEX('Input - Tesco'!K$2:K$200,MATCH('Calculations - Tesco'!$C170,'Input - Tesco'!$B$2:$B$200,0)),"")</f>
        <v>0</v>
      </c>
      <c r="M170" s="21" t="str">
        <f t="shared" si="128"/>
        <v/>
      </c>
      <c r="N170" s="21" t="str">
        <f t="shared" si="114"/>
        <v/>
      </c>
      <c r="O170" s="21">
        <f t="shared" si="129"/>
        <v>0</v>
      </c>
      <c r="P170" s="9">
        <f t="shared" si="111"/>
        <v>0</v>
      </c>
      <c r="Q170" s="9">
        <f t="shared" si="112"/>
        <v>0</v>
      </c>
      <c r="R170" s="22" t="str">
        <f>IFERROR(INDEX(Tesco!$Q$11:$Q$165,MATCH('Calculations - Tesco'!$C170,Tesco!$M$11:$M$165,0)),"")</f>
        <v/>
      </c>
      <c r="S170" s="22" t="str">
        <f>IFERROR(INDEX(Tesco!$R$11:$R$165,MATCH('Calculations - Tesco'!$C170,Tesco!$M$11:$M$165,0)),"")</f>
        <v/>
      </c>
      <c r="T170" s="16" t="e">
        <f t="shared" si="115"/>
        <v>#VALUE!</v>
      </c>
      <c r="U170" s="16" t="e">
        <f t="shared" si="130"/>
        <v>#VALUE!</v>
      </c>
      <c r="V170" s="16" t="e">
        <f t="shared" si="131"/>
        <v>#VALUE!</v>
      </c>
      <c r="W170" s="10" t="str">
        <f t="shared" si="116"/>
        <v>-</v>
      </c>
      <c r="X170" s="10" t="str">
        <f t="shared" si="117"/>
        <v>-</v>
      </c>
      <c r="Y170" s="13" t="str">
        <f t="shared" si="132"/>
        <v>-</v>
      </c>
      <c r="Z170" s="9" t="str">
        <f t="shared" si="118"/>
        <v>-</v>
      </c>
      <c r="AA170" s="16" t="str">
        <f t="shared" si="133"/>
        <v>-</v>
      </c>
      <c r="AB170" s="16" t="str">
        <f t="shared" si="119"/>
        <v>-</v>
      </c>
      <c r="AC170" s="16" t="str">
        <f t="shared" si="120"/>
        <v>-</v>
      </c>
      <c r="AD170" s="16" t="str">
        <f t="shared" si="134"/>
        <v>-</v>
      </c>
      <c r="AE170" s="16"/>
      <c r="AF170" s="31" t="str">
        <f>IFERROR(INDEX(Tesco!$P$11:$P$165,MATCH('Calculations - Tesco'!C170,Tesco!$M$11:$M$165,0)),"")</f>
        <v/>
      </c>
      <c r="AG170" s="23" t="str">
        <f t="shared" si="135"/>
        <v/>
      </c>
      <c r="AH170" s="23" t="str">
        <f t="shared" si="135"/>
        <v/>
      </c>
      <c r="AI170" s="9" t="str">
        <f t="shared" si="121"/>
        <v/>
      </c>
      <c r="AJ170" s="4" t="str">
        <f t="shared" si="122"/>
        <v/>
      </c>
      <c r="AK170" s="4"/>
      <c r="AL170" s="4"/>
      <c r="AM170" s="4"/>
      <c r="AN170" s="4"/>
      <c r="AO170" s="4"/>
      <c r="AP170" s="20" t="str">
        <f t="shared" si="123"/>
        <v>-</v>
      </c>
      <c r="AQ170" s="13" t="str">
        <f t="shared" si="136"/>
        <v>-</v>
      </c>
      <c r="AR170" s="13" t="str">
        <f t="shared" si="137"/>
        <v>-</v>
      </c>
      <c r="AS170" s="13" t="str">
        <f t="shared" si="124"/>
        <v>-</v>
      </c>
      <c r="AT170" s="16" t="str">
        <f t="shared" si="138"/>
        <v>-</v>
      </c>
      <c r="AU170" s="16" t="str">
        <f t="shared" si="125"/>
        <v>-</v>
      </c>
      <c r="AV170" s="16" t="str">
        <f t="shared" si="126"/>
        <v>-</v>
      </c>
      <c r="AW170" s="16" t="str">
        <f t="shared" si="139"/>
        <v>-</v>
      </c>
      <c r="AX170" s="13" t="str">
        <f t="shared" si="140"/>
        <v>-</v>
      </c>
      <c r="AY170" s="10" t="str">
        <f t="shared" si="141"/>
        <v>-</v>
      </c>
      <c r="AZ170" s="9" t="str">
        <f t="shared" si="142"/>
        <v>-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</row>
    <row r="171" spans="2:68" x14ac:dyDescent="0.3">
      <c r="B171" s="108" t="str">
        <f t="shared" si="127"/>
        <v/>
      </c>
      <c r="C171" s="108" t="str">
        <f t="shared" si="113"/>
        <v/>
      </c>
      <c r="D171" s="3"/>
      <c r="E171" s="3"/>
      <c r="F171" s="3"/>
      <c r="G171" s="20">
        <f>IFERROR(INDEX('Input - Tesco'!F$2:F$200,MATCH('Calculations - Tesco'!$C171,'Input - Tesco'!$B$2:$B$200,0)),"")</f>
        <v>0</v>
      </c>
      <c r="H171" s="20">
        <f>IFERROR(INDEX('Input - Tesco'!G$2:G$200,MATCH('Calculations - Tesco'!$C171,'Input - Tesco'!$B$2:$B$200,0)),"")</f>
        <v>0</v>
      </c>
      <c r="I171" s="21">
        <f>IFERROR(INDEX('Input - Tesco'!H$2:H$200,MATCH('Calculations - Tesco'!$C171,'Input - Tesco'!$B$2:$B$200,0)),"")</f>
        <v>0</v>
      </c>
      <c r="J171" s="21">
        <f>IFERROR(INDEX('Input - Tesco'!I$2:I$200,MATCH('Calculations - Tesco'!$C171,'Input - Tesco'!$B$2:$B$200,0)),"")</f>
        <v>0</v>
      </c>
      <c r="K171" s="20">
        <f>IFERROR(INDEX('Input - Tesco'!J$2:J$200,MATCH('Calculations - Tesco'!$C171,'Input - Tesco'!$B$2:$B$200,0)),"")</f>
        <v>0</v>
      </c>
      <c r="L171" s="20">
        <f>IFERROR(INDEX('Input - Tesco'!K$2:K$200,MATCH('Calculations - Tesco'!$C171,'Input - Tesco'!$B$2:$B$200,0)),"")</f>
        <v>0</v>
      </c>
      <c r="M171" s="21" t="str">
        <f t="shared" si="128"/>
        <v/>
      </c>
      <c r="N171" s="21" t="str">
        <f t="shared" si="114"/>
        <v/>
      </c>
      <c r="O171" s="21">
        <f t="shared" si="129"/>
        <v>0</v>
      </c>
      <c r="P171" s="9">
        <f t="shared" si="111"/>
        <v>0</v>
      </c>
      <c r="Q171" s="9">
        <f t="shared" si="112"/>
        <v>0</v>
      </c>
      <c r="R171" s="22" t="str">
        <f>IFERROR(INDEX(Tesco!$Q$11:$Q$165,MATCH('Calculations - Tesco'!$C171,Tesco!$M$11:$M$165,0)),"")</f>
        <v/>
      </c>
      <c r="S171" s="22" t="str">
        <f>IFERROR(INDEX(Tesco!$R$11:$R$165,MATCH('Calculations - Tesco'!$C171,Tesco!$M$11:$M$165,0)),"")</f>
        <v/>
      </c>
      <c r="T171" s="16" t="e">
        <f t="shared" si="115"/>
        <v>#VALUE!</v>
      </c>
      <c r="U171" s="16" t="e">
        <f t="shared" si="130"/>
        <v>#VALUE!</v>
      </c>
      <c r="V171" s="16" t="e">
        <f t="shared" si="131"/>
        <v>#VALUE!</v>
      </c>
      <c r="W171" s="10" t="str">
        <f t="shared" si="116"/>
        <v>-</v>
      </c>
      <c r="X171" s="10" t="str">
        <f t="shared" si="117"/>
        <v>-</v>
      </c>
      <c r="Y171" s="13" t="str">
        <f t="shared" si="132"/>
        <v>-</v>
      </c>
      <c r="Z171" s="9" t="str">
        <f t="shared" si="118"/>
        <v>-</v>
      </c>
      <c r="AA171" s="16" t="str">
        <f t="shared" si="133"/>
        <v>-</v>
      </c>
      <c r="AB171" s="16" t="str">
        <f t="shared" si="119"/>
        <v>-</v>
      </c>
      <c r="AC171" s="16" t="str">
        <f t="shared" si="120"/>
        <v>-</v>
      </c>
      <c r="AD171" s="16" t="str">
        <f t="shared" si="134"/>
        <v>-</v>
      </c>
      <c r="AE171" s="16"/>
      <c r="AF171" s="31" t="str">
        <f>IFERROR(INDEX(Tesco!$P$11:$P$165,MATCH('Calculations - Tesco'!C171,Tesco!$M$11:$M$165,0)),"")</f>
        <v/>
      </c>
      <c r="AG171" s="23" t="str">
        <f t="shared" si="135"/>
        <v/>
      </c>
      <c r="AH171" s="23" t="str">
        <f t="shared" si="135"/>
        <v/>
      </c>
      <c r="AI171" s="9" t="str">
        <f t="shared" si="121"/>
        <v/>
      </c>
      <c r="AJ171" s="4" t="str">
        <f t="shared" si="122"/>
        <v/>
      </c>
      <c r="AK171" s="4"/>
      <c r="AL171" s="4"/>
      <c r="AM171" s="4"/>
      <c r="AN171" s="4"/>
      <c r="AO171" s="4"/>
      <c r="AP171" s="20" t="str">
        <f t="shared" si="123"/>
        <v>-</v>
      </c>
      <c r="AQ171" s="13" t="str">
        <f t="shared" si="136"/>
        <v>-</v>
      </c>
      <c r="AR171" s="13" t="str">
        <f t="shared" si="137"/>
        <v>-</v>
      </c>
      <c r="AS171" s="13" t="str">
        <f t="shared" si="124"/>
        <v>-</v>
      </c>
      <c r="AT171" s="16" t="str">
        <f t="shared" si="138"/>
        <v>-</v>
      </c>
      <c r="AU171" s="16" t="str">
        <f t="shared" si="125"/>
        <v>-</v>
      </c>
      <c r="AV171" s="16" t="str">
        <f t="shared" si="126"/>
        <v>-</v>
      </c>
      <c r="AW171" s="16" t="str">
        <f t="shared" si="139"/>
        <v>-</v>
      </c>
      <c r="AX171" s="13" t="str">
        <f t="shared" si="140"/>
        <v>-</v>
      </c>
      <c r="AY171" s="10" t="str">
        <f t="shared" si="141"/>
        <v>-</v>
      </c>
      <c r="AZ171" s="9" t="str">
        <f t="shared" si="142"/>
        <v>-</v>
      </c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</row>
    <row r="172" spans="2:68" x14ac:dyDescent="0.3">
      <c r="B172" s="108" t="str">
        <f t="shared" si="127"/>
        <v/>
      </c>
      <c r="C172" s="108" t="str">
        <f t="shared" si="113"/>
        <v/>
      </c>
      <c r="D172" s="3"/>
      <c r="E172" s="3"/>
      <c r="F172" s="3"/>
      <c r="G172" s="20">
        <f>IFERROR(INDEX('Input - Tesco'!F$2:F$200,MATCH('Calculations - Tesco'!$C172,'Input - Tesco'!$B$2:$B$200,0)),"")</f>
        <v>0</v>
      </c>
      <c r="H172" s="20">
        <f>IFERROR(INDEX('Input - Tesco'!G$2:G$200,MATCH('Calculations - Tesco'!$C172,'Input - Tesco'!$B$2:$B$200,0)),"")</f>
        <v>0</v>
      </c>
      <c r="I172" s="21">
        <f>IFERROR(INDEX('Input - Tesco'!H$2:H$200,MATCH('Calculations - Tesco'!$C172,'Input - Tesco'!$B$2:$B$200,0)),"")</f>
        <v>0</v>
      </c>
      <c r="J172" s="21">
        <f>IFERROR(INDEX('Input - Tesco'!I$2:I$200,MATCH('Calculations - Tesco'!$C172,'Input - Tesco'!$B$2:$B$200,0)),"")</f>
        <v>0</v>
      </c>
      <c r="K172" s="20">
        <f>IFERROR(INDEX('Input - Tesco'!J$2:J$200,MATCH('Calculations - Tesco'!$C172,'Input - Tesco'!$B$2:$B$200,0)),"")</f>
        <v>0</v>
      </c>
      <c r="L172" s="20">
        <f>IFERROR(INDEX('Input - Tesco'!K$2:K$200,MATCH('Calculations - Tesco'!$C172,'Input - Tesco'!$B$2:$B$200,0)),"")</f>
        <v>0</v>
      </c>
      <c r="M172" s="21" t="str">
        <f t="shared" si="128"/>
        <v/>
      </c>
      <c r="N172" s="21" t="str">
        <f t="shared" si="114"/>
        <v/>
      </c>
      <c r="O172" s="21">
        <f t="shared" si="129"/>
        <v>0</v>
      </c>
      <c r="P172" s="9">
        <f t="shared" si="111"/>
        <v>0</v>
      </c>
      <c r="Q172" s="9">
        <f t="shared" si="112"/>
        <v>0</v>
      </c>
      <c r="R172" s="22" t="str">
        <f>IFERROR(INDEX(Tesco!$Q$11:$Q$165,MATCH('Calculations - Tesco'!$C172,Tesco!$M$11:$M$165,0)),"")</f>
        <v/>
      </c>
      <c r="S172" s="22" t="str">
        <f>IFERROR(INDEX(Tesco!$R$11:$R$165,MATCH('Calculations - Tesco'!$C172,Tesco!$M$11:$M$165,0)),"")</f>
        <v/>
      </c>
      <c r="T172" s="16" t="e">
        <f t="shared" si="115"/>
        <v>#VALUE!</v>
      </c>
      <c r="U172" s="16" t="e">
        <f t="shared" si="130"/>
        <v>#VALUE!</v>
      </c>
      <c r="V172" s="16" t="e">
        <f t="shared" si="131"/>
        <v>#VALUE!</v>
      </c>
      <c r="W172" s="10" t="str">
        <f t="shared" si="116"/>
        <v>-</v>
      </c>
      <c r="X172" s="10" t="str">
        <f t="shared" si="117"/>
        <v>-</v>
      </c>
      <c r="Y172" s="13" t="str">
        <f t="shared" si="132"/>
        <v>-</v>
      </c>
      <c r="Z172" s="9" t="str">
        <f t="shared" si="118"/>
        <v>-</v>
      </c>
      <c r="AA172" s="16" t="str">
        <f t="shared" si="133"/>
        <v>-</v>
      </c>
      <c r="AB172" s="16" t="str">
        <f t="shared" si="119"/>
        <v>-</v>
      </c>
      <c r="AC172" s="16" t="str">
        <f t="shared" si="120"/>
        <v>-</v>
      </c>
      <c r="AD172" s="16" t="str">
        <f t="shared" si="134"/>
        <v>-</v>
      </c>
      <c r="AE172" s="16"/>
      <c r="AF172" s="31" t="str">
        <f>IFERROR(INDEX(Tesco!$P$11:$P$165,MATCH('Calculations - Tesco'!C172,Tesco!$M$11:$M$165,0)),"")</f>
        <v/>
      </c>
      <c r="AG172" s="23" t="str">
        <f t="shared" si="135"/>
        <v/>
      </c>
      <c r="AH172" s="23" t="str">
        <f t="shared" si="135"/>
        <v/>
      </c>
      <c r="AI172" s="9" t="str">
        <f t="shared" si="121"/>
        <v/>
      </c>
      <c r="AJ172" s="4" t="str">
        <f t="shared" si="122"/>
        <v/>
      </c>
      <c r="AK172" s="4"/>
      <c r="AL172" s="4"/>
      <c r="AM172" s="4"/>
      <c r="AN172" s="4"/>
      <c r="AO172" s="4"/>
      <c r="AP172" s="20" t="str">
        <f t="shared" si="123"/>
        <v>-</v>
      </c>
      <c r="AQ172" s="13" t="str">
        <f t="shared" si="136"/>
        <v>-</v>
      </c>
      <c r="AR172" s="13" t="str">
        <f t="shared" si="137"/>
        <v>-</v>
      </c>
      <c r="AS172" s="13" t="str">
        <f t="shared" si="124"/>
        <v>-</v>
      </c>
      <c r="AT172" s="16" t="str">
        <f t="shared" si="138"/>
        <v>-</v>
      </c>
      <c r="AU172" s="16" t="str">
        <f t="shared" si="125"/>
        <v>-</v>
      </c>
      <c r="AV172" s="16" t="str">
        <f t="shared" si="126"/>
        <v>-</v>
      </c>
      <c r="AW172" s="16" t="str">
        <f t="shared" si="139"/>
        <v>-</v>
      </c>
      <c r="AX172" s="13" t="str">
        <f t="shared" si="140"/>
        <v>-</v>
      </c>
      <c r="AY172" s="10" t="str">
        <f t="shared" si="141"/>
        <v>-</v>
      </c>
      <c r="AZ172" s="9" t="str">
        <f t="shared" si="142"/>
        <v>-</v>
      </c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</row>
    <row r="173" spans="2:68" x14ac:dyDescent="0.3">
      <c r="B173" s="108" t="str">
        <f t="shared" si="127"/>
        <v/>
      </c>
      <c r="C173" s="108" t="str">
        <f t="shared" si="113"/>
        <v/>
      </c>
      <c r="D173" s="3"/>
      <c r="E173" s="3"/>
      <c r="F173" s="3"/>
      <c r="G173" s="20">
        <f>IFERROR(INDEX('Input - Tesco'!F$2:F$200,MATCH('Calculations - Tesco'!$C173,'Input - Tesco'!$B$2:$B$200,0)),"")</f>
        <v>0</v>
      </c>
      <c r="H173" s="20">
        <f>IFERROR(INDEX('Input - Tesco'!G$2:G$200,MATCH('Calculations - Tesco'!$C173,'Input - Tesco'!$B$2:$B$200,0)),"")</f>
        <v>0</v>
      </c>
      <c r="I173" s="21">
        <f>IFERROR(INDEX('Input - Tesco'!H$2:H$200,MATCH('Calculations - Tesco'!$C173,'Input - Tesco'!$B$2:$B$200,0)),"")</f>
        <v>0</v>
      </c>
      <c r="J173" s="21">
        <f>IFERROR(INDEX('Input - Tesco'!I$2:I$200,MATCH('Calculations - Tesco'!$C173,'Input - Tesco'!$B$2:$B$200,0)),"")</f>
        <v>0</v>
      </c>
      <c r="K173" s="20">
        <f>IFERROR(INDEX('Input - Tesco'!J$2:J$200,MATCH('Calculations - Tesco'!$C173,'Input - Tesco'!$B$2:$B$200,0)),"")</f>
        <v>0</v>
      </c>
      <c r="L173" s="20">
        <f>IFERROR(INDEX('Input - Tesco'!K$2:K$200,MATCH('Calculations - Tesco'!$C173,'Input - Tesco'!$B$2:$B$200,0)),"")</f>
        <v>0</v>
      </c>
      <c r="M173" s="21" t="str">
        <f t="shared" si="128"/>
        <v/>
      </c>
      <c r="N173" s="21" t="str">
        <f t="shared" si="114"/>
        <v/>
      </c>
      <c r="O173" s="21">
        <f t="shared" si="129"/>
        <v>0</v>
      </c>
      <c r="P173" s="9">
        <f t="shared" si="111"/>
        <v>0</v>
      </c>
      <c r="Q173" s="9">
        <f t="shared" si="112"/>
        <v>0</v>
      </c>
      <c r="R173" s="22" t="str">
        <f>IFERROR(INDEX(Tesco!$Q$11:$Q$165,MATCH('Calculations - Tesco'!$C173,Tesco!$M$11:$M$165,0)),"")</f>
        <v/>
      </c>
      <c r="S173" s="22" t="str">
        <f>IFERROR(INDEX(Tesco!$R$11:$R$165,MATCH('Calculations - Tesco'!$C173,Tesco!$M$11:$M$165,0)),"")</f>
        <v/>
      </c>
      <c r="T173" s="16" t="e">
        <f t="shared" si="115"/>
        <v>#VALUE!</v>
      </c>
      <c r="U173" s="16" t="e">
        <f t="shared" si="130"/>
        <v>#VALUE!</v>
      </c>
      <c r="V173" s="16" t="e">
        <f t="shared" si="131"/>
        <v>#VALUE!</v>
      </c>
      <c r="W173" s="10" t="str">
        <f t="shared" si="116"/>
        <v>-</v>
      </c>
      <c r="X173" s="10" t="str">
        <f t="shared" si="117"/>
        <v>-</v>
      </c>
      <c r="Y173" s="13" t="str">
        <f t="shared" si="132"/>
        <v>-</v>
      </c>
      <c r="Z173" s="9" t="str">
        <f t="shared" si="118"/>
        <v>-</v>
      </c>
      <c r="AA173" s="16" t="str">
        <f t="shared" si="133"/>
        <v>-</v>
      </c>
      <c r="AB173" s="16" t="str">
        <f t="shared" si="119"/>
        <v>-</v>
      </c>
      <c r="AC173" s="16" t="str">
        <f t="shared" si="120"/>
        <v>-</v>
      </c>
      <c r="AD173" s="16" t="str">
        <f t="shared" si="134"/>
        <v>-</v>
      </c>
      <c r="AE173" s="16"/>
      <c r="AF173" s="31" t="str">
        <f>IFERROR(INDEX(Tesco!$P$11:$P$165,MATCH('Calculations - Tesco'!C173,Tesco!$M$11:$M$165,0)),"")</f>
        <v/>
      </c>
      <c r="AG173" s="23" t="str">
        <f t="shared" si="135"/>
        <v/>
      </c>
      <c r="AH173" s="23" t="str">
        <f t="shared" si="135"/>
        <v/>
      </c>
      <c r="AI173" s="9" t="str">
        <f t="shared" si="121"/>
        <v/>
      </c>
      <c r="AJ173" s="4" t="str">
        <f t="shared" si="122"/>
        <v/>
      </c>
      <c r="AK173" s="4"/>
      <c r="AL173" s="4"/>
      <c r="AM173" s="4"/>
      <c r="AN173" s="4"/>
      <c r="AO173" s="4"/>
      <c r="AP173" s="20" t="str">
        <f t="shared" si="123"/>
        <v>-</v>
      </c>
      <c r="AQ173" s="13" t="str">
        <f t="shared" si="136"/>
        <v>-</v>
      </c>
      <c r="AR173" s="13" t="str">
        <f t="shared" si="137"/>
        <v>-</v>
      </c>
      <c r="AS173" s="13" t="str">
        <f t="shared" si="124"/>
        <v>-</v>
      </c>
      <c r="AT173" s="16" t="str">
        <f t="shared" si="138"/>
        <v>-</v>
      </c>
      <c r="AU173" s="16" t="str">
        <f t="shared" si="125"/>
        <v>-</v>
      </c>
      <c r="AV173" s="16" t="str">
        <f t="shared" si="126"/>
        <v>-</v>
      </c>
      <c r="AW173" s="16" t="str">
        <f t="shared" si="139"/>
        <v>-</v>
      </c>
      <c r="AX173" s="13" t="str">
        <f t="shared" si="140"/>
        <v>-</v>
      </c>
      <c r="AY173" s="10" t="str">
        <f t="shared" si="141"/>
        <v>-</v>
      </c>
      <c r="AZ173" s="9" t="str">
        <f t="shared" si="142"/>
        <v>-</v>
      </c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</row>
    <row r="174" spans="2:68" x14ac:dyDescent="0.3">
      <c r="B174" s="108" t="str">
        <f t="shared" si="127"/>
        <v/>
      </c>
      <c r="C174" s="108" t="str">
        <f t="shared" si="113"/>
        <v/>
      </c>
      <c r="D174" s="3"/>
      <c r="E174" s="3"/>
      <c r="F174" s="3"/>
      <c r="G174" s="20">
        <f>IFERROR(INDEX('Input - Tesco'!F$2:F$200,MATCH('Calculations - Tesco'!$C174,'Input - Tesco'!$B$2:$B$200,0)),"")</f>
        <v>0</v>
      </c>
      <c r="H174" s="20">
        <f>IFERROR(INDEX('Input - Tesco'!G$2:G$200,MATCH('Calculations - Tesco'!$C174,'Input - Tesco'!$B$2:$B$200,0)),"")</f>
        <v>0</v>
      </c>
      <c r="I174" s="21">
        <f>IFERROR(INDEX('Input - Tesco'!H$2:H$200,MATCH('Calculations - Tesco'!$C174,'Input - Tesco'!$B$2:$B$200,0)),"")</f>
        <v>0</v>
      </c>
      <c r="J174" s="21">
        <f>IFERROR(INDEX('Input - Tesco'!I$2:I$200,MATCH('Calculations - Tesco'!$C174,'Input - Tesco'!$B$2:$B$200,0)),"")</f>
        <v>0</v>
      </c>
      <c r="K174" s="20">
        <f>IFERROR(INDEX('Input - Tesco'!J$2:J$200,MATCH('Calculations - Tesco'!$C174,'Input - Tesco'!$B$2:$B$200,0)),"")</f>
        <v>0</v>
      </c>
      <c r="L174" s="20">
        <f>IFERROR(INDEX('Input - Tesco'!K$2:K$200,MATCH('Calculations - Tesco'!$C174,'Input - Tesco'!$B$2:$B$200,0)),"")</f>
        <v>0</v>
      </c>
      <c r="M174" s="21" t="str">
        <f t="shared" si="128"/>
        <v/>
      </c>
      <c r="N174" s="21" t="str">
        <f t="shared" si="114"/>
        <v/>
      </c>
      <c r="O174" s="21">
        <f t="shared" si="129"/>
        <v>0</v>
      </c>
      <c r="P174" s="9">
        <f t="shared" si="111"/>
        <v>0</v>
      </c>
      <c r="Q174" s="9">
        <f t="shared" si="112"/>
        <v>0</v>
      </c>
      <c r="R174" s="22" t="str">
        <f>IFERROR(INDEX(Tesco!$Q$11:$Q$165,MATCH('Calculations - Tesco'!$C174,Tesco!$M$11:$M$165,0)),"")</f>
        <v/>
      </c>
      <c r="S174" s="22" t="str">
        <f>IFERROR(INDEX(Tesco!$R$11:$R$165,MATCH('Calculations - Tesco'!$C174,Tesco!$M$11:$M$165,0)),"")</f>
        <v/>
      </c>
      <c r="T174" s="16" t="e">
        <f t="shared" si="115"/>
        <v>#VALUE!</v>
      </c>
      <c r="U174" s="16" t="e">
        <f t="shared" si="130"/>
        <v>#VALUE!</v>
      </c>
      <c r="V174" s="16" t="e">
        <f t="shared" si="131"/>
        <v>#VALUE!</v>
      </c>
      <c r="W174" s="10" t="str">
        <f t="shared" si="116"/>
        <v>-</v>
      </c>
      <c r="X174" s="10" t="str">
        <f t="shared" si="117"/>
        <v>-</v>
      </c>
      <c r="Y174" s="13" t="str">
        <f t="shared" si="132"/>
        <v>-</v>
      </c>
      <c r="Z174" s="9" t="str">
        <f t="shared" si="118"/>
        <v>-</v>
      </c>
      <c r="AA174" s="16" t="str">
        <f t="shared" si="133"/>
        <v>-</v>
      </c>
      <c r="AB174" s="16" t="str">
        <f t="shared" si="119"/>
        <v>-</v>
      </c>
      <c r="AC174" s="16" t="str">
        <f t="shared" si="120"/>
        <v>-</v>
      </c>
      <c r="AD174" s="16" t="str">
        <f t="shared" si="134"/>
        <v>-</v>
      </c>
      <c r="AE174" s="16"/>
      <c r="AF174" s="31" t="str">
        <f>IFERROR(INDEX(Tesco!$P$11:$P$165,MATCH('Calculations - Tesco'!C174,Tesco!$M$11:$M$165,0)),"")</f>
        <v/>
      </c>
      <c r="AG174" s="23" t="str">
        <f t="shared" si="135"/>
        <v/>
      </c>
      <c r="AH174" s="23" t="str">
        <f t="shared" si="135"/>
        <v/>
      </c>
      <c r="AI174" s="9" t="str">
        <f t="shared" si="121"/>
        <v/>
      </c>
      <c r="AJ174" s="4" t="str">
        <f t="shared" si="122"/>
        <v/>
      </c>
      <c r="AK174" s="4"/>
      <c r="AL174" s="4"/>
      <c r="AM174" s="4"/>
      <c r="AN174" s="4"/>
      <c r="AO174" s="4"/>
      <c r="AP174" s="20" t="str">
        <f t="shared" si="123"/>
        <v>-</v>
      </c>
      <c r="AQ174" s="13" t="str">
        <f t="shared" si="136"/>
        <v>-</v>
      </c>
      <c r="AR174" s="13" t="str">
        <f t="shared" si="137"/>
        <v>-</v>
      </c>
      <c r="AS174" s="13" t="str">
        <f t="shared" si="124"/>
        <v>-</v>
      </c>
      <c r="AT174" s="16" t="str">
        <f t="shared" si="138"/>
        <v>-</v>
      </c>
      <c r="AU174" s="16" t="str">
        <f t="shared" si="125"/>
        <v>-</v>
      </c>
      <c r="AV174" s="16" t="str">
        <f t="shared" si="126"/>
        <v>-</v>
      </c>
      <c r="AW174" s="16" t="str">
        <f t="shared" si="139"/>
        <v>-</v>
      </c>
      <c r="AX174" s="13" t="str">
        <f t="shared" si="140"/>
        <v>-</v>
      </c>
      <c r="AY174" s="10" t="str">
        <f t="shared" si="141"/>
        <v>-</v>
      </c>
      <c r="AZ174" s="9" t="str">
        <f t="shared" si="142"/>
        <v>-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</row>
    <row r="175" spans="2:68" x14ac:dyDescent="0.3">
      <c r="B175" s="108" t="str">
        <f t="shared" si="127"/>
        <v/>
      </c>
      <c r="C175" s="108" t="str">
        <f t="shared" si="113"/>
        <v/>
      </c>
      <c r="D175" s="3"/>
      <c r="E175" s="3"/>
      <c r="F175" s="3"/>
      <c r="G175" s="20">
        <f>IFERROR(INDEX('Input - Tesco'!F$2:F$200,MATCH('Calculations - Tesco'!$C175,'Input - Tesco'!$B$2:$B$200,0)),"")</f>
        <v>0</v>
      </c>
      <c r="H175" s="20">
        <f>IFERROR(INDEX('Input - Tesco'!G$2:G$200,MATCH('Calculations - Tesco'!$C175,'Input - Tesco'!$B$2:$B$200,0)),"")</f>
        <v>0</v>
      </c>
      <c r="I175" s="21">
        <f>IFERROR(INDEX('Input - Tesco'!H$2:H$200,MATCH('Calculations - Tesco'!$C175,'Input - Tesco'!$B$2:$B$200,0)),"")</f>
        <v>0</v>
      </c>
      <c r="J175" s="21">
        <f>IFERROR(INDEX('Input - Tesco'!I$2:I$200,MATCH('Calculations - Tesco'!$C175,'Input - Tesco'!$B$2:$B$200,0)),"")</f>
        <v>0</v>
      </c>
      <c r="K175" s="20">
        <f>IFERROR(INDEX('Input - Tesco'!J$2:J$200,MATCH('Calculations - Tesco'!$C175,'Input - Tesco'!$B$2:$B$200,0)),"")</f>
        <v>0</v>
      </c>
      <c r="L175" s="20">
        <f>IFERROR(INDEX('Input - Tesco'!K$2:K$200,MATCH('Calculations - Tesco'!$C175,'Input - Tesco'!$B$2:$B$200,0)),"")</f>
        <v>0</v>
      </c>
      <c r="M175" s="21" t="str">
        <f t="shared" si="128"/>
        <v/>
      </c>
      <c r="N175" s="21" t="str">
        <f t="shared" si="114"/>
        <v/>
      </c>
      <c r="O175" s="21">
        <f t="shared" si="129"/>
        <v>0</v>
      </c>
      <c r="P175" s="9">
        <f t="shared" si="111"/>
        <v>0</v>
      </c>
      <c r="Q175" s="9">
        <f t="shared" si="112"/>
        <v>0</v>
      </c>
      <c r="R175" s="22" t="str">
        <f>IFERROR(INDEX(Tesco!$Q$11:$Q$165,MATCH('Calculations - Tesco'!$C175,Tesco!$M$11:$M$165,0)),"")</f>
        <v/>
      </c>
      <c r="S175" s="22" t="str">
        <f>IFERROR(INDEX(Tesco!$R$11:$R$165,MATCH('Calculations - Tesco'!$C175,Tesco!$M$11:$M$165,0)),"")</f>
        <v/>
      </c>
      <c r="T175" s="16" t="e">
        <f t="shared" si="115"/>
        <v>#VALUE!</v>
      </c>
      <c r="U175" s="16" t="e">
        <f t="shared" si="130"/>
        <v>#VALUE!</v>
      </c>
      <c r="V175" s="16" t="e">
        <f t="shared" si="131"/>
        <v>#VALUE!</v>
      </c>
      <c r="W175" s="10" t="str">
        <f t="shared" si="116"/>
        <v>-</v>
      </c>
      <c r="X175" s="10" t="str">
        <f t="shared" si="117"/>
        <v>-</v>
      </c>
      <c r="Y175" s="13" t="str">
        <f t="shared" si="132"/>
        <v>-</v>
      </c>
      <c r="Z175" s="9" t="str">
        <f t="shared" si="118"/>
        <v>-</v>
      </c>
      <c r="AA175" s="16" t="str">
        <f t="shared" si="133"/>
        <v>-</v>
      </c>
      <c r="AB175" s="16" t="str">
        <f t="shared" si="119"/>
        <v>-</v>
      </c>
      <c r="AC175" s="16" t="str">
        <f t="shared" si="120"/>
        <v>-</v>
      </c>
      <c r="AD175" s="16" t="str">
        <f t="shared" si="134"/>
        <v>-</v>
      </c>
      <c r="AE175" s="16"/>
      <c r="AF175" s="31" t="str">
        <f>IFERROR(INDEX(Tesco!$P$11:$P$165,MATCH('Calculations - Tesco'!C175,Tesco!$M$11:$M$165,0)),"")</f>
        <v/>
      </c>
      <c r="AG175" s="23" t="str">
        <f t="shared" si="135"/>
        <v/>
      </c>
      <c r="AH175" s="23" t="str">
        <f t="shared" si="135"/>
        <v/>
      </c>
      <c r="AI175" s="9" t="str">
        <f t="shared" si="121"/>
        <v/>
      </c>
      <c r="AJ175" s="4" t="str">
        <f t="shared" si="122"/>
        <v/>
      </c>
      <c r="AK175" s="4"/>
      <c r="AL175" s="4"/>
      <c r="AM175" s="4"/>
      <c r="AN175" s="4"/>
      <c r="AO175" s="4"/>
      <c r="AP175" s="20" t="str">
        <f t="shared" si="123"/>
        <v>-</v>
      </c>
      <c r="AQ175" s="13" t="str">
        <f t="shared" si="136"/>
        <v>-</v>
      </c>
      <c r="AR175" s="13" t="str">
        <f t="shared" si="137"/>
        <v>-</v>
      </c>
      <c r="AS175" s="13" t="str">
        <f t="shared" si="124"/>
        <v>-</v>
      </c>
      <c r="AT175" s="16" t="str">
        <f t="shared" si="138"/>
        <v>-</v>
      </c>
      <c r="AU175" s="16" t="str">
        <f t="shared" si="125"/>
        <v>-</v>
      </c>
      <c r="AV175" s="16" t="str">
        <f t="shared" si="126"/>
        <v>-</v>
      </c>
      <c r="AW175" s="16" t="str">
        <f t="shared" si="139"/>
        <v>-</v>
      </c>
      <c r="AX175" s="13" t="str">
        <f t="shared" si="140"/>
        <v>-</v>
      </c>
      <c r="AY175" s="10" t="str">
        <f t="shared" si="141"/>
        <v>-</v>
      </c>
      <c r="AZ175" s="9" t="str">
        <f t="shared" si="142"/>
        <v>-</v>
      </c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</row>
    <row r="176" spans="2:68" x14ac:dyDescent="0.3">
      <c r="B176" s="108" t="str">
        <f t="shared" si="127"/>
        <v/>
      </c>
      <c r="C176" s="108" t="str">
        <f t="shared" si="113"/>
        <v/>
      </c>
      <c r="D176" s="3"/>
      <c r="E176" s="3"/>
      <c r="F176" s="3"/>
      <c r="G176" s="20">
        <f>IFERROR(INDEX('Input - Tesco'!F$2:F$200,MATCH('Calculations - Tesco'!$C176,'Input - Tesco'!$B$2:$B$200,0)),"")</f>
        <v>0</v>
      </c>
      <c r="H176" s="20">
        <f>IFERROR(INDEX('Input - Tesco'!G$2:G$200,MATCH('Calculations - Tesco'!$C176,'Input - Tesco'!$B$2:$B$200,0)),"")</f>
        <v>0</v>
      </c>
      <c r="I176" s="21">
        <f>IFERROR(INDEX('Input - Tesco'!H$2:H$200,MATCH('Calculations - Tesco'!$C176,'Input - Tesco'!$B$2:$B$200,0)),"")</f>
        <v>0</v>
      </c>
      <c r="J176" s="21">
        <f>IFERROR(INDEX('Input - Tesco'!I$2:I$200,MATCH('Calculations - Tesco'!$C176,'Input - Tesco'!$B$2:$B$200,0)),"")</f>
        <v>0</v>
      </c>
      <c r="K176" s="20">
        <f>IFERROR(INDEX('Input - Tesco'!J$2:J$200,MATCH('Calculations - Tesco'!$C176,'Input - Tesco'!$B$2:$B$200,0)),"")</f>
        <v>0</v>
      </c>
      <c r="L176" s="20">
        <f>IFERROR(INDEX('Input - Tesco'!K$2:K$200,MATCH('Calculations - Tesco'!$C176,'Input - Tesco'!$B$2:$B$200,0)),"")</f>
        <v>0</v>
      </c>
      <c r="M176" s="21" t="str">
        <f t="shared" si="128"/>
        <v/>
      </c>
      <c r="N176" s="21" t="str">
        <f t="shared" si="114"/>
        <v/>
      </c>
      <c r="O176" s="21">
        <f t="shared" si="129"/>
        <v>0</v>
      </c>
      <c r="P176" s="9">
        <f t="shared" si="111"/>
        <v>0</v>
      </c>
      <c r="Q176" s="9">
        <f t="shared" si="112"/>
        <v>0</v>
      </c>
      <c r="R176" s="22" t="str">
        <f>IFERROR(INDEX(Tesco!$Q$11:$Q$165,MATCH('Calculations - Tesco'!$C176,Tesco!$M$11:$M$165,0)),"")</f>
        <v/>
      </c>
      <c r="S176" s="22" t="str">
        <f>IFERROR(INDEX(Tesco!$R$11:$R$165,MATCH('Calculations - Tesco'!$C176,Tesco!$M$11:$M$165,0)),"")</f>
        <v/>
      </c>
      <c r="T176" s="16" t="e">
        <f t="shared" si="115"/>
        <v>#VALUE!</v>
      </c>
      <c r="U176" s="16" t="e">
        <f t="shared" si="130"/>
        <v>#VALUE!</v>
      </c>
      <c r="V176" s="16" t="e">
        <f t="shared" si="131"/>
        <v>#VALUE!</v>
      </c>
      <c r="W176" s="10" t="str">
        <f t="shared" si="116"/>
        <v>-</v>
      </c>
      <c r="X176" s="10" t="str">
        <f t="shared" si="117"/>
        <v>-</v>
      </c>
      <c r="Y176" s="13" t="str">
        <f t="shared" si="132"/>
        <v>-</v>
      </c>
      <c r="Z176" s="9" t="str">
        <f t="shared" si="118"/>
        <v>-</v>
      </c>
      <c r="AA176" s="16" t="str">
        <f t="shared" si="133"/>
        <v>-</v>
      </c>
      <c r="AB176" s="16" t="str">
        <f t="shared" si="119"/>
        <v>-</v>
      </c>
      <c r="AC176" s="16" t="str">
        <f t="shared" si="120"/>
        <v>-</v>
      </c>
      <c r="AD176" s="16" t="str">
        <f t="shared" si="134"/>
        <v>-</v>
      </c>
      <c r="AE176" s="16"/>
      <c r="AF176" s="31" t="str">
        <f>IFERROR(INDEX(Tesco!$P$11:$P$165,MATCH('Calculations - Tesco'!C176,Tesco!$M$11:$M$165,0)),"")</f>
        <v/>
      </c>
      <c r="AG176" s="23" t="str">
        <f t="shared" si="135"/>
        <v/>
      </c>
      <c r="AH176" s="23" t="str">
        <f t="shared" si="135"/>
        <v/>
      </c>
      <c r="AI176" s="9" t="str">
        <f t="shared" si="121"/>
        <v/>
      </c>
      <c r="AJ176" s="4" t="str">
        <f t="shared" si="122"/>
        <v/>
      </c>
      <c r="AK176" s="4"/>
      <c r="AL176" s="4"/>
      <c r="AM176" s="4"/>
      <c r="AN176" s="4"/>
      <c r="AO176" s="4"/>
      <c r="AP176" s="20" t="str">
        <f t="shared" si="123"/>
        <v>-</v>
      </c>
      <c r="AQ176" s="13" t="str">
        <f t="shared" si="136"/>
        <v>-</v>
      </c>
      <c r="AR176" s="13" t="str">
        <f t="shared" si="137"/>
        <v>-</v>
      </c>
      <c r="AS176" s="13" t="str">
        <f t="shared" si="124"/>
        <v>-</v>
      </c>
      <c r="AT176" s="16" t="str">
        <f t="shared" si="138"/>
        <v>-</v>
      </c>
      <c r="AU176" s="16" t="str">
        <f t="shared" si="125"/>
        <v>-</v>
      </c>
      <c r="AV176" s="16" t="str">
        <f t="shared" si="126"/>
        <v>-</v>
      </c>
      <c r="AW176" s="16" t="str">
        <f t="shared" si="139"/>
        <v>-</v>
      </c>
      <c r="AX176" s="13" t="str">
        <f t="shared" si="140"/>
        <v>-</v>
      </c>
      <c r="AY176" s="10" t="str">
        <f t="shared" si="141"/>
        <v>-</v>
      </c>
      <c r="AZ176" s="9" t="str">
        <f t="shared" si="142"/>
        <v>-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</row>
    <row r="177" spans="2:68" x14ac:dyDescent="0.3">
      <c r="B177" s="108" t="str">
        <f t="shared" si="127"/>
        <v/>
      </c>
      <c r="C177" s="108" t="str">
        <f t="shared" si="113"/>
        <v/>
      </c>
      <c r="D177" s="3"/>
      <c r="E177" s="3"/>
      <c r="F177" s="3"/>
      <c r="G177" s="20">
        <f>IFERROR(INDEX('Input - Tesco'!F$2:F$200,MATCH('Calculations - Tesco'!$C177,'Input - Tesco'!$B$2:$B$200,0)),"")</f>
        <v>0</v>
      </c>
      <c r="H177" s="20">
        <f>IFERROR(INDEX('Input - Tesco'!G$2:G$200,MATCH('Calculations - Tesco'!$C177,'Input - Tesco'!$B$2:$B$200,0)),"")</f>
        <v>0</v>
      </c>
      <c r="I177" s="21">
        <f>IFERROR(INDEX('Input - Tesco'!H$2:H$200,MATCH('Calculations - Tesco'!$C177,'Input - Tesco'!$B$2:$B$200,0)),"")</f>
        <v>0</v>
      </c>
      <c r="J177" s="21">
        <f>IFERROR(INDEX('Input - Tesco'!I$2:I$200,MATCH('Calculations - Tesco'!$C177,'Input - Tesco'!$B$2:$B$200,0)),"")</f>
        <v>0</v>
      </c>
      <c r="K177" s="20">
        <f>IFERROR(INDEX('Input - Tesco'!J$2:J$200,MATCH('Calculations - Tesco'!$C177,'Input - Tesco'!$B$2:$B$200,0)),"")</f>
        <v>0</v>
      </c>
      <c r="L177" s="20">
        <f>IFERROR(INDEX('Input - Tesco'!K$2:K$200,MATCH('Calculations - Tesco'!$C177,'Input - Tesco'!$B$2:$B$200,0)),"")</f>
        <v>0</v>
      </c>
      <c r="M177" s="21" t="str">
        <f t="shared" si="128"/>
        <v/>
      </c>
      <c r="N177" s="21" t="str">
        <f t="shared" si="114"/>
        <v/>
      </c>
      <c r="O177" s="21">
        <f t="shared" si="129"/>
        <v>0</v>
      </c>
      <c r="P177" s="9">
        <f t="shared" si="111"/>
        <v>0</v>
      </c>
      <c r="Q177" s="9">
        <f t="shared" si="112"/>
        <v>0</v>
      </c>
      <c r="R177" s="22" t="str">
        <f>IFERROR(INDEX(Tesco!$Q$11:$Q$165,MATCH('Calculations - Tesco'!$C177,Tesco!$M$11:$M$165,0)),"")</f>
        <v/>
      </c>
      <c r="S177" s="22" t="str">
        <f>IFERROR(INDEX(Tesco!$R$11:$R$165,MATCH('Calculations - Tesco'!$C177,Tesco!$M$11:$M$165,0)),"")</f>
        <v/>
      </c>
      <c r="T177" s="16" t="e">
        <f t="shared" si="115"/>
        <v>#VALUE!</v>
      </c>
      <c r="U177" s="16" t="e">
        <f t="shared" si="130"/>
        <v>#VALUE!</v>
      </c>
      <c r="V177" s="16" t="e">
        <f t="shared" si="131"/>
        <v>#VALUE!</v>
      </c>
      <c r="W177" s="10" t="str">
        <f t="shared" si="116"/>
        <v>-</v>
      </c>
      <c r="X177" s="10" t="str">
        <f t="shared" si="117"/>
        <v>-</v>
      </c>
      <c r="Y177" s="13" t="str">
        <f t="shared" si="132"/>
        <v>-</v>
      </c>
      <c r="Z177" s="9" t="str">
        <f t="shared" si="118"/>
        <v>-</v>
      </c>
      <c r="AA177" s="16" t="str">
        <f t="shared" si="133"/>
        <v>-</v>
      </c>
      <c r="AB177" s="16" t="str">
        <f t="shared" si="119"/>
        <v>-</v>
      </c>
      <c r="AC177" s="16" t="str">
        <f t="shared" si="120"/>
        <v>-</v>
      </c>
      <c r="AD177" s="16" t="str">
        <f t="shared" si="134"/>
        <v>-</v>
      </c>
      <c r="AE177" s="16"/>
      <c r="AF177" s="31" t="str">
        <f>IFERROR(INDEX(Tesco!$P$11:$P$165,MATCH('Calculations - Tesco'!C177,Tesco!$M$11:$M$165,0)),"")</f>
        <v/>
      </c>
      <c r="AG177" s="23" t="str">
        <f t="shared" si="135"/>
        <v/>
      </c>
      <c r="AH177" s="23" t="str">
        <f t="shared" si="135"/>
        <v/>
      </c>
      <c r="AI177" s="9" t="str">
        <f t="shared" si="121"/>
        <v/>
      </c>
      <c r="AJ177" s="4" t="str">
        <f t="shared" si="122"/>
        <v/>
      </c>
      <c r="AK177" s="4"/>
      <c r="AL177" s="4"/>
      <c r="AM177" s="4"/>
      <c r="AN177" s="4"/>
      <c r="AO177" s="4"/>
      <c r="AP177" s="20" t="str">
        <f t="shared" si="123"/>
        <v>-</v>
      </c>
      <c r="AQ177" s="13" t="str">
        <f t="shared" si="136"/>
        <v>-</v>
      </c>
      <c r="AR177" s="13" t="str">
        <f t="shared" si="137"/>
        <v>-</v>
      </c>
      <c r="AS177" s="13" t="str">
        <f t="shared" si="124"/>
        <v>-</v>
      </c>
      <c r="AT177" s="16" t="str">
        <f t="shared" si="138"/>
        <v>-</v>
      </c>
      <c r="AU177" s="16" t="str">
        <f t="shared" si="125"/>
        <v>-</v>
      </c>
      <c r="AV177" s="16" t="str">
        <f t="shared" si="126"/>
        <v>-</v>
      </c>
      <c r="AW177" s="16" t="str">
        <f t="shared" si="139"/>
        <v>-</v>
      </c>
      <c r="AX177" s="13" t="str">
        <f t="shared" si="140"/>
        <v>-</v>
      </c>
      <c r="AY177" s="10" t="str">
        <f t="shared" si="141"/>
        <v>-</v>
      </c>
      <c r="AZ177" s="9" t="str">
        <f t="shared" si="142"/>
        <v>-</v>
      </c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</row>
    <row r="178" spans="2:68" x14ac:dyDescent="0.3">
      <c r="B178" s="108" t="str">
        <f t="shared" si="127"/>
        <v/>
      </c>
      <c r="C178" s="108" t="str">
        <f t="shared" si="113"/>
        <v/>
      </c>
      <c r="D178" s="3"/>
      <c r="E178" s="3"/>
      <c r="F178" s="3"/>
      <c r="G178" s="20">
        <f>IFERROR(INDEX('Input - Tesco'!F$2:F$200,MATCH('Calculations - Tesco'!$C178,'Input - Tesco'!$B$2:$B$200,0)),"")</f>
        <v>0</v>
      </c>
      <c r="H178" s="20">
        <f>IFERROR(INDEX('Input - Tesco'!G$2:G$200,MATCH('Calculations - Tesco'!$C178,'Input - Tesco'!$B$2:$B$200,0)),"")</f>
        <v>0</v>
      </c>
      <c r="I178" s="21">
        <f>IFERROR(INDEX('Input - Tesco'!H$2:H$200,MATCH('Calculations - Tesco'!$C178,'Input - Tesco'!$B$2:$B$200,0)),"")</f>
        <v>0</v>
      </c>
      <c r="J178" s="21">
        <f>IFERROR(INDEX('Input - Tesco'!I$2:I$200,MATCH('Calculations - Tesco'!$C178,'Input - Tesco'!$B$2:$B$200,0)),"")</f>
        <v>0</v>
      </c>
      <c r="K178" s="20">
        <f>IFERROR(INDEX('Input - Tesco'!J$2:J$200,MATCH('Calculations - Tesco'!$C178,'Input - Tesco'!$B$2:$B$200,0)),"")</f>
        <v>0</v>
      </c>
      <c r="L178" s="20">
        <f>IFERROR(INDEX('Input - Tesco'!K$2:K$200,MATCH('Calculations - Tesco'!$C178,'Input - Tesco'!$B$2:$B$200,0)),"")</f>
        <v>0</v>
      </c>
      <c r="M178" s="21" t="str">
        <f t="shared" si="128"/>
        <v/>
      </c>
      <c r="N178" s="21" t="str">
        <f t="shared" si="114"/>
        <v/>
      </c>
      <c r="O178" s="21">
        <f t="shared" si="129"/>
        <v>0</v>
      </c>
      <c r="P178" s="9">
        <f t="shared" si="111"/>
        <v>0</v>
      </c>
      <c r="Q178" s="9">
        <f t="shared" si="112"/>
        <v>0</v>
      </c>
      <c r="R178" s="22" t="str">
        <f>IFERROR(INDEX(Tesco!$Q$11:$Q$165,MATCH('Calculations - Tesco'!$C178,Tesco!$M$11:$M$165,0)),"")</f>
        <v/>
      </c>
      <c r="S178" s="22" t="str">
        <f>IFERROR(INDEX(Tesco!$R$11:$R$165,MATCH('Calculations - Tesco'!$C178,Tesco!$M$11:$M$165,0)),"")</f>
        <v/>
      </c>
      <c r="T178" s="16" t="e">
        <f t="shared" si="115"/>
        <v>#VALUE!</v>
      </c>
      <c r="U178" s="16" t="e">
        <f t="shared" si="130"/>
        <v>#VALUE!</v>
      </c>
      <c r="V178" s="16" t="e">
        <f t="shared" si="131"/>
        <v>#VALUE!</v>
      </c>
      <c r="W178" s="10" t="str">
        <f t="shared" si="116"/>
        <v>-</v>
      </c>
      <c r="X178" s="10" t="str">
        <f t="shared" si="117"/>
        <v>-</v>
      </c>
      <c r="Y178" s="13" t="str">
        <f t="shared" si="132"/>
        <v>-</v>
      </c>
      <c r="Z178" s="9" t="str">
        <f t="shared" si="118"/>
        <v>-</v>
      </c>
      <c r="AA178" s="16" t="str">
        <f t="shared" si="133"/>
        <v>-</v>
      </c>
      <c r="AB178" s="16" t="str">
        <f t="shared" si="119"/>
        <v>-</v>
      </c>
      <c r="AC178" s="16" t="str">
        <f t="shared" si="120"/>
        <v>-</v>
      </c>
      <c r="AD178" s="16" t="str">
        <f t="shared" si="134"/>
        <v>-</v>
      </c>
      <c r="AE178" s="16"/>
      <c r="AF178" s="31" t="str">
        <f>IFERROR(INDEX(Tesco!$P$11:$P$165,MATCH('Calculations - Tesco'!C178,Tesco!$M$11:$M$165,0)),"")</f>
        <v/>
      </c>
      <c r="AG178" s="23" t="str">
        <f t="shared" si="135"/>
        <v/>
      </c>
      <c r="AH178" s="23" t="str">
        <f t="shared" si="135"/>
        <v/>
      </c>
      <c r="AI178" s="9" t="str">
        <f t="shared" si="121"/>
        <v/>
      </c>
      <c r="AJ178" s="4" t="str">
        <f t="shared" si="122"/>
        <v/>
      </c>
      <c r="AK178" s="4"/>
      <c r="AL178" s="4"/>
      <c r="AM178" s="4"/>
      <c r="AN178" s="4"/>
      <c r="AO178" s="4"/>
      <c r="AP178" s="20" t="str">
        <f t="shared" si="123"/>
        <v>-</v>
      </c>
      <c r="AQ178" s="13" t="str">
        <f t="shared" si="136"/>
        <v>-</v>
      </c>
      <c r="AR178" s="13" t="str">
        <f t="shared" si="137"/>
        <v>-</v>
      </c>
      <c r="AS178" s="13" t="str">
        <f t="shared" si="124"/>
        <v>-</v>
      </c>
      <c r="AT178" s="16" t="str">
        <f t="shared" si="138"/>
        <v>-</v>
      </c>
      <c r="AU178" s="16" t="str">
        <f t="shared" si="125"/>
        <v>-</v>
      </c>
      <c r="AV178" s="16" t="str">
        <f t="shared" si="126"/>
        <v>-</v>
      </c>
      <c r="AW178" s="16" t="str">
        <f t="shared" si="139"/>
        <v>-</v>
      </c>
      <c r="AX178" s="13" t="str">
        <f t="shared" si="140"/>
        <v>-</v>
      </c>
      <c r="AY178" s="10" t="str">
        <f t="shared" si="141"/>
        <v>-</v>
      </c>
      <c r="AZ178" s="9" t="str">
        <f t="shared" si="142"/>
        <v>-</v>
      </c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</row>
    <row r="179" spans="2:68" x14ac:dyDescent="0.3">
      <c r="B179" s="108" t="str">
        <f t="shared" si="127"/>
        <v/>
      </c>
      <c r="C179" s="108" t="str">
        <f t="shared" si="113"/>
        <v/>
      </c>
      <c r="D179" s="3"/>
      <c r="E179" s="3"/>
      <c r="F179" s="3"/>
      <c r="G179" s="20">
        <f>IFERROR(INDEX('Input - Tesco'!F$2:F$200,MATCH('Calculations - Tesco'!$C179,'Input - Tesco'!$B$2:$B$200,0)),"")</f>
        <v>0</v>
      </c>
      <c r="H179" s="20">
        <f>IFERROR(INDEX('Input - Tesco'!G$2:G$200,MATCH('Calculations - Tesco'!$C179,'Input - Tesco'!$B$2:$B$200,0)),"")</f>
        <v>0</v>
      </c>
      <c r="I179" s="21">
        <f>IFERROR(INDEX('Input - Tesco'!H$2:H$200,MATCH('Calculations - Tesco'!$C179,'Input - Tesco'!$B$2:$B$200,0)),"")</f>
        <v>0</v>
      </c>
      <c r="J179" s="21">
        <f>IFERROR(INDEX('Input - Tesco'!I$2:I$200,MATCH('Calculations - Tesco'!$C179,'Input - Tesco'!$B$2:$B$200,0)),"")</f>
        <v>0</v>
      </c>
      <c r="K179" s="20">
        <f>IFERROR(INDEX('Input - Tesco'!J$2:J$200,MATCH('Calculations - Tesco'!$C179,'Input - Tesco'!$B$2:$B$200,0)),"")</f>
        <v>0</v>
      </c>
      <c r="L179" s="20">
        <f>IFERROR(INDEX('Input - Tesco'!K$2:K$200,MATCH('Calculations - Tesco'!$C179,'Input - Tesco'!$B$2:$B$200,0)),"")</f>
        <v>0</v>
      </c>
      <c r="M179" s="21" t="str">
        <f t="shared" si="128"/>
        <v/>
      </c>
      <c r="N179" s="21" t="str">
        <f t="shared" si="114"/>
        <v/>
      </c>
      <c r="O179" s="21">
        <f t="shared" si="129"/>
        <v>0</v>
      </c>
      <c r="P179" s="9">
        <f t="shared" si="111"/>
        <v>0</v>
      </c>
      <c r="Q179" s="9">
        <f t="shared" si="112"/>
        <v>0</v>
      </c>
      <c r="R179" s="22" t="str">
        <f>IFERROR(INDEX(Tesco!$Q$11:$Q$165,MATCH('Calculations - Tesco'!$C179,Tesco!$M$11:$M$165,0)),"")</f>
        <v/>
      </c>
      <c r="S179" s="22" t="str">
        <f>IFERROR(INDEX(Tesco!$R$11:$R$165,MATCH('Calculations - Tesco'!$C179,Tesco!$M$11:$M$165,0)),"")</f>
        <v/>
      </c>
      <c r="T179" s="16" t="e">
        <f t="shared" si="115"/>
        <v>#VALUE!</v>
      </c>
      <c r="U179" s="16" t="e">
        <f t="shared" si="130"/>
        <v>#VALUE!</v>
      </c>
      <c r="V179" s="16" t="e">
        <f t="shared" si="131"/>
        <v>#VALUE!</v>
      </c>
      <c r="W179" s="10" t="str">
        <f t="shared" si="116"/>
        <v>-</v>
      </c>
      <c r="X179" s="10" t="str">
        <f t="shared" si="117"/>
        <v>-</v>
      </c>
      <c r="Y179" s="13" t="str">
        <f t="shared" si="132"/>
        <v>-</v>
      </c>
      <c r="Z179" s="9" t="str">
        <f t="shared" si="118"/>
        <v>-</v>
      </c>
      <c r="AA179" s="16" t="str">
        <f t="shared" si="133"/>
        <v>-</v>
      </c>
      <c r="AB179" s="16" t="str">
        <f t="shared" si="119"/>
        <v>-</v>
      </c>
      <c r="AC179" s="16" t="str">
        <f t="shared" si="120"/>
        <v>-</v>
      </c>
      <c r="AD179" s="16" t="str">
        <f t="shared" si="134"/>
        <v>-</v>
      </c>
      <c r="AE179" s="16"/>
      <c r="AF179" s="31" t="str">
        <f>IFERROR(INDEX(Tesco!$P$11:$P$165,MATCH('Calculations - Tesco'!C179,Tesco!$M$11:$M$165,0)),"")</f>
        <v/>
      </c>
      <c r="AG179" s="23" t="str">
        <f t="shared" si="135"/>
        <v/>
      </c>
      <c r="AH179" s="23" t="str">
        <f t="shared" si="135"/>
        <v/>
      </c>
      <c r="AI179" s="9" t="str">
        <f t="shared" si="121"/>
        <v/>
      </c>
      <c r="AJ179" s="4" t="str">
        <f t="shared" si="122"/>
        <v/>
      </c>
      <c r="AK179" s="4"/>
      <c r="AL179" s="4"/>
      <c r="AM179" s="4"/>
      <c r="AN179" s="4"/>
      <c r="AO179" s="4"/>
      <c r="AP179" s="20" t="str">
        <f t="shared" si="123"/>
        <v>-</v>
      </c>
      <c r="AQ179" s="13" t="str">
        <f t="shared" si="136"/>
        <v>-</v>
      </c>
      <c r="AR179" s="13" t="str">
        <f t="shared" si="137"/>
        <v>-</v>
      </c>
      <c r="AS179" s="13" t="str">
        <f t="shared" si="124"/>
        <v>-</v>
      </c>
      <c r="AT179" s="16" t="str">
        <f t="shared" si="138"/>
        <v>-</v>
      </c>
      <c r="AU179" s="16" t="str">
        <f t="shared" si="125"/>
        <v>-</v>
      </c>
      <c r="AV179" s="16" t="str">
        <f t="shared" si="126"/>
        <v>-</v>
      </c>
      <c r="AW179" s="16" t="str">
        <f t="shared" si="139"/>
        <v>-</v>
      </c>
      <c r="AX179" s="13" t="str">
        <f t="shared" si="140"/>
        <v>-</v>
      </c>
      <c r="AY179" s="10" t="str">
        <f t="shared" si="141"/>
        <v>-</v>
      </c>
      <c r="AZ179" s="9" t="str">
        <f t="shared" si="142"/>
        <v>-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</row>
    <row r="180" spans="2:68" x14ac:dyDescent="0.3">
      <c r="B180" s="108" t="str">
        <f t="shared" si="127"/>
        <v/>
      </c>
      <c r="C180" s="108" t="str">
        <f t="shared" si="113"/>
        <v/>
      </c>
      <c r="D180" s="3"/>
      <c r="E180" s="3"/>
      <c r="F180" s="3"/>
      <c r="G180" s="20">
        <f>IFERROR(INDEX('Input - Tesco'!F$2:F$200,MATCH('Calculations - Tesco'!$C180,'Input - Tesco'!$B$2:$B$200,0)),"")</f>
        <v>0</v>
      </c>
      <c r="H180" s="20">
        <f>IFERROR(INDEX('Input - Tesco'!G$2:G$200,MATCH('Calculations - Tesco'!$C180,'Input - Tesco'!$B$2:$B$200,0)),"")</f>
        <v>0</v>
      </c>
      <c r="I180" s="21">
        <f>IFERROR(INDEX('Input - Tesco'!H$2:H$200,MATCH('Calculations - Tesco'!$C180,'Input - Tesco'!$B$2:$B$200,0)),"")</f>
        <v>0</v>
      </c>
      <c r="J180" s="21">
        <f>IFERROR(INDEX('Input - Tesco'!I$2:I$200,MATCH('Calculations - Tesco'!$C180,'Input - Tesco'!$B$2:$B$200,0)),"")</f>
        <v>0</v>
      </c>
      <c r="K180" s="20">
        <f>IFERROR(INDEX('Input - Tesco'!J$2:J$200,MATCH('Calculations - Tesco'!$C180,'Input - Tesco'!$B$2:$B$200,0)),"")</f>
        <v>0</v>
      </c>
      <c r="L180" s="20">
        <f>IFERROR(INDEX('Input - Tesco'!K$2:K$200,MATCH('Calculations - Tesco'!$C180,'Input - Tesco'!$B$2:$B$200,0)),"")</f>
        <v>0</v>
      </c>
      <c r="M180" s="21" t="str">
        <f t="shared" si="128"/>
        <v/>
      </c>
      <c r="N180" s="21" t="str">
        <f t="shared" si="114"/>
        <v/>
      </c>
      <c r="O180" s="21">
        <f t="shared" si="129"/>
        <v>0</v>
      </c>
      <c r="P180" s="9">
        <f t="shared" si="111"/>
        <v>0</v>
      </c>
      <c r="Q180" s="9">
        <f t="shared" si="112"/>
        <v>0</v>
      </c>
      <c r="R180" s="22" t="str">
        <f>IFERROR(INDEX(Tesco!$Q$11:$Q$165,MATCH('Calculations - Tesco'!$C180,Tesco!$M$11:$M$165,0)),"")</f>
        <v/>
      </c>
      <c r="S180" s="22" t="str">
        <f>IFERROR(INDEX(Tesco!$R$11:$R$165,MATCH('Calculations - Tesco'!$C180,Tesco!$M$11:$M$165,0)),"")</f>
        <v/>
      </c>
      <c r="T180" s="16" t="e">
        <f t="shared" si="115"/>
        <v>#VALUE!</v>
      </c>
      <c r="U180" s="16" t="e">
        <f t="shared" si="130"/>
        <v>#VALUE!</v>
      </c>
      <c r="V180" s="16" t="e">
        <f t="shared" si="131"/>
        <v>#VALUE!</v>
      </c>
      <c r="W180" s="10" t="str">
        <f t="shared" si="116"/>
        <v>-</v>
      </c>
      <c r="X180" s="10" t="str">
        <f t="shared" si="117"/>
        <v>-</v>
      </c>
      <c r="Y180" s="13" t="str">
        <f t="shared" si="132"/>
        <v>-</v>
      </c>
      <c r="Z180" s="9" t="str">
        <f t="shared" si="118"/>
        <v>-</v>
      </c>
      <c r="AA180" s="16" t="str">
        <f t="shared" si="133"/>
        <v>-</v>
      </c>
      <c r="AB180" s="16" t="str">
        <f t="shared" si="119"/>
        <v>-</v>
      </c>
      <c r="AC180" s="16" t="str">
        <f t="shared" si="120"/>
        <v>-</v>
      </c>
      <c r="AD180" s="16" t="str">
        <f t="shared" si="134"/>
        <v>-</v>
      </c>
      <c r="AE180" s="16"/>
      <c r="AF180" s="31" t="str">
        <f>IFERROR(INDEX(Tesco!$P$11:$P$165,MATCH('Calculations - Tesco'!C180,Tesco!$M$11:$M$165,0)),"")</f>
        <v/>
      </c>
      <c r="AG180" s="23" t="str">
        <f t="shared" si="135"/>
        <v/>
      </c>
      <c r="AH180" s="23" t="str">
        <f t="shared" si="135"/>
        <v/>
      </c>
      <c r="AI180" s="9" t="str">
        <f t="shared" si="121"/>
        <v/>
      </c>
      <c r="AJ180" s="4" t="str">
        <f t="shared" si="122"/>
        <v/>
      </c>
      <c r="AK180" s="4"/>
      <c r="AL180" s="4"/>
      <c r="AM180" s="4"/>
      <c r="AN180" s="4"/>
      <c r="AO180" s="4"/>
      <c r="AP180" s="20" t="str">
        <f t="shared" si="123"/>
        <v>-</v>
      </c>
      <c r="AQ180" s="13" t="str">
        <f t="shared" si="136"/>
        <v>-</v>
      </c>
      <c r="AR180" s="13" t="str">
        <f t="shared" si="137"/>
        <v>-</v>
      </c>
      <c r="AS180" s="13" t="str">
        <f t="shared" si="124"/>
        <v>-</v>
      </c>
      <c r="AT180" s="16" t="str">
        <f t="shared" si="138"/>
        <v>-</v>
      </c>
      <c r="AU180" s="16" t="str">
        <f t="shared" si="125"/>
        <v>-</v>
      </c>
      <c r="AV180" s="16" t="str">
        <f t="shared" si="126"/>
        <v>-</v>
      </c>
      <c r="AW180" s="16" t="str">
        <f t="shared" si="139"/>
        <v>-</v>
      </c>
      <c r="AX180" s="13" t="str">
        <f t="shared" si="140"/>
        <v>-</v>
      </c>
      <c r="AY180" s="10" t="str">
        <f t="shared" si="141"/>
        <v>-</v>
      </c>
      <c r="AZ180" s="9" t="str">
        <f t="shared" si="142"/>
        <v>-</v>
      </c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</row>
    <row r="181" spans="2:68" x14ac:dyDescent="0.3">
      <c r="B181" s="108" t="str">
        <f t="shared" si="127"/>
        <v/>
      </c>
      <c r="C181" s="108" t="str">
        <f t="shared" si="113"/>
        <v/>
      </c>
      <c r="D181" s="3"/>
      <c r="E181" s="3"/>
      <c r="F181" s="3"/>
      <c r="G181" s="20">
        <f>IFERROR(INDEX('Input - Tesco'!F$2:F$200,MATCH('Calculations - Tesco'!$C181,'Input - Tesco'!$B$2:$B$200,0)),"")</f>
        <v>0</v>
      </c>
      <c r="H181" s="20">
        <f>IFERROR(INDEX('Input - Tesco'!G$2:G$200,MATCH('Calculations - Tesco'!$C181,'Input - Tesco'!$B$2:$B$200,0)),"")</f>
        <v>0</v>
      </c>
      <c r="I181" s="21">
        <f>IFERROR(INDEX('Input - Tesco'!H$2:H$200,MATCH('Calculations - Tesco'!$C181,'Input - Tesco'!$B$2:$B$200,0)),"")</f>
        <v>0</v>
      </c>
      <c r="J181" s="21">
        <f>IFERROR(INDEX('Input - Tesco'!I$2:I$200,MATCH('Calculations - Tesco'!$C181,'Input - Tesco'!$B$2:$B$200,0)),"")</f>
        <v>0</v>
      </c>
      <c r="K181" s="20">
        <f>IFERROR(INDEX('Input - Tesco'!J$2:J$200,MATCH('Calculations - Tesco'!$C181,'Input - Tesco'!$B$2:$B$200,0)),"")</f>
        <v>0</v>
      </c>
      <c r="L181" s="20">
        <f>IFERROR(INDEX('Input - Tesco'!K$2:K$200,MATCH('Calculations - Tesco'!$C181,'Input - Tesco'!$B$2:$B$200,0)),"")</f>
        <v>0</v>
      </c>
      <c r="M181" s="21" t="str">
        <f t="shared" si="128"/>
        <v/>
      </c>
      <c r="N181" s="21" t="str">
        <f t="shared" si="114"/>
        <v/>
      </c>
      <c r="O181" s="21">
        <f t="shared" si="129"/>
        <v>0</v>
      </c>
      <c r="P181" s="9">
        <f t="shared" si="111"/>
        <v>0</v>
      </c>
      <c r="Q181" s="9">
        <f t="shared" si="112"/>
        <v>0</v>
      </c>
      <c r="R181" s="22" t="str">
        <f>IFERROR(INDEX(Tesco!$Q$11:$Q$165,MATCH('Calculations - Tesco'!$C181,Tesco!$M$11:$M$165,0)),"")</f>
        <v/>
      </c>
      <c r="S181" s="22" t="str">
        <f>IFERROR(INDEX(Tesco!$R$11:$R$165,MATCH('Calculations - Tesco'!$C181,Tesco!$M$11:$M$165,0)),"")</f>
        <v/>
      </c>
      <c r="T181" s="16" t="e">
        <f t="shared" si="115"/>
        <v>#VALUE!</v>
      </c>
      <c r="U181" s="16" t="e">
        <f t="shared" si="130"/>
        <v>#VALUE!</v>
      </c>
      <c r="V181" s="16" t="e">
        <f t="shared" si="131"/>
        <v>#VALUE!</v>
      </c>
      <c r="W181" s="10" t="str">
        <f t="shared" si="116"/>
        <v>-</v>
      </c>
      <c r="X181" s="10" t="str">
        <f t="shared" si="117"/>
        <v>-</v>
      </c>
      <c r="Y181" s="13" t="str">
        <f t="shared" si="132"/>
        <v>-</v>
      </c>
      <c r="Z181" s="9" t="str">
        <f t="shared" si="118"/>
        <v>-</v>
      </c>
      <c r="AA181" s="16" t="str">
        <f t="shared" si="133"/>
        <v>-</v>
      </c>
      <c r="AB181" s="16" t="str">
        <f t="shared" si="119"/>
        <v>-</v>
      </c>
      <c r="AC181" s="16" t="str">
        <f t="shared" si="120"/>
        <v>-</v>
      </c>
      <c r="AD181" s="16" t="str">
        <f t="shared" si="134"/>
        <v>-</v>
      </c>
      <c r="AE181" s="16"/>
      <c r="AF181" s="31" t="str">
        <f>IFERROR(INDEX(Tesco!$P$11:$P$165,MATCH('Calculations - Tesco'!C181,Tesco!$M$11:$M$165,0)),"")</f>
        <v/>
      </c>
      <c r="AG181" s="23" t="str">
        <f t="shared" si="135"/>
        <v/>
      </c>
      <c r="AH181" s="23" t="str">
        <f t="shared" si="135"/>
        <v/>
      </c>
      <c r="AI181" s="9" t="str">
        <f t="shared" si="121"/>
        <v/>
      </c>
      <c r="AJ181" s="4" t="str">
        <f t="shared" si="122"/>
        <v/>
      </c>
      <c r="AK181" s="4"/>
      <c r="AL181" s="4"/>
      <c r="AM181" s="4"/>
      <c r="AN181" s="4"/>
      <c r="AO181" s="4"/>
      <c r="AP181" s="20" t="str">
        <f t="shared" si="123"/>
        <v>-</v>
      </c>
      <c r="AQ181" s="13" t="str">
        <f t="shared" si="136"/>
        <v>-</v>
      </c>
      <c r="AR181" s="13" t="str">
        <f t="shared" si="137"/>
        <v>-</v>
      </c>
      <c r="AS181" s="13" t="str">
        <f t="shared" si="124"/>
        <v>-</v>
      </c>
      <c r="AT181" s="16" t="str">
        <f t="shared" si="138"/>
        <v>-</v>
      </c>
      <c r="AU181" s="16" t="str">
        <f t="shared" si="125"/>
        <v>-</v>
      </c>
      <c r="AV181" s="16" t="str">
        <f t="shared" si="126"/>
        <v>-</v>
      </c>
      <c r="AW181" s="16" t="str">
        <f t="shared" si="139"/>
        <v>-</v>
      </c>
      <c r="AX181" s="13" t="str">
        <f t="shared" si="140"/>
        <v>-</v>
      </c>
      <c r="AY181" s="10" t="str">
        <f t="shared" si="141"/>
        <v>-</v>
      </c>
      <c r="AZ181" s="9" t="str">
        <f t="shared" si="142"/>
        <v>-</v>
      </c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</row>
    <row r="182" spans="2:68" x14ac:dyDescent="0.3">
      <c r="B182" s="108" t="str">
        <f t="shared" si="127"/>
        <v/>
      </c>
      <c r="C182" s="108" t="str">
        <f t="shared" si="113"/>
        <v/>
      </c>
      <c r="D182" s="3"/>
      <c r="E182" s="3"/>
      <c r="F182" s="3"/>
      <c r="G182" s="20">
        <f>IFERROR(INDEX('Input - Tesco'!F$2:F$200,MATCH('Calculations - Tesco'!$C182,'Input - Tesco'!$B$2:$B$200,0)),"")</f>
        <v>0</v>
      </c>
      <c r="H182" s="20">
        <f>IFERROR(INDEX('Input - Tesco'!G$2:G$200,MATCH('Calculations - Tesco'!$C182,'Input - Tesco'!$B$2:$B$200,0)),"")</f>
        <v>0</v>
      </c>
      <c r="I182" s="21">
        <f>IFERROR(INDEX('Input - Tesco'!H$2:H$200,MATCH('Calculations - Tesco'!$C182,'Input - Tesco'!$B$2:$B$200,0)),"")</f>
        <v>0</v>
      </c>
      <c r="J182" s="21">
        <f>IFERROR(INDEX('Input - Tesco'!I$2:I$200,MATCH('Calculations - Tesco'!$C182,'Input - Tesco'!$B$2:$B$200,0)),"")</f>
        <v>0</v>
      </c>
      <c r="K182" s="20">
        <f>IFERROR(INDEX('Input - Tesco'!J$2:J$200,MATCH('Calculations - Tesco'!$C182,'Input - Tesco'!$B$2:$B$200,0)),"")</f>
        <v>0</v>
      </c>
      <c r="L182" s="20">
        <f>IFERROR(INDEX('Input - Tesco'!K$2:K$200,MATCH('Calculations - Tesco'!$C182,'Input - Tesco'!$B$2:$B$200,0)),"")</f>
        <v>0</v>
      </c>
      <c r="M182" s="21" t="str">
        <f t="shared" si="128"/>
        <v/>
      </c>
      <c r="N182" s="21" t="str">
        <f t="shared" si="114"/>
        <v/>
      </c>
      <c r="O182" s="21">
        <f t="shared" si="129"/>
        <v>0</v>
      </c>
      <c r="P182" s="9">
        <f t="shared" si="111"/>
        <v>0</v>
      </c>
      <c r="Q182" s="9">
        <f t="shared" si="112"/>
        <v>0</v>
      </c>
      <c r="R182" s="22" t="str">
        <f>IFERROR(INDEX(Tesco!$Q$11:$Q$165,MATCH('Calculations - Tesco'!$C182,Tesco!$M$11:$M$165,0)),"")</f>
        <v/>
      </c>
      <c r="S182" s="22" t="str">
        <f>IFERROR(INDEX(Tesco!$R$11:$R$165,MATCH('Calculations - Tesco'!$C182,Tesco!$M$11:$M$165,0)),"")</f>
        <v/>
      </c>
      <c r="T182" s="16" t="e">
        <f t="shared" si="115"/>
        <v>#VALUE!</v>
      </c>
      <c r="U182" s="16" t="e">
        <f t="shared" si="130"/>
        <v>#VALUE!</v>
      </c>
      <c r="V182" s="16" t="e">
        <f t="shared" si="131"/>
        <v>#VALUE!</v>
      </c>
      <c r="W182" s="10" t="str">
        <f t="shared" si="116"/>
        <v>-</v>
      </c>
      <c r="X182" s="10" t="str">
        <f t="shared" si="117"/>
        <v>-</v>
      </c>
      <c r="Y182" s="13" t="str">
        <f t="shared" si="132"/>
        <v>-</v>
      </c>
      <c r="Z182" s="9" t="str">
        <f t="shared" si="118"/>
        <v>-</v>
      </c>
      <c r="AA182" s="16" t="str">
        <f t="shared" si="133"/>
        <v>-</v>
      </c>
      <c r="AB182" s="16" t="str">
        <f t="shared" si="119"/>
        <v>-</v>
      </c>
      <c r="AC182" s="16" t="str">
        <f t="shared" si="120"/>
        <v>-</v>
      </c>
      <c r="AD182" s="16" t="str">
        <f t="shared" si="134"/>
        <v>-</v>
      </c>
      <c r="AE182" s="16"/>
      <c r="AF182" s="31" t="str">
        <f>IFERROR(INDEX(Tesco!$P$11:$P$165,MATCH('Calculations - Tesco'!C182,Tesco!$M$11:$M$165,0)),"")</f>
        <v/>
      </c>
      <c r="AG182" s="23" t="str">
        <f t="shared" si="135"/>
        <v/>
      </c>
      <c r="AH182" s="23" t="str">
        <f t="shared" si="135"/>
        <v/>
      </c>
      <c r="AI182" s="9" t="str">
        <f t="shared" si="121"/>
        <v/>
      </c>
      <c r="AJ182" s="4" t="str">
        <f t="shared" si="122"/>
        <v/>
      </c>
      <c r="AK182" s="4"/>
      <c r="AL182" s="4"/>
      <c r="AM182" s="4"/>
      <c r="AN182" s="4"/>
      <c r="AO182" s="4"/>
      <c r="AP182" s="20" t="str">
        <f t="shared" si="123"/>
        <v>-</v>
      </c>
      <c r="AQ182" s="13" t="str">
        <f t="shared" si="136"/>
        <v>-</v>
      </c>
      <c r="AR182" s="13" t="str">
        <f t="shared" si="137"/>
        <v>-</v>
      </c>
      <c r="AS182" s="13" t="str">
        <f t="shared" si="124"/>
        <v>-</v>
      </c>
      <c r="AT182" s="16" t="str">
        <f t="shared" si="138"/>
        <v>-</v>
      </c>
      <c r="AU182" s="16" t="str">
        <f t="shared" si="125"/>
        <v>-</v>
      </c>
      <c r="AV182" s="16" t="str">
        <f t="shared" si="126"/>
        <v>-</v>
      </c>
      <c r="AW182" s="16" t="str">
        <f t="shared" si="139"/>
        <v>-</v>
      </c>
      <c r="AX182" s="13" t="str">
        <f t="shared" si="140"/>
        <v>-</v>
      </c>
      <c r="AY182" s="10" t="str">
        <f t="shared" si="141"/>
        <v>-</v>
      </c>
      <c r="AZ182" s="9" t="str">
        <f t="shared" si="142"/>
        <v>-</v>
      </c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</row>
    <row r="183" spans="2:68" x14ac:dyDescent="0.3">
      <c r="B183" s="108" t="str">
        <f t="shared" si="127"/>
        <v/>
      </c>
      <c r="C183" s="108" t="str">
        <f t="shared" si="113"/>
        <v/>
      </c>
      <c r="D183" s="3"/>
      <c r="E183" s="3"/>
      <c r="F183" s="3"/>
      <c r="G183" s="20">
        <f>IFERROR(INDEX('Input - Tesco'!F$2:F$200,MATCH('Calculations - Tesco'!$C183,'Input - Tesco'!$B$2:$B$200,0)),"")</f>
        <v>0</v>
      </c>
      <c r="H183" s="20">
        <f>IFERROR(INDEX('Input - Tesco'!G$2:G$200,MATCH('Calculations - Tesco'!$C183,'Input - Tesco'!$B$2:$B$200,0)),"")</f>
        <v>0</v>
      </c>
      <c r="I183" s="21">
        <f>IFERROR(INDEX('Input - Tesco'!H$2:H$200,MATCH('Calculations - Tesco'!$C183,'Input - Tesco'!$B$2:$B$200,0)),"")</f>
        <v>0</v>
      </c>
      <c r="J183" s="21">
        <f>IFERROR(INDEX('Input - Tesco'!I$2:I$200,MATCH('Calculations - Tesco'!$C183,'Input - Tesco'!$B$2:$B$200,0)),"")</f>
        <v>0</v>
      </c>
      <c r="K183" s="20">
        <f>IFERROR(INDEX('Input - Tesco'!J$2:J$200,MATCH('Calculations - Tesco'!$C183,'Input - Tesco'!$B$2:$B$200,0)),"")</f>
        <v>0</v>
      </c>
      <c r="L183" s="20">
        <f>IFERROR(INDEX('Input - Tesco'!K$2:K$200,MATCH('Calculations - Tesco'!$C183,'Input - Tesco'!$B$2:$B$200,0)),"")</f>
        <v>0</v>
      </c>
      <c r="M183" s="21" t="str">
        <f t="shared" si="128"/>
        <v/>
      </c>
      <c r="N183" s="21" t="str">
        <f t="shared" si="114"/>
        <v/>
      </c>
      <c r="O183" s="21">
        <f t="shared" si="129"/>
        <v>0</v>
      </c>
      <c r="P183" s="9">
        <f t="shared" si="111"/>
        <v>0</v>
      </c>
      <c r="Q183" s="9">
        <f t="shared" si="112"/>
        <v>0</v>
      </c>
      <c r="R183" s="22" t="str">
        <f>IFERROR(INDEX(Tesco!$Q$11:$Q$165,MATCH('Calculations - Tesco'!$C183,Tesco!$M$11:$M$165,0)),"")</f>
        <v/>
      </c>
      <c r="S183" s="22" t="str">
        <f>IFERROR(INDEX(Tesco!$R$11:$R$165,MATCH('Calculations - Tesco'!$C183,Tesco!$M$11:$M$165,0)),"")</f>
        <v/>
      </c>
      <c r="T183" s="16" t="e">
        <f t="shared" si="115"/>
        <v>#VALUE!</v>
      </c>
      <c r="U183" s="16" t="e">
        <f t="shared" si="130"/>
        <v>#VALUE!</v>
      </c>
      <c r="V183" s="16" t="e">
        <f t="shared" si="131"/>
        <v>#VALUE!</v>
      </c>
      <c r="W183" s="10" t="str">
        <f t="shared" si="116"/>
        <v>-</v>
      </c>
      <c r="X183" s="10" t="str">
        <f t="shared" si="117"/>
        <v>-</v>
      </c>
      <c r="Y183" s="13" t="str">
        <f t="shared" si="132"/>
        <v>-</v>
      </c>
      <c r="Z183" s="9" t="str">
        <f t="shared" si="118"/>
        <v>-</v>
      </c>
      <c r="AA183" s="16" t="str">
        <f t="shared" si="133"/>
        <v>-</v>
      </c>
      <c r="AB183" s="16" t="str">
        <f t="shared" si="119"/>
        <v>-</v>
      </c>
      <c r="AC183" s="16" t="str">
        <f t="shared" si="120"/>
        <v>-</v>
      </c>
      <c r="AD183" s="16" t="str">
        <f t="shared" si="134"/>
        <v>-</v>
      </c>
      <c r="AE183" s="16"/>
      <c r="AF183" s="31" t="str">
        <f>IFERROR(INDEX(Tesco!$P$11:$P$165,MATCH('Calculations - Tesco'!C183,Tesco!$M$11:$M$165,0)),"")</f>
        <v/>
      </c>
      <c r="AG183" s="23" t="str">
        <f t="shared" si="135"/>
        <v/>
      </c>
      <c r="AH183" s="23" t="str">
        <f t="shared" si="135"/>
        <v/>
      </c>
      <c r="AI183" s="9" t="str">
        <f t="shared" si="121"/>
        <v/>
      </c>
      <c r="AJ183" s="4" t="str">
        <f t="shared" si="122"/>
        <v/>
      </c>
      <c r="AK183" s="4"/>
      <c r="AL183" s="4"/>
      <c r="AM183" s="4"/>
      <c r="AN183" s="4"/>
      <c r="AO183" s="4"/>
      <c r="AP183" s="20" t="str">
        <f t="shared" si="123"/>
        <v>-</v>
      </c>
      <c r="AQ183" s="13" t="str">
        <f t="shared" si="136"/>
        <v>-</v>
      </c>
      <c r="AR183" s="13" t="str">
        <f t="shared" si="137"/>
        <v>-</v>
      </c>
      <c r="AS183" s="13" t="str">
        <f t="shared" si="124"/>
        <v>-</v>
      </c>
      <c r="AT183" s="16" t="str">
        <f t="shared" si="138"/>
        <v>-</v>
      </c>
      <c r="AU183" s="16" t="str">
        <f t="shared" si="125"/>
        <v>-</v>
      </c>
      <c r="AV183" s="16" t="str">
        <f t="shared" si="126"/>
        <v>-</v>
      </c>
      <c r="AW183" s="16" t="str">
        <f t="shared" si="139"/>
        <v>-</v>
      </c>
      <c r="AX183" s="13" t="str">
        <f t="shared" si="140"/>
        <v>-</v>
      </c>
      <c r="AY183" s="10" t="str">
        <f t="shared" si="141"/>
        <v>-</v>
      </c>
      <c r="AZ183" s="9" t="str">
        <f t="shared" si="142"/>
        <v>-</v>
      </c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</row>
    <row r="184" spans="2:68" x14ac:dyDescent="0.3">
      <c r="B184" s="108" t="str">
        <f t="shared" si="127"/>
        <v/>
      </c>
      <c r="C184" s="108" t="str">
        <f t="shared" si="113"/>
        <v/>
      </c>
      <c r="D184" s="3"/>
      <c r="E184" s="3"/>
      <c r="F184" s="3"/>
      <c r="G184" s="20">
        <f>IFERROR(INDEX('Input - Tesco'!F$2:F$200,MATCH('Calculations - Tesco'!$C184,'Input - Tesco'!$B$2:$B$200,0)),"")</f>
        <v>0</v>
      </c>
      <c r="H184" s="20">
        <f>IFERROR(INDEX('Input - Tesco'!G$2:G$200,MATCH('Calculations - Tesco'!$C184,'Input - Tesco'!$B$2:$B$200,0)),"")</f>
        <v>0</v>
      </c>
      <c r="I184" s="21">
        <f>IFERROR(INDEX('Input - Tesco'!H$2:H$200,MATCH('Calculations - Tesco'!$C184,'Input - Tesco'!$B$2:$B$200,0)),"")</f>
        <v>0</v>
      </c>
      <c r="J184" s="21">
        <f>IFERROR(INDEX('Input - Tesco'!I$2:I$200,MATCH('Calculations - Tesco'!$C184,'Input - Tesco'!$B$2:$B$200,0)),"")</f>
        <v>0</v>
      </c>
      <c r="K184" s="20">
        <f>IFERROR(INDEX('Input - Tesco'!J$2:J$200,MATCH('Calculations - Tesco'!$C184,'Input - Tesco'!$B$2:$B$200,0)),"")</f>
        <v>0</v>
      </c>
      <c r="L184" s="20">
        <f>IFERROR(INDEX('Input - Tesco'!K$2:K$200,MATCH('Calculations - Tesco'!$C184,'Input - Tesco'!$B$2:$B$200,0)),"")</f>
        <v>0</v>
      </c>
      <c r="M184" s="21" t="str">
        <f t="shared" si="128"/>
        <v/>
      </c>
      <c r="N184" s="21" t="str">
        <f t="shared" si="114"/>
        <v/>
      </c>
      <c r="O184" s="21">
        <f t="shared" si="129"/>
        <v>0</v>
      </c>
      <c r="P184" s="9">
        <f t="shared" si="111"/>
        <v>0</v>
      </c>
      <c r="Q184" s="9">
        <f t="shared" si="112"/>
        <v>0</v>
      </c>
      <c r="R184" s="22" t="str">
        <f>IFERROR(INDEX(Tesco!$Q$11:$Q$165,MATCH('Calculations - Tesco'!$C184,Tesco!$M$11:$M$165,0)),"")</f>
        <v/>
      </c>
      <c r="S184" s="22" t="str">
        <f>IFERROR(INDEX(Tesco!$R$11:$R$165,MATCH('Calculations - Tesco'!$C184,Tesco!$M$11:$M$165,0)),"")</f>
        <v/>
      </c>
      <c r="T184" s="16" t="e">
        <f t="shared" si="115"/>
        <v>#VALUE!</v>
      </c>
      <c r="U184" s="16" t="e">
        <f t="shared" si="130"/>
        <v>#VALUE!</v>
      </c>
      <c r="V184" s="16" t="e">
        <f t="shared" si="131"/>
        <v>#VALUE!</v>
      </c>
      <c r="W184" s="10" t="str">
        <f t="shared" si="116"/>
        <v>-</v>
      </c>
      <c r="X184" s="10" t="str">
        <f t="shared" si="117"/>
        <v>-</v>
      </c>
      <c r="Y184" s="13" t="str">
        <f t="shared" si="132"/>
        <v>-</v>
      </c>
      <c r="Z184" s="9" t="str">
        <f t="shared" si="118"/>
        <v>-</v>
      </c>
      <c r="AA184" s="16" t="str">
        <f t="shared" si="133"/>
        <v>-</v>
      </c>
      <c r="AB184" s="16" t="str">
        <f t="shared" si="119"/>
        <v>-</v>
      </c>
      <c r="AC184" s="16" t="str">
        <f t="shared" si="120"/>
        <v>-</v>
      </c>
      <c r="AD184" s="16" t="str">
        <f t="shared" si="134"/>
        <v>-</v>
      </c>
      <c r="AE184" s="16"/>
      <c r="AF184" s="31" t="str">
        <f>IFERROR(INDEX(Tesco!$P$11:$P$165,MATCH('Calculations - Tesco'!C184,Tesco!$M$11:$M$165,0)),"")</f>
        <v/>
      </c>
      <c r="AG184" s="23" t="str">
        <f t="shared" si="135"/>
        <v/>
      </c>
      <c r="AH184" s="23" t="str">
        <f t="shared" si="135"/>
        <v/>
      </c>
      <c r="AI184" s="9" t="str">
        <f t="shared" si="121"/>
        <v/>
      </c>
      <c r="AJ184" s="4" t="str">
        <f t="shared" si="122"/>
        <v/>
      </c>
      <c r="AK184" s="4"/>
      <c r="AL184" s="4"/>
      <c r="AM184" s="4"/>
      <c r="AN184" s="4"/>
      <c r="AO184" s="4"/>
      <c r="AP184" s="20" t="str">
        <f t="shared" si="123"/>
        <v>-</v>
      </c>
      <c r="AQ184" s="13" t="str">
        <f t="shared" si="136"/>
        <v>-</v>
      </c>
      <c r="AR184" s="13" t="str">
        <f t="shared" si="137"/>
        <v>-</v>
      </c>
      <c r="AS184" s="13" t="str">
        <f t="shared" si="124"/>
        <v>-</v>
      </c>
      <c r="AT184" s="16" t="str">
        <f t="shared" si="138"/>
        <v>-</v>
      </c>
      <c r="AU184" s="16" t="str">
        <f t="shared" si="125"/>
        <v>-</v>
      </c>
      <c r="AV184" s="16" t="str">
        <f t="shared" si="126"/>
        <v>-</v>
      </c>
      <c r="AW184" s="16" t="str">
        <f t="shared" si="139"/>
        <v>-</v>
      </c>
      <c r="AX184" s="13" t="str">
        <f t="shared" si="140"/>
        <v>-</v>
      </c>
      <c r="AY184" s="10" t="str">
        <f t="shared" si="141"/>
        <v>-</v>
      </c>
      <c r="AZ184" s="9" t="str">
        <f t="shared" si="142"/>
        <v>-</v>
      </c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</row>
    <row r="185" spans="2:68" x14ac:dyDescent="0.3">
      <c r="B185" s="108" t="str">
        <f t="shared" si="127"/>
        <v/>
      </c>
      <c r="C185" s="108" t="str">
        <f t="shared" si="113"/>
        <v/>
      </c>
      <c r="D185" s="3"/>
      <c r="E185" s="3"/>
      <c r="F185" s="3"/>
      <c r="G185" s="20">
        <f>IFERROR(INDEX('Input - Tesco'!F$2:F$200,MATCH('Calculations - Tesco'!$C185,'Input - Tesco'!$B$2:$B$200,0)),"")</f>
        <v>0</v>
      </c>
      <c r="H185" s="20">
        <f>IFERROR(INDEX('Input - Tesco'!G$2:G$200,MATCH('Calculations - Tesco'!$C185,'Input - Tesco'!$B$2:$B$200,0)),"")</f>
        <v>0</v>
      </c>
      <c r="I185" s="21">
        <f>IFERROR(INDEX('Input - Tesco'!H$2:H$200,MATCH('Calculations - Tesco'!$C185,'Input - Tesco'!$B$2:$B$200,0)),"")</f>
        <v>0</v>
      </c>
      <c r="J185" s="21">
        <f>IFERROR(INDEX('Input - Tesco'!I$2:I$200,MATCH('Calculations - Tesco'!$C185,'Input - Tesco'!$B$2:$B$200,0)),"")</f>
        <v>0</v>
      </c>
      <c r="K185" s="20">
        <f>IFERROR(INDEX('Input - Tesco'!J$2:J$200,MATCH('Calculations - Tesco'!$C185,'Input - Tesco'!$B$2:$B$200,0)),"")</f>
        <v>0</v>
      </c>
      <c r="L185" s="20">
        <f>IFERROR(INDEX('Input - Tesco'!K$2:K$200,MATCH('Calculations - Tesco'!$C185,'Input - Tesco'!$B$2:$B$200,0)),"")</f>
        <v>0</v>
      </c>
      <c r="M185" s="21" t="str">
        <f t="shared" si="128"/>
        <v/>
      </c>
      <c r="N185" s="21" t="str">
        <f t="shared" si="114"/>
        <v/>
      </c>
      <c r="O185" s="21">
        <f t="shared" si="129"/>
        <v>0</v>
      </c>
      <c r="P185" s="9">
        <f t="shared" si="111"/>
        <v>0</v>
      </c>
      <c r="Q185" s="9">
        <f t="shared" si="112"/>
        <v>0</v>
      </c>
      <c r="R185" s="22" t="str">
        <f>IFERROR(INDEX(Tesco!$Q$11:$Q$165,MATCH('Calculations - Tesco'!$C185,Tesco!$M$11:$M$165,0)),"")</f>
        <v/>
      </c>
      <c r="S185" s="22" t="str">
        <f>IFERROR(INDEX(Tesco!$R$11:$R$165,MATCH('Calculations - Tesco'!$C185,Tesco!$M$11:$M$165,0)),"")</f>
        <v/>
      </c>
      <c r="T185" s="16" t="e">
        <f t="shared" si="115"/>
        <v>#VALUE!</v>
      </c>
      <c r="U185" s="16" t="e">
        <f t="shared" si="130"/>
        <v>#VALUE!</v>
      </c>
      <c r="V185" s="16" t="e">
        <f t="shared" si="131"/>
        <v>#VALUE!</v>
      </c>
      <c r="W185" s="10" t="str">
        <f t="shared" si="116"/>
        <v>-</v>
      </c>
      <c r="X185" s="10" t="str">
        <f t="shared" si="117"/>
        <v>-</v>
      </c>
      <c r="Y185" s="13" t="str">
        <f t="shared" si="132"/>
        <v>-</v>
      </c>
      <c r="Z185" s="9" t="str">
        <f t="shared" si="118"/>
        <v>-</v>
      </c>
      <c r="AA185" s="16" t="str">
        <f t="shared" si="133"/>
        <v>-</v>
      </c>
      <c r="AB185" s="16" t="str">
        <f t="shared" si="119"/>
        <v>-</v>
      </c>
      <c r="AC185" s="16" t="str">
        <f t="shared" si="120"/>
        <v>-</v>
      </c>
      <c r="AD185" s="16" t="str">
        <f t="shared" si="134"/>
        <v>-</v>
      </c>
      <c r="AE185" s="16"/>
      <c r="AF185" s="31" t="str">
        <f>IFERROR(INDEX(Tesco!$P$11:$P$165,MATCH('Calculations - Tesco'!C185,Tesco!$M$11:$M$165,0)),"")</f>
        <v/>
      </c>
      <c r="AG185" s="23" t="str">
        <f t="shared" si="135"/>
        <v/>
      </c>
      <c r="AH185" s="23" t="str">
        <f t="shared" si="135"/>
        <v/>
      </c>
      <c r="AI185" s="9" t="str">
        <f t="shared" si="121"/>
        <v/>
      </c>
      <c r="AJ185" s="4" t="str">
        <f t="shared" si="122"/>
        <v/>
      </c>
      <c r="AK185" s="4"/>
      <c r="AL185" s="4"/>
      <c r="AM185" s="4"/>
      <c r="AN185" s="4"/>
      <c r="AO185" s="4"/>
      <c r="AP185" s="20" t="str">
        <f t="shared" si="123"/>
        <v>-</v>
      </c>
      <c r="AQ185" s="13" t="str">
        <f t="shared" si="136"/>
        <v>-</v>
      </c>
      <c r="AR185" s="13" t="str">
        <f t="shared" si="137"/>
        <v>-</v>
      </c>
      <c r="AS185" s="13" t="str">
        <f t="shared" si="124"/>
        <v>-</v>
      </c>
      <c r="AT185" s="16" t="str">
        <f t="shared" si="138"/>
        <v>-</v>
      </c>
      <c r="AU185" s="16" t="str">
        <f t="shared" si="125"/>
        <v>-</v>
      </c>
      <c r="AV185" s="16" t="str">
        <f t="shared" si="126"/>
        <v>-</v>
      </c>
      <c r="AW185" s="16" t="str">
        <f t="shared" si="139"/>
        <v>-</v>
      </c>
      <c r="AX185" s="13" t="str">
        <f t="shared" si="140"/>
        <v>-</v>
      </c>
      <c r="AY185" s="10" t="str">
        <f t="shared" si="141"/>
        <v>-</v>
      </c>
      <c r="AZ185" s="9" t="str">
        <f t="shared" si="142"/>
        <v>-</v>
      </c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</row>
    <row r="186" spans="2:68" x14ac:dyDescent="0.3">
      <c r="B186" s="108" t="str">
        <f t="shared" si="127"/>
        <v/>
      </c>
      <c r="C186" s="108" t="str">
        <f t="shared" si="113"/>
        <v/>
      </c>
      <c r="D186" s="3"/>
      <c r="E186" s="3"/>
      <c r="F186" s="3"/>
      <c r="G186" s="20">
        <f>IFERROR(INDEX('Input - Tesco'!F$2:F$200,MATCH('Calculations - Tesco'!$C186,'Input - Tesco'!$B$2:$B$200,0)),"")</f>
        <v>0</v>
      </c>
      <c r="H186" s="20">
        <f>IFERROR(INDEX('Input - Tesco'!G$2:G$200,MATCH('Calculations - Tesco'!$C186,'Input - Tesco'!$B$2:$B$200,0)),"")</f>
        <v>0</v>
      </c>
      <c r="I186" s="21">
        <f>IFERROR(INDEX('Input - Tesco'!H$2:H$200,MATCH('Calculations - Tesco'!$C186,'Input - Tesco'!$B$2:$B$200,0)),"")</f>
        <v>0</v>
      </c>
      <c r="J186" s="21">
        <f>IFERROR(INDEX('Input - Tesco'!I$2:I$200,MATCH('Calculations - Tesco'!$C186,'Input - Tesco'!$B$2:$B$200,0)),"")</f>
        <v>0</v>
      </c>
      <c r="K186" s="20">
        <f>IFERROR(INDEX('Input - Tesco'!J$2:J$200,MATCH('Calculations - Tesco'!$C186,'Input - Tesco'!$B$2:$B$200,0)),"")</f>
        <v>0</v>
      </c>
      <c r="L186" s="20">
        <f>IFERROR(INDEX('Input - Tesco'!K$2:K$200,MATCH('Calculations - Tesco'!$C186,'Input - Tesco'!$B$2:$B$200,0)),"")</f>
        <v>0</v>
      </c>
      <c r="M186" s="21" t="str">
        <f t="shared" si="128"/>
        <v/>
      </c>
      <c r="N186" s="21" t="str">
        <f t="shared" si="114"/>
        <v/>
      </c>
      <c r="O186" s="21">
        <f t="shared" si="129"/>
        <v>0</v>
      </c>
      <c r="P186" s="9">
        <f t="shared" si="111"/>
        <v>0</v>
      </c>
      <c r="Q186" s="9">
        <f t="shared" si="112"/>
        <v>0</v>
      </c>
      <c r="R186" s="22" t="str">
        <f>IFERROR(INDEX(Tesco!$Q$11:$Q$165,MATCH('Calculations - Tesco'!$C186,Tesco!$M$11:$M$165,0)),"")</f>
        <v/>
      </c>
      <c r="S186" s="22" t="str">
        <f>IFERROR(INDEX(Tesco!$R$11:$R$165,MATCH('Calculations - Tesco'!$C186,Tesco!$M$11:$M$165,0)),"")</f>
        <v/>
      </c>
      <c r="T186" s="16" t="e">
        <f t="shared" si="115"/>
        <v>#VALUE!</v>
      </c>
      <c r="U186" s="16" t="e">
        <f t="shared" si="130"/>
        <v>#VALUE!</v>
      </c>
      <c r="V186" s="16" t="e">
        <f t="shared" si="131"/>
        <v>#VALUE!</v>
      </c>
      <c r="W186" s="10" t="str">
        <f t="shared" si="116"/>
        <v>-</v>
      </c>
      <c r="X186" s="10" t="str">
        <f t="shared" si="117"/>
        <v>-</v>
      </c>
      <c r="Y186" s="13" t="str">
        <f t="shared" si="132"/>
        <v>-</v>
      </c>
      <c r="Z186" s="9" t="str">
        <f t="shared" si="118"/>
        <v>-</v>
      </c>
      <c r="AA186" s="16" t="str">
        <f t="shared" si="133"/>
        <v>-</v>
      </c>
      <c r="AB186" s="16" t="str">
        <f t="shared" si="119"/>
        <v>-</v>
      </c>
      <c r="AC186" s="16" t="str">
        <f t="shared" si="120"/>
        <v>-</v>
      </c>
      <c r="AD186" s="16" t="str">
        <f t="shared" si="134"/>
        <v>-</v>
      </c>
      <c r="AE186" s="16"/>
      <c r="AF186" s="31" t="str">
        <f>IFERROR(INDEX(Tesco!$P$11:$P$165,MATCH('Calculations - Tesco'!C186,Tesco!$M$11:$M$165,0)),"")</f>
        <v/>
      </c>
      <c r="AG186" s="23" t="str">
        <f t="shared" si="135"/>
        <v/>
      </c>
      <c r="AH186" s="23" t="str">
        <f t="shared" si="135"/>
        <v/>
      </c>
      <c r="AI186" s="9" t="str">
        <f t="shared" si="121"/>
        <v/>
      </c>
      <c r="AJ186" s="4" t="str">
        <f t="shared" si="122"/>
        <v/>
      </c>
      <c r="AK186" s="4"/>
      <c r="AL186" s="4"/>
      <c r="AM186" s="4"/>
      <c r="AN186" s="4"/>
      <c r="AO186" s="4"/>
      <c r="AP186" s="20" t="str">
        <f t="shared" si="123"/>
        <v>-</v>
      </c>
      <c r="AQ186" s="13" t="str">
        <f t="shared" si="136"/>
        <v>-</v>
      </c>
      <c r="AR186" s="13" t="str">
        <f t="shared" si="137"/>
        <v>-</v>
      </c>
      <c r="AS186" s="13" t="str">
        <f t="shared" si="124"/>
        <v>-</v>
      </c>
      <c r="AT186" s="16" t="str">
        <f t="shared" si="138"/>
        <v>-</v>
      </c>
      <c r="AU186" s="16" t="str">
        <f t="shared" si="125"/>
        <v>-</v>
      </c>
      <c r="AV186" s="16" t="str">
        <f t="shared" si="126"/>
        <v>-</v>
      </c>
      <c r="AW186" s="16" t="str">
        <f t="shared" si="139"/>
        <v>-</v>
      </c>
      <c r="AX186" s="13" t="str">
        <f t="shared" si="140"/>
        <v>-</v>
      </c>
      <c r="AY186" s="10" t="str">
        <f t="shared" si="141"/>
        <v>-</v>
      </c>
      <c r="AZ186" s="9" t="str">
        <f t="shared" si="142"/>
        <v>-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</row>
    <row r="187" spans="2:68" x14ac:dyDescent="0.3">
      <c r="B187" s="108" t="str">
        <f t="shared" si="127"/>
        <v/>
      </c>
      <c r="C187" s="108" t="str">
        <f t="shared" si="113"/>
        <v/>
      </c>
      <c r="D187" s="3"/>
      <c r="E187" s="3"/>
      <c r="F187" s="3"/>
      <c r="G187" s="20">
        <f>IFERROR(INDEX('Input - Tesco'!F$2:F$200,MATCH('Calculations - Tesco'!$C187,'Input - Tesco'!$B$2:$B$200,0)),"")</f>
        <v>0</v>
      </c>
      <c r="H187" s="20">
        <f>IFERROR(INDEX('Input - Tesco'!G$2:G$200,MATCH('Calculations - Tesco'!$C187,'Input - Tesco'!$B$2:$B$200,0)),"")</f>
        <v>0</v>
      </c>
      <c r="I187" s="21">
        <f>IFERROR(INDEX('Input - Tesco'!H$2:H$200,MATCH('Calculations - Tesco'!$C187,'Input - Tesco'!$B$2:$B$200,0)),"")</f>
        <v>0</v>
      </c>
      <c r="J187" s="21">
        <f>IFERROR(INDEX('Input - Tesco'!I$2:I$200,MATCH('Calculations - Tesco'!$C187,'Input - Tesco'!$B$2:$B$200,0)),"")</f>
        <v>0</v>
      </c>
      <c r="K187" s="20">
        <f>IFERROR(INDEX('Input - Tesco'!J$2:J$200,MATCH('Calculations - Tesco'!$C187,'Input - Tesco'!$B$2:$B$200,0)),"")</f>
        <v>0</v>
      </c>
      <c r="L187" s="20">
        <f>IFERROR(INDEX('Input - Tesco'!K$2:K$200,MATCH('Calculations - Tesco'!$C187,'Input - Tesco'!$B$2:$B$200,0)),"")</f>
        <v>0</v>
      </c>
      <c r="M187" s="21" t="str">
        <f t="shared" si="128"/>
        <v/>
      </c>
      <c r="N187" s="21" t="str">
        <f t="shared" si="114"/>
        <v/>
      </c>
      <c r="O187" s="21">
        <f t="shared" si="129"/>
        <v>0</v>
      </c>
      <c r="P187" s="9">
        <f t="shared" si="111"/>
        <v>0</v>
      </c>
      <c r="Q187" s="9">
        <f t="shared" si="112"/>
        <v>0</v>
      </c>
      <c r="R187" s="22" t="str">
        <f>IFERROR(INDEX(Tesco!$Q$11:$Q$165,MATCH('Calculations - Tesco'!$C187,Tesco!$M$11:$M$165,0)),"")</f>
        <v/>
      </c>
      <c r="S187" s="22" t="str">
        <f>IFERROR(INDEX(Tesco!$R$11:$R$165,MATCH('Calculations - Tesco'!$C187,Tesco!$M$11:$M$165,0)),"")</f>
        <v/>
      </c>
      <c r="T187" s="16" t="e">
        <f t="shared" si="115"/>
        <v>#VALUE!</v>
      </c>
      <c r="U187" s="16" t="e">
        <f t="shared" si="130"/>
        <v>#VALUE!</v>
      </c>
      <c r="V187" s="16" t="e">
        <f t="shared" si="131"/>
        <v>#VALUE!</v>
      </c>
      <c r="W187" s="10" t="str">
        <f t="shared" si="116"/>
        <v>-</v>
      </c>
      <c r="X187" s="10" t="str">
        <f t="shared" si="117"/>
        <v>-</v>
      </c>
      <c r="Y187" s="13" t="str">
        <f t="shared" si="132"/>
        <v>-</v>
      </c>
      <c r="Z187" s="9" t="str">
        <f t="shared" si="118"/>
        <v>-</v>
      </c>
      <c r="AA187" s="16" t="str">
        <f t="shared" si="133"/>
        <v>-</v>
      </c>
      <c r="AB187" s="16" t="str">
        <f t="shared" si="119"/>
        <v>-</v>
      </c>
      <c r="AC187" s="16" t="str">
        <f t="shared" si="120"/>
        <v>-</v>
      </c>
      <c r="AD187" s="16" t="str">
        <f t="shared" si="134"/>
        <v>-</v>
      </c>
      <c r="AE187" s="16"/>
      <c r="AF187" s="31" t="str">
        <f>IFERROR(INDEX(Tesco!$P$11:$P$165,MATCH('Calculations - Tesco'!C187,Tesco!$M$11:$M$165,0)),"")</f>
        <v/>
      </c>
      <c r="AG187" s="23" t="str">
        <f t="shared" si="135"/>
        <v/>
      </c>
      <c r="AH187" s="23" t="str">
        <f t="shared" si="135"/>
        <v/>
      </c>
      <c r="AI187" s="9" t="str">
        <f t="shared" si="121"/>
        <v/>
      </c>
      <c r="AJ187" s="4" t="str">
        <f t="shared" si="122"/>
        <v/>
      </c>
      <c r="AK187" s="4"/>
      <c r="AL187" s="4"/>
      <c r="AM187" s="4"/>
      <c r="AN187" s="4"/>
      <c r="AO187" s="4"/>
      <c r="AP187" s="20" t="str">
        <f t="shared" si="123"/>
        <v>-</v>
      </c>
      <c r="AQ187" s="13" t="str">
        <f t="shared" si="136"/>
        <v>-</v>
      </c>
      <c r="AR187" s="13" t="str">
        <f t="shared" si="137"/>
        <v>-</v>
      </c>
      <c r="AS187" s="13" t="str">
        <f t="shared" si="124"/>
        <v>-</v>
      </c>
      <c r="AT187" s="16" t="str">
        <f t="shared" si="138"/>
        <v>-</v>
      </c>
      <c r="AU187" s="16" t="str">
        <f t="shared" si="125"/>
        <v>-</v>
      </c>
      <c r="AV187" s="16" t="str">
        <f t="shared" si="126"/>
        <v>-</v>
      </c>
      <c r="AW187" s="16" t="str">
        <f t="shared" si="139"/>
        <v>-</v>
      </c>
      <c r="AX187" s="13" t="str">
        <f t="shared" si="140"/>
        <v>-</v>
      </c>
      <c r="AY187" s="10" t="str">
        <f t="shared" si="141"/>
        <v>-</v>
      </c>
      <c r="AZ187" s="9" t="str">
        <f t="shared" si="142"/>
        <v>-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</row>
    <row r="188" spans="2:68" x14ac:dyDescent="0.3">
      <c r="B188" s="108" t="str">
        <f t="shared" si="127"/>
        <v/>
      </c>
      <c r="C188" s="108" t="str">
        <f t="shared" si="113"/>
        <v/>
      </c>
      <c r="D188" s="3"/>
      <c r="E188" s="3"/>
      <c r="F188" s="3"/>
      <c r="G188" s="20">
        <f>IFERROR(INDEX('Input - Tesco'!F$2:F$200,MATCH('Calculations - Tesco'!$C188,'Input - Tesco'!$B$2:$B$200,0)),"")</f>
        <v>0</v>
      </c>
      <c r="H188" s="20">
        <f>IFERROR(INDEX('Input - Tesco'!G$2:G$200,MATCH('Calculations - Tesco'!$C188,'Input - Tesco'!$B$2:$B$200,0)),"")</f>
        <v>0</v>
      </c>
      <c r="I188" s="21">
        <f>IFERROR(INDEX('Input - Tesco'!H$2:H$200,MATCH('Calculations - Tesco'!$C188,'Input - Tesco'!$B$2:$B$200,0)),"")</f>
        <v>0</v>
      </c>
      <c r="J188" s="21">
        <f>IFERROR(INDEX('Input - Tesco'!I$2:I$200,MATCH('Calculations - Tesco'!$C188,'Input - Tesco'!$B$2:$B$200,0)),"")</f>
        <v>0</v>
      </c>
      <c r="K188" s="20">
        <f>IFERROR(INDEX('Input - Tesco'!J$2:J$200,MATCH('Calculations - Tesco'!$C188,'Input - Tesco'!$B$2:$B$200,0)),"")</f>
        <v>0</v>
      </c>
      <c r="L188" s="20">
        <f>IFERROR(INDEX('Input - Tesco'!K$2:K$200,MATCH('Calculations - Tesco'!$C188,'Input - Tesco'!$B$2:$B$200,0)),"")</f>
        <v>0</v>
      </c>
      <c r="M188" s="21" t="str">
        <f t="shared" si="128"/>
        <v/>
      </c>
      <c r="N188" s="21" t="str">
        <f t="shared" si="114"/>
        <v/>
      </c>
      <c r="O188" s="21">
        <f t="shared" si="129"/>
        <v>0</v>
      </c>
      <c r="P188" s="9">
        <f t="shared" si="111"/>
        <v>0</v>
      </c>
      <c r="Q188" s="9">
        <f t="shared" si="112"/>
        <v>0</v>
      </c>
      <c r="R188" s="22" t="str">
        <f>IFERROR(INDEX(Tesco!$Q$11:$Q$165,MATCH('Calculations - Tesco'!$C188,Tesco!$M$11:$M$165,0)),"")</f>
        <v/>
      </c>
      <c r="S188" s="22" t="str">
        <f>IFERROR(INDEX(Tesco!$R$11:$R$165,MATCH('Calculations - Tesco'!$C188,Tesco!$M$11:$M$165,0)),"")</f>
        <v/>
      </c>
      <c r="T188" s="16" t="e">
        <f t="shared" si="115"/>
        <v>#VALUE!</v>
      </c>
      <c r="U188" s="16" t="e">
        <f t="shared" si="130"/>
        <v>#VALUE!</v>
      </c>
      <c r="V188" s="16" t="e">
        <f t="shared" si="131"/>
        <v>#VALUE!</v>
      </c>
      <c r="W188" s="10" t="str">
        <f t="shared" si="116"/>
        <v>-</v>
      </c>
      <c r="X188" s="10" t="str">
        <f t="shared" si="117"/>
        <v>-</v>
      </c>
      <c r="Y188" s="13" t="str">
        <f t="shared" si="132"/>
        <v>-</v>
      </c>
      <c r="Z188" s="9" t="str">
        <f t="shared" si="118"/>
        <v>-</v>
      </c>
      <c r="AA188" s="16" t="str">
        <f t="shared" si="133"/>
        <v>-</v>
      </c>
      <c r="AB188" s="16" t="str">
        <f t="shared" si="119"/>
        <v>-</v>
      </c>
      <c r="AC188" s="16" t="str">
        <f t="shared" si="120"/>
        <v>-</v>
      </c>
      <c r="AD188" s="16" t="str">
        <f t="shared" si="134"/>
        <v>-</v>
      </c>
      <c r="AE188" s="16"/>
      <c r="AF188" s="31" t="str">
        <f>IFERROR(INDEX(Tesco!$P$11:$P$165,MATCH('Calculations - Tesco'!C188,Tesco!$M$11:$M$165,0)),"")</f>
        <v/>
      </c>
      <c r="AG188" s="23" t="str">
        <f t="shared" si="135"/>
        <v/>
      </c>
      <c r="AH188" s="23" t="str">
        <f t="shared" si="135"/>
        <v/>
      </c>
      <c r="AI188" s="9" t="str">
        <f t="shared" si="121"/>
        <v/>
      </c>
      <c r="AJ188" s="4" t="str">
        <f t="shared" si="122"/>
        <v/>
      </c>
      <c r="AK188" s="4"/>
      <c r="AL188" s="4"/>
      <c r="AM188" s="4"/>
      <c r="AN188" s="4"/>
      <c r="AO188" s="4"/>
      <c r="AP188" s="20" t="str">
        <f t="shared" si="123"/>
        <v>-</v>
      </c>
      <c r="AQ188" s="13" t="str">
        <f t="shared" si="136"/>
        <v>-</v>
      </c>
      <c r="AR188" s="13" t="str">
        <f t="shared" si="137"/>
        <v>-</v>
      </c>
      <c r="AS188" s="13" t="str">
        <f t="shared" si="124"/>
        <v>-</v>
      </c>
      <c r="AT188" s="16" t="str">
        <f t="shared" si="138"/>
        <v>-</v>
      </c>
      <c r="AU188" s="16" t="str">
        <f t="shared" si="125"/>
        <v>-</v>
      </c>
      <c r="AV188" s="16" t="str">
        <f t="shared" si="126"/>
        <v>-</v>
      </c>
      <c r="AW188" s="16" t="str">
        <f t="shared" si="139"/>
        <v>-</v>
      </c>
      <c r="AX188" s="13" t="str">
        <f t="shared" si="140"/>
        <v>-</v>
      </c>
      <c r="AY188" s="10" t="str">
        <f t="shared" si="141"/>
        <v>-</v>
      </c>
      <c r="AZ188" s="9" t="str">
        <f t="shared" si="142"/>
        <v>-</v>
      </c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</row>
    <row r="189" spans="2:68" x14ac:dyDescent="0.3">
      <c r="B189" s="108" t="str">
        <f t="shared" si="127"/>
        <v/>
      </c>
      <c r="C189" s="108" t="str">
        <f t="shared" si="113"/>
        <v/>
      </c>
      <c r="D189" s="3"/>
      <c r="E189" s="3"/>
      <c r="F189" s="3"/>
      <c r="G189" s="20">
        <f>IFERROR(INDEX('Input - Tesco'!F$2:F$200,MATCH('Calculations - Tesco'!$C189,'Input - Tesco'!$B$2:$B$200,0)),"")</f>
        <v>0</v>
      </c>
      <c r="H189" s="20">
        <f>IFERROR(INDEX('Input - Tesco'!G$2:G$200,MATCH('Calculations - Tesco'!$C189,'Input - Tesco'!$B$2:$B$200,0)),"")</f>
        <v>0</v>
      </c>
      <c r="I189" s="21">
        <f>IFERROR(INDEX('Input - Tesco'!H$2:H$200,MATCH('Calculations - Tesco'!$C189,'Input - Tesco'!$B$2:$B$200,0)),"")</f>
        <v>0</v>
      </c>
      <c r="J189" s="21">
        <f>IFERROR(INDEX('Input - Tesco'!I$2:I$200,MATCH('Calculations - Tesco'!$C189,'Input - Tesco'!$B$2:$B$200,0)),"")</f>
        <v>0</v>
      </c>
      <c r="K189" s="20">
        <f>IFERROR(INDEX('Input - Tesco'!J$2:J$200,MATCH('Calculations - Tesco'!$C189,'Input - Tesco'!$B$2:$B$200,0)),"")</f>
        <v>0</v>
      </c>
      <c r="L189" s="20">
        <f>IFERROR(INDEX('Input - Tesco'!K$2:K$200,MATCH('Calculations - Tesco'!$C189,'Input - Tesco'!$B$2:$B$200,0)),"")</f>
        <v>0</v>
      </c>
      <c r="M189" s="21" t="str">
        <f t="shared" si="128"/>
        <v/>
      </c>
      <c r="N189" s="21" t="str">
        <f t="shared" si="114"/>
        <v/>
      </c>
      <c r="O189" s="21">
        <f t="shared" si="129"/>
        <v>0</v>
      </c>
      <c r="P189" s="9">
        <f t="shared" si="111"/>
        <v>0</v>
      </c>
      <c r="Q189" s="9">
        <f t="shared" si="112"/>
        <v>0</v>
      </c>
      <c r="R189" s="22" t="str">
        <f>IFERROR(INDEX(Tesco!$Q$11:$Q$165,MATCH('Calculations - Tesco'!$C189,Tesco!$M$11:$M$165,0)),"")</f>
        <v/>
      </c>
      <c r="S189" s="22" t="str">
        <f>IFERROR(INDEX(Tesco!$R$11:$R$165,MATCH('Calculations - Tesco'!$C189,Tesco!$M$11:$M$165,0)),"")</f>
        <v/>
      </c>
      <c r="T189" s="16" t="e">
        <f t="shared" si="115"/>
        <v>#VALUE!</v>
      </c>
      <c r="U189" s="16" t="e">
        <f t="shared" si="130"/>
        <v>#VALUE!</v>
      </c>
      <c r="V189" s="16" t="e">
        <f t="shared" si="131"/>
        <v>#VALUE!</v>
      </c>
      <c r="W189" s="10" t="str">
        <f t="shared" si="116"/>
        <v>-</v>
      </c>
      <c r="X189" s="10" t="str">
        <f t="shared" si="117"/>
        <v>-</v>
      </c>
      <c r="Y189" s="13" t="str">
        <f t="shared" si="132"/>
        <v>-</v>
      </c>
      <c r="Z189" s="9" t="str">
        <f t="shared" si="118"/>
        <v>-</v>
      </c>
      <c r="AA189" s="16" t="str">
        <f t="shared" si="133"/>
        <v>-</v>
      </c>
      <c r="AB189" s="16" t="str">
        <f t="shared" si="119"/>
        <v>-</v>
      </c>
      <c r="AC189" s="16" t="str">
        <f t="shared" si="120"/>
        <v>-</v>
      </c>
      <c r="AD189" s="16" t="str">
        <f t="shared" si="134"/>
        <v>-</v>
      </c>
      <c r="AE189" s="16"/>
      <c r="AF189" s="31" t="str">
        <f>IFERROR(INDEX(Tesco!$P$11:$P$165,MATCH('Calculations - Tesco'!C189,Tesco!$M$11:$M$165,0)),"")</f>
        <v/>
      </c>
      <c r="AG189" s="23" t="str">
        <f t="shared" si="135"/>
        <v/>
      </c>
      <c r="AH189" s="23" t="str">
        <f t="shared" si="135"/>
        <v/>
      </c>
      <c r="AI189" s="9" t="str">
        <f t="shared" si="121"/>
        <v/>
      </c>
      <c r="AJ189" s="4" t="str">
        <f t="shared" si="122"/>
        <v/>
      </c>
      <c r="AK189" s="4"/>
      <c r="AL189" s="4"/>
      <c r="AM189" s="4"/>
      <c r="AN189" s="4"/>
      <c r="AO189" s="4"/>
      <c r="AP189" s="20" t="str">
        <f t="shared" si="123"/>
        <v>-</v>
      </c>
      <c r="AQ189" s="13" t="str">
        <f t="shared" si="136"/>
        <v>-</v>
      </c>
      <c r="AR189" s="13" t="str">
        <f t="shared" si="137"/>
        <v>-</v>
      </c>
      <c r="AS189" s="13" t="str">
        <f t="shared" si="124"/>
        <v>-</v>
      </c>
      <c r="AT189" s="16" t="str">
        <f t="shared" si="138"/>
        <v>-</v>
      </c>
      <c r="AU189" s="16" t="str">
        <f t="shared" si="125"/>
        <v>-</v>
      </c>
      <c r="AV189" s="16" t="str">
        <f t="shared" si="126"/>
        <v>-</v>
      </c>
      <c r="AW189" s="16" t="str">
        <f t="shared" si="139"/>
        <v>-</v>
      </c>
      <c r="AX189" s="13" t="str">
        <f t="shared" si="140"/>
        <v>-</v>
      </c>
      <c r="AY189" s="10" t="str">
        <f t="shared" si="141"/>
        <v>-</v>
      </c>
      <c r="AZ189" s="9" t="str">
        <f t="shared" si="142"/>
        <v>-</v>
      </c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</row>
    <row r="190" spans="2:68" x14ac:dyDescent="0.3">
      <c r="B190" s="108" t="str">
        <f t="shared" si="127"/>
        <v/>
      </c>
      <c r="C190" s="108" t="str">
        <f t="shared" si="113"/>
        <v/>
      </c>
      <c r="D190" s="3"/>
      <c r="E190" s="3"/>
      <c r="F190" s="3"/>
      <c r="G190" s="20">
        <f>IFERROR(INDEX('Input - Tesco'!F$2:F$200,MATCH('Calculations - Tesco'!$C190,'Input - Tesco'!$B$2:$B$200,0)),"")</f>
        <v>0</v>
      </c>
      <c r="H190" s="20">
        <f>IFERROR(INDEX('Input - Tesco'!G$2:G$200,MATCH('Calculations - Tesco'!$C190,'Input - Tesco'!$B$2:$B$200,0)),"")</f>
        <v>0</v>
      </c>
      <c r="I190" s="21">
        <f>IFERROR(INDEX('Input - Tesco'!H$2:H$200,MATCH('Calculations - Tesco'!$C190,'Input - Tesco'!$B$2:$B$200,0)),"")</f>
        <v>0</v>
      </c>
      <c r="J190" s="21">
        <f>IFERROR(INDEX('Input - Tesco'!I$2:I$200,MATCH('Calculations - Tesco'!$C190,'Input - Tesco'!$B$2:$B$200,0)),"")</f>
        <v>0</v>
      </c>
      <c r="K190" s="20">
        <f>IFERROR(INDEX('Input - Tesco'!J$2:J$200,MATCH('Calculations - Tesco'!$C190,'Input - Tesco'!$B$2:$B$200,0)),"")</f>
        <v>0</v>
      </c>
      <c r="L190" s="20">
        <f>IFERROR(INDEX('Input - Tesco'!K$2:K$200,MATCH('Calculations - Tesco'!$C190,'Input - Tesco'!$B$2:$B$200,0)),"")</f>
        <v>0</v>
      </c>
      <c r="M190" s="21" t="str">
        <f t="shared" si="128"/>
        <v/>
      </c>
      <c r="N190" s="21" t="str">
        <f t="shared" si="114"/>
        <v/>
      </c>
      <c r="O190" s="21">
        <f t="shared" si="129"/>
        <v>0</v>
      </c>
      <c r="P190" s="9">
        <f t="shared" si="111"/>
        <v>0</v>
      </c>
      <c r="Q190" s="9">
        <f t="shared" si="112"/>
        <v>0</v>
      </c>
      <c r="R190" s="22" t="str">
        <f>IFERROR(INDEX(Tesco!$Q$11:$Q$165,MATCH('Calculations - Tesco'!$C190,Tesco!$M$11:$M$165,0)),"")</f>
        <v/>
      </c>
      <c r="S190" s="22" t="str">
        <f>IFERROR(INDEX(Tesco!$R$11:$R$165,MATCH('Calculations - Tesco'!$C190,Tesco!$M$11:$M$165,0)),"")</f>
        <v/>
      </c>
      <c r="T190" s="16" t="e">
        <f t="shared" si="115"/>
        <v>#VALUE!</v>
      </c>
      <c r="U190" s="16" t="e">
        <f t="shared" si="130"/>
        <v>#VALUE!</v>
      </c>
      <c r="V190" s="16" t="e">
        <f t="shared" si="131"/>
        <v>#VALUE!</v>
      </c>
      <c r="W190" s="10" t="str">
        <f t="shared" si="116"/>
        <v>-</v>
      </c>
      <c r="X190" s="10" t="str">
        <f t="shared" si="117"/>
        <v>-</v>
      </c>
      <c r="Y190" s="13" t="str">
        <f t="shared" si="132"/>
        <v>-</v>
      </c>
      <c r="Z190" s="9" t="str">
        <f t="shared" si="118"/>
        <v>-</v>
      </c>
      <c r="AA190" s="16" t="str">
        <f t="shared" si="133"/>
        <v>-</v>
      </c>
      <c r="AB190" s="16" t="str">
        <f t="shared" si="119"/>
        <v>-</v>
      </c>
      <c r="AC190" s="16" t="str">
        <f t="shared" si="120"/>
        <v>-</v>
      </c>
      <c r="AD190" s="16" t="str">
        <f t="shared" si="134"/>
        <v>-</v>
      </c>
      <c r="AE190" s="16"/>
      <c r="AF190" s="31" t="str">
        <f>IFERROR(INDEX(Tesco!$P$11:$P$165,MATCH('Calculations - Tesco'!C190,Tesco!$M$11:$M$165,0)),"")</f>
        <v/>
      </c>
      <c r="AG190" s="23" t="str">
        <f t="shared" si="135"/>
        <v/>
      </c>
      <c r="AH190" s="23" t="str">
        <f t="shared" si="135"/>
        <v/>
      </c>
      <c r="AI190" s="9" t="str">
        <f t="shared" si="121"/>
        <v/>
      </c>
      <c r="AJ190" s="4" t="str">
        <f t="shared" si="122"/>
        <v/>
      </c>
      <c r="AK190" s="4"/>
      <c r="AL190" s="4"/>
      <c r="AM190" s="4"/>
      <c r="AN190" s="4"/>
      <c r="AO190" s="4"/>
      <c r="AP190" s="20" t="str">
        <f t="shared" si="123"/>
        <v>-</v>
      </c>
      <c r="AQ190" s="13" t="str">
        <f t="shared" si="136"/>
        <v>-</v>
      </c>
      <c r="AR190" s="13" t="str">
        <f t="shared" si="137"/>
        <v>-</v>
      </c>
      <c r="AS190" s="13" t="str">
        <f t="shared" si="124"/>
        <v>-</v>
      </c>
      <c r="AT190" s="16" t="str">
        <f t="shared" si="138"/>
        <v>-</v>
      </c>
      <c r="AU190" s="16" t="str">
        <f t="shared" si="125"/>
        <v>-</v>
      </c>
      <c r="AV190" s="16" t="str">
        <f t="shared" si="126"/>
        <v>-</v>
      </c>
      <c r="AW190" s="16" t="str">
        <f t="shared" si="139"/>
        <v>-</v>
      </c>
      <c r="AX190" s="13" t="str">
        <f t="shared" si="140"/>
        <v>-</v>
      </c>
      <c r="AY190" s="10" t="str">
        <f t="shared" si="141"/>
        <v>-</v>
      </c>
      <c r="AZ190" s="9" t="str">
        <f t="shared" si="142"/>
        <v>-</v>
      </c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</row>
    <row r="191" spans="2:68" x14ac:dyDescent="0.3">
      <c r="B191" s="108" t="str">
        <f t="shared" si="127"/>
        <v/>
      </c>
      <c r="C191" s="108" t="str">
        <f t="shared" si="113"/>
        <v/>
      </c>
      <c r="D191" s="3"/>
      <c r="E191" s="3"/>
      <c r="F191" s="3"/>
      <c r="G191" s="20">
        <f>IFERROR(INDEX('Input - Tesco'!F$2:F$200,MATCH('Calculations - Tesco'!$C191,'Input - Tesco'!$B$2:$B$200,0)),"")</f>
        <v>0</v>
      </c>
      <c r="H191" s="20">
        <f>IFERROR(INDEX('Input - Tesco'!G$2:G$200,MATCH('Calculations - Tesco'!$C191,'Input - Tesco'!$B$2:$B$200,0)),"")</f>
        <v>0</v>
      </c>
      <c r="I191" s="21">
        <f>IFERROR(INDEX('Input - Tesco'!H$2:H$200,MATCH('Calculations - Tesco'!$C191,'Input - Tesco'!$B$2:$B$200,0)),"")</f>
        <v>0</v>
      </c>
      <c r="J191" s="21">
        <f>IFERROR(INDEX('Input - Tesco'!I$2:I$200,MATCH('Calculations - Tesco'!$C191,'Input - Tesco'!$B$2:$B$200,0)),"")</f>
        <v>0</v>
      </c>
      <c r="K191" s="20">
        <f>IFERROR(INDEX('Input - Tesco'!J$2:J$200,MATCH('Calculations - Tesco'!$C191,'Input - Tesco'!$B$2:$B$200,0)),"")</f>
        <v>0</v>
      </c>
      <c r="L191" s="20">
        <f>IFERROR(INDEX('Input - Tesco'!K$2:K$200,MATCH('Calculations - Tesco'!$C191,'Input - Tesco'!$B$2:$B$200,0)),"")</f>
        <v>0</v>
      </c>
      <c r="M191" s="21" t="str">
        <f t="shared" si="128"/>
        <v/>
      </c>
      <c r="N191" s="21" t="str">
        <f t="shared" si="114"/>
        <v/>
      </c>
      <c r="O191" s="21">
        <f t="shared" si="129"/>
        <v>0</v>
      </c>
      <c r="P191" s="9">
        <f t="shared" si="111"/>
        <v>0</v>
      </c>
      <c r="Q191" s="9">
        <f t="shared" si="112"/>
        <v>0</v>
      </c>
      <c r="R191" s="22" t="str">
        <f>IFERROR(INDEX(Tesco!$Q$11:$Q$165,MATCH('Calculations - Tesco'!$C191,Tesco!$M$11:$M$165,0)),"")</f>
        <v/>
      </c>
      <c r="S191" s="22" t="str">
        <f>IFERROR(INDEX(Tesco!$R$11:$R$165,MATCH('Calculations - Tesco'!$C191,Tesco!$M$11:$M$165,0)),"")</f>
        <v/>
      </c>
      <c r="T191" s="16" t="e">
        <f t="shared" si="115"/>
        <v>#VALUE!</v>
      </c>
      <c r="U191" s="16" t="e">
        <f t="shared" si="130"/>
        <v>#VALUE!</v>
      </c>
      <c r="V191" s="16" t="e">
        <f t="shared" si="131"/>
        <v>#VALUE!</v>
      </c>
      <c r="W191" s="10" t="str">
        <f t="shared" si="116"/>
        <v>-</v>
      </c>
      <c r="X191" s="10" t="str">
        <f t="shared" si="117"/>
        <v>-</v>
      </c>
      <c r="Y191" s="13" t="str">
        <f t="shared" si="132"/>
        <v>-</v>
      </c>
      <c r="Z191" s="9" t="str">
        <f t="shared" si="118"/>
        <v>-</v>
      </c>
      <c r="AA191" s="16" t="str">
        <f t="shared" si="133"/>
        <v>-</v>
      </c>
      <c r="AB191" s="16" t="str">
        <f t="shared" si="119"/>
        <v>-</v>
      </c>
      <c r="AC191" s="16" t="str">
        <f t="shared" si="120"/>
        <v>-</v>
      </c>
      <c r="AD191" s="16" t="str">
        <f t="shared" si="134"/>
        <v>-</v>
      </c>
      <c r="AE191" s="16"/>
      <c r="AF191" s="31" t="str">
        <f>IFERROR(INDEX(Tesco!$P$11:$P$165,MATCH('Calculations - Tesco'!C191,Tesco!$M$11:$M$165,0)),"")</f>
        <v/>
      </c>
      <c r="AG191" s="23" t="str">
        <f t="shared" si="135"/>
        <v/>
      </c>
      <c r="AH191" s="23" t="str">
        <f t="shared" si="135"/>
        <v/>
      </c>
      <c r="AI191" s="9" t="str">
        <f t="shared" si="121"/>
        <v/>
      </c>
      <c r="AJ191" s="4" t="str">
        <f t="shared" si="122"/>
        <v/>
      </c>
      <c r="AK191" s="4"/>
      <c r="AL191" s="4"/>
      <c r="AM191" s="4"/>
      <c r="AN191" s="4"/>
      <c r="AO191" s="4"/>
      <c r="AP191" s="20" t="str">
        <f t="shared" si="123"/>
        <v>-</v>
      </c>
      <c r="AQ191" s="13" t="str">
        <f t="shared" si="136"/>
        <v>-</v>
      </c>
      <c r="AR191" s="13" t="str">
        <f t="shared" si="137"/>
        <v>-</v>
      </c>
      <c r="AS191" s="13" t="str">
        <f t="shared" si="124"/>
        <v>-</v>
      </c>
      <c r="AT191" s="16" t="str">
        <f t="shared" si="138"/>
        <v>-</v>
      </c>
      <c r="AU191" s="16" t="str">
        <f t="shared" si="125"/>
        <v>-</v>
      </c>
      <c r="AV191" s="16" t="str">
        <f t="shared" si="126"/>
        <v>-</v>
      </c>
      <c r="AW191" s="16" t="str">
        <f t="shared" si="139"/>
        <v>-</v>
      </c>
      <c r="AX191" s="13" t="str">
        <f t="shared" si="140"/>
        <v>-</v>
      </c>
      <c r="AY191" s="10" t="str">
        <f t="shared" si="141"/>
        <v>-</v>
      </c>
      <c r="AZ191" s="9" t="str">
        <f t="shared" si="142"/>
        <v>-</v>
      </c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</row>
    <row r="192" spans="2:68" x14ac:dyDescent="0.3">
      <c r="B192" s="108" t="str">
        <f t="shared" si="127"/>
        <v/>
      </c>
      <c r="C192" s="108" t="str">
        <f t="shared" si="113"/>
        <v/>
      </c>
      <c r="D192" s="3"/>
      <c r="E192" s="3"/>
      <c r="F192" s="3"/>
      <c r="G192" s="20">
        <f>IFERROR(INDEX('Input - Tesco'!F$2:F$200,MATCH('Calculations - Tesco'!$C192,'Input - Tesco'!$B$2:$B$200,0)),"")</f>
        <v>0</v>
      </c>
      <c r="H192" s="20">
        <f>IFERROR(INDEX('Input - Tesco'!G$2:G$200,MATCH('Calculations - Tesco'!$C192,'Input - Tesco'!$B$2:$B$200,0)),"")</f>
        <v>0</v>
      </c>
      <c r="I192" s="21">
        <f>IFERROR(INDEX('Input - Tesco'!H$2:H$200,MATCH('Calculations - Tesco'!$C192,'Input - Tesco'!$B$2:$B$200,0)),"")</f>
        <v>0</v>
      </c>
      <c r="J192" s="21">
        <f>IFERROR(INDEX('Input - Tesco'!I$2:I$200,MATCH('Calculations - Tesco'!$C192,'Input - Tesco'!$B$2:$B$200,0)),"")</f>
        <v>0</v>
      </c>
      <c r="K192" s="20">
        <f>IFERROR(INDEX('Input - Tesco'!J$2:J$200,MATCH('Calculations - Tesco'!$C192,'Input - Tesco'!$B$2:$B$200,0)),"")</f>
        <v>0</v>
      </c>
      <c r="L192" s="20">
        <f>IFERROR(INDEX('Input - Tesco'!K$2:K$200,MATCH('Calculations - Tesco'!$C192,'Input - Tesco'!$B$2:$B$200,0)),"")</f>
        <v>0</v>
      </c>
      <c r="M192" s="21" t="str">
        <f t="shared" si="128"/>
        <v/>
      </c>
      <c r="N192" s="21" t="str">
        <f t="shared" si="114"/>
        <v/>
      </c>
      <c r="O192" s="21">
        <f t="shared" si="129"/>
        <v>0</v>
      </c>
      <c r="P192" s="9">
        <f t="shared" ref="P192:P229" si="143">G192/SUM(G$32:G$229)</f>
        <v>0</v>
      </c>
      <c r="Q192" s="9">
        <f t="shared" ref="Q192:Q229" si="144">H192/SUM(H$32:H$229)</f>
        <v>0</v>
      </c>
      <c r="R192" s="22" t="str">
        <f>IFERROR(INDEX(Tesco!$Q$11:$Q$165,MATCH('Calculations - Tesco'!$C192,Tesco!$M$11:$M$165,0)),"")</f>
        <v/>
      </c>
      <c r="S192" s="22" t="str">
        <f>IFERROR(INDEX(Tesco!$R$11:$R$165,MATCH('Calculations - Tesco'!$C192,Tesco!$M$11:$M$165,0)),"")</f>
        <v/>
      </c>
      <c r="T192" s="16" t="e">
        <f t="shared" si="115"/>
        <v>#VALUE!</v>
      </c>
      <c r="U192" s="16" t="e">
        <f t="shared" si="130"/>
        <v>#VALUE!</v>
      </c>
      <c r="V192" s="16" t="e">
        <f t="shared" si="131"/>
        <v>#VALUE!</v>
      </c>
      <c r="W192" s="10" t="str">
        <f t="shared" si="116"/>
        <v>-</v>
      </c>
      <c r="X192" s="10" t="str">
        <f t="shared" si="117"/>
        <v>-</v>
      </c>
      <c r="Y192" s="13" t="str">
        <f t="shared" si="132"/>
        <v>-</v>
      </c>
      <c r="Z192" s="9" t="str">
        <f t="shared" si="118"/>
        <v>-</v>
      </c>
      <c r="AA192" s="16" t="str">
        <f t="shared" si="133"/>
        <v>-</v>
      </c>
      <c r="AB192" s="16" t="str">
        <f t="shared" si="119"/>
        <v>-</v>
      </c>
      <c r="AC192" s="16" t="str">
        <f t="shared" si="120"/>
        <v>-</v>
      </c>
      <c r="AD192" s="16" t="str">
        <f t="shared" si="134"/>
        <v>-</v>
      </c>
      <c r="AE192" s="16"/>
      <c r="AF192" s="31" t="str">
        <f>IFERROR(INDEX(Tesco!$P$11:$P$165,MATCH('Calculations - Tesco'!C192,Tesco!$M$11:$M$165,0)),"")</f>
        <v/>
      </c>
      <c r="AG192" s="23" t="str">
        <f t="shared" si="135"/>
        <v/>
      </c>
      <c r="AH192" s="23" t="str">
        <f t="shared" si="135"/>
        <v/>
      </c>
      <c r="AI192" s="9" t="str">
        <f t="shared" si="121"/>
        <v/>
      </c>
      <c r="AJ192" s="4" t="str">
        <f t="shared" si="122"/>
        <v/>
      </c>
      <c r="AK192" s="4"/>
      <c r="AL192" s="4"/>
      <c r="AM192" s="4"/>
      <c r="AN192" s="4"/>
      <c r="AO192" s="4"/>
      <c r="AP192" s="20" t="str">
        <f t="shared" si="123"/>
        <v>-</v>
      </c>
      <c r="AQ192" s="13" t="str">
        <f t="shared" si="136"/>
        <v>-</v>
      </c>
      <c r="AR192" s="13" t="str">
        <f t="shared" si="137"/>
        <v>-</v>
      </c>
      <c r="AS192" s="13" t="str">
        <f t="shared" si="124"/>
        <v>-</v>
      </c>
      <c r="AT192" s="16" t="str">
        <f t="shared" si="138"/>
        <v>-</v>
      </c>
      <c r="AU192" s="16" t="str">
        <f t="shared" si="125"/>
        <v>-</v>
      </c>
      <c r="AV192" s="16" t="str">
        <f t="shared" si="126"/>
        <v>-</v>
      </c>
      <c r="AW192" s="16" t="str">
        <f t="shared" si="139"/>
        <v>-</v>
      </c>
      <c r="AX192" s="13" t="str">
        <f t="shared" si="140"/>
        <v>-</v>
      </c>
      <c r="AY192" s="10" t="str">
        <f t="shared" si="141"/>
        <v>-</v>
      </c>
      <c r="AZ192" s="9" t="str">
        <f t="shared" si="142"/>
        <v>-</v>
      </c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</row>
    <row r="193" spans="2:68" x14ac:dyDescent="0.3">
      <c r="B193" s="108" t="str">
        <f t="shared" si="127"/>
        <v/>
      </c>
      <c r="C193" s="108" t="str">
        <f t="shared" si="113"/>
        <v/>
      </c>
      <c r="D193" s="3"/>
      <c r="E193" s="3"/>
      <c r="F193" s="3"/>
      <c r="G193" s="20">
        <f>IFERROR(INDEX('Input - Tesco'!F$2:F$200,MATCH('Calculations - Tesco'!$C193,'Input - Tesco'!$B$2:$B$200,0)),"")</f>
        <v>0</v>
      </c>
      <c r="H193" s="20">
        <f>IFERROR(INDEX('Input - Tesco'!G$2:G$200,MATCH('Calculations - Tesco'!$C193,'Input - Tesco'!$B$2:$B$200,0)),"")</f>
        <v>0</v>
      </c>
      <c r="I193" s="21">
        <f>IFERROR(INDEX('Input - Tesco'!H$2:H$200,MATCH('Calculations - Tesco'!$C193,'Input - Tesco'!$B$2:$B$200,0)),"")</f>
        <v>0</v>
      </c>
      <c r="J193" s="21">
        <f>IFERROR(INDEX('Input - Tesco'!I$2:I$200,MATCH('Calculations - Tesco'!$C193,'Input - Tesco'!$B$2:$B$200,0)),"")</f>
        <v>0</v>
      </c>
      <c r="K193" s="20">
        <f>IFERROR(INDEX('Input - Tesco'!J$2:J$200,MATCH('Calculations - Tesco'!$C193,'Input - Tesco'!$B$2:$B$200,0)),"")</f>
        <v>0</v>
      </c>
      <c r="L193" s="20">
        <f>IFERROR(INDEX('Input - Tesco'!K$2:K$200,MATCH('Calculations - Tesco'!$C193,'Input - Tesco'!$B$2:$B$200,0)),"")</f>
        <v>0</v>
      </c>
      <c r="M193" s="21" t="str">
        <f t="shared" si="128"/>
        <v/>
      </c>
      <c r="N193" s="21" t="str">
        <f t="shared" si="114"/>
        <v/>
      </c>
      <c r="O193" s="21">
        <f t="shared" si="129"/>
        <v>0</v>
      </c>
      <c r="P193" s="9">
        <f t="shared" si="143"/>
        <v>0</v>
      </c>
      <c r="Q193" s="9">
        <f t="shared" si="144"/>
        <v>0</v>
      </c>
      <c r="R193" s="22" t="str">
        <f>IFERROR(INDEX(Tesco!$Q$11:$Q$165,MATCH('Calculations - Tesco'!$C193,Tesco!$M$11:$M$165,0)),"")</f>
        <v/>
      </c>
      <c r="S193" s="22" t="str">
        <f>IFERROR(INDEX(Tesco!$R$11:$R$165,MATCH('Calculations - Tesco'!$C193,Tesco!$M$11:$M$165,0)),"")</f>
        <v/>
      </c>
      <c r="T193" s="16" t="e">
        <f t="shared" si="115"/>
        <v>#VALUE!</v>
      </c>
      <c r="U193" s="16" t="e">
        <f t="shared" si="130"/>
        <v>#VALUE!</v>
      </c>
      <c r="V193" s="16" t="e">
        <f t="shared" si="131"/>
        <v>#VALUE!</v>
      </c>
      <c r="W193" s="10" t="str">
        <f t="shared" si="116"/>
        <v>-</v>
      </c>
      <c r="X193" s="10" t="str">
        <f t="shared" si="117"/>
        <v>-</v>
      </c>
      <c r="Y193" s="13" t="str">
        <f t="shared" si="132"/>
        <v>-</v>
      </c>
      <c r="Z193" s="9" t="str">
        <f t="shared" si="118"/>
        <v>-</v>
      </c>
      <c r="AA193" s="16" t="str">
        <f t="shared" si="133"/>
        <v>-</v>
      </c>
      <c r="AB193" s="16" t="str">
        <f t="shared" si="119"/>
        <v>-</v>
      </c>
      <c r="AC193" s="16" t="str">
        <f t="shared" si="120"/>
        <v>-</v>
      </c>
      <c r="AD193" s="16" t="str">
        <f t="shared" si="134"/>
        <v>-</v>
      </c>
      <c r="AE193" s="16"/>
      <c r="AF193" s="31" t="str">
        <f>IFERROR(INDEX(Tesco!$P$11:$P$165,MATCH('Calculations - Tesco'!C193,Tesco!$M$11:$M$165,0)),"")</f>
        <v/>
      </c>
      <c r="AG193" s="23" t="str">
        <f t="shared" si="135"/>
        <v/>
      </c>
      <c r="AH193" s="23" t="str">
        <f t="shared" si="135"/>
        <v/>
      </c>
      <c r="AI193" s="9" t="str">
        <f t="shared" si="121"/>
        <v/>
      </c>
      <c r="AJ193" s="4" t="str">
        <f t="shared" si="122"/>
        <v/>
      </c>
      <c r="AK193" s="4"/>
      <c r="AL193" s="4"/>
      <c r="AM193" s="4"/>
      <c r="AN193" s="4"/>
      <c r="AO193" s="4"/>
      <c r="AP193" s="20" t="str">
        <f t="shared" si="123"/>
        <v>-</v>
      </c>
      <c r="AQ193" s="13" t="str">
        <f t="shared" si="136"/>
        <v>-</v>
      </c>
      <c r="AR193" s="13" t="str">
        <f t="shared" si="137"/>
        <v>-</v>
      </c>
      <c r="AS193" s="13" t="str">
        <f t="shared" si="124"/>
        <v>-</v>
      </c>
      <c r="AT193" s="16" t="str">
        <f t="shared" si="138"/>
        <v>-</v>
      </c>
      <c r="AU193" s="16" t="str">
        <f t="shared" si="125"/>
        <v>-</v>
      </c>
      <c r="AV193" s="16" t="str">
        <f t="shared" si="126"/>
        <v>-</v>
      </c>
      <c r="AW193" s="16" t="str">
        <f t="shared" si="139"/>
        <v>-</v>
      </c>
      <c r="AX193" s="13" t="str">
        <f t="shared" si="140"/>
        <v>-</v>
      </c>
      <c r="AY193" s="10" t="str">
        <f t="shared" si="141"/>
        <v>-</v>
      </c>
      <c r="AZ193" s="9" t="str">
        <f t="shared" si="142"/>
        <v>-</v>
      </c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</row>
    <row r="194" spans="2:68" x14ac:dyDescent="0.3">
      <c r="B194" s="108" t="str">
        <f t="shared" si="127"/>
        <v/>
      </c>
      <c r="C194" s="108" t="str">
        <f t="shared" si="113"/>
        <v/>
      </c>
      <c r="D194" s="3"/>
      <c r="E194" s="3"/>
      <c r="F194" s="3"/>
      <c r="G194" s="20">
        <f>IFERROR(INDEX('Input - Tesco'!F$2:F$200,MATCH('Calculations - Tesco'!$C194,'Input - Tesco'!$B$2:$B$200,0)),"")</f>
        <v>0</v>
      </c>
      <c r="H194" s="20">
        <f>IFERROR(INDEX('Input - Tesco'!G$2:G$200,MATCH('Calculations - Tesco'!$C194,'Input - Tesco'!$B$2:$B$200,0)),"")</f>
        <v>0</v>
      </c>
      <c r="I194" s="21">
        <f>IFERROR(INDEX('Input - Tesco'!H$2:H$200,MATCH('Calculations - Tesco'!$C194,'Input - Tesco'!$B$2:$B$200,0)),"")</f>
        <v>0</v>
      </c>
      <c r="J194" s="21">
        <f>IFERROR(INDEX('Input - Tesco'!I$2:I$200,MATCH('Calculations - Tesco'!$C194,'Input - Tesco'!$B$2:$B$200,0)),"")</f>
        <v>0</v>
      </c>
      <c r="K194" s="20">
        <f>IFERROR(INDEX('Input - Tesco'!J$2:J$200,MATCH('Calculations - Tesco'!$C194,'Input - Tesco'!$B$2:$B$200,0)),"")</f>
        <v>0</v>
      </c>
      <c r="L194" s="20">
        <f>IFERROR(INDEX('Input - Tesco'!K$2:K$200,MATCH('Calculations - Tesco'!$C194,'Input - Tesco'!$B$2:$B$200,0)),"")</f>
        <v>0</v>
      </c>
      <c r="M194" s="21" t="str">
        <f t="shared" si="128"/>
        <v/>
      </c>
      <c r="N194" s="21" t="str">
        <f t="shared" si="114"/>
        <v/>
      </c>
      <c r="O194" s="21">
        <f t="shared" si="129"/>
        <v>0</v>
      </c>
      <c r="P194" s="9">
        <f t="shared" si="143"/>
        <v>0</v>
      </c>
      <c r="Q194" s="9">
        <f t="shared" si="144"/>
        <v>0</v>
      </c>
      <c r="R194" s="22" t="str">
        <f>IFERROR(INDEX(Tesco!$Q$11:$Q$165,MATCH('Calculations - Tesco'!$C194,Tesco!$M$11:$M$165,0)),"")</f>
        <v/>
      </c>
      <c r="S194" s="22" t="str">
        <f>IFERROR(INDEX(Tesco!$R$11:$R$165,MATCH('Calculations - Tesco'!$C194,Tesco!$M$11:$M$165,0)),"")</f>
        <v/>
      </c>
      <c r="T194" s="16" t="e">
        <f t="shared" si="115"/>
        <v>#VALUE!</v>
      </c>
      <c r="U194" s="16" t="e">
        <f t="shared" si="130"/>
        <v>#VALUE!</v>
      </c>
      <c r="V194" s="16" t="e">
        <f t="shared" si="131"/>
        <v>#VALUE!</v>
      </c>
      <c r="W194" s="10" t="str">
        <f t="shared" si="116"/>
        <v>-</v>
      </c>
      <c r="X194" s="10" t="str">
        <f t="shared" si="117"/>
        <v>-</v>
      </c>
      <c r="Y194" s="13" t="str">
        <f t="shared" si="132"/>
        <v>-</v>
      </c>
      <c r="Z194" s="9" t="str">
        <f t="shared" si="118"/>
        <v>-</v>
      </c>
      <c r="AA194" s="16" t="str">
        <f t="shared" si="133"/>
        <v>-</v>
      </c>
      <c r="AB194" s="16" t="str">
        <f t="shared" si="119"/>
        <v>-</v>
      </c>
      <c r="AC194" s="16" t="str">
        <f t="shared" si="120"/>
        <v>-</v>
      </c>
      <c r="AD194" s="16" t="str">
        <f t="shared" si="134"/>
        <v>-</v>
      </c>
      <c r="AE194" s="16"/>
      <c r="AF194" s="31" t="str">
        <f>IFERROR(INDEX(Tesco!$P$11:$P$165,MATCH('Calculations - Tesco'!C194,Tesco!$M$11:$M$165,0)),"")</f>
        <v/>
      </c>
      <c r="AG194" s="23" t="str">
        <f t="shared" si="135"/>
        <v/>
      </c>
      <c r="AH194" s="23" t="str">
        <f t="shared" si="135"/>
        <v/>
      </c>
      <c r="AI194" s="9" t="str">
        <f t="shared" si="121"/>
        <v/>
      </c>
      <c r="AJ194" s="4" t="str">
        <f t="shared" si="122"/>
        <v/>
      </c>
      <c r="AK194" s="4"/>
      <c r="AL194" s="4"/>
      <c r="AM194" s="4"/>
      <c r="AN194" s="4"/>
      <c r="AO194" s="4"/>
      <c r="AP194" s="20" t="str">
        <f t="shared" si="123"/>
        <v>-</v>
      </c>
      <c r="AQ194" s="13" t="str">
        <f t="shared" si="136"/>
        <v>-</v>
      </c>
      <c r="AR194" s="13" t="str">
        <f t="shared" si="137"/>
        <v>-</v>
      </c>
      <c r="AS194" s="13" t="str">
        <f t="shared" si="124"/>
        <v>-</v>
      </c>
      <c r="AT194" s="16" t="str">
        <f t="shared" si="138"/>
        <v>-</v>
      </c>
      <c r="AU194" s="16" t="str">
        <f t="shared" si="125"/>
        <v>-</v>
      </c>
      <c r="AV194" s="16" t="str">
        <f t="shared" si="126"/>
        <v>-</v>
      </c>
      <c r="AW194" s="16" t="str">
        <f t="shared" si="139"/>
        <v>-</v>
      </c>
      <c r="AX194" s="13" t="str">
        <f t="shared" si="140"/>
        <v>-</v>
      </c>
      <c r="AY194" s="10" t="str">
        <f t="shared" si="141"/>
        <v>-</v>
      </c>
      <c r="AZ194" s="9" t="str">
        <f t="shared" si="142"/>
        <v>-</v>
      </c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</row>
    <row r="195" spans="2:68" x14ac:dyDescent="0.3">
      <c r="B195" s="108" t="str">
        <f t="shared" si="127"/>
        <v/>
      </c>
      <c r="C195" s="108" t="str">
        <f t="shared" si="113"/>
        <v/>
      </c>
      <c r="D195" s="3"/>
      <c r="E195" s="3"/>
      <c r="F195" s="3"/>
      <c r="G195" s="20">
        <f>IFERROR(INDEX('Input - Tesco'!F$2:F$200,MATCH('Calculations - Tesco'!$C195,'Input - Tesco'!$B$2:$B$200,0)),"")</f>
        <v>0</v>
      </c>
      <c r="H195" s="20">
        <f>IFERROR(INDEX('Input - Tesco'!G$2:G$200,MATCH('Calculations - Tesco'!$C195,'Input - Tesco'!$B$2:$B$200,0)),"")</f>
        <v>0</v>
      </c>
      <c r="I195" s="21">
        <f>IFERROR(INDEX('Input - Tesco'!H$2:H$200,MATCH('Calculations - Tesco'!$C195,'Input - Tesco'!$B$2:$B$200,0)),"")</f>
        <v>0</v>
      </c>
      <c r="J195" s="21">
        <f>IFERROR(INDEX('Input - Tesco'!I$2:I$200,MATCH('Calculations - Tesco'!$C195,'Input - Tesco'!$B$2:$B$200,0)),"")</f>
        <v>0</v>
      </c>
      <c r="K195" s="20">
        <f>IFERROR(INDEX('Input - Tesco'!J$2:J$200,MATCH('Calculations - Tesco'!$C195,'Input - Tesco'!$B$2:$B$200,0)),"")</f>
        <v>0</v>
      </c>
      <c r="L195" s="20">
        <f>IFERROR(INDEX('Input - Tesco'!K$2:K$200,MATCH('Calculations - Tesco'!$C195,'Input - Tesco'!$B$2:$B$200,0)),"")</f>
        <v>0</v>
      </c>
      <c r="M195" s="21" t="str">
        <f t="shared" si="128"/>
        <v/>
      </c>
      <c r="N195" s="21" t="str">
        <f t="shared" si="114"/>
        <v/>
      </c>
      <c r="O195" s="21">
        <f t="shared" si="129"/>
        <v>0</v>
      </c>
      <c r="P195" s="9">
        <f t="shared" si="143"/>
        <v>0</v>
      </c>
      <c r="Q195" s="9">
        <f t="shared" si="144"/>
        <v>0</v>
      </c>
      <c r="R195" s="22" t="str">
        <f>IFERROR(INDEX(Tesco!$Q$11:$Q$165,MATCH('Calculations - Tesco'!$C195,Tesco!$M$11:$M$165,0)),"")</f>
        <v/>
      </c>
      <c r="S195" s="22" t="str">
        <f>IFERROR(INDEX(Tesco!$R$11:$R$165,MATCH('Calculations - Tesco'!$C195,Tesco!$M$11:$M$165,0)),"")</f>
        <v/>
      </c>
      <c r="T195" s="16" t="e">
        <f t="shared" si="115"/>
        <v>#VALUE!</v>
      </c>
      <c r="U195" s="16" t="e">
        <f t="shared" si="130"/>
        <v>#VALUE!</v>
      </c>
      <c r="V195" s="16" t="e">
        <f t="shared" si="131"/>
        <v>#VALUE!</v>
      </c>
      <c r="W195" s="10" t="str">
        <f t="shared" si="116"/>
        <v>-</v>
      </c>
      <c r="X195" s="10" t="str">
        <f t="shared" si="117"/>
        <v>-</v>
      </c>
      <c r="Y195" s="13" t="str">
        <f t="shared" si="132"/>
        <v>-</v>
      </c>
      <c r="Z195" s="9" t="str">
        <f t="shared" si="118"/>
        <v>-</v>
      </c>
      <c r="AA195" s="16" t="str">
        <f t="shared" si="133"/>
        <v>-</v>
      </c>
      <c r="AB195" s="16" t="str">
        <f t="shared" si="119"/>
        <v>-</v>
      </c>
      <c r="AC195" s="16" t="str">
        <f t="shared" si="120"/>
        <v>-</v>
      </c>
      <c r="AD195" s="16" t="str">
        <f t="shared" si="134"/>
        <v>-</v>
      </c>
      <c r="AE195" s="16"/>
      <c r="AF195" s="31" t="str">
        <f>IFERROR(INDEX(Tesco!$P$11:$P$165,MATCH('Calculations - Tesco'!C195,Tesco!$M$11:$M$165,0)),"")</f>
        <v/>
      </c>
      <c r="AG195" s="23" t="str">
        <f t="shared" si="135"/>
        <v/>
      </c>
      <c r="AH195" s="23" t="str">
        <f t="shared" si="135"/>
        <v/>
      </c>
      <c r="AI195" s="9" t="str">
        <f t="shared" si="121"/>
        <v/>
      </c>
      <c r="AJ195" s="4" t="str">
        <f t="shared" si="122"/>
        <v/>
      </c>
      <c r="AK195" s="4"/>
      <c r="AL195" s="4"/>
      <c r="AM195" s="4"/>
      <c r="AN195" s="4"/>
      <c r="AO195" s="4"/>
      <c r="AP195" s="20" t="str">
        <f t="shared" si="123"/>
        <v>-</v>
      </c>
      <c r="AQ195" s="13" t="str">
        <f t="shared" si="136"/>
        <v>-</v>
      </c>
      <c r="AR195" s="13" t="str">
        <f t="shared" si="137"/>
        <v>-</v>
      </c>
      <c r="AS195" s="13" t="str">
        <f t="shared" si="124"/>
        <v>-</v>
      </c>
      <c r="AT195" s="16" t="str">
        <f t="shared" si="138"/>
        <v>-</v>
      </c>
      <c r="AU195" s="16" t="str">
        <f t="shared" si="125"/>
        <v>-</v>
      </c>
      <c r="AV195" s="16" t="str">
        <f t="shared" si="126"/>
        <v>-</v>
      </c>
      <c r="AW195" s="16" t="str">
        <f t="shared" si="139"/>
        <v>-</v>
      </c>
      <c r="AX195" s="13" t="str">
        <f t="shared" si="140"/>
        <v>-</v>
      </c>
      <c r="AY195" s="10" t="str">
        <f t="shared" si="141"/>
        <v>-</v>
      </c>
      <c r="AZ195" s="9" t="str">
        <f t="shared" si="142"/>
        <v>-</v>
      </c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</row>
    <row r="196" spans="2:68" x14ac:dyDescent="0.3">
      <c r="B196" s="108" t="str">
        <f t="shared" si="127"/>
        <v/>
      </c>
      <c r="C196" s="108" t="str">
        <f t="shared" si="113"/>
        <v/>
      </c>
      <c r="D196" s="3"/>
      <c r="E196" s="3"/>
      <c r="F196" s="3"/>
      <c r="G196" s="20">
        <f>IFERROR(INDEX('Input - Tesco'!F$2:F$200,MATCH('Calculations - Tesco'!$C196,'Input - Tesco'!$B$2:$B$200,0)),"")</f>
        <v>0</v>
      </c>
      <c r="H196" s="20">
        <f>IFERROR(INDEX('Input - Tesco'!G$2:G$200,MATCH('Calculations - Tesco'!$C196,'Input - Tesco'!$B$2:$B$200,0)),"")</f>
        <v>0</v>
      </c>
      <c r="I196" s="21">
        <f>IFERROR(INDEX('Input - Tesco'!H$2:H$200,MATCH('Calculations - Tesco'!$C196,'Input - Tesco'!$B$2:$B$200,0)),"")</f>
        <v>0</v>
      </c>
      <c r="J196" s="21">
        <f>IFERROR(INDEX('Input - Tesco'!I$2:I$200,MATCH('Calculations - Tesco'!$C196,'Input - Tesco'!$B$2:$B$200,0)),"")</f>
        <v>0</v>
      </c>
      <c r="K196" s="20">
        <f>IFERROR(INDEX('Input - Tesco'!J$2:J$200,MATCH('Calculations - Tesco'!$C196,'Input - Tesco'!$B$2:$B$200,0)),"")</f>
        <v>0</v>
      </c>
      <c r="L196" s="20">
        <f>IFERROR(INDEX('Input - Tesco'!K$2:K$200,MATCH('Calculations - Tesco'!$C196,'Input - Tesco'!$B$2:$B$200,0)),"")</f>
        <v>0</v>
      </c>
      <c r="M196" s="21" t="str">
        <f t="shared" si="128"/>
        <v/>
      </c>
      <c r="N196" s="21" t="str">
        <f t="shared" si="114"/>
        <v/>
      </c>
      <c r="O196" s="21">
        <f t="shared" si="129"/>
        <v>0</v>
      </c>
      <c r="P196" s="9">
        <f t="shared" si="143"/>
        <v>0</v>
      </c>
      <c r="Q196" s="9">
        <f t="shared" si="144"/>
        <v>0</v>
      </c>
      <c r="R196" s="22" t="str">
        <f>IFERROR(INDEX(Tesco!$Q$11:$Q$165,MATCH('Calculations - Tesco'!$C196,Tesco!$M$11:$M$165,0)),"")</f>
        <v/>
      </c>
      <c r="S196" s="22" t="str">
        <f>IFERROR(INDEX(Tesco!$R$11:$R$165,MATCH('Calculations - Tesco'!$C196,Tesco!$M$11:$M$165,0)),"")</f>
        <v/>
      </c>
      <c r="T196" s="16" t="e">
        <f t="shared" si="115"/>
        <v>#VALUE!</v>
      </c>
      <c r="U196" s="16" t="e">
        <f t="shared" si="130"/>
        <v>#VALUE!</v>
      </c>
      <c r="V196" s="16" t="e">
        <f t="shared" si="131"/>
        <v>#VALUE!</v>
      </c>
      <c r="W196" s="10" t="str">
        <f t="shared" si="116"/>
        <v>-</v>
      </c>
      <c r="X196" s="10" t="str">
        <f t="shared" si="117"/>
        <v>-</v>
      </c>
      <c r="Y196" s="13" t="str">
        <f t="shared" si="132"/>
        <v>-</v>
      </c>
      <c r="Z196" s="9" t="str">
        <f t="shared" si="118"/>
        <v>-</v>
      </c>
      <c r="AA196" s="16" t="str">
        <f t="shared" si="133"/>
        <v>-</v>
      </c>
      <c r="AB196" s="16" t="str">
        <f t="shared" si="119"/>
        <v>-</v>
      </c>
      <c r="AC196" s="16" t="str">
        <f t="shared" si="120"/>
        <v>-</v>
      </c>
      <c r="AD196" s="16" t="str">
        <f t="shared" si="134"/>
        <v>-</v>
      </c>
      <c r="AE196" s="16"/>
      <c r="AF196" s="31" t="str">
        <f>IFERROR(INDEX(Tesco!$P$11:$P$165,MATCH('Calculations - Tesco'!C196,Tesco!$M$11:$M$165,0)),"")</f>
        <v/>
      </c>
      <c r="AG196" s="23" t="str">
        <f t="shared" si="135"/>
        <v/>
      </c>
      <c r="AH196" s="23" t="str">
        <f t="shared" si="135"/>
        <v/>
      </c>
      <c r="AI196" s="9" t="str">
        <f t="shared" si="121"/>
        <v/>
      </c>
      <c r="AJ196" s="4" t="str">
        <f t="shared" si="122"/>
        <v/>
      </c>
      <c r="AK196" s="4"/>
      <c r="AL196" s="4"/>
      <c r="AM196" s="4"/>
      <c r="AN196" s="4"/>
      <c r="AO196" s="4"/>
      <c r="AP196" s="20" t="str">
        <f t="shared" si="123"/>
        <v>-</v>
      </c>
      <c r="AQ196" s="13" t="str">
        <f t="shared" si="136"/>
        <v>-</v>
      </c>
      <c r="AR196" s="13" t="str">
        <f t="shared" si="137"/>
        <v>-</v>
      </c>
      <c r="AS196" s="13" t="str">
        <f t="shared" si="124"/>
        <v>-</v>
      </c>
      <c r="AT196" s="16" t="str">
        <f t="shared" si="138"/>
        <v>-</v>
      </c>
      <c r="AU196" s="16" t="str">
        <f t="shared" si="125"/>
        <v>-</v>
      </c>
      <c r="AV196" s="16" t="str">
        <f t="shared" si="126"/>
        <v>-</v>
      </c>
      <c r="AW196" s="16" t="str">
        <f t="shared" si="139"/>
        <v>-</v>
      </c>
      <c r="AX196" s="13" t="str">
        <f t="shared" si="140"/>
        <v>-</v>
      </c>
      <c r="AY196" s="10" t="str">
        <f t="shared" si="141"/>
        <v>-</v>
      </c>
      <c r="AZ196" s="9" t="str">
        <f t="shared" si="142"/>
        <v>-</v>
      </c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</row>
    <row r="197" spans="2:68" x14ac:dyDescent="0.3">
      <c r="B197" s="108" t="str">
        <f t="shared" si="127"/>
        <v/>
      </c>
      <c r="C197" s="108" t="str">
        <f t="shared" si="113"/>
        <v/>
      </c>
      <c r="D197" s="3"/>
      <c r="E197" s="3"/>
      <c r="F197" s="3"/>
      <c r="G197" s="20">
        <f>IFERROR(INDEX('Input - Tesco'!F$2:F$200,MATCH('Calculations - Tesco'!$C197,'Input - Tesco'!$B$2:$B$200,0)),"")</f>
        <v>0</v>
      </c>
      <c r="H197" s="20">
        <f>IFERROR(INDEX('Input - Tesco'!G$2:G$200,MATCH('Calculations - Tesco'!$C197,'Input - Tesco'!$B$2:$B$200,0)),"")</f>
        <v>0</v>
      </c>
      <c r="I197" s="21">
        <f>IFERROR(INDEX('Input - Tesco'!H$2:H$200,MATCH('Calculations - Tesco'!$C197,'Input - Tesco'!$B$2:$B$200,0)),"")</f>
        <v>0</v>
      </c>
      <c r="J197" s="21">
        <f>IFERROR(INDEX('Input - Tesco'!I$2:I$200,MATCH('Calculations - Tesco'!$C197,'Input - Tesco'!$B$2:$B$200,0)),"")</f>
        <v>0</v>
      </c>
      <c r="K197" s="20">
        <f>IFERROR(INDEX('Input - Tesco'!J$2:J$200,MATCH('Calculations - Tesco'!$C197,'Input - Tesco'!$B$2:$B$200,0)),"")</f>
        <v>0</v>
      </c>
      <c r="L197" s="20">
        <f>IFERROR(INDEX('Input - Tesco'!K$2:K$200,MATCH('Calculations - Tesco'!$C197,'Input - Tesco'!$B$2:$B$200,0)),"")</f>
        <v>0</v>
      </c>
      <c r="M197" s="21" t="str">
        <f t="shared" si="128"/>
        <v/>
      </c>
      <c r="N197" s="21" t="str">
        <f t="shared" si="114"/>
        <v/>
      </c>
      <c r="O197" s="21">
        <f t="shared" si="129"/>
        <v>0</v>
      </c>
      <c r="P197" s="9">
        <f t="shared" si="143"/>
        <v>0</v>
      </c>
      <c r="Q197" s="9">
        <f t="shared" si="144"/>
        <v>0</v>
      </c>
      <c r="R197" s="22" t="str">
        <f>IFERROR(INDEX(Tesco!$Q$11:$Q$165,MATCH('Calculations - Tesco'!$C197,Tesco!$M$11:$M$165,0)),"")</f>
        <v/>
      </c>
      <c r="S197" s="22" t="str">
        <f>IFERROR(INDEX(Tesco!$R$11:$R$165,MATCH('Calculations - Tesco'!$C197,Tesco!$M$11:$M$165,0)),"")</f>
        <v/>
      </c>
      <c r="T197" s="16" t="e">
        <f t="shared" si="115"/>
        <v>#VALUE!</v>
      </c>
      <c r="U197" s="16" t="e">
        <f t="shared" si="130"/>
        <v>#VALUE!</v>
      </c>
      <c r="V197" s="16" t="e">
        <f t="shared" si="131"/>
        <v>#VALUE!</v>
      </c>
      <c r="W197" s="10" t="str">
        <f t="shared" si="116"/>
        <v>-</v>
      </c>
      <c r="X197" s="10" t="str">
        <f t="shared" si="117"/>
        <v>-</v>
      </c>
      <c r="Y197" s="13" t="str">
        <f t="shared" si="132"/>
        <v>-</v>
      </c>
      <c r="Z197" s="9" t="str">
        <f t="shared" si="118"/>
        <v>-</v>
      </c>
      <c r="AA197" s="16" t="str">
        <f t="shared" si="133"/>
        <v>-</v>
      </c>
      <c r="AB197" s="16" t="str">
        <f t="shared" si="119"/>
        <v>-</v>
      </c>
      <c r="AC197" s="16" t="str">
        <f t="shared" si="120"/>
        <v>-</v>
      </c>
      <c r="AD197" s="16" t="str">
        <f t="shared" si="134"/>
        <v>-</v>
      </c>
      <c r="AE197" s="16"/>
      <c r="AF197" s="31" t="str">
        <f>IFERROR(INDEX(Tesco!$P$11:$P$165,MATCH('Calculations - Tesco'!C197,Tesco!$M$11:$M$165,0)),"")</f>
        <v/>
      </c>
      <c r="AG197" s="23" t="str">
        <f t="shared" si="135"/>
        <v/>
      </c>
      <c r="AH197" s="23" t="str">
        <f t="shared" si="135"/>
        <v/>
      </c>
      <c r="AI197" s="9" t="str">
        <f t="shared" si="121"/>
        <v/>
      </c>
      <c r="AJ197" s="4" t="str">
        <f t="shared" si="122"/>
        <v/>
      </c>
      <c r="AK197" s="4"/>
      <c r="AL197" s="4"/>
      <c r="AM197" s="4"/>
      <c r="AN197" s="4"/>
      <c r="AO197" s="4"/>
      <c r="AP197" s="20" t="str">
        <f t="shared" si="123"/>
        <v>-</v>
      </c>
      <c r="AQ197" s="13" t="str">
        <f t="shared" si="136"/>
        <v>-</v>
      </c>
      <c r="AR197" s="13" t="str">
        <f t="shared" si="137"/>
        <v>-</v>
      </c>
      <c r="AS197" s="13" t="str">
        <f t="shared" si="124"/>
        <v>-</v>
      </c>
      <c r="AT197" s="16" t="str">
        <f t="shared" si="138"/>
        <v>-</v>
      </c>
      <c r="AU197" s="16" t="str">
        <f t="shared" si="125"/>
        <v>-</v>
      </c>
      <c r="AV197" s="16" t="str">
        <f t="shared" si="126"/>
        <v>-</v>
      </c>
      <c r="AW197" s="16" t="str">
        <f t="shared" si="139"/>
        <v>-</v>
      </c>
      <c r="AX197" s="13" t="str">
        <f t="shared" si="140"/>
        <v>-</v>
      </c>
      <c r="AY197" s="10" t="str">
        <f t="shared" si="141"/>
        <v>-</v>
      </c>
      <c r="AZ197" s="9" t="str">
        <f t="shared" si="142"/>
        <v>-</v>
      </c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</row>
    <row r="198" spans="2:68" x14ac:dyDescent="0.3">
      <c r="B198" s="108" t="str">
        <f t="shared" si="127"/>
        <v/>
      </c>
      <c r="C198" s="108" t="str">
        <f t="shared" si="113"/>
        <v/>
      </c>
      <c r="D198" s="3"/>
      <c r="E198" s="3"/>
      <c r="F198" s="3"/>
      <c r="G198" s="20">
        <f>IFERROR(INDEX('Input - Tesco'!F$2:F$200,MATCH('Calculations - Tesco'!$C198,'Input - Tesco'!$B$2:$B$200,0)),"")</f>
        <v>0</v>
      </c>
      <c r="H198" s="20">
        <f>IFERROR(INDEX('Input - Tesco'!G$2:G$200,MATCH('Calculations - Tesco'!$C198,'Input - Tesco'!$B$2:$B$200,0)),"")</f>
        <v>0</v>
      </c>
      <c r="I198" s="21">
        <f>IFERROR(INDEX('Input - Tesco'!H$2:H$200,MATCH('Calculations - Tesco'!$C198,'Input - Tesco'!$B$2:$B$200,0)),"")</f>
        <v>0</v>
      </c>
      <c r="J198" s="21">
        <f>IFERROR(INDEX('Input - Tesco'!I$2:I$200,MATCH('Calculations - Tesco'!$C198,'Input - Tesco'!$B$2:$B$200,0)),"")</f>
        <v>0</v>
      </c>
      <c r="K198" s="20">
        <f>IFERROR(INDEX('Input - Tesco'!J$2:J$200,MATCH('Calculations - Tesco'!$C198,'Input - Tesco'!$B$2:$B$200,0)),"")</f>
        <v>0</v>
      </c>
      <c r="L198" s="20">
        <f>IFERROR(INDEX('Input - Tesco'!K$2:K$200,MATCH('Calculations - Tesco'!$C198,'Input - Tesco'!$B$2:$B$200,0)),"")</f>
        <v>0</v>
      </c>
      <c r="M198" s="21" t="str">
        <f t="shared" si="128"/>
        <v/>
      </c>
      <c r="N198" s="21" t="str">
        <f t="shared" si="114"/>
        <v/>
      </c>
      <c r="O198" s="21">
        <f t="shared" si="129"/>
        <v>0</v>
      </c>
      <c r="P198" s="9">
        <f t="shared" si="143"/>
        <v>0</v>
      </c>
      <c r="Q198" s="9">
        <f t="shared" si="144"/>
        <v>0</v>
      </c>
      <c r="R198" s="22" t="str">
        <f>IFERROR(INDEX(Tesco!$Q$11:$Q$165,MATCH('Calculations - Tesco'!$C198,Tesco!$M$11:$M$165,0)),"")</f>
        <v/>
      </c>
      <c r="S198" s="22" t="str">
        <f>IFERROR(INDEX(Tesco!$R$11:$R$165,MATCH('Calculations - Tesco'!$C198,Tesco!$M$11:$M$165,0)),"")</f>
        <v/>
      </c>
      <c r="T198" s="16" t="e">
        <f t="shared" si="115"/>
        <v>#VALUE!</v>
      </c>
      <c r="U198" s="16" t="e">
        <f t="shared" si="130"/>
        <v>#VALUE!</v>
      </c>
      <c r="V198" s="16" t="e">
        <f t="shared" si="131"/>
        <v>#VALUE!</v>
      </c>
      <c r="W198" s="10" t="str">
        <f t="shared" si="116"/>
        <v>-</v>
      </c>
      <c r="X198" s="10" t="str">
        <f t="shared" si="117"/>
        <v>-</v>
      </c>
      <c r="Y198" s="13" t="str">
        <f t="shared" si="132"/>
        <v>-</v>
      </c>
      <c r="Z198" s="9" t="str">
        <f t="shared" si="118"/>
        <v>-</v>
      </c>
      <c r="AA198" s="16" t="str">
        <f t="shared" si="133"/>
        <v>-</v>
      </c>
      <c r="AB198" s="16" t="str">
        <f t="shared" si="119"/>
        <v>-</v>
      </c>
      <c r="AC198" s="16" t="str">
        <f t="shared" si="120"/>
        <v>-</v>
      </c>
      <c r="AD198" s="16" t="str">
        <f t="shared" si="134"/>
        <v>-</v>
      </c>
      <c r="AE198" s="16"/>
      <c r="AF198" s="31" t="str">
        <f>IFERROR(INDEX(Tesco!$P$11:$P$165,MATCH('Calculations - Tesco'!C198,Tesco!$M$11:$M$165,0)),"")</f>
        <v/>
      </c>
      <c r="AG198" s="23" t="str">
        <f t="shared" si="135"/>
        <v/>
      </c>
      <c r="AH198" s="23" t="str">
        <f t="shared" si="135"/>
        <v/>
      </c>
      <c r="AI198" s="9" t="str">
        <f t="shared" si="121"/>
        <v/>
      </c>
      <c r="AJ198" s="4" t="str">
        <f t="shared" si="122"/>
        <v/>
      </c>
      <c r="AK198" s="4"/>
      <c r="AL198" s="4"/>
      <c r="AM198" s="4"/>
      <c r="AN198" s="4"/>
      <c r="AO198" s="4"/>
      <c r="AP198" s="20" t="str">
        <f t="shared" si="123"/>
        <v>-</v>
      </c>
      <c r="AQ198" s="13" t="str">
        <f t="shared" si="136"/>
        <v>-</v>
      </c>
      <c r="AR198" s="13" t="str">
        <f t="shared" si="137"/>
        <v>-</v>
      </c>
      <c r="AS198" s="13" t="str">
        <f t="shared" si="124"/>
        <v>-</v>
      </c>
      <c r="AT198" s="16" t="str">
        <f t="shared" si="138"/>
        <v>-</v>
      </c>
      <c r="AU198" s="16" t="str">
        <f t="shared" si="125"/>
        <v>-</v>
      </c>
      <c r="AV198" s="16" t="str">
        <f t="shared" si="126"/>
        <v>-</v>
      </c>
      <c r="AW198" s="16" t="str">
        <f t="shared" si="139"/>
        <v>-</v>
      </c>
      <c r="AX198" s="13" t="str">
        <f t="shared" si="140"/>
        <v>-</v>
      </c>
      <c r="AY198" s="10" t="str">
        <f t="shared" si="141"/>
        <v>-</v>
      </c>
      <c r="AZ198" s="9" t="str">
        <f t="shared" si="142"/>
        <v>-</v>
      </c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</row>
    <row r="199" spans="2:68" x14ac:dyDescent="0.3">
      <c r="B199" s="108" t="str">
        <f t="shared" si="127"/>
        <v/>
      </c>
      <c r="C199" s="108" t="str">
        <f t="shared" si="113"/>
        <v/>
      </c>
      <c r="D199" s="3"/>
      <c r="E199" s="3"/>
      <c r="F199" s="3"/>
      <c r="G199" s="20">
        <f>IFERROR(INDEX('Input - Tesco'!F$2:F$200,MATCH('Calculations - Tesco'!$C199,'Input - Tesco'!$B$2:$B$200,0)),"")</f>
        <v>0</v>
      </c>
      <c r="H199" s="20">
        <f>IFERROR(INDEX('Input - Tesco'!G$2:G$200,MATCH('Calculations - Tesco'!$C199,'Input - Tesco'!$B$2:$B$200,0)),"")</f>
        <v>0</v>
      </c>
      <c r="I199" s="21">
        <f>IFERROR(INDEX('Input - Tesco'!H$2:H$200,MATCH('Calculations - Tesco'!$C199,'Input - Tesco'!$B$2:$B$200,0)),"")</f>
        <v>0</v>
      </c>
      <c r="J199" s="21">
        <f>IFERROR(INDEX('Input - Tesco'!I$2:I$200,MATCH('Calculations - Tesco'!$C199,'Input - Tesco'!$B$2:$B$200,0)),"")</f>
        <v>0</v>
      </c>
      <c r="K199" s="20">
        <f>IFERROR(INDEX('Input - Tesco'!J$2:J$200,MATCH('Calculations - Tesco'!$C199,'Input - Tesco'!$B$2:$B$200,0)),"")</f>
        <v>0</v>
      </c>
      <c r="L199" s="20">
        <f>IFERROR(INDEX('Input - Tesco'!K$2:K$200,MATCH('Calculations - Tesco'!$C199,'Input - Tesco'!$B$2:$B$200,0)),"")</f>
        <v>0</v>
      </c>
      <c r="M199" s="21" t="str">
        <f t="shared" si="128"/>
        <v/>
      </c>
      <c r="N199" s="21" t="str">
        <f t="shared" si="114"/>
        <v/>
      </c>
      <c r="O199" s="21">
        <f t="shared" si="129"/>
        <v>0</v>
      </c>
      <c r="P199" s="9">
        <f t="shared" si="143"/>
        <v>0</v>
      </c>
      <c r="Q199" s="9">
        <f t="shared" si="144"/>
        <v>0</v>
      </c>
      <c r="R199" s="22" t="str">
        <f>IFERROR(INDEX(Tesco!$Q$11:$Q$165,MATCH('Calculations - Tesco'!$C199,Tesco!$M$11:$M$165,0)),"")</f>
        <v/>
      </c>
      <c r="S199" s="22" t="str">
        <f>IFERROR(INDEX(Tesco!$R$11:$R$165,MATCH('Calculations - Tesco'!$C199,Tesco!$M$11:$M$165,0)),"")</f>
        <v/>
      </c>
      <c r="T199" s="16" t="e">
        <f t="shared" si="115"/>
        <v>#VALUE!</v>
      </c>
      <c r="U199" s="16" t="e">
        <f t="shared" si="130"/>
        <v>#VALUE!</v>
      </c>
      <c r="V199" s="16" t="e">
        <f t="shared" si="131"/>
        <v>#VALUE!</v>
      </c>
      <c r="W199" s="10" t="str">
        <f t="shared" si="116"/>
        <v>-</v>
      </c>
      <c r="X199" s="10" t="str">
        <f t="shared" si="117"/>
        <v>-</v>
      </c>
      <c r="Y199" s="13" t="str">
        <f t="shared" si="132"/>
        <v>-</v>
      </c>
      <c r="Z199" s="9" t="str">
        <f t="shared" si="118"/>
        <v>-</v>
      </c>
      <c r="AA199" s="16" t="str">
        <f t="shared" si="133"/>
        <v>-</v>
      </c>
      <c r="AB199" s="16" t="str">
        <f t="shared" si="119"/>
        <v>-</v>
      </c>
      <c r="AC199" s="16" t="str">
        <f t="shared" si="120"/>
        <v>-</v>
      </c>
      <c r="AD199" s="16" t="str">
        <f t="shared" si="134"/>
        <v>-</v>
      </c>
      <c r="AE199" s="16"/>
      <c r="AF199" s="31" t="str">
        <f>IFERROR(INDEX(Tesco!$P$11:$P$165,MATCH('Calculations - Tesco'!C199,Tesco!$M$11:$M$165,0)),"")</f>
        <v/>
      </c>
      <c r="AG199" s="23" t="str">
        <f t="shared" si="135"/>
        <v/>
      </c>
      <c r="AH199" s="23" t="str">
        <f t="shared" si="135"/>
        <v/>
      </c>
      <c r="AI199" s="9" t="str">
        <f t="shared" si="121"/>
        <v/>
      </c>
      <c r="AJ199" s="4" t="str">
        <f t="shared" si="122"/>
        <v/>
      </c>
      <c r="AK199" s="4"/>
      <c r="AL199" s="4"/>
      <c r="AM199" s="4"/>
      <c r="AN199" s="4"/>
      <c r="AO199" s="4"/>
      <c r="AP199" s="20" t="str">
        <f t="shared" si="123"/>
        <v>-</v>
      </c>
      <c r="AQ199" s="13" t="str">
        <f t="shared" si="136"/>
        <v>-</v>
      </c>
      <c r="AR199" s="13" t="str">
        <f t="shared" si="137"/>
        <v>-</v>
      </c>
      <c r="AS199" s="13" t="str">
        <f t="shared" si="124"/>
        <v>-</v>
      </c>
      <c r="AT199" s="16" t="str">
        <f t="shared" si="138"/>
        <v>-</v>
      </c>
      <c r="AU199" s="16" t="str">
        <f t="shared" si="125"/>
        <v>-</v>
      </c>
      <c r="AV199" s="16" t="str">
        <f t="shared" si="126"/>
        <v>-</v>
      </c>
      <c r="AW199" s="16" t="str">
        <f t="shared" si="139"/>
        <v>-</v>
      </c>
      <c r="AX199" s="13" t="str">
        <f t="shared" si="140"/>
        <v>-</v>
      </c>
      <c r="AY199" s="10" t="str">
        <f t="shared" si="141"/>
        <v>-</v>
      </c>
      <c r="AZ199" s="9" t="str">
        <f t="shared" si="142"/>
        <v>-</v>
      </c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</row>
    <row r="200" spans="2:68" x14ac:dyDescent="0.3">
      <c r="B200" s="108" t="str">
        <f t="shared" si="127"/>
        <v/>
      </c>
      <c r="C200" s="108" t="str">
        <f t="shared" si="113"/>
        <v/>
      </c>
      <c r="D200" s="3"/>
      <c r="E200" s="3"/>
      <c r="F200" s="3"/>
      <c r="G200" s="20">
        <f>IFERROR(INDEX('Input - Tesco'!F$2:F$200,MATCH('Calculations - Tesco'!$C200,'Input - Tesco'!$B$2:$B$200,0)),"")</f>
        <v>0</v>
      </c>
      <c r="H200" s="20">
        <f>IFERROR(INDEX('Input - Tesco'!G$2:G$200,MATCH('Calculations - Tesco'!$C200,'Input - Tesco'!$B$2:$B$200,0)),"")</f>
        <v>0</v>
      </c>
      <c r="I200" s="21">
        <f>IFERROR(INDEX('Input - Tesco'!H$2:H$200,MATCH('Calculations - Tesco'!$C200,'Input - Tesco'!$B$2:$B$200,0)),"")</f>
        <v>0</v>
      </c>
      <c r="J200" s="21">
        <f>IFERROR(INDEX('Input - Tesco'!I$2:I$200,MATCH('Calculations - Tesco'!$C200,'Input - Tesco'!$B$2:$B$200,0)),"")</f>
        <v>0</v>
      </c>
      <c r="K200" s="20">
        <f>IFERROR(INDEX('Input - Tesco'!J$2:J$200,MATCH('Calculations - Tesco'!$C200,'Input - Tesco'!$B$2:$B$200,0)),"")</f>
        <v>0</v>
      </c>
      <c r="L200" s="20">
        <f>IFERROR(INDEX('Input - Tesco'!K$2:K$200,MATCH('Calculations - Tesco'!$C200,'Input - Tesco'!$B$2:$B$200,0)),"")</f>
        <v>0</v>
      </c>
      <c r="M200" s="21" t="str">
        <f t="shared" si="128"/>
        <v/>
      </c>
      <c r="N200" s="21" t="str">
        <f t="shared" si="114"/>
        <v/>
      </c>
      <c r="O200" s="21">
        <f t="shared" si="129"/>
        <v>0</v>
      </c>
      <c r="P200" s="9">
        <f t="shared" si="143"/>
        <v>0</v>
      </c>
      <c r="Q200" s="9">
        <f t="shared" si="144"/>
        <v>0</v>
      </c>
      <c r="R200" s="22" t="str">
        <f>IFERROR(INDEX(Tesco!$Q$11:$Q$165,MATCH('Calculations - Tesco'!$C200,Tesco!$M$11:$M$165,0)),"")</f>
        <v/>
      </c>
      <c r="S200" s="22" t="str">
        <f>IFERROR(INDEX(Tesco!$R$11:$R$165,MATCH('Calculations - Tesco'!$C200,Tesco!$M$11:$M$165,0)),"")</f>
        <v/>
      </c>
      <c r="T200" s="16" t="e">
        <f t="shared" si="115"/>
        <v>#VALUE!</v>
      </c>
      <c r="U200" s="16" t="e">
        <f t="shared" si="130"/>
        <v>#VALUE!</v>
      </c>
      <c r="V200" s="16" t="e">
        <f t="shared" si="131"/>
        <v>#VALUE!</v>
      </c>
      <c r="W200" s="10" t="str">
        <f t="shared" si="116"/>
        <v>-</v>
      </c>
      <c r="X200" s="10" t="str">
        <f t="shared" si="117"/>
        <v>-</v>
      </c>
      <c r="Y200" s="13" t="str">
        <f t="shared" si="132"/>
        <v>-</v>
      </c>
      <c r="Z200" s="9" t="str">
        <f t="shared" si="118"/>
        <v>-</v>
      </c>
      <c r="AA200" s="16" t="str">
        <f t="shared" si="133"/>
        <v>-</v>
      </c>
      <c r="AB200" s="16" t="str">
        <f t="shared" si="119"/>
        <v>-</v>
      </c>
      <c r="AC200" s="16" t="str">
        <f t="shared" si="120"/>
        <v>-</v>
      </c>
      <c r="AD200" s="16" t="str">
        <f t="shared" si="134"/>
        <v>-</v>
      </c>
      <c r="AE200" s="16"/>
      <c r="AF200" s="31" t="str">
        <f>IFERROR(INDEX(Tesco!$P$11:$P$165,MATCH('Calculations - Tesco'!C200,Tesco!$M$11:$M$165,0)),"")</f>
        <v/>
      </c>
      <c r="AG200" s="23" t="str">
        <f t="shared" si="135"/>
        <v/>
      </c>
      <c r="AH200" s="23" t="str">
        <f t="shared" si="135"/>
        <v/>
      </c>
      <c r="AI200" s="9" t="str">
        <f t="shared" si="121"/>
        <v/>
      </c>
      <c r="AJ200" s="4" t="str">
        <f t="shared" si="122"/>
        <v/>
      </c>
      <c r="AK200" s="4"/>
      <c r="AL200" s="4"/>
      <c r="AM200" s="4"/>
      <c r="AN200" s="4"/>
      <c r="AO200" s="4"/>
      <c r="AP200" s="20" t="str">
        <f t="shared" si="123"/>
        <v>-</v>
      </c>
      <c r="AQ200" s="13" t="str">
        <f t="shared" si="136"/>
        <v>-</v>
      </c>
      <c r="AR200" s="13" t="str">
        <f t="shared" si="137"/>
        <v>-</v>
      </c>
      <c r="AS200" s="13" t="str">
        <f t="shared" si="124"/>
        <v>-</v>
      </c>
      <c r="AT200" s="16" t="str">
        <f t="shared" si="138"/>
        <v>-</v>
      </c>
      <c r="AU200" s="16" t="str">
        <f t="shared" si="125"/>
        <v>-</v>
      </c>
      <c r="AV200" s="16" t="str">
        <f t="shared" si="126"/>
        <v>-</v>
      </c>
      <c r="AW200" s="16" t="str">
        <f t="shared" si="139"/>
        <v>-</v>
      </c>
      <c r="AX200" s="13" t="str">
        <f t="shared" si="140"/>
        <v>-</v>
      </c>
      <c r="AY200" s="10" t="str">
        <f t="shared" si="141"/>
        <v>-</v>
      </c>
      <c r="AZ200" s="9" t="str">
        <f t="shared" si="142"/>
        <v>-</v>
      </c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</row>
    <row r="201" spans="2:68" x14ac:dyDescent="0.3">
      <c r="B201" s="108" t="str">
        <f t="shared" si="127"/>
        <v/>
      </c>
      <c r="C201" s="108" t="str">
        <f t="shared" si="113"/>
        <v/>
      </c>
      <c r="D201" s="3"/>
      <c r="E201" s="3"/>
      <c r="F201" s="3"/>
      <c r="G201" s="20">
        <f>IFERROR(INDEX('Input - Tesco'!F$2:F$200,MATCH('Calculations - Tesco'!$C201,'Input - Tesco'!$B$2:$B$200,0)),"")</f>
        <v>0</v>
      </c>
      <c r="H201" s="20">
        <f>IFERROR(INDEX('Input - Tesco'!G$2:G$200,MATCH('Calculations - Tesco'!$C201,'Input - Tesco'!$B$2:$B$200,0)),"")</f>
        <v>0</v>
      </c>
      <c r="I201" s="21">
        <f>IFERROR(INDEX('Input - Tesco'!H$2:H$200,MATCH('Calculations - Tesco'!$C201,'Input - Tesco'!$B$2:$B$200,0)),"")</f>
        <v>0</v>
      </c>
      <c r="J201" s="21">
        <f>IFERROR(INDEX('Input - Tesco'!I$2:I$200,MATCH('Calculations - Tesco'!$C201,'Input - Tesco'!$B$2:$B$200,0)),"")</f>
        <v>0</v>
      </c>
      <c r="K201" s="20">
        <f>IFERROR(INDEX('Input - Tesco'!J$2:J$200,MATCH('Calculations - Tesco'!$C201,'Input - Tesco'!$B$2:$B$200,0)),"")</f>
        <v>0</v>
      </c>
      <c r="L201" s="20">
        <f>IFERROR(INDEX('Input - Tesco'!K$2:K$200,MATCH('Calculations - Tesco'!$C201,'Input - Tesco'!$B$2:$B$200,0)),"")</f>
        <v>0</v>
      </c>
      <c r="M201" s="21" t="str">
        <f t="shared" si="128"/>
        <v/>
      </c>
      <c r="N201" s="21" t="str">
        <f t="shared" si="114"/>
        <v/>
      </c>
      <c r="O201" s="21">
        <f t="shared" si="129"/>
        <v>0</v>
      </c>
      <c r="P201" s="9">
        <f t="shared" si="143"/>
        <v>0</v>
      </c>
      <c r="Q201" s="9">
        <f t="shared" si="144"/>
        <v>0</v>
      </c>
      <c r="R201" s="22" t="str">
        <f>IFERROR(INDEX(Tesco!$Q$11:$Q$165,MATCH('Calculations - Tesco'!$C201,Tesco!$M$11:$M$165,0)),"")</f>
        <v/>
      </c>
      <c r="S201" s="22" t="str">
        <f>IFERROR(INDEX(Tesco!$R$11:$R$165,MATCH('Calculations - Tesco'!$C201,Tesco!$M$11:$M$165,0)),"")</f>
        <v/>
      </c>
      <c r="T201" s="16" t="e">
        <f t="shared" si="115"/>
        <v>#VALUE!</v>
      </c>
      <c r="U201" s="16" t="e">
        <f t="shared" si="130"/>
        <v>#VALUE!</v>
      </c>
      <c r="V201" s="16" t="e">
        <f t="shared" si="131"/>
        <v>#VALUE!</v>
      </c>
      <c r="W201" s="10" t="str">
        <f t="shared" si="116"/>
        <v>-</v>
      </c>
      <c r="X201" s="10" t="str">
        <f t="shared" si="117"/>
        <v>-</v>
      </c>
      <c r="Y201" s="13" t="str">
        <f t="shared" si="132"/>
        <v>-</v>
      </c>
      <c r="Z201" s="9" t="str">
        <f t="shared" si="118"/>
        <v>-</v>
      </c>
      <c r="AA201" s="16" t="str">
        <f t="shared" si="133"/>
        <v>-</v>
      </c>
      <c r="AB201" s="16" t="str">
        <f t="shared" si="119"/>
        <v>-</v>
      </c>
      <c r="AC201" s="16" t="str">
        <f t="shared" si="120"/>
        <v>-</v>
      </c>
      <c r="AD201" s="16" t="str">
        <f t="shared" si="134"/>
        <v>-</v>
      </c>
      <c r="AE201" s="16"/>
      <c r="AF201" s="31" t="str">
        <f>IFERROR(INDEX(Tesco!$P$11:$P$165,MATCH('Calculations - Tesco'!C201,Tesco!$M$11:$M$165,0)),"")</f>
        <v/>
      </c>
      <c r="AG201" s="23" t="str">
        <f t="shared" si="135"/>
        <v/>
      </c>
      <c r="AH201" s="23" t="str">
        <f t="shared" si="135"/>
        <v/>
      </c>
      <c r="AI201" s="9" t="str">
        <f t="shared" si="121"/>
        <v/>
      </c>
      <c r="AJ201" s="4" t="str">
        <f t="shared" si="122"/>
        <v/>
      </c>
      <c r="AK201" s="4"/>
      <c r="AL201" s="4"/>
      <c r="AM201" s="4"/>
      <c r="AN201" s="4"/>
      <c r="AO201" s="4"/>
      <c r="AP201" s="20" t="str">
        <f t="shared" si="123"/>
        <v>-</v>
      </c>
      <c r="AQ201" s="13" t="str">
        <f t="shared" si="136"/>
        <v>-</v>
      </c>
      <c r="AR201" s="13" t="str">
        <f t="shared" si="137"/>
        <v>-</v>
      </c>
      <c r="AS201" s="13" t="str">
        <f t="shared" si="124"/>
        <v>-</v>
      </c>
      <c r="AT201" s="16" t="str">
        <f t="shared" si="138"/>
        <v>-</v>
      </c>
      <c r="AU201" s="16" t="str">
        <f t="shared" si="125"/>
        <v>-</v>
      </c>
      <c r="AV201" s="16" t="str">
        <f t="shared" si="126"/>
        <v>-</v>
      </c>
      <c r="AW201" s="16" t="str">
        <f t="shared" si="139"/>
        <v>-</v>
      </c>
      <c r="AX201" s="13" t="str">
        <f t="shared" si="140"/>
        <v>-</v>
      </c>
      <c r="AY201" s="10" t="str">
        <f t="shared" si="141"/>
        <v>-</v>
      </c>
      <c r="AZ201" s="9" t="str">
        <f t="shared" si="142"/>
        <v>-</v>
      </c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</row>
    <row r="202" spans="2:68" x14ac:dyDescent="0.3">
      <c r="B202" s="108" t="str">
        <f t="shared" si="127"/>
        <v/>
      </c>
      <c r="C202" s="108" t="str">
        <f t="shared" si="113"/>
        <v/>
      </c>
      <c r="D202" s="3"/>
      <c r="E202" s="3"/>
      <c r="F202" s="3"/>
      <c r="G202" s="20">
        <f>IFERROR(INDEX('Input - Tesco'!F$2:F$200,MATCH('Calculations - Tesco'!$C202,'Input - Tesco'!$B$2:$B$200,0)),"")</f>
        <v>0</v>
      </c>
      <c r="H202" s="20">
        <f>IFERROR(INDEX('Input - Tesco'!G$2:G$200,MATCH('Calculations - Tesco'!$C202,'Input - Tesco'!$B$2:$B$200,0)),"")</f>
        <v>0</v>
      </c>
      <c r="I202" s="21">
        <f>IFERROR(INDEX('Input - Tesco'!H$2:H$200,MATCH('Calculations - Tesco'!$C202,'Input - Tesco'!$B$2:$B$200,0)),"")</f>
        <v>0</v>
      </c>
      <c r="J202" s="21">
        <f>IFERROR(INDEX('Input - Tesco'!I$2:I$200,MATCH('Calculations - Tesco'!$C202,'Input - Tesco'!$B$2:$B$200,0)),"")</f>
        <v>0</v>
      </c>
      <c r="K202" s="20">
        <f>IFERROR(INDEX('Input - Tesco'!J$2:J$200,MATCH('Calculations - Tesco'!$C202,'Input - Tesco'!$B$2:$B$200,0)),"")</f>
        <v>0</v>
      </c>
      <c r="L202" s="20">
        <f>IFERROR(INDEX('Input - Tesco'!K$2:K$200,MATCH('Calculations - Tesco'!$C202,'Input - Tesco'!$B$2:$B$200,0)),"")</f>
        <v>0</v>
      </c>
      <c r="M202" s="21" t="str">
        <f t="shared" si="128"/>
        <v/>
      </c>
      <c r="N202" s="21" t="str">
        <f t="shared" si="114"/>
        <v/>
      </c>
      <c r="O202" s="21">
        <f t="shared" si="129"/>
        <v>0</v>
      </c>
      <c r="P202" s="9">
        <f t="shared" si="143"/>
        <v>0</v>
      </c>
      <c r="Q202" s="9">
        <f t="shared" si="144"/>
        <v>0</v>
      </c>
      <c r="R202" s="22" t="str">
        <f>IFERROR(INDEX(Tesco!$Q$11:$Q$165,MATCH('Calculations - Tesco'!$C202,Tesco!$M$11:$M$165,0)),"")</f>
        <v/>
      </c>
      <c r="S202" s="22" t="str">
        <f>IFERROR(INDEX(Tesco!$R$11:$R$165,MATCH('Calculations - Tesco'!$C202,Tesco!$M$11:$M$165,0)),"")</f>
        <v/>
      </c>
      <c r="T202" s="16" t="e">
        <f t="shared" si="115"/>
        <v>#VALUE!</v>
      </c>
      <c r="U202" s="16" t="e">
        <f t="shared" si="130"/>
        <v>#VALUE!</v>
      </c>
      <c r="V202" s="16" t="e">
        <f t="shared" si="131"/>
        <v>#VALUE!</v>
      </c>
      <c r="W202" s="10" t="str">
        <f t="shared" si="116"/>
        <v>-</v>
      </c>
      <c r="X202" s="10" t="str">
        <f t="shared" si="117"/>
        <v>-</v>
      </c>
      <c r="Y202" s="13" t="str">
        <f t="shared" si="132"/>
        <v>-</v>
      </c>
      <c r="Z202" s="9" t="str">
        <f t="shared" si="118"/>
        <v>-</v>
      </c>
      <c r="AA202" s="16" t="str">
        <f t="shared" si="133"/>
        <v>-</v>
      </c>
      <c r="AB202" s="16" t="str">
        <f t="shared" si="119"/>
        <v>-</v>
      </c>
      <c r="AC202" s="16" t="str">
        <f t="shared" si="120"/>
        <v>-</v>
      </c>
      <c r="AD202" s="16" t="str">
        <f t="shared" si="134"/>
        <v>-</v>
      </c>
      <c r="AE202" s="16"/>
      <c r="AF202" s="31" t="str">
        <f>IFERROR(INDEX(Tesco!$P$11:$P$165,MATCH('Calculations - Tesco'!C202,Tesco!$M$11:$M$165,0)),"")</f>
        <v/>
      </c>
      <c r="AG202" s="23" t="str">
        <f t="shared" si="135"/>
        <v/>
      </c>
      <c r="AH202" s="23" t="str">
        <f t="shared" si="135"/>
        <v/>
      </c>
      <c r="AI202" s="9" t="str">
        <f t="shared" si="121"/>
        <v/>
      </c>
      <c r="AJ202" s="4" t="str">
        <f t="shared" si="122"/>
        <v/>
      </c>
      <c r="AK202" s="4"/>
      <c r="AL202" s="4"/>
      <c r="AM202" s="4"/>
      <c r="AN202" s="4"/>
      <c r="AO202" s="4"/>
      <c r="AP202" s="20" t="str">
        <f t="shared" si="123"/>
        <v>-</v>
      </c>
      <c r="AQ202" s="13" t="str">
        <f t="shared" si="136"/>
        <v>-</v>
      </c>
      <c r="AR202" s="13" t="str">
        <f t="shared" si="137"/>
        <v>-</v>
      </c>
      <c r="AS202" s="13" t="str">
        <f t="shared" si="124"/>
        <v>-</v>
      </c>
      <c r="AT202" s="16" t="str">
        <f t="shared" si="138"/>
        <v>-</v>
      </c>
      <c r="AU202" s="16" t="str">
        <f t="shared" si="125"/>
        <v>-</v>
      </c>
      <c r="AV202" s="16" t="str">
        <f t="shared" si="126"/>
        <v>-</v>
      </c>
      <c r="AW202" s="16" t="str">
        <f t="shared" si="139"/>
        <v>-</v>
      </c>
      <c r="AX202" s="13" t="str">
        <f t="shared" si="140"/>
        <v>-</v>
      </c>
      <c r="AY202" s="10" t="str">
        <f t="shared" si="141"/>
        <v>-</v>
      </c>
      <c r="AZ202" s="9" t="str">
        <f t="shared" si="142"/>
        <v>-</v>
      </c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</row>
    <row r="203" spans="2:68" x14ac:dyDescent="0.3">
      <c r="B203" s="108" t="str">
        <f t="shared" si="127"/>
        <v/>
      </c>
      <c r="C203" s="108" t="str">
        <f t="shared" si="113"/>
        <v/>
      </c>
      <c r="D203" s="3"/>
      <c r="E203" s="3"/>
      <c r="F203" s="3"/>
      <c r="G203" s="20">
        <f>IFERROR(INDEX('Input - Tesco'!F$2:F$200,MATCH('Calculations - Tesco'!$C203,'Input - Tesco'!$B$2:$B$200,0)),"")</f>
        <v>0</v>
      </c>
      <c r="H203" s="20">
        <f>IFERROR(INDEX('Input - Tesco'!G$2:G$200,MATCH('Calculations - Tesco'!$C203,'Input - Tesco'!$B$2:$B$200,0)),"")</f>
        <v>0</v>
      </c>
      <c r="I203" s="21">
        <f>IFERROR(INDEX('Input - Tesco'!H$2:H$200,MATCH('Calculations - Tesco'!$C203,'Input - Tesco'!$B$2:$B$200,0)),"")</f>
        <v>0</v>
      </c>
      <c r="J203" s="21">
        <f>IFERROR(INDEX('Input - Tesco'!I$2:I$200,MATCH('Calculations - Tesco'!$C203,'Input - Tesco'!$B$2:$B$200,0)),"")</f>
        <v>0</v>
      </c>
      <c r="K203" s="20">
        <f>IFERROR(INDEX('Input - Tesco'!J$2:J$200,MATCH('Calculations - Tesco'!$C203,'Input - Tesco'!$B$2:$B$200,0)),"")</f>
        <v>0</v>
      </c>
      <c r="L203" s="20">
        <f>IFERROR(INDEX('Input - Tesco'!K$2:K$200,MATCH('Calculations - Tesco'!$C203,'Input - Tesco'!$B$2:$B$200,0)),"")</f>
        <v>0</v>
      </c>
      <c r="M203" s="21" t="str">
        <f t="shared" si="128"/>
        <v/>
      </c>
      <c r="N203" s="21" t="str">
        <f t="shared" si="114"/>
        <v/>
      </c>
      <c r="O203" s="21">
        <f t="shared" si="129"/>
        <v>0</v>
      </c>
      <c r="P203" s="9">
        <f t="shared" si="143"/>
        <v>0</v>
      </c>
      <c r="Q203" s="9">
        <f t="shared" si="144"/>
        <v>0</v>
      </c>
      <c r="R203" s="22" t="str">
        <f>IFERROR(INDEX(Tesco!$Q$11:$Q$165,MATCH('Calculations - Tesco'!$C203,Tesco!$M$11:$M$165,0)),"")</f>
        <v/>
      </c>
      <c r="S203" s="22" t="str">
        <f>IFERROR(INDEX(Tesco!$R$11:$R$165,MATCH('Calculations - Tesco'!$C203,Tesco!$M$11:$M$165,0)),"")</f>
        <v/>
      </c>
      <c r="T203" s="16" t="e">
        <f t="shared" si="115"/>
        <v>#VALUE!</v>
      </c>
      <c r="U203" s="16" t="e">
        <f t="shared" si="130"/>
        <v>#VALUE!</v>
      </c>
      <c r="V203" s="16" t="e">
        <f t="shared" si="131"/>
        <v>#VALUE!</v>
      </c>
      <c r="W203" s="10" t="str">
        <f t="shared" si="116"/>
        <v>-</v>
      </c>
      <c r="X203" s="10" t="str">
        <f t="shared" si="117"/>
        <v>-</v>
      </c>
      <c r="Y203" s="13" t="str">
        <f t="shared" si="132"/>
        <v>-</v>
      </c>
      <c r="Z203" s="9" t="str">
        <f t="shared" si="118"/>
        <v>-</v>
      </c>
      <c r="AA203" s="16" t="str">
        <f t="shared" si="133"/>
        <v>-</v>
      </c>
      <c r="AB203" s="16" t="str">
        <f t="shared" si="119"/>
        <v>-</v>
      </c>
      <c r="AC203" s="16" t="str">
        <f t="shared" si="120"/>
        <v>-</v>
      </c>
      <c r="AD203" s="16" t="str">
        <f t="shared" si="134"/>
        <v>-</v>
      </c>
      <c r="AE203" s="16"/>
      <c r="AF203" s="31" t="str">
        <f>IFERROR(INDEX(Tesco!$P$11:$P$165,MATCH('Calculations - Tesco'!C203,Tesco!$M$11:$M$165,0)),"")</f>
        <v/>
      </c>
      <c r="AG203" s="23" t="str">
        <f t="shared" si="135"/>
        <v/>
      </c>
      <c r="AH203" s="23" t="str">
        <f t="shared" si="135"/>
        <v/>
      </c>
      <c r="AI203" s="9" t="str">
        <f t="shared" si="121"/>
        <v/>
      </c>
      <c r="AJ203" s="4" t="str">
        <f t="shared" si="122"/>
        <v/>
      </c>
      <c r="AK203" s="4"/>
      <c r="AL203" s="4"/>
      <c r="AM203" s="4"/>
      <c r="AN203" s="4"/>
      <c r="AO203" s="4"/>
      <c r="AP203" s="20" t="str">
        <f t="shared" si="123"/>
        <v>-</v>
      </c>
      <c r="AQ203" s="13" t="str">
        <f t="shared" si="136"/>
        <v>-</v>
      </c>
      <c r="AR203" s="13" t="str">
        <f t="shared" si="137"/>
        <v>-</v>
      </c>
      <c r="AS203" s="13" t="str">
        <f t="shared" si="124"/>
        <v>-</v>
      </c>
      <c r="AT203" s="16" t="str">
        <f t="shared" si="138"/>
        <v>-</v>
      </c>
      <c r="AU203" s="16" t="str">
        <f t="shared" si="125"/>
        <v>-</v>
      </c>
      <c r="AV203" s="16" t="str">
        <f t="shared" si="126"/>
        <v>-</v>
      </c>
      <c r="AW203" s="16" t="str">
        <f t="shared" si="139"/>
        <v>-</v>
      </c>
      <c r="AX203" s="13" t="str">
        <f t="shared" si="140"/>
        <v>-</v>
      </c>
      <c r="AY203" s="10" t="str">
        <f t="shared" si="141"/>
        <v>-</v>
      </c>
      <c r="AZ203" s="9" t="str">
        <f t="shared" si="142"/>
        <v>-</v>
      </c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</row>
    <row r="204" spans="2:68" x14ac:dyDescent="0.3">
      <c r="B204" s="108" t="str">
        <f t="shared" si="127"/>
        <v/>
      </c>
      <c r="C204" s="108" t="str">
        <f t="shared" si="113"/>
        <v/>
      </c>
      <c r="D204" s="3"/>
      <c r="E204" s="3"/>
      <c r="F204" s="3"/>
      <c r="G204" s="20">
        <f>IFERROR(INDEX('Input - Tesco'!F$2:F$200,MATCH('Calculations - Tesco'!$C204,'Input - Tesco'!$B$2:$B$200,0)),"")</f>
        <v>0</v>
      </c>
      <c r="H204" s="20">
        <f>IFERROR(INDEX('Input - Tesco'!G$2:G$200,MATCH('Calculations - Tesco'!$C204,'Input - Tesco'!$B$2:$B$200,0)),"")</f>
        <v>0</v>
      </c>
      <c r="I204" s="21">
        <f>IFERROR(INDEX('Input - Tesco'!H$2:H$200,MATCH('Calculations - Tesco'!$C204,'Input - Tesco'!$B$2:$B$200,0)),"")</f>
        <v>0</v>
      </c>
      <c r="J204" s="21">
        <f>IFERROR(INDEX('Input - Tesco'!I$2:I$200,MATCH('Calculations - Tesco'!$C204,'Input - Tesco'!$B$2:$B$200,0)),"")</f>
        <v>0</v>
      </c>
      <c r="K204" s="20">
        <f>IFERROR(INDEX('Input - Tesco'!J$2:J$200,MATCH('Calculations - Tesco'!$C204,'Input - Tesco'!$B$2:$B$200,0)),"")</f>
        <v>0</v>
      </c>
      <c r="L204" s="20">
        <f>IFERROR(INDEX('Input - Tesco'!K$2:K$200,MATCH('Calculations - Tesco'!$C204,'Input - Tesco'!$B$2:$B$200,0)),"")</f>
        <v>0</v>
      </c>
      <c r="M204" s="21" t="str">
        <f t="shared" si="128"/>
        <v/>
      </c>
      <c r="N204" s="21" t="str">
        <f t="shared" si="114"/>
        <v/>
      </c>
      <c r="O204" s="21">
        <f t="shared" si="129"/>
        <v>0</v>
      </c>
      <c r="P204" s="9">
        <f t="shared" si="143"/>
        <v>0</v>
      </c>
      <c r="Q204" s="9">
        <f t="shared" si="144"/>
        <v>0</v>
      </c>
      <c r="R204" s="22" t="str">
        <f>IFERROR(INDEX(Tesco!$Q$11:$Q$165,MATCH('Calculations - Tesco'!$C204,Tesco!$M$11:$M$165,0)),"")</f>
        <v/>
      </c>
      <c r="S204" s="22" t="str">
        <f>IFERROR(INDEX(Tesco!$R$11:$R$165,MATCH('Calculations - Tesco'!$C204,Tesco!$M$11:$M$165,0)),"")</f>
        <v/>
      </c>
      <c r="T204" s="16" t="e">
        <f t="shared" si="115"/>
        <v>#VALUE!</v>
      </c>
      <c r="U204" s="16" t="e">
        <f t="shared" si="130"/>
        <v>#VALUE!</v>
      </c>
      <c r="V204" s="16" t="e">
        <f t="shared" si="131"/>
        <v>#VALUE!</v>
      </c>
      <c r="W204" s="10" t="str">
        <f t="shared" si="116"/>
        <v>-</v>
      </c>
      <c r="X204" s="10" t="str">
        <f t="shared" si="117"/>
        <v>-</v>
      </c>
      <c r="Y204" s="13" t="str">
        <f t="shared" si="132"/>
        <v>-</v>
      </c>
      <c r="Z204" s="9" t="str">
        <f t="shared" si="118"/>
        <v>-</v>
      </c>
      <c r="AA204" s="16" t="str">
        <f t="shared" si="133"/>
        <v>-</v>
      </c>
      <c r="AB204" s="16" t="str">
        <f t="shared" si="119"/>
        <v>-</v>
      </c>
      <c r="AC204" s="16" t="str">
        <f t="shared" si="120"/>
        <v>-</v>
      </c>
      <c r="AD204" s="16" t="str">
        <f t="shared" si="134"/>
        <v>-</v>
      </c>
      <c r="AE204" s="16"/>
      <c r="AF204" s="31" t="str">
        <f>IFERROR(INDEX(Tesco!$P$11:$P$165,MATCH('Calculations - Tesco'!C204,Tesco!$M$11:$M$165,0)),"")</f>
        <v/>
      </c>
      <c r="AG204" s="23" t="str">
        <f t="shared" si="135"/>
        <v/>
      </c>
      <c r="AH204" s="23" t="str">
        <f t="shared" si="135"/>
        <v/>
      </c>
      <c r="AI204" s="9" t="str">
        <f t="shared" si="121"/>
        <v/>
      </c>
      <c r="AJ204" s="4" t="str">
        <f t="shared" si="122"/>
        <v/>
      </c>
      <c r="AK204" s="4"/>
      <c r="AL204" s="4"/>
      <c r="AM204" s="4"/>
      <c r="AN204" s="4"/>
      <c r="AO204" s="4"/>
      <c r="AP204" s="20" t="str">
        <f t="shared" si="123"/>
        <v>-</v>
      </c>
      <c r="AQ204" s="13" t="str">
        <f t="shared" si="136"/>
        <v>-</v>
      </c>
      <c r="AR204" s="13" t="str">
        <f t="shared" si="137"/>
        <v>-</v>
      </c>
      <c r="AS204" s="13" t="str">
        <f t="shared" si="124"/>
        <v>-</v>
      </c>
      <c r="AT204" s="16" t="str">
        <f t="shared" si="138"/>
        <v>-</v>
      </c>
      <c r="AU204" s="16" t="str">
        <f t="shared" si="125"/>
        <v>-</v>
      </c>
      <c r="AV204" s="16" t="str">
        <f t="shared" si="126"/>
        <v>-</v>
      </c>
      <c r="AW204" s="16" t="str">
        <f t="shared" si="139"/>
        <v>-</v>
      </c>
      <c r="AX204" s="13" t="str">
        <f t="shared" si="140"/>
        <v>-</v>
      </c>
      <c r="AY204" s="10" t="str">
        <f t="shared" si="141"/>
        <v>-</v>
      </c>
      <c r="AZ204" s="9" t="str">
        <f t="shared" si="142"/>
        <v>-</v>
      </c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</row>
    <row r="205" spans="2:68" x14ac:dyDescent="0.3">
      <c r="B205" s="108" t="str">
        <f t="shared" si="127"/>
        <v/>
      </c>
      <c r="C205" s="108" t="str">
        <f t="shared" si="113"/>
        <v/>
      </c>
      <c r="D205" s="3"/>
      <c r="E205" s="3"/>
      <c r="F205" s="3"/>
      <c r="G205" s="20">
        <f>IFERROR(INDEX('Input - Tesco'!F$2:F$200,MATCH('Calculations - Tesco'!$C205,'Input - Tesco'!$B$2:$B$200,0)),"")</f>
        <v>0</v>
      </c>
      <c r="H205" s="20">
        <f>IFERROR(INDEX('Input - Tesco'!G$2:G$200,MATCH('Calculations - Tesco'!$C205,'Input - Tesco'!$B$2:$B$200,0)),"")</f>
        <v>0</v>
      </c>
      <c r="I205" s="21">
        <f>IFERROR(INDEX('Input - Tesco'!H$2:H$200,MATCH('Calculations - Tesco'!$C205,'Input - Tesco'!$B$2:$B$200,0)),"")</f>
        <v>0</v>
      </c>
      <c r="J205" s="21">
        <f>IFERROR(INDEX('Input - Tesco'!I$2:I$200,MATCH('Calculations - Tesco'!$C205,'Input - Tesco'!$B$2:$B$200,0)),"")</f>
        <v>0</v>
      </c>
      <c r="K205" s="20">
        <f>IFERROR(INDEX('Input - Tesco'!J$2:J$200,MATCH('Calculations - Tesco'!$C205,'Input - Tesco'!$B$2:$B$200,0)),"")</f>
        <v>0</v>
      </c>
      <c r="L205" s="20">
        <f>IFERROR(INDEX('Input - Tesco'!K$2:K$200,MATCH('Calculations - Tesco'!$C205,'Input - Tesco'!$B$2:$B$200,0)),"")</f>
        <v>0</v>
      </c>
      <c r="M205" s="21" t="str">
        <f t="shared" si="128"/>
        <v/>
      </c>
      <c r="N205" s="21" t="str">
        <f t="shared" si="114"/>
        <v/>
      </c>
      <c r="O205" s="21">
        <f t="shared" si="129"/>
        <v>0</v>
      </c>
      <c r="P205" s="9">
        <f t="shared" si="143"/>
        <v>0</v>
      </c>
      <c r="Q205" s="9">
        <f t="shared" si="144"/>
        <v>0</v>
      </c>
      <c r="R205" s="22" t="str">
        <f>IFERROR(INDEX(Tesco!$Q$11:$Q$165,MATCH('Calculations - Tesco'!$C205,Tesco!$M$11:$M$165,0)),"")</f>
        <v/>
      </c>
      <c r="S205" s="22" t="str">
        <f>IFERROR(INDEX(Tesco!$R$11:$R$165,MATCH('Calculations - Tesco'!$C205,Tesco!$M$11:$M$165,0)),"")</f>
        <v/>
      </c>
      <c r="T205" s="16" t="e">
        <f t="shared" si="115"/>
        <v>#VALUE!</v>
      </c>
      <c r="U205" s="16" t="e">
        <f t="shared" si="130"/>
        <v>#VALUE!</v>
      </c>
      <c r="V205" s="16" t="e">
        <f t="shared" si="131"/>
        <v>#VALUE!</v>
      </c>
      <c r="W205" s="10" t="str">
        <f t="shared" si="116"/>
        <v>-</v>
      </c>
      <c r="X205" s="10" t="str">
        <f t="shared" si="117"/>
        <v>-</v>
      </c>
      <c r="Y205" s="13" t="str">
        <f t="shared" si="132"/>
        <v>-</v>
      </c>
      <c r="Z205" s="9" t="str">
        <f t="shared" si="118"/>
        <v>-</v>
      </c>
      <c r="AA205" s="16" t="str">
        <f t="shared" si="133"/>
        <v>-</v>
      </c>
      <c r="AB205" s="16" t="str">
        <f t="shared" si="119"/>
        <v>-</v>
      </c>
      <c r="AC205" s="16" t="str">
        <f t="shared" si="120"/>
        <v>-</v>
      </c>
      <c r="AD205" s="16" t="str">
        <f t="shared" si="134"/>
        <v>-</v>
      </c>
      <c r="AE205" s="16"/>
      <c r="AF205" s="31" t="str">
        <f>IFERROR(INDEX(Tesco!$P$11:$P$165,MATCH('Calculations - Tesco'!C205,Tesco!$M$11:$M$165,0)),"")</f>
        <v/>
      </c>
      <c r="AG205" s="23" t="str">
        <f t="shared" si="135"/>
        <v/>
      </c>
      <c r="AH205" s="23" t="str">
        <f t="shared" si="135"/>
        <v/>
      </c>
      <c r="AI205" s="9" t="str">
        <f t="shared" si="121"/>
        <v/>
      </c>
      <c r="AJ205" s="4" t="str">
        <f t="shared" si="122"/>
        <v/>
      </c>
      <c r="AK205" s="4"/>
      <c r="AL205" s="4"/>
      <c r="AM205" s="4"/>
      <c r="AN205" s="4"/>
      <c r="AO205" s="4"/>
      <c r="AP205" s="20" t="str">
        <f t="shared" si="123"/>
        <v>-</v>
      </c>
      <c r="AQ205" s="13" t="str">
        <f t="shared" si="136"/>
        <v>-</v>
      </c>
      <c r="AR205" s="13" t="str">
        <f t="shared" si="137"/>
        <v>-</v>
      </c>
      <c r="AS205" s="13" t="str">
        <f t="shared" si="124"/>
        <v>-</v>
      </c>
      <c r="AT205" s="16" t="str">
        <f t="shared" si="138"/>
        <v>-</v>
      </c>
      <c r="AU205" s="16" t="str">
        <f t="shared" si="125"/>
        <v>-</v>
      </c>
      <c r="AV205" s="16" t="str">
        <f t="shared" si="126"/>
        <v>-</v>
      </c>
      <c r="AW205" s="16" t="str">
        <f t="shared" si="139"/>
        <v>-</v>
      </c>
      <c r="AX205" s="13" t="str">
        <f t="shared" si="140"/>
        <v>-</v>
      </c>
      <c r="AY205" s="10" t="str">
        <f t="shared" si="141"/>
        <v>-</v>
      </c>
      <c r="AZ205" s="9" t="str">
        <f t="shared" si="142"/>
        <v>-</v>
      </c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</row>
    <row r="206" spans="2:68" x14ac:dyDescent="0.3">
      <c r="B206" s="108" t="str">
        <f t="shared" si="127"/>
        <v/>
      </c>
      <c r="C206" s="108" t="str">
        <f t="shared" si="113"/>
        <v/>
      </c>
      <c r="D206" s="3"/>
      <c r="E206" s="3"/>
      <c r="F206" s="3"/>
      <c r="G206" s="20">
        <f>IFERROR(INDEX('Input - Tesco'!F$2:F$200,MATCH('Calculations - Tesco'!$C206,'Input - Tesco'!$B$2:$B$200,0)),"")</f>
        <v>0</v>
      </c>
      <c r="H206" s="20">
        <f>IFERROR(INDEX('Input - Tesco'!G$2:G$200,MATCH('Calculations - Tesco'!$C206,'Input - Tesco'!$B$2:$B$200,0)),"")</f>
        <v>0</v>
      </c>
      <c r="I206" s="21">
        <f>IFERROR(INDEX('Input - Tesco'!H$2:H$200,MATCH('Calculations - Tesco'!$C206,'Input - Tesco'!$B$2:$B$200,0)),"")</f>
        <v>0</v>
      </c>
      <c r="J206" s="21">
        <f>IFERROR(INDEX('Input - Tesco'!I$2:I$200,MATCH('Calculations - Tesco'!$C206,'Input - Tesco'!$B$2:$B$200,0)),"")</f>
        <v>0</v>
      </c>
      <c r="K206" s="20">
        <f>IFERROR(INDEX('Input - Tesco'!J$2:J$200,MATCH('Calculations - Tesco'!$C206,'Input - Tesco'!$B$2:$B$200,0)),"")</f>
        <v>0</v>
      </c>
      <c r="L206" s="20">
        <f>IFERROR(INDEX('Input - Tesco'!K$2:K$200,MATCH('Calculations - Tesco'!$C206,'Input - Tesco'!$B$2:$B$200,0)),"")</f>
        <v>0</v>
      </c>
      <c r="M206" s="21" t="str">
        <f t="shared" si="128"/>
        <v/>
      </c>
      <c r="N206" s="21" t="str">
        <f t="shared" si="114"/>
        <v/>
      </c>
      <c r="O206" s="21">
        <f t="shared" si="129"/>
        <v>0</v>
      </c>
      <c r="P206" s="9">
        <f t="shared" si="143"/>
        <v>0</v>
      </c>
      <c r="Q206" s="9">
        <f t="shared" si="144"/>
        <v>0</v>
      </c>
      <c r="R206" s="22" t="str">
        <f>IFERROR(INDEX(Tesco!$Q$11:$Q$165,MATCH('Calculations - Tesco'!$C206,Tesco!$M$11:$M$165,0)),"")</f>
        <v/>
      </c>
      <c r="S206" s="22" t="str">
        <f>IFERROR(INDEX(Tesco!$R$11:$R$165,MATCH('Calculations - Tesco'!$C206,Tesco!$M$11:$M$165,0)),"")</f>
        <v/>
      </c>
      <c r="T206" s="16" t="e">
        <f t="shared" si="115"/>
        <v>#VALUE!</v>
      </c>
      <c r="U206" s="16" t="e">
        <f t="shared" si="130"/>
        <v>#VALUE!</v>
      </c>
      <c r="V206" s="16" t="e">
        <f t="shared" si="131"/>
        <v>#VALUE!</v>
      </c>
      <c r="W206" s="10" t="str">
        <f t="shared" si="116"/>
        <v>-</v>
      </c>
      <c r="X206" s="10" t="str">
        <f t="shared" si="117"/>
        <v>-</v>
      </c>
      <c r="Y206" s="13" t="str">
        <f t="shared" si="132"/>
        <v>-</v>
      </c>
      <c r="Z206" s="9" t="str">
        <f t="shared" si="118"/>
        <v>-</v>
      </c>
      <c r="AA206" s="16" t="str">
        <f t="shared" si="133"/>
        <v>-</v>
      </c>
      <c r="AB206" s="16" t="str">
        <f t="shared" si="119"/>
        <v>-</v>
      </c>
      <c r="AC206" s="16" t="str">
        <f t="shared" si="120"/>
        <v>-</v>
      </c>
      <c r="AD206" s="16" t="str">
        <f t="shared" si="134"/>
        <v>-</v>
      </c>
      <c r="AE206" s="16"/>
      <c r="AF206" s="31" t="str">
        <f>IFERROR(INDEX(Tesco!$P$11:$P$165,MATCH('Calculations - Tesco'!C206,Tesco!$M$11:$M$165,0)),"")</f>
        <v/>
      </c>
      <c r="AG206" s="23" t="str">
        <f t="shared" si="135"/>
        <v/>
      </c>
      <c r="AH206" s="23" t="str">
        <f t="shared" si="135"/>
        <v/>
      </c>
      <c r="AI206" s="9" t="str">
        <f t="shared" si="121"/>
        <v/>
      </c>
      <c r="AJ206" s="4" t="str">
        <f t="shared" si="122"/>
        <v/>
      </c>
      <c r="AK206" s="4"/>
      <c r="AL206" s="4"/>
      <c r="AM206" s="4"/>
      <c r="AN206" s="4"/>
      <c r="AO206" s="4"/>
      <c r="AP206" s="20" t="str">
        <f t="shared" si="123"/>
        <v>-</v>
      </c>
      <c r="AQ206" s="13" t="str">
        <f t="shared" si="136"/>
        <v>-</v>
      </c>
      <c r="AR206" s="13" t="str">
        <f t="shared" si="137"/>
        <v>-</v>
      </c>
      <c r="AS206" s="13" t="str">
        <f t="shared" si="124"/>
        <v>-</v>
      </c>
      <c r="AT206" s="16" t="str">
        <f t="shared" si="138"/>
        <v>-</v>
      </c>
      <c r="AU206" s="16" t="str">
        <f t="shared" si="125"/>
        <v>-</v>
      </c>
      <c r="AV206" s="16" t="str">
        <f t="shared" si="126"/>
        <v>-</v>
      </c>
      <c r="AW206" s="16" t="str">
        <f t="shared" si="139"/>
        <v>-</v>
      </c>
      <c r="AX206" s="13" t="str">
        <f t="shared" si="140"/>
        <v>-</v>
      </c>
      <c r="AY206" s="10" t="str">
        <f t="shared" si="141"/>
        <v>-</v>
      </c>
      <c r="AZ206" s="9" t="str">
        <f t="shared" si="142"/>
        <v>-</v>
      </c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</row>
    <row r="207" spans="2:68" x14ac:dyDescent="0.3">
      <c r="B207" s="108" t="str">
        <f t="shared" si="127"/>
        <v/>
      </c>
      <c r="C207" s="108" t="str">
        <f t="shared" si="113"/>
        <v/>
      </c>
      <c r="D207" s="3"/>
      <c r="E207" s="3"/>
      <c r="F207" s="3"/>
      <c r="G207" s="20">
        <f>IFERROR(INDEX('Input - Tesco'!F$2:F$200,MATCH('Calculations - Tesco'!$C207,'Input - Tesco'!$B$2:$B$200,0)),"")</f>
        <v>0</v>
      </c>
      <c r="H207" s="20">
        <f>IFERROR(INDEX('Input - Tesco'!G$2:G$200,MATCH('Calculations - Tesco'!$C207,'Input - Tesco'!$B$2:$B$200,0)),"")</f>
        <v>0</v>
      </c>
      <c r="I207" s="21">
        <f>IFERROR(INDEX('Input - Tesco'!H$2:H$200,MATCH('Calculations - Tesco'!$C207,'Input - Tesco'!$B$2:$B$200,0)),"")</f>
        <v>0</v>
      </c>
      <c r="J207" s="21">
        <f>IFERROR(INDEX('Input - Tesco'!I$2:I$200,MATCH('Calculations - Tesco'!$C207,'Input - Tesco'!$B$2:$B$200,0)),"")</f>
        <v>0</v>
      </c>
      <c r="K207" s="20">
        <f>IFERROR(INDEX('Input - Tesco'!J$2:J$200,MATCH('Calculations - Tesco'!$C207,'Input - Tesco'!$B$2:$B$200,0)),"")</f>
        <v>0</v>
      </c>
      <c r="L207" s="20">
        <f>IFERROR(INDEX('Input - Tesco'!K$2:K$200,MATCH('Calculations - Tesco'!$C207,'Input - Tesco'!$B$2:$B$200,0)),"")</f>
        <v>0</v>
      </c>
      <c r="M207" s="21" t="str">
        <f t="shared" si="128"/>
        <v/>
      </c>
      <c r="N207" s="21" t="str">
        <f t="shared" si="114"/>
        <v/>
      </c>
      <c r="O207" s="21">
        <f t="shared" si="129"/>
        <v>0</v>
      </c>
      <c r="P207" s="9">
        <f t="shared" si="143"/>
        <v>0</v>
      </c>
      <c r="Q207" s="9">
        <f t="shared" si="144"/>
        <v>0</v>
      </c>
      <c r="R207" s="22" t="str">
        <f>IFERROR(INDEX(Tesco!$Q$11:$Q$165,MATCH('Calculations - Tesco'!$C207,Tesco!$M$11:$M$165,0)),"")</f>
        <v/>
      </c>
      <c r="S207" s="22" t="str">
        <f>IFERROR(INDEX(Tesco!$R$11:$R$165,MATCH('Calculations - Tesco'!$C207,Tesco!$M$11:$M$165,0)),"")</f>
        <v/>
      </c>
      <c r="T207" s="16" t="e">
        <f t="shared" si="115"/>
        <v>#VALUE!</v>
      </c>
      <c r="U207" s="16" t="e">
        <f t="shared" si="130"/>
        <v>#VALUE!</v>
      </c>
      <c r="V207" s="16" t="e">
        <f t="shared" si="131"/>
        <v>#VALUE!</v>
      </c>
      <c r="W207" s="10" t="str">
        <f t="shared" si="116"/>
        <v>-</v>
      </c>
      <c r="X207" s="10" t="str">
        <f t="shared" si="117"/>
        <v>-</v>
      </c>
      <c r="Y207" s="13" t="str">
        <f t="shared" si="132"/>
        <v>-</v>
      </c>
      <c r="Z207" s="9" t="str">
        <f t="shared" si="118"/>
        <v>-</v>
      </c>
      <c r="AA207" s="16" t="str">
        <f t="shared" si="133"/>
        <v>-</v>
      </c>
      <c r="AB207" s="16" t="str">
        <f t="shared" si="119"/>
        <v>-</v>
      </c>
      <c r="AC207" s="16" t="str">
        <f t="shared" si="120"/>
        <v>-</v>
      </c>
      <c r="AD207" s="16" t="str">
        <f t="shared" si="134"/>
        <v>-</v>
      </c>
      <c r="AE207" s="16"/>
      <c r="AF207" s="31" t="str">
        <f>IFERROR(INDEX(Tesco!$P$11:$P$165,MATCH('Calculations - Tesco'!C207,Tesco!$M$11:$M$165,0)),"")</f>
        <v/>
      </c>
      <c r="AG207" s="23" t="str">
        <f t="shared" si="135"/>
        <v/>
      </c>
      <c r="AH207" s="23" t="str">
        <f t="shared" si="135"/>
        <v/>
      </c>
      <c r="AI207" s="9" t="str">
        <f t="shared" si="121"/>
        <v/>
      </c>
      <c r="AJ207" s="4" t="str">
        <f t="shared" si="122"/>
        <v/>
      </c>
      <c r="AK207" s="4"/>
      <c r="AL207" s="4"/>
      <c r="AM207" s="4"/>
      <c r="AN207" s="4"/>
      <c r="AO207" s="4"/>
      <c r="AP207" s="20" t="str">
        <f t="shared" si="123"/>
        <v>-</v>
      </c>
      <c r="AQ207" s="13" t="str">
        <f t="shared" si="136"/>
        <v>-</v>
      </c>
      <c r="AR207" s="13" t="str">
        <f t="shared" si="137"/>
        <v>-</v>
      </c>
      <c r="AS207" s="13" t="str">
        <f t="shared" si="124"/>
        <v>-</v>
      </c>
      <c r="AT207" s="16" t="str">
        <f t="shared" si="138"/>
        <v>-</v>
      </c>
      <c r="AU207" s="16" t="str">
        <f t="shared" si="125"/>
        <v>-</v>
      </c>
      <c r="AV207" s="16" t="str">
        <f t="shared" si="126"/>
        <v>-</v>
      </c>
      <c r="AW207" s="16" t="str">
        <f t="shared" si="139"/>
        <v>-</v>
      </c>
      <c r="AX207" s="13" t="str">
        <f t="shared" si="140"/>
        <v>-</v>
      </c>
      <c r="AY207" s="10" t="str">
        <f t="shared" si="141"/>
        <v>-</v>
      </c>
      <c r="AZ207" s="9" t="str">
        <f t="shared" si="142"/>
        <v>-</v>
      </c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</row>
    <row r="208" spans="2:68" x14ac:dyDescent="0.3">
      <c r="B208" s="108" t="str">
        <f t="shared" si="127"/>
        <v/>
      </c>
      <c r="C208" s="108" t="str">
        <f t="shared" si="113"/>
        <v/>
      </c>
      <c r="D208" s="3"/>
      <c r="E208" s="3"/>
      <c r="F208" s="3"/>
      <c r="G208" s="20">
        <f>IFERROR(INDEX('Input - Tesco'!F$2:F$200,MATCH('Calculations - Tesco'!$C208,'Input - Tesco'!$B$2:$B$200,0)),"")</f>
        <v>0</v>
      </c>
      <c r="H208" s="20">
        <f>IFERROR(INDEX('Input - Tesco'!G$2:G$200,MATCH('Calculations - Tesco'!$C208,'Input - Tesco'!$B$2:$B$200,0)),"")</f>
        <v>0</v>
      </c>
      <c r="I208" s="21">
        <f>IFERROR(INDEX('Input - Tesco'!H$2:H$200,MATCH('Calculations - Tesco'!$C208,'Input - Tesco'!$B$2:$B$200,0)),"")</f>
        <v>0</v>
      </c>
      <c r="J208" s="21">
        <f>IFERROR(INDEX('Input - Tesco'!I$2:I$200,MATCH('Calculations - Tesco'!$C208,'Input - Tesco'!$B$2:$B$200,0)),"")</f>
        <v>0</v>
      </c>
      <c r="K208" s="20">
        <f>IFERROR(INDEX('Input - Tesco'!J$2:J$200,MATCH('Calculations - Tesco'!$C208,'Input - Tesco'!$B$2:$B$200,0)),"")</f>
        <v>0</v>
      </c>
      <c r="L208" s="20">
        <f>IFERROR(INDEX('Input - Tesco'!K$2:K$200,MATCH('Calculations - Tesco'!$C208,'Input - Tesco'!$B$2:$B$200,0)),"")</f>
        <v>0</v>
      </c>
      <c r="M208" s="21" t="str">
        <f t="shared" si="128"/>
        <v/>
      </c>
      <c r="N208" s="21" t="str">
        <f t="shared" si="114"/>
        <v/>
      </c>
      <c r="O208" s="21">
        <f t="shared" si="129"/>
        <v>0</v>
      </c>
      <c r="P208" s="9">
        <f t="shared" si="143"/>
        <v>0</v>
      </c>
      <c r="Q208" s="9">
        <f t="shared" si="144"/>
        <v>0</v>
      </c>
      <c r="R208" s="22" t="str">
        <f>IFERROR(INDEX(Tesco!$Q$11:$Q$165,MATCH('Calculations - Tesco'!$C208,Tesco!$M$11:$M$165,0)),"")</f>
        <v/>
      </c>
      <c r="S208" s="22" t="str">
        <f>IFERROR(INDEX(Tesco!$R$11:$R$165,MATCH('Calculations - Tesco'!$C208,Tesco!$M$11:$M$165,0)),"")</f>
        <v/>
      </c>
      <c r="T208" s="16" t="e">
        <f t="shared" si="115"/>
        <v>#VALUE!</v>
      </c>
      <c r="U208" s="16" t="e">
        <f t="shared" si="130"/>
        <v>#VALUE!</v>
      </c>
      <c r="V208" s="16" t="e">
        <f t="shared" si="131"/>
        <v>#VALUE!</v>
      </c>
      <c r="W208" s="10" t="str">
        <f t="shared" si="116"/>
        <v>-</v>
      </c>
      <c r="X208" s="10" t="str">
        <f t="shared" si="117"/>
        <v>-</v>
      </c>
      <c r="Y208" s="13" t="str">
        <f t="shared" si="132"/>
        <v>-</v>
      </c>
      <c r="Z208" s="9" t="str">
        <f t="shared" si="118"/>
        <v>-</v>
      </c>
      <c r="AA208" s="16" t="str">
        <f t="shared" si="133"/>
        <v>-</v>
      </c>
      <c r="AB208" s="16" t="str">
        <f t="shared" si="119"/>
        <v>-</v>
      </c>
      <c r="AC208" s="16" t="str">
        <f t="shared" si="120"/>
        <v>-</v>
      </c>
      <c r="AD208" s="16" t="str">
        <f t="shared" si="134"/>
        <v>-</v>
      </c>
      <c r="AE208" s="16"/>
      <c r="AF208" s="31" t="str">
        <f>IFERROR(INDEX(Tesco!$P$11:$P$165,MATCH('Calculations - Tesco'!C208,Tesco!$M$11:$M$165,0)),"")</f>
        <v/>
      </c>
      <c r="AG208" s="23" t="str">
        <f t="shared" si="135"/>
        <v/>
      </c>
      <c r="AH208" s="23" t="str">
        <f t="shared" si="135"/>
        <v/>
      </c>
      <c r="AI208" s="9" t="str">
        <f t="shared" si="121"/>
        <v/>
      </c>
      <c r="AJ208" s="4" t="str">
        <f t="shared" si="122"/>
        <v/>
      </c>
      <c r="AK208" s="4"/>
      <c r="AL208" s="4"/>
      <c r="AM208" s="4"/>
      <c r="AN208" s="4"/>
      <c r="AO208" s="4"/>
      <c r="AP208" s="20" t="str">
        <f t="shared" si="123"/>
        <v>-</v>
      </c>
      <c r="AQ208" s="13" t="str">
        <f t="shared" si="136"/>
        <v>-</v>
      </c>
      <c r="AR208" s="13" t="str">
        <f t="shared" si="137"/>
        <v>-</v>
      </c>
      <c r="AS208" s="13" t="str">
        <f t="shared" si="124"/>
        <v>-</v>
      </c>
      <c r="AT208" s="16" t="str">
        <f t="shared" si="138"/>
        <v>-</v>
      </c>
      <c r="AU208" s="16" t="str">
        <f t="shared" si="125"/>
        <v>-</v>
      </c>
      <c r="AV208" s="16" t="str">
        <f t="shared" si="126"/>
        <v>-</v>
      </c>
      <c r="AW208" s="16" t="str">
        <f t="shared" si="139"/>
        <v>-</v>
      </c>
      <c r="AX208" s="13" t="str">
        <f t="shared" si="140"/>
        <v>-</v>
      </c>
      <c r="AY208" s="10" t="str">
        <f t="shared" si="141"/>
        <v>-</v>
      </c>
      <c r="AZ208" s="9" t="str">
        <f t="shared" si="142"/>
        <v>-</v>
      </c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</row>
    <row r="209" spans="2:68" x14ac:dyDescent="0.3">
      <c r="B209" s="108" t="str">
        <f t="shared" si="127"/>
        <v/>
      </c>
      <c r="C209" s="108" t="str">
        <f t="shared" si="113"/>
        <v/>
      </c>
      <c r="D209" s="3"/>
      <c r="E209" s="3"/>
      <c r="F209" s="3"/>
      <c r="G209" s="20">
        <f>IFERROR(INDEX('Input - Tesco'!F$2:F$200,MATCH('Calculations - Tesco'!$C209,'Input - Tesco'!$B$2:$B$200,0)),"")</f>
        <v>0</v>
      </c>
      <c r="H209" s="20">
        <f>IFERROR(INDEX('Input - Tesco'!G$2:G$200,MATCH('Calculations - Tesco'!$C209,'Input - Tesco'!$B$2:$B$200,0)),"")</f>
        <v>0</v>
      </c>
      <c r="I209" s="21">
        <f>IFERROR(INDEX('Input - Tesco'!H$2:H$200,MATCH('Calculations - Tesco'!$C209,'Input - Tesco'!$B$2:$B$200,0)),"")</f>
        <v>0</v>
      </c>
      <c r="J209" s="21">
        <f>IFERROR(INDEX('Input - Tesco'!I$2:I$200,MATCH('Calculations - Tesco'!$C209,'Input - Tesco'!$B$2:$B$200,0)),"")</f>
        <v>0</v>
      </c>
      <c r="K209" s="20">
        <f>IFERROR(INDEX('Input - Tesco'!J$2:J$200,MATCH('Calculations - Tesco'!$C209,'Input - Tesco'!$B$2:$B$200,0)),"")</f>
        <v>0</v>
      </c>
      <c r="L209" s="20">
        <f>IFERROR(INDEX('Input - Tesco'!K$2:K$200,MATCH('Calculations - Tesco'!$C209,'Input - Tesco'!$B$2:$B$200,0)),"")</f>
        <v>0</v>
      </c>
      <c r="M209" s="21" t="str">
        <f t="shared" si="128"/>
        <v/>
      </c>
      <c r="N209" s="21" t="str">
        <f t="shared" si="114"/>
        <v/>
      </c>
      <c r="O209" s="21">
        <f t="shared" si="129"/>
        <v>0</v>
      </c>
      <c r="P209" s="9">
        <f t="shared" si="143"/>
        <v>0</v>
      </c>
      <c r="Q209" s="9">
        <f t="shared" si="144"/>
        <v>0</v>
      </c>
      <c r="R209" s="22" t="str">
        <f>IFERROR(INDEX(Tesco!$Q$11:$Q$165,MATCH('Calculations - Tesco'!$C209,Tesco!$M$11:$M$165,0)),"")</f>
        <v/>
      </c>
      <c r="S209" s="22" t="str">
        <f>IFERROR(INDEX(Tesco!$R$11:$R$165,MATCH('Calculations - Tesco'!$C209,Tesco!$M$11:$M$165,0)),"")</f>
        <v/>
      </c>
      <c r="T209" s="16" t="e">
        <f t="shared" si="115"/>
        <v>#VALUE!</v>
      </c>
      <c r="U209" s="16" t="e">
        <f t="shared" si="130"/>
        <v>#VALUE!</v>
      </c>
      <c r="V209" s="16" t="e">
        <f t="shared" si="131"/>
        <v>#VALUE!</v>
      </c>
      <c r="W209" s="10" t="str">
        <f t="shared" si="116"/>
        <v>-</v>
      </c>
      <c r="X209" s="10" t="str">
        <f t="shared" si="117"/>
        <v>-</v>
      </c>
      <c r="Y209" s="13" t="str">
        <f t="shared" si="132"/>
        <v>-</v>
      </c>
      <c r="Z209" s="9" t="str">
        <f t="shared" si="118"/>
        <v>-</v>
      </c>
      <c r="AA209" s="16" t="str">
        <f t="shared" si="133"/>
        <v>-</v>
      </c>
      <c r="AB209" s="16" t="str">
        <f t="shared" si="119"/>
        <v>-</v>
      </c>
      <c r="AC209" s="16" t="str">
        <f t="shared" si="120"/>
        <v>-</v>
      </c>
      <c r="AD209" s="16" t="str">
        <f t="shared" si="134"/>
        <v>-</v>
      </c>
      <c r="AE209" s="16"/>
      <c r="AF209" s="31" t="str">
        <f>IFERROR(INDEX(Tesco!$P$11:$P$165,MATCH('Calculations - Tesco'!C209,Tesco!$M$11:$M$165,0)),"")</f>
        <v/>
      </c>
      <c r="AG209" s="23" t="str">
        <f t="shared" si="135"/>
        <v/>
      </c>
      <c r="AH209" s="23" t="str">
        <f t="shared" si="135"/>
        <v/>
      </c>
      <c r="AI209" s="9" t="str">
        <f t="shared" si="121"/>
        <v/>
      </c>
      <c r="AJ209" s="4" t="str">
        <f t="shared" si="122"/>
        <v/>
      </c>
      <c r="AK209" s="4"/>
      <c r="AL209" s="4"/>
      <c r="AM209" s="4"/>
      <c r="AN209" s="4"/>
      <c r="AO209" s="4"/>
      <c r="AP209" s="20" t="str">
        <f t="shared" si="123"/>
        <v>-</v>
      </c>
      <c r="AQ209" s="13" t="str">
        <f t="shared" si="136"/>
        <v>-</v>
      </c>
      <c r="AR209" s="13" t="str">
        <f t="shared" si="137"/>
        <v>-</v>
      </c>
      <c r="AS209" s="13" t="str">
        <f t="shared" si="124"/>
        <v>-</v>
      </c>
      <c r="AT209" s="16" t="str">
        <f t="shared" si="138"/>
        <v>-</v>
      </c>
      <c r="AU209" s="16" t="str">
        <f t="shared" si="125"/>
        <v>-</v>
      </c>
      <c r="AV209" s="16" t="str">
        <f t="shared" si="126"/>
        <v>-</v>
      </c>
      <c r="AW209" s="16" t="str">
        <f t="shared" si="139"/>
        <v>-</v>
      </c>
      <c r="AX209" s="13" t="str">
        <f t="shared" si="140"/>
        <v>-</v>
      </c>
      <c r="AY209" s="10" t="str">
        <f t="shared" si="141"/>
        <v>-</v>
      </c>
      <c r="AZ209" s="9" t="str">
        <f t="shared" si="142"/>
        <v>-</v>
      </c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</row>
    <row r="210" spans="2:68" x14ac:dyDescent="0.3">
      <c r="B210" s="108" t="str">
        <f t="shared" si="127"/>
        <v/>
      </c>
      <c r="C210" s="108" t="str">
        <f t="shared" si="113"/>
        <v/>
      </c>
      <c r="D210" s="3"/>
      <c r="E210" s="3"/>
      <c r="F210" s="3"/>
      <c r="G210" s="20">
        <f>IFERROR(INDEX('Input - Tesco'!F$2:F$200,MATCH('Calculations - Tesco'!$C210,'Input - Tesco'!$B$2:$B$200,0)),"")</f>
        <v>0</v>
      </c>
      <c r="H210" s="20">
        <f>IFERROR(INDEX('Input - Tesco'!G$2:G$200,MATCH('Calculations - Tesco'!$C210,'Input - Tesco'!$B$2:$B$200,0)),"")</f>
        <v>0</v>
      </c>
      <c r="I210" s="21">
        <f>IFERROR(INDEX('Input - Tesco'!H$2:H$200,MATCH('Calculations - Tesco'!$C210,'Input - Tesco'!$B$2:$B$200,0)),"")</f>
        <v>0</v>
      </c>
      <c r="J210" s="21">
        <f>IFERROR(INDEX('Input - Tesco'!I$2:I$200,MATCH('Calculations - Tesco'!$C210,'Input - Tesco'!$B$2:$B$200,0)),"")</f>
        <v>0</v>
      </c>
      <c r="K210" s="20">
        <f>IFERROR(INDEX('Input - Tesco'!J$2:J$200,MATCH('Calculations - Tesco'!$C210,'Input - Tesco'!$B$2:$B$200,0)),"")</f>
        <v>0</v>
      </c>
      <c r="L210" s="20">
        <f>IFERROR(INDEX('Input - Tesco'!K$2:K$200,MATCH('Calculations - Tesco'!$C210,'Input - Tesco'!$B$2:$B$200,0)),"")</f>
        <v>0</v>
      </c>
      <c r="M210" s="21" t="str">
        <f t="shared" si="128"/>
        <v/>
      </c>
      <c r="N210" s="21" t="str">
        <f t="shared" si="114"/>
        <v/>
      </c>
      <c r="O210" s="21">
        <f t="shared" si="129"/>
        <v>0</v>
      </c>
      <c r="P210" s="9">
        <f t="shared" si="143"/>
        <v>0</v>
      </c>
      <c r="Q210" s="9">
        <f t="shared" si="144"/>
        <v>0</v>
      </c>
      <c r="R210" s="22" t="str">
        <f>IFERROR(INDEX(Tesco!$Q$11:$Q$165,MATCH('Calculations - Tesco'!$C210,Tesco!$M$11:$M$165,0)),"")</f>
        <v/>
      </c>
      <c r="S210" s="22" t="str">
        <f>IFERROR(INDEX(Tesco!$R$11:$R$165,MATCH('Calculations - Tesco'!$C210,Tesco!$M$11:$M$165,0)),"")</f>
        <v/>
      </c>
      <c r="T210" s="16" t="e">
        <f t="shared" si="115"/>
        <v>#VALUE!</v>
      </c>
      <c r="U210" s="16" t="e">
        <f t="shared" si="130"/>
        <v>#VALUE!</v>
      </c>
      <c r="V210" s="16" t="e">
        <f t="shared" si="131"/>
        <v>#VALUE!</v>
      </c>
      <c r="W210" s="10" t="str">
        <f t="shared" si="116"/>
        <v>-</v>
      </c>
      <c r="X210" s="10" t="str">
        <f t="shared" si="117"/>
        <v>-</v>
      </c>
      <c r="Y210" s="13" t="str">
        <f t="shared" si="132"/>
        <v>-</v>
      </c>
      <c r="Z210" s="9" t="str">
        <f t="shared" si="118"/>
        <v>-</v>
      </c>
      <c r="AA210" s="16" t="str">
        <f t="shared" si="133"/>
        <v>-</v>
      </c>
      <c r="AB210" s="16" t="str">
        <f t="shared" si="119"/>
        <v>-</v>
      </c>
      <c r="AC210" s="16" t="str">
        <f t="shared" si="120"/>
        <v>-</v>
      </c>
      <c r="AD210" s="16" t="str">
        <f t="shared" si="134"/>
        <v>-</v>
      </c>
      <c r="AE210" s="16"/>
      <c r="AF210" s="31" t="str">
        <f>IFERROR(INDEX(Tesco!$P$11:$P$165,MATCH('Calculations - Tesco'!C210,Tesco!$M$11:$M$165,0)),"")</f>
        <v/>
      </c>
      <c r="AG210" s="23" t="str">
        <f t="shared" si="135"/>
        <v/>
      </c>
      <c r="AH210" s="23" t="str">
        <f t="shared" si="135"/>
        <v/>
      </c>
      <c r="AI210" s="9" t="str">
        <f t="shared" si="121"/>
        <v/>
      </c>
      <c r="AJ210" s="4" t="str">
        <f t="shared" si="122"/>
        <v/>
      </c>
      <c r="AK210" s="4"/>
      <c r="AL210" s="4"/>
      <c r="AM210" s="4"/>
      <c r="AN210" s="4"/>
      <c r="AO210" s="4"/>
      <c r="AP210" s="20" t="str">
        <f t="shared" si="123"/>
        <v>-</v>
      </c>
      <c r="AQ210" s="13" t="str">
        <f t="shared" si="136"/>
        <v>-</v>
      </c>
      <c r="AR210" s="13" t="str">
        <f t="shared" si="137"/>
        <v>-</v>
      </c>
      <c r="AS210" s="13" t="str">
        <f t="shared" si="124"/>
        <v>-</v>
      </c>
      <c r="AT210" s="16" t="str">
        <f t="shared" si="138"/>
        <v>-</v>
      </c>
      <c r="AU210" s="16" t="str">
        <f t="shared" si="125"/>
        <v>-</v>
      </c>
      <c r="AV210" s="16" t="str">
        <f t="shared" si="126"/>
        <v>-</v>
      </c>
      <c r="AW210" s="16" t="str">
        <f t="shared" si="139"/>
        <v>-</v>
      </c>
      <c r="AX210" s="13" t="str">
        <f t="shared" si="140"/>
        <v>-</v>
      </c>
      <c r="AY210" s="10" t="str">
        <f t="shared" si="141"/>
        <v>-</v>
      </c>
      <c r="AZ210" s="9" t="str">
        <f t="shared" si="142"/>
        <v>-</v>
      </c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</row>
    <row r="211" spans="2:68" x14ac:dyDescent="0.3">
      <c r="B211" s="108" t="str">
        <f t="shared" si="127"/>
        <v/>
      </c>
      <c r="C211" s="108" t="str">
        <f t="shared" si="113"/>
        <v/>
      </c>
      <c r="D211" s="3"/>
      <c r="E211" s="3"/>
      <c r="F211" s="3"/>
      <c r="G211" s="20">
        <f>IFERROR(INDEX('Input - Tesco'!F$2:F$200,MATCH('Calculations - Tesco'!$C211,'Input - Tesco'!$B$2:$B$200,0)),"")</f>
        <v>0</v>
      </c>
      <c r="H211" s="20">
        <f>IFERROR(INDEX('Input - Tesco'!G$2:G$200,MATCH('Calculations - Tesco'!$C211,'Input - Tesco'!$B$2:$B$200,0)),"")</f>
        <v>0</v>
      </c>
      <c r="I211" s="21">
        <f>IFERROR(INDEX('Input - Tesco'!H$2:H$200,MATCH('Calculations - Tesco'!$C211,'Input - Tesco'!$B$2:$B$200,0)),"")</f>
        <v>0</v>
      </c>
      <c r="J211" s="21">
        <f>IFERROR(INDEX('Input - Tesco'!I$2:I$200,MATCH('Calculations - Tesco'!$C211,'Input - Tesco'!$B$2:$B$200,0)),"")</f>
        <v>0</v>
      </c>
      <c r="K211" s="20">
        <f>IFERROR(INDEX('Input - Tesco'!J$2:J$200,MATCH('Calculations - Tesco'!$C211,'Input - Tesco'!$B$2:$B$200,0)),"")</f>
        <v>0</v>
      </c>
      <c r="L211" s="20">
        <f>IFERROR(INDEX('Input - Tesco'!K$2:K$200,MATCH('Calculations - Tesco'!$C211,'Input - Tesco'!$B$2:$B$200,0)),"")</f>
        <v>0</v>
      </c>
      <c r="M211" s="21" t="str">
        <f t="shared" si="128"/>
        <v/>
      </c>
      <c r="N211" s="21" t="str">
        <f t="shared" si="114"/>
        <v/>
      </c>
      <c r="O211" s="21">
        <f t="shared" si="129"/>
        <v>0</v>
      </c>
      <c r="P211" s="9">
        <f t="shared" si="143"/>
        <v>0</v>
      </c>
      <c r="Q211" s="9">
        <f t="shared" si="144"/>
        <v>0</v>
      </c>
      <c r="R211" s="22" t="str">
        <f>IFERROR(INDEX(Tesco!$Q$11:$Q$165,MATCH('Calculations - Tesco'!$C211,Tesco!$M$11:$M$165,0)),"")</f>
        <v/>
      </c>
      <c r="S211" s="22" t="str">
        <f>IFERROR(INDEX(Tesco!$R$11:$R$165,MATCH('Calculations - Tesco'!$C211,Tesco!$M$11:$M$165,0)),"")</f>
        <v/>
      </c>
      <c r="T211" s="16" t="e">
        <f t="shared" si="115"/>
        <v>#VALUE!</v>
      </c>
      <c r="U211" s="16" t="e">
        <f t="shared" si="130"/>
        <v>#VALUE!</v>
      </c>
      <c r="V211" s="16" t="e">
        <f t="shared" si="131"/>
        <v>#VALUE!</v>
      </c>
      <c r="W211" s="10" t="str">
        <f t="shared" si="116"/>
        <v>-</v>
      </c>
      <c r="X211" s="10" t="str">
        <f t="shared" si="117"/>
        <v>-</v>
      </c>
      <c r="Y211" s="13" t="str">
        <f t="shared" si="132"/>
        <v>-</v>
      </c>
      <c r="Z211" s="9" t="str">
        <f t="shared" si="118"/>
        <v>-</v>
      </c>
      <c r="AA211" s="16" t="str">
        <f t="shared" si="133"/>
        <v>-</v>
      </c>
      <c r="AB211" s="16" t="str">
        <f t="shared" si="119"/>
        <v>-</v>
      </c>
      <c r="AC211" s="16" t="str">
        <f t="shared" si="120"/>
        <v>-</v>
      </c>
      <c r="AD211" s="16" t="str">
        <f t="shared" si="134"/>
        <v>-</v>
      </c>
      <c r="AE211" s="16"/>
      <c r="AF211" s="31" t="str">
        <f>IFERROR(INDEX(Tesco!$P$11:$P$165,MATCH('Calculations - Tesco'!C211,Tesco!$M$11:$M$165,0)),"")</f>
        <v/>
      </c>
      <c r="AG211" s="23" t="str">
        <f t="shared" si="135"/>
        <v/>
      </c>
      <c r="AH211" s="23" t="str">
        <f t="shared" si="135"/>
        <v/>
      </c>
      <c r="AI211" s="9" t="str">
        <f t="shared" si="121"/>
        <v/>
      </c>
      <c r="AJ211" s="4" t="str">
        <f t="shared" si="122"/>
        <v/>
      </c>
      <c r="AK211" s="4"/>
      <c r="AL211" s="4"/>
      <c r="AM211" s="4"/>
      <c r="AN211" s="4"/>
      <c r="AO211" s="4"/>
      <c r="AP211" s="20" t="str">
        <f t="shared" si="123"/>
        <v>-</v>
      </c>
      <c r="AQ211" s="13" t="str">
        <f t="shared" si="136"/>
        <v>-</v>
      </c>
      <c r="AR211" s="13" t="str">
        <f t="shared" si="137"/>
        <v>-</v>
      </c>
      <c r="AS211" s="13" t="str">
        <f t="shared" si="124"/>
        <v>-</v>
      </c>
      <c r="AT211" s="16" t="str">
        <f t="shared" si="138"/>
        <v>-</v>
      </c>
      <c r="AU211" s="16" t="str">
        <f t="shared" si="125"/>
        <v>-</v>
      </c>
      <c r="AV211" s="16" t="str">
        <f t="shared" si="126"/>
        <v>-</v>
      </c>
      <c r="AW211" s="16" t="str">
        <f t="shared" si="139"/>
        <v>-</v>
      </c>
      <c r="AX211" s="13" t="str">
        <f t="shared" si="140"/>
        <v>-</v>
      </c>
      <c r="AY211" s="10" t="str">
        <f t="shared" si="141"/>
        <v>-</v>
      </c>
      <c r="AZ211" s="9" t="str">
        <f t="shared" si="142"/>
        <v>-</v>
      </c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</row>
    <row r="212" spans="2:68" x14ac:dyDescent="0.3">
      <c r="B212" s="108" t="str">
        <f t="shared" si="127"/>
        <v/>
      </c>
      <c r="C212" s="108" t="str">
        <f t="shared" si="113"/>
        <v/>
      </c>
      <c r="D212" s="3"/>
      <c r="E212" s="3"/>
      <c r="F212" s="3"/>
      <c r="G212" s="20">
        <f>IFERROR(INDEX('Input - Tesco'!F$2:F$200,MATCH('Calculations - Tesco'!$C212,'Input - Tesco'!$B$2:$B$200,0)),"")</f>
        <v>0</v>
      </c>
      <c r="H212" s="20">
        <f>IFERROR(INDEX('Input - Tesco'!G$2:G$200,MATCH('Calculations - Tesco'!$C212,'Input - Tesco'!$B$2:$B$200,0)),"")</f>
        <v>0</v>
      </c>
      <c r="I212" s="21">
        <f>IFERROR(INDEX('Input - Tesco'!H$2:H$200,MATCH('Calculations - Tesco'!$C212,'Input - Tesco'!$B$2:$B$200,0)),"")</f>
        <v>0</v>
      </c>
      <c r="J212" s="21">
        <f>IFERROR(INDEX('Input - Tesco'!I$2:I$200,MATCH('Calculations - Tesco'!$C212,'Input - Tesco'!$B$2:$B$200,0)),"")</f>
        <v>0</v>
      </c>
      <c r="K212" s="20">
        <f>IFERROR(INDEX('Input - Tesco'!J$2:J$200,MATCH('Calculations - Tesco'!$C212,'Input - Tesco'!$B$2:$B$200,0)),"")</f>
        <v>0</v>
      </c>
      <c r="L212" s="20">
        <f>IFERROR(INDEX('Input - Tesco'!K$2:K$200,MATCH('Calculations - Tesco'!$C212,'Input - Tesco'!$B$2:$B$200,0)),"")</f>
        <v>0</v>
      </c>
      <c r="M212" s="21" t="str">
        <f t="shared" si="128"/>
        <v/>
      </c>
      <c r="N212" s="21" t="str">
        <f t="shared" si="114"/>
        <v/>
      </c>
      <c r="O212" s="21">
        <f t="shared" si="129"/>
        <v>0</v>
      </c>
      <c r="P212" s="9">
        <f t="shared" si="143"/>
        <v>0</v>
      </c>
      <c r="Q212" s="9">
        <f t="shared" si="144"/>
        <v>0</v>
      </c>
      <c r="R212" s="22" t="str">
        <f>IFERROR(INDEX(Tesco!$Q$11:$Q$165,MATCH('Calculations - Tesco'!$C212,Tesco!$M$11:$M$165,0)),"")</f>
        <v/>
      </c>
      <c r="S212" s="22" t="str">
        <f>IFERROR(INDEX(Tesco!$R$11:$R$165,MATCH('Calculations - Tesco'!$C212,Tesco!$M$11:$M$165,0)),"")</f>
        <v/>
      </c>
      <c r="T212" s="16" t="e">
        <f t="shared" si="115"/>
        <v>#VALUE!</v>
      </c>
      <c r="U212" s="16" t="e">
        <f t="shared" si="130"/>
        <v>#VALUE!</v>
      </c>
      <c r="V212" s="16" t="e">
        <f t="shared" si="131"/>
        <v>#VALUE!</v>
      </c>
      <c r="W212" s="10" t="str">
        <f t="shared" si="116"/>
        <v>-</v>
      </c>
      <c r="X212" s="10" t="str">
        <f t="shared" si="117"/>
        <v>-</v>
      </c>
      <c r="Y212" s="13" t="str">
        <f t="shared" si="132"/>
        <v>-</v>
      </c>
      <c r="Z212" s="9" t="str">
        <f t="shared" si="118"/>
        <v>-</v>
      </c>
      <c r="AA212" s="16" t="str">
        <f t="shared" si="133"/>
        <v>-</v>
      </c>
      <c r="AB212" s="16" t="str">
        <f t="shared" si="119"/>
        <v>-</v>
      </c>
      <c r="AC212" s="16" t="str">
        <f t="shared" si="120"/>
        <v>-</v>
      </c>
      <c r="AD212" s="16" t="str">
        <f t="shared" si="134"/>
        <v>-</v>
      </c>
      <c r="AE212" s="16"/>
      <c r="AF212" s="31" t="str">
        <f>IFERROR(INDEX(Tesco!$P$11:$P$165,MATCH('Calculations - Tesco'!C212,Tesco!$M$11:$M$165,0)),"")</f>
        <v/>
      </c>
      <c r="AG212" s="23" t="str">
        <f t="shared" si="135"/>
        <v/>
      </c>
      <c r="AH212" s="23" t="str">
        <f t="shared" si="135"/>
        <v/>
      </c>
      <c r="AI212" s="9" t="str">
        <f t="shared" si="121"/>
        <v/>
      </c>
      <c r="AJ212" s="4" t="str">
        <f t="shared" si="122"/>
        <v/>
      </c>
      <c r="AK212" s="4"/>
      <c r="AL212" s="4"/>
      <c r="AM212" s="4"/>
      <c r="AN212" s="4"/>
      <c r="AO212" s="4"/>
      <c r="AP212" s="20" t="str">
        <f t="shared" si="123"/>
        <v>-</v>
      </c>
      <c r="AQ212" s="13" t="str">
        <f t="shared" si="136"/>
        <v>-</v>
      </c>
      <c r="AR212" s="13" t="str">
        <f t="shared" si="137"/>
        <v>-</v>
      </c>
      <c r="AS212" s="13" t="str">
        <f t="shared" si="124"/>
        <v>-</v>
      </c>
      <c r="AT212" s="16" t="str">
        <f t="shared" si="138"/>
        <v>-</v>
      </c>
      <c r="AU212" s="16" t="str">
        <f t="shared" si="125"/>
        <v>-</v>
      </c>
      <c r="AV212" s="16" t="str">
        <f t="shared" si="126"/>
        <v>-</v>
      </c>
      <c r="AW212" s="16" t="str">
        <f t="shared" si="139"/>
        <v>-</v>
      </c>
      <c r="AX212" s="13" t="str">
        <f t="shared" si="140"/>
        <v>-</v>
      </c>
      <c r="AY212" s="10" t="str">
        <f t="shared" si="141"/>
        <v>-</v>
      </c>
      <c r="AZ212" s="9" t="str">
        <f t="shared" si="142"/>
        <v>-</v>
      </c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</row>
    <row r="213" spans="2:68" x14ac:dyDescent="0.3">
      <c r="B213" s="108" t="str">
        <f t="shared" si="127"/>
        <v/>
      </c>
      <c r="C213" s="108" t="str">
        <f t="shared" si="113"/>
        <v/>
      </c>
      <c r="D213" s="3"/>
      <c r="E213" s="3"/>
      <c r="F213" s="3"/>
      <c r="G213" s="20">
        <f>IFERROR(INDEX('Input - Tesco'!F$2:F$200,MATCH('Calculations - Tesco'!$C213,'Input - Tesco'!$B$2:$B$200,0)),"")</f>
        <v>0</v>
      </c>
      <c r="H213" s="20">
        <f>IFERROR(INDEX('Input - Tesco'!G$2:G$200,MATCH('Calculations - Tesco'!$C213,'Input - Tesco'!$B$2:$B$200,0)),"")</f>
        <v>0</v>
      </c>
      <c r="I213" s="21">
        <f>IFERROR(INDEX('Input - Tesco'!H$2:H$200,MATCH('Calculations - Tesco'!$C213,'Input - Tesco'!$B$2:$B$200,0)),"")</f>
        <v>0</v>
      </c>
      <c r="J213" s="21">
        <f>IFERROR(INDEX('Input - Tesco'!I$2:I$200,MATCH('Calculations - Tesco'!$C213,'Input - Tesco'!$B$2:$B$200,0)),"")</f>
        <v>0</v>
      </c>
      <c r="K213" s="20">
        <f>IFERROR(INDEX('Input - Tesco'!J$2:J$200,MATCH('Calculations - Tesco'!$C213,'Input - Tesco'!$B$2:$B$200,0)),"")</f>
        <v>0</v>
      </c>
      <c r="L213" s="20">
        <f>IFERROR(INDEX('Input - Tesco'!K$2:K$200,MATCH('Calculations - Tesco'!$C213,'Input - Tesco'!$B$2:$B$200,0)),"")</f>
        <v>0</v>
      </c>
      <c r="M213" s="21" t="str">
        <f t="shared" si="128"/>
        <v/>
      </c>
      <c r="N213" s="21" t="str">
        <f t="shared" si="114"/>
        <v/>
      </c>
      <c r="O213" s="21">
        <f t="shared" si="129"/>
        <v>0</v>
      </c>
      <c r="P213" s="9">
        <f t="shared" si="143"/>
        <v>0</v>
      </c>
      <c r="Q213" s="9">
        <f t="shared" si="144"/>
        <v>0</v>
      </c>
      <c r="R213" s="22" t="str">
        <f>IFERROR(INDEX(Tesco!$Q$11:$Q$165,MATCH('Calculations - Tesco'!$C213,Tesco!$M$11:$M$165,0)),"")</f>
        <v/>
      </c>
      <c r="S213" s="22" t="str">
        <f>IFERROR(INDEX(Tesco!$R$11:$R$165,MATCH('Calculations - Tesco'!$C213,Tesco!$M$11:$M$165,0)),"")</f>
        <v/>
      </c>
      <c r="T213" s="16" t="e">
        <f t="shared" si="115"/>
        <v>#VALUE!</v>
      </c>
      <c r="U213" s="16" t="e">
        <f t="shared" si="130"/>
        <v>#VALUE!</v>
      </c>
      <c r="V213" s="16" t="e">
        <f t="shared" si="131"/>
        <v>#VALUE!</v>
      </c>
      <c r="W213" s="10" t="str">
        <f t="shared" si="116"/>
        <v>-</v>
      </c>
      <c r="X213" s="10" t="str">
        <f t="shared" si="117"/>
        <v>-</v>
      </c>
      <c r="Y213" s="13" t="str">
        <f t="shared" si="132"/>
        <v>-</v>
      </c>
      <c r="Z213" s="9" t="str">
        <f t="shared" si="118"/>
        <v>-</v>
      </c>
      <c r="AA213" s="16" t="str">
        <f t="shared" si="133"/>
        <v>-</v>
      </c>
      <c r="AB213" s="16" t="str">
        <f t="shared" si="119"/>
        <v>-</v>
      </c>
      <c r="AC213" s="16" t="str">
        <f t="shared" si="120"/>
        <v>-</v>
      </c>
      <c r="AD213" s="16" t="str">
        <f t="shared" si="134"/>
        <v>-</v>
      </c>
      <c r="AE213" s="16"/>
      <c r="AF213" s="31" t="str">
        <f>IFERROR(INDEX(Tesco!$P$11:$P$165,MATCH('Calculations - Tesco'!C213,Tesco!$M$11:$M$165,0)),"")</f>
        <v/>
      </c>
      <c r="AG213" s="23" t="str">
        <f t="shared" si="135"/>
        <v/>
      </c>
      <c r="AH213" s="23" t="str">
        <f t="shared" si="135"/>
        <v/>
      </c>
      <c r="AI213" s="9" t="str">
        <f t="shared" si="121"/>
        <v/>
      </c>
      <c r="AJ213" s="4" t="str">
        <f t="shared" si="122"/>
        <v/>
      </c>
      <c r="AK213" s="4"/>
      <c r="AL213" s="4"/>
      <c r="AM213" s="4"/>
      <c r="AN213" s="4"/>
      <c r="AO213" s="4"/>
      <c r="AP213" s="20" t="str">
        <f t="shared" si="123"/>
        <v>-</v>
      </c>
      <c r="AQ213" s="13" t="str">
        <f t="shared" si="136"/>
        <v>-</v>
      </c>
      <c r="AR213" s="13" t="str">
        <f t="shared" si="137"/>
        <v>-</v>
      </c>
      <c r="AS213" s="13" t="str">
        <f t="shared" si="124"/>
        <v>-</v>
      </c>
      <c r="AT213" s="16" t="str">
        <f t="shared" si="138"/>
        <v>-</v>
      </c>
      <c r="AU213" s="16" t="str">
        <f t="shared" si="125"/>
        <v>-</v>
      </c>
      <c r="AV213" s="16" t="str">
        <f t="shared" si="126"/>
        <v>-</v>
      </c>
      <c r="AW213" s="16" t="str">
        <f t="shared" si="139"/>
        <v>-</v>
      </c>
      <c r="AX213" s="13" t="str">
        <f t="shared" si="140"/>
        <v>-</v>
      </c>
      <c r="AY213" s="10" t="str">
        <f t="shared" si="141"/>
        <v>-</v>
      </c>
      <c r="AZ213" s="9" t="str">
        <f t="shared" si="142"/>
        <v>-</v>
      </c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</row>
    <row r="214" spans="2:68" x14ac:dyDescent="0.3">
      <c r="B214" s="108" t="str">
        <f t="shared" si="127"/>
        <v/>
      </c>
      <c r="C214" s="108" t="str">
        <f t="shared" si="113"/>
        <v/>
      </c>
      <c r="D214" s="3"/>
      <c r="E214" s="3"/>
      <c r="F214" s="3"/>
      <c r="G214" s="20">
        <f>IFERROR(INDEX('Input - Tesco'!F$2:F$200,MATCH('Calculations - Tesco'!$C214,'Input - Tesco'!$B$2:$B$200,0)),"")</f>
        <v>0</v>
      </c>
      <c r="H214" s="20">
        <f>IFERROR(INDEX('Input - Tesco'!G$2:G$200,MATCH('Calculations - Tesco'!$C214,'Input - Tesco'!$B$2:$B$200,0)),"")</f>
        <v>0</v>
      </c>
      <c r="I214" s="21">
        <f>IFERROR(INDEX('Input - Tesco'!H$2:H$200,MATCH('Calculations - Tesco'!$C214,'Input - Tesco'!$B$2:$B$200,0)),"")</f>
        <v>0</v>
      </c>
      <c r="J214" s="21">
        <f>IFERROR(INDEX('Input - Tesco'!I$2:I$200,MATCH('Calculations - Tesco'!$C214,'Input - Tesco'!$B$2:$B$200,0)),"")</f>
        <v>0</v>
      </c>
      <c r="K214" s="20">
        <f>IFERROR(INDEX('Input - Tesco'!J$2:J$200,MATCH('Calculations - Tesco'!$C214,'Input - Tesco'!$B$2:$B$200,0)),"")</f>
        <v>0</v>
      </c>
      <c r="L214" s="20">
        <f>IFERROR(INDEX('Input - Tesco'!K$2:K$200,MATCH('Calculations - Tesco'!$C214,'Input - Tesco'!$B$2:$B$200,0)),"")</f>
        <v>0</v>
      </c>
      <c r="M214" s="21" t="str">
        <f t="shared" si="128"/>
        <v/>
      </c>
      <c r="N214" s="21" t="str">
        <f t="shared" si="114"/>
        <v/>
      </c>
      <c r="O214" s="21">
        <f t="shared" si="129"/>
        <v>0</v>
      </c>
      <c r="P214" s="9">
        <f t="shared" si="143"/>
        <v>0</v>
      </c>
      <c r="Q214" s="9">
        <f t="shared" si="144"/>
        <v>0</v>
      </c>
      <c r="R214" s="22" t="str">
        <f>IFERROR(INDEX(Tesco!$Q$11:$Q$165,MATCH('Calculations - Tesco'!$C214,Tesco!$M$11:$M$165,0)),"")</f>
        <v/>
      </c>
      <c r="S214" s="22" t="str">
        <f>IFERROR(INDEX(Tesco!$R$11:$R$165,MATCH('Calculations - Tesco'!$C214,Tesco!$M$11:$M$165,0)),"")</f>
        <v/>
      </c>
      <c r="T214" s="16" t="e">
        <f t="shared" si="115"/>
        <v>#VALUE!</v>
      </c>
      <c r="U214" s="16" t="e">
        <f t="shared" si="130"/>
        <v>#VALUE!</v>
      </c>
      <c r="V214" s="16" t="e">
        <f t="shared" si="131"/>
        <v>#VALUE!</v>
      </c>
      <c r="W214" s="10" t="str">
        <f t="shared" si="116"/>
        <v>-</v>
      </c>
      <c r="X214" s="10" t="str">
        <f t="shared" si="117"/>
        <v>-</v>
      </c>
      <c r="Y214" s="13" t="str">
        <f t="shared" si="132"/>
        <v>-</v>
      </c>
      <c r="Z214" s="9" t="str">
        <f t="shared" si="118"/>
        <v>-</v>
      </c>
      <c r="AA214" s="16" t="str">
        <f t="shared" si="133"/>
        <v>-</v>
      </c>
      <c r="AB214" s="16" t="str">
        <f t="shared" si="119"/>
        <v>-</v>
      </c>
      <c r="AC214" s="16" t="str">
        <f t="shared" si="120"/>
        <v>-</v>
      </c>
      <c r="AD214" s="16" t="str">
        <f t="shared" si="134"/>
        <v>-</v>
      </c>
      <c r="AE214" s="16"/>
      <c r="AF214" s="31" t="str">
        <f>IFERROR(INDEX(Tesco!$P$11:$P$165,MATCH('Calculations - Tesco'!C214,Tesco!$M$11:$M$165,0)),"")</f>
        <v/>
      </c>
      <c r="AG214" s="23" t="str">
        <f t="shared" si="135"/>
        <v/>
      </c>
      <c r="AH214" s="23" t="str">
        <f t="shared" si="135"/>
        <v/>
      </c>
      <c r="AI214" s="9" t="str">
        <f t="shared" si="121"/>
        <v/>
      </c>
      <c r="AJ214" s="4" t="str">
        <f t="shared" si="122"/>
        <v/>
      </c>
      <c r="AK214" s="4"/>
      <c r="AL214" s="4"/>
      <c r="AM214" s="4"/>
      <c r="AN214" s="4"/>
      <c r="AO214" s="4"/>
      <c r="AP214" s="20" t="str">
        <f t="shared" si="123"/>
        <v>-</v>
      </c>
      <c r="AQ214" s="13" t="str">
        <f t="shared" si="136"/>
        <v>-</v>
      </c>
      <c r="AR214" s="13" t="str">
        <f t="shared" si="137"/>
        <v>-</v>
      </c>
      <c r="AS214" s="13" t="str">
        <f t="shared" si="124"/>
        <v>-</v>
      </c>
      <c r="AT214" s="16" t="str">
        <f t="shared" si="138"/>
        <v>-</v>
      </c>
      <c r="AU214" s="16" t="str">
        <f t="shared" si="125"/>
        <v>-</v>
      </c>
      <c r="AV214" s="16" t="str">
        <f t="shared" si="126"/>
        <v>-</v>
      </c>
      <c r="AW214" s="16" t="str">
        <f t="shared" si="139"/>
        <v>-</v>
      </c>
      <c r="AX214" s="13" t="str">
        <f t="shared" si="140"/>
        <v>-</v>
      </c>
      <c r="AY214" s="10" t="str">
        <f t="shared" si="141"/>
        <v>-</v>
      </c>
      <c r="AZ214" s="9" t="str">
        <f t="shared" si="142"/>
        <v>-</v>
      </c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</row>
    <row r="215" spans="2:68" x14ac:dyDescent="0.3">
      <c r="B215" s="108" t="str">
        <f t="shared" si="127"/>
        <v/>
      </c>
      <c r="C215" s="108" t="str">
        <f t="shared" si="113"/>
        <v/>
      </c>
      <c r="D215" s="3"/>
      <c r="E215" s="3"/>
      <c r="F215" s="3"/>
      <c r="G215" s="20">
        <f>IFERROR(INDEX('Input - Tesco'!F$2:F$200,MATCH('Calculations - Tesco'!$C215,'Input - Tesco'!$B$2:$B$200,0)),"")</f>
        <v>0</v>
      </c>
      <c r="H215" s="20">
        <f>IFERROR(INDEX('Input - Tesco'!G$2:G$200,MATCH('Calculations - Tesco'!$C215,'Input - Tesco'!$B$2:$B$200,0)),"")</f>
        <v>0</v>
      </c>
      <c r="I215" s="21">
        <f>IFERROR(INDEX('Input - Tesco'!H$2:H$200,MATCH('Calculations - Tesco'!$C215,'Input - Tesco'!$B$2:$B$200,0)),"")</f>
        <v>0</v>
      </c>
      <c r="J215" s="21">
        <f>IFERROR(INDEX('Input - Tesco'!I$2:I$200,MATCH('Calculations - Tesco'!$C215,'Input - Tesco'!$B$2:$B$200,0)),"")</f>
        <v>0</v>
      </c>
      <c r="K215" s="20">
        <f>IFERROR(INDEX('Input - Tesco'!J$2:J$200,MATCH('Calculations - Tesco'!$C215,'Input - Tesco'!$B$2:$B$200,0)),"")</f>
        <v>0</v>
      </c>
      <c r="L215" s="20">
        <f>IFERROR(INDEX('Input - Tesco'!K$2:K$200,MATCH('Calculations - Tesco'!$C215,'Input - Tesco'!$B$2:$B$200,0)),"")</f>
        <v>0</v>
      </c>
      <c r="M215" s="21" t="str">
        <f t="shared" si="128"/>
        <v/>
      </c>
      <c r="N215" s="21" t="str">
        <f t="shared" si="114"/>
        <v/>
      </c>
      <c r="O215" s="21">
        <f t="shared" si="129"/>
        <v>0</v>
      </c>
      <c r="P215" s="9">
        <f t="shared" si="143"/>
        <v>0</v>
      </c>
      <c r="Q215" s="9">
        <f t="shared" si="144"/>
        <v>0</v>
      </c>
      <c r="R215" s="22" t="str">
        <f>IFERROR(INDEX(Tesco!$Q$11:$Q$165,MATCH('Calculations - Tesco'!$C215,Tesco!$M$11:$M$165,0)),"")</f>
        <v/>
      </c>
      <c r="S215" s="22" t="str">
        <f>IFERROR(INDEX(Tesco!$R$11:$R$165,MATCH('Calculations - Tesco'!$C215,Tesco!$M$11:$M$165,0)),"")</f>
        <v/>
      </c>
      <c r="T215" s="16" t="e">
        <f t="shared" si="115"/>
        <v>#VALUE!</v>
      </c>
      <c r="U215" s="16" t="e">
        <f t="shared" si="130"/>
        <v>#VALUE!</v>
      </c>
      <c r="V215" s="16" t="e">
        <f t="shared" si="131"/>
        <v>#VALUE!</v>
      </c>
      <c r="W215" s="10" t="str">
        <f t="shared" si="116"/>
        <v>-</v>
      </c>
      <c r="X215" s="10" t="str">
        <f t="shared" si="117"/>
        <v>-</v>
      </c>
      <c r="Y215" s="13" t="str">
        <f t="shared" si="132"/>
        <v>-</v>
      </c>
      <c r="Z215" s="9" t="str">
        <f t="shared" si="118"/>
        <v>-</v>
      </c>
      <c r="AA215" s="16" t="str">
        <f t="shared" si="133"/>
        <v>-</v>
      </c>
      <c r="AB215" s="16" t="str">
        <f t="shared" si="119"/>
        <v>-</v>
      </c>
      <c r="AC215" s="16" t="str">
        <f t="shared" si="120"/>
        <v>-</v>
      </c>
      <c r="AD215" s="16" t="str">
        <f t="shared" si="134"/>
        <v>-</v>
      </c>
      <c r="AE215" s="16"/>
      <c r="AF215" s="31" t="str">
        <f>IFERROR(INDEX(Tesco!$P$11:$P$165,MATCH('Calculations - Tesco'!C215,Tesco!$M$11:$M$165,0)),"")</f>
        <v/>
      </c>
      <c r="AG215" s="23" t="str">
        <f t="shared" si="135"/>
        <v/>
      </c>
      <c r="AH215" s="23" t="str">
        <f t="shared" si="135"/>
        <v/>
      </c>
      <c r="AI215" s="9" t="str">
        <f t="shared" si="121"/>
        <v/>
      </c>
      <c r="AJ215" s="4" t="str">
        <f t="shared" si="122"/>
        <v/>
      </c>
      <c r="AK215" s="4"/>
      <c r="AL215" s="4"/>
      <c r="AM215" s="4"/>
      <c r="AN215" s="4"/>
      <c r="AO215" s="4"/>
      <c r="AP215" s="20" t="str">
        <f t="shared" si="123"/>
        <v>-</v>
      </c>
      <c r="AQ215" s="13" t="str">
        <f t="shared" si="136"/>
        <v>-</v>
      </c>
      <c r="AR215" s="13" t="str">
        <f t="shared" si="137"/>
        <v>-</v>
      </c>
      <c r="AS215" s="13" t="str">
        <f t="shared" si="124"/>
        <v>-</v>
      </c>
      <c r="AT215" s="16" t="str">
        <f t="shared" si="138"/>
        <v>-</v>
      </c>
      <c r="AU215" s="16" t="str">
        <f t="shared" si="125"/>
        <v>-</v>
      </c>
      <c r="AV215" s="16" t="str">
        <f t="shared" si="126"/>
        <v>-</v>
      </c>
      <c r="AW215" s="16" t="str">
        <f t="shared" si="139"/>
        <v>-</v>
      </c>
      <c r="AX215" s="13" t="str">
        <f t="shared" si="140"/>
        <v>-</v>
      </c>
      <c r="AY215" s="10" t="str">
        <f t="shared" si="141"/>
        <v>-</v>
      </c>
      <c r="AZ215" s="9" t="str">
        <f t="shared" si="142"/>
        <v>-</v>
      </c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</row>
    <row r="216" spans="2:68" x14ac:dyDescent="0.3">
      <c r="B216" s="108" t="str">
        <f t="shared" si="127"/>
        <v/>
      </c>
      <c r="C216" s="108" t="str">
        <f t="shared" si="113"/>
        <v/>
      </c>
      <c r="D216" s="3"/>
      <c r="E216" s="3"/>
      <c r="F216" s="3"/>
      <c r="G216" s="20">
        <f>IFERROR(INDEX('Input - Tesco'!F$2:F$200,MATCH('Calculations - Tesco'!$C216,'Input - Tesco'!$B$2:$B$200,0)),"")</f>
        <v>0</v>
      </c>
      <c r="H216" s="20">
        <f>IFERROR(INDEX('Input - Tesco'!G$2:G$200,MATCH('Calculations - Tesco'!$C216,'Input - Tesco'!$B$2:$B$200,0)),"")</f>
        <v>0</v>
      </c>
      <c r="I216" s="21">
        <f>IFERROR(INDEX('Input - Tesco'!H$2:H$200,MATCH('Calculations - Tesco'!$C216,'Input - Tesco'!$B$2:$B$200,0)),"")</f>
        <v>0</v>
      </c>
      <c r="J216" s="21">
        <f>IFERROR(INDEX('Input - Tesco'!I$2:I$200,MATCH('Calculations - Tesco'!$C216,'Input - Tesco'!$B$2:$B$200,0)),"")</f>
        <v>0</v>
      </c>
      <c r="K216" s="20">
        <f>IFERROR(INDEX('Input - Tesco'!J$2:J$200,MATCH('Calculations - Tesco'!$C216,'Input - Tesco'!$B$2:$B$200,0)),"")</f>
        <v>0</v>
      </c>
      <c r="L216" s="20">
        <f>IFERROR(INDEX('Input - Tesco'!K$2:K$200,MATCH('Calculations - Tesco'!$C216,'Input - Tesco'!$B$2:$B$200,0)),"")</f>
        <v>0</v>
      </c>
      <c r="M216" s="21" t="str">
        <f t="shared" si="128"/>
        <v/>
      </c>
      <c r="N216" s="21" t="str">
        <f t="shared" si="114"/>
        <v/>
      </c>
      <c r="O216" s="21">
        <f t="shared" si="129"/>
        <v>0</v>
      </c>
      <c r="P216" s="9">
        <f t="shared" si="143"/>
        <v>0</v>
      </c>
      <c r="Q216" s="9">
        <f t="shared" si="144"/>
        <v>0</v>
      </c>
      <c r="R216" s="22" t="str">
        <f>IFERROR(INDEX(Tesco!$Q$11:$Q$165,MATCH('Calculations - Tesco'!$C216,Tesco!$M$11:$M$165,0)),"")</f>
        <v/>
      </c>
      <c r="S216" s="22" t="str">
        <f>IFERROR(INDEX(Tesco!$R$11:$R$165,MATCH('Calculations - Tesco'!$C216,Tesco!$M$11:$M$165,0)),"")</f>
        <v/>
      </c>
      <c r="T216" s="16" t="e">
        <f t="shared" si="115"/>
        <v>#VALUE!</v>
      </c>
      <c r="U216" s="16" t="e">
        <f t="shared" si="130"/>
        <v>#VALUE!</v>
      </c>
      <c r="V216" s="16" t="e">
        <f t="shared" si="131"/>
        <v>#VALUE!</v>
      </c>
      <c r="W216" s="10" t="str">
        <f t="shared" si="116"/>
        <v>-</v>
      </c>
      <c r="X216" s="10" t="str">
        <f t="shared" si="117"/>
        <v>-</v>
      </c>
      <c r="Y216" s="13" t="str">
        <f t="shared" si="132"/>
        <v>-</v>
      </c>
      <c r="Z216" s="9" t="str">
        <f t="shared" si="118"/>
        <v>-</v>
      </c>
      <c r="AA216" s="16" t="str">
        <f t="shared" si="133"/>
        <v>-</v>
      </c>
      <c r="AB216" s="16" t="str">
        <f t="shared" si="119"/>
        <v>-</v>
      </c>
      <c r="AC216" s="16" t="str">
        <f t="shared" si="120"/>
        <v>-</v>
      </c>
      <c r="AD216" s="16" t="str">
        <f t="shared" si="134"/>
        <v>-</v>
      </c>
      <c r="AE216" s="16"/>
      <c r="AF216" s="31" t="str">
        <f>IFERROR(INDEX(Tesco!$P$11:$P$165,MATCH('Calculations - Tesco'!C216,Tesco!$M$11:$M$165,0)),"")</f>
        <v/>
      </c>
      <c r="AG216" s="23" t="str">
        <f t="shared" si="135"/>
        <v/>
      </c>
      <c r="AH216" s="23" t="str">
        <f t="shared" si="135"/>
        <v/>
      </c>
      <c r="AI216" s="9" t="str">
        <f t="shared" si="121"/>
        <v/>
      </c>
      <c r="AJ216" s="4" t="str">
        <f t="shared" si="122"/>
        <v/>
      </c>
      <c r="AK216" s="4"/>
      <c r="AL216" s="4"/>
      <c r="AM216" s="4"/>
      <c r="AN216" s="4"/>
      <c r="AO216" s="4"/>
      <c r="AP216" s="20" t="str">
        <f t="shared" si="123"/>
        <v>-</v>
      </c>
      <c r="AQ216" s="13" t="str">
        <f t="shared" si="136"/>
        <v>-</v>
      </c>
      <c r="AR216" s="13" t="str">
        <f t="shared" si="137"/>
        <v>-</v>
      </c>
      <c r="AS216" s="13" t="str">
        <f t="shared" si="124"/>
        <v>-</v>
      </c>
      <c r="AT216" s="16" t="str">
        <f t="shared" si="138"/>
        <v>-</v>
      </c>
      <c r="AU216" s="16" t="str">
        <f t="shared" si="125"/>
        <v>-</v>
      </c>
      <c r="AV216" s="16" t="str">
        <f t="shared" si="126"/>
        <v>-</v>
      </c>
      <c r="AW216" s="16" t="str">
        <f t="shared" si="139"/>
        <v>-</v>
      </c>
      <c r="AX216" s="13" t="str">
        <f t="shared" si="140"/>
        <v>-</v>
      </c>
      <c r="AY216" s="10" t="str">
        <f t="shared" si="141"/>
        <v>-</v>
      </c>
      <c r="AZ216" s="9" t="str">
        <f t="shared" si="142"/>
        <v>-</v>
      </c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</row>
    <row r="217" spans="2:68" x14ac:dyDescent="0.3">
      <c r="B217" s="108" t="str">
        <f t="shared" si="127"/>
        <v/>
      </c>
      <c r="C217" s="108" t="str">
        <f t="shared" si="113"/>
        <v/>
      </c>
      <c r="D217" s="3"/>
      <c r="E217" s="3"/>
      <c r="F217" s="3"/>
      <c r="G217" s="20">
        <f>IFERROR(INDEX('Input - Tesco'!F$2:F$200,MATCH('Calculations - Tesco'!$C217,'Input - Tesco'!$B$2:$B$200,0)),"")</f>
        <v>0</v>
      </c>
      <c r="H217" s="20">
        <f>IFERROR(INDEX('Input - Tesco'!G$2:G$200,MATCH('Calculations - Tesco'!$C217,'Input - Tesco'!$B$2:$B$200,0)),"")</f>
        <v>0</v>
      </c>
      <c r="I217" s="21">
        <f>IFERROR(INDEX('Input - Tesco'!H$2:H$200,MATCH('Calculations - Tesco'!$C217,'Input - Tesco'!$B$2:$B$200,0)),"")</f>
        <v>0</v>
      </c>
      <c r="J217" s="21">
        <f>IFERROR(INDEX('Input - Tesco'!I$2:I$200,MATCH('Calculations - Tesco'!$C217,'Input - Tesco'!$B$2:$B$200,0)),"")</f>
        <v>0</v>
      </c>
      <c r="K217" s="20">
        <f>IFERROR(INDEX('Input - Tesco'!J$2:J$200,MATCH('Calculations - Tesco'!$C217,'Input - Tesco'!$B$2:$B$200,0)),"")</f>
        <v>0</v>
      </c>
      <c r="L217" s="20">
        <f>IFERROR(INDEX('Input - Tesco'!K$2:K$200,MATCH('Calculations - Tesco'!$C217,'Input - Tesco'!$B$2:$B$200,0)),"")</f>
        <v>0</v>
      </c>
      <c r="M217" s="21" t="str">
        <f t="shared" si="128"/>
        <v/>
      </c>
      <c r="N217" s="21" t="str">
        <f t="shared" si="114"/>
        <v/>
      </c>
      <c r="O217" s="21">
        <f t="shared" si="129"/>
        <v>0</v>
      </c>
      <c r="P217" s="9">
        <f t="shared" si="143"/>
        <v>0</v>
      </c>
      <c r="Q217" s="9">
        <f t="shared" si="144"/>
        <v>0</v>
      </c>
      <c r="R217" s="22" t="str">
        <f>IFERROR(INDEX(Tesco!$Q$11:$Q$165,MATCH('Calculations - Tesco'!$C217,Tesco!$M$11:$M$165,0)),"")</f>
        <v/>
      </c>
      <c r="S217" s="22" t="str">
        <f>IFERROR(INDEX(Tesco!$R$11:$R$165,MATCH('Calculations - Tesco'!$C217,Tesco!$M$11:$M$165,0)),"")</f>
        <v/>
      </c>
      <c r="T217" s="16" t="e">
        <f t="shared" si="115"/>
        <v>#VALUE!</v>
      </c>
      <c r="U217" s="16" t="e">
        <f t="shared" si="130"/>
        <v>#VALUE!</v>
      </c>
      <c r="V217" s="16" t="e">
        <f t="shared" si="131"/>
        <v>#VALUE!</v>
      </c>
      <c r="W217" s="10" t="str">
        <f t="shared" si="116"/>
        <v>-</v>
      </c>
      <c r="X217" s="10" t="str">
        <f t="shared" si="117"/>
        <v>-</v>
      </c>
      <c r="Y217" s="13" t="str">
        <f t="shared" si="132"/>
        <v>-</v>
      </c>
      <c r="Z217" s="9" t="str">
        <f t="shared" si="118"/>
        <v>-</v>
      </c>
      <c r="AA217" s="16" t="str">
        <f t="shared" si="133"/>
        <v>-</v>
      </c>
      <c r="AB217" s="16" t="str">
        <f t="shared" si="119"/>
        <v>-</v>
      </c>
      <c r="AC217" s="16" t="str">
        <f t="shared" si="120"/>
        <v>-</v>
      </c>
      <c r="AD217" s="16" t="str">
        <f t="shared" si="134"/>
        <v>-</v>
      </c>
      <c r="AE217" s="16"/>
      <c r="AF217" s="31" t="str">
        <f>IFERROR(INDEX(Tesco!$P$11:$P$165,MATCH('Calculations - Tesco'!C217,Tesco!$M$11:$M$165,0)),"")</f>
        <v/>
      </c>
      <c r="AG217" s="23" t="str">
        <f t="shared" si="135"/>
        <v/>
      </c>
      <c r="AH217" s="23" t="str">
        <f t="shared" si="135"/>
        <v/>
      </c>
      <c r="AI217" s="9" t="str">
        <f t="shared" si="121"/>
        <v/>
      </c>
      <c r="AJ217" s="4" t="str">
        <f t="shared" si="122"/>
        <v/>
      </c>
      <c r="AK217" s="4"/>
      <c r="AL217" s="4"/>
      <c r="AM217" s="4"/>
      <c r="AN217" s="4"/>
      <c r="AO217" s="4"/>
      <c r="AP217" s="20" t="str">
        <f t="shared" si="123"/>
        <v>-</v>
      </c>
      <c r="AQ217" s="13" t="str">
        <f t="shared" si="136"/>
        <v>-</v>
      </c>
      <c r="AR217" s="13" t="str">
        <f t="shared" si="137"/>
        <v>-</v>
      </c>
      <c r="AS217" s="13" t="str">
        <f t="shared" si="124"/>
        <v>-</v>
      </c>
      <c r="AT217" s="16" t="str">
        <f t="shared" si="138"/>
        <v>-</v>
      </c>
      <c r="AU217" s="16" t="str">
        <f t="shared" si="125"/>
        <v>-</v>
      </c>
      <c r="AV217" s="16" t="str">
        <f t="shared" si="126"/>
        <v>-</v>
      </c>
      <c r="AW217" s="16" t="str">
        <f t="shared" si="139"/>
        <v>-</v>
      </c>
      <c r="AX217" s="13" t="str">
        <f t="shared" si="140"/>
        <v>-</v>
      </c>
      <c r="AY217" s="10" t="str">
        <f t="shared" si="141"/>
        <v>-</v>
      </c>
      <c r="AZ217" s="9" t="str">
        <f t="shared" si="142"/>
        <v>-</v>
      </c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</row>
    <row r="218" spans="2:68" x14ac:dyDescent="0.3">
      <c r="B218" s="108" t="str">
        <f t="shared" si="127"/>
        <v/>
      </c>
      <c r="C218" s="108" t="str">
        <f t="shared" si="113"/>
        <v/>
      </c>
      <c r="D218" s="3"/>
      <c r="E218" s="3"/>
      <c r="F218" s="3"/>
      <c r="G218" s="20">
        <f>IFERROR(INDEX('Input - Tesco'!F$2:F$200,MATCH('Calculations - Tesco'!$C218,'Input - Tesco'!$B$2:$B$200,0)),"")</f>
        <v>0</v>
      </c>
      <c r="H218" s="20">
        <f>IFERROR(INDEX('Input - Tesco'!G$2:G$200,MATCH('Calculations - Tesco'!$C218,'Input - Tesco'!$B$2:$B$200,0)),"")</f>
        <v>0</v>
      </c>
      <c r="I218" s="21">
        <f>IFERROR(INDEX('Input - Tesco'!H$2:H$200,MATCH('Calculations - Tesco'!$C218,'Input - Tesco'!$B$2:$B$200,0)),"")</f>
        <v>0</v>
      </c>
      <c r="J218" s="21">
        <f>IFERROR(INDEX('Input - Tesco'!I$2:I$200,MATCH('Calculations - Tesco'!$C218,'Input - Tesco'!$B$2:$B$200,0)),"")</f>
        <v>0</v>
      </c>
      <c r="K218" s="20">
        <f>IFERROR(INDEX('Input - Tesco'!J$2:J$200,MATCH('Calculations - Tesco'!$C218,'Input - Tesco'!$B$2:$B$200,0)),"")</f>
        <v>0</v>
      </c>
      <c r="L218" s="20">
        <f>IFERROR(INDEX('Input - Tesco'!K$2:K$200,MATCH('Calculations - Tesco'!$C218,'Input - Tesco'!$B$2:$B$200,0)),"")</f>
        <v>0</v>
      </c>
      <c r="M218" s="21" t="str">
        <f t="shared" si="128"/>
        <v/>
      </c>
      <c r="N218" s="21" t="str">
        <f t="shared" si="114"/>
        <v/>
      </c>
      <c r="O218" s="21">
        <f t="shared" si="129"/>
        <v>0</v>
      </c>
      <c r="P218" s="9">
        <f t="shared" si="143"/>
        <v>0</v>
      </c>
      <c r="Q218" s="9">
        <f t="shared" si="144"/>
        <v>0</v>
      </c>
      <c r="R218" s="22" t="str">
        <f>IFERROR(INDEX(Tesco!$Q$11:$Q$165,MATCH('Calculations - Tesco'!$C218,Tesco!$M$11:$M$165,0)),"")</f>
        <v/>
      </c>
      <c r="S218" s="22" t="str">
        <f>IFERROR(INDEX(Tesco!$R$11:$R$165,MATCH('Calculations - Tesco'!$C218,Tesco!$M$11:$M$165,0)),"")</f>
        <v/>
      </c>
      <c r="T218" s="16" t="e">
        <f t="shared" si="115"/>
        <v>#VALUE!</v>
      </c>
      <c r="U218" s="16" t="e">
        <f t="shared" si="130"/>
        <v>#VALUE!</v>
      </c>
      <c r="V218" s="16" t="e">
        <f t="shared" si="131"/>
        <v>#VALUE!</v>
      </c>
      <c r="W218" s="10" t="str">
        <f t="shared" si="116"/>
        <v>-</v>
      </c>
      <c r="X218" s="10" t="str">
        <f t="shared" si="117"/>
        <v>-</v>
      </c>
      <c r="Y218" s="13" t="str">
        <f t="shared" si="132"/>
        <v>-</v>
      </c>
      <c r="Z218" s="9" t="str">
        <f t="shared" si="118"/>
        <v>-</v>
      </c>
      <c r="AA218" s="16" t="str">
        <f t="shared" si="133"/>
        <v>-</v>
      </c>
      <c r="AB218" s="16" t="str">
        <f t="shared" si="119"/>
        <v>-</v>
      </c>
      <c r="AC218" s="16" t="str">
        <f t="shared" si="120"/>
        <v>-</v>
      </c>
      <c r="AD218" s="16" t="str">
        <f t="shared" si="134"/>
        <v>-</v>
      </c>
      <c r="AE218" s="16"/>
      <c r="AF218" s="31" t="str">
        <f>IFERROR(INDEX(Tesco!$P$11:$P$165,MATCH('Calculations - Tesco'!C218,Tesco!$M$11:$M$165,0)),"")</f>
        <v/>
      </c>
      <c r="AG218" s="23" t="str">
        <f t="shared" si="135"/>
        <v/>
      </c>
      <c r="AH218" s="23" t="str">
        <f t="shared" si="135"/>
        <v/>
      </c>
      <c r="AI218" s="9" t="str">
        <f t="shared" si="121"/>
        <v/>
      </c>
      <c r="AJ218" s="4" t="str">
        <f t="shared" si="122"/>
        <v/>
      </c>
      <c r="AK218" s="4"/>
      <c r="AL218" s="4"/>
      <c r="AM218" s="4"/>
      <c r="AN218" s="4"/>
      <c r="AO218" s="4"/>
      <c r="AP218" s="20" t="str">
        <f t="shared" si="123"/>
        <v>-</v>
      </c>
      <c r="AQ218" s="13" t="str">
        <f t="shared" si="136"/>
        <v>-</v>
      </c>
      <c r="AR218" s="13" t="str">
        <f t="shared" si="137"/>
        <v>-</v>
      </c>
      <c r="AS218" s="13" t="str">
        <f t="shared" si="124"/>
        <v>-</v>
      </c>
      <c r="AT218" s="16" t="str">
        <f t="shared" si="138"/>
        <v>-</v>
      </c>
      <c r="AU218" s="16" t="str">
        <f t="shared" si="125"/>
        <v>-</v>
      </c>
      <c r="AV218" s="16" t="str">
        <f t="shared" si="126"/>
        <v>-</v>
      </c>
      <c r="AW218" s="16" t="str">
        <f t="shared" si="139"/>
        <v>-</v>
      </c>
      <c r="AX218" s="13" t="str">
        <f t="shared" si="140"/>
        <v>-</v>
      </c>
      <c r="AY218" s="10" t="str">
        <f t="shared" si="141"/>
        <v>-</v>
      </c>
      <c r="AZ218" s="9" t="str">
        <f t="shared" si="142"/>
        <v>-</v>
      </c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</row>
    <row r="219" spans="2:68" x14ac:dyDescent="0.3">
      <c r="B219" s="108" t="str">
        <f t="shared" si="127"/>
        <v/>
      </c>
      <c r="C219" s="108" t="str">
        <f t="shared" si="113"/>
        <v/>
      </c>
      <c r="D219" s="3"/>
      <c r="E219" s="3"/>
      <c r="F219" s="3"/>
      <c r="G219" s="20">
        <f>IFERROR(INDEX('Input - Tesco'!F$2:F$200,MATCH('Calculations - Tesco'!$C219,'Input - Tesco'!$B$2:$B$200,0)),"")</f>
        <v>0</v>
      </c>
      <c r="H219" s="20">
        <f>IFERROR(INDEX('Input - Tesco'!G$2:G$200,MATCH('Calculations - Tesco'!$C219,'Input - Tesco'!$B$2:$B$200,0)),"")</f>
        <v>0</v>
      </c>
      <c r="I219" s="21">
        <f>IFERROR(INDEX('Input - Tesco'!H$2:H$200,MATCH('Calculations - Tesco'!$C219,'Input - Tesco'!$B$2:$B$200,0)),"")</f>
        <v>0</v>
      </c>
      <c r="J219" s="21">
        <f>IFERROR(INDEX('Input - Tesco'!I$2:I$200,MATCH('Calculations - Tesco'!$C219,'Input - Tesco'!$B$2:$B$200,0)),"")</f>
        <v>0</v>
      </c>
      <c r="K219" s="20">
        <f>IFERROR(INDEX('Input - Tesco'!J$2:J$200,MATCH('Calculations - Tesco'!$C219,'Input - Tesco'!$B$2:$B$200,0)),"")</f>
        <v>0</v>
      </c>
      <c r="L219" s="20">
        <f>IFERROR(INDEX('Input - Tesco'!K$2:K$200,MATCH('Calculations - Tesco'!$C219,'Input - Tesco'!$B$2:$B$200,0)),"")</f>
        <v>0</v>
      </c>
      <c r="M219" s="21" t="str">
        <f t="shared" si="128"/>
        <v/>
      </c>
      <c r="N219" s="21" t="str">
        <f t="shared" si="114"/>
        <v/>
      </c>
      <c r="O219" s="21">
        <f t="shared" si="129"/>
        <v>0</v>
      </c>
      <c r="P219" s="9">
        <f t="shared" si="143"/>
        <v>0</v>
      </c>
      <c r="Q219" s="9">
        <f t="shared" si="144"/>
        <v>0</v>
      </c>
      <c r="R219" s="22" t="str">
        <f>IFERROR(INDEX(Tesco!$Q$11:$Q$165,MATCH('Calculations - Tesco'!$C219,Tesco!$M$11:$M$165,0)),"")</f>
        <v/>
      </c>
      <c r="S219" s="22" t="str">
        <f>IFERROR(INDEX(Tesco!$R$11:$R$165,MATCH('Calculations - Tesco'!$C219,Tesco!$M$11:$M$165,0)),"")</f>
        <v/>
      </c>
      <c r="T219" s="16" t="e">
        <f t="shared" si="115"/>
        <v>#VALUE!</v>
      </c>
      <c r="U219" s="16" t="e">
        <f t="shared" si="130"/>
        <v>#VALUE!</v>
      </c>
      <c r="V219" s="16" t="e">
        <f t="shared" si="131"/>
        <v>#VALUE!</v>
      </c>
      <c r="W219" s="10" t="str">
        <f t="shared" si="116"/>
        <v>-</v>
      </c>
      <c r="X219" s="10" t="str">
        <f t="shared" si="117"/>
        <v>-</v>
      </c>
      <c r="Y219" s="13" t="str">
        <f t="shared" si="132"/>
        <v>-</v>
      </c>
      <c r="Z219" s="9" t="str">
        <f t="shared" si="118"/>
        <v>-</v>
      </c>
      <c r="AA219" s="16" t="str">
        <f t="shared" si="133"/>
        <v>-</v>
      </c>
      <c r="AB219" s="16" t="str">
        <f t="shared" si="119"/>
        <v>-</v>
      </c>
      <c r="AC219" s="16" t="str">
        <f t="shared" si="120"/>
        <v>-</v>
      </c>
      <c r="AD219" s="16" t="str">
        <f t="shared" si="134"/>
        <v>-</v>
      </c>
      <c r="AE219" s="16"/>
      <c r="AF219" s="31" t="str">
        <f>IFERROR(INDEX(Tesco!$P$11:$P$165,MATCH('Calculations - Tesco'!C219,Tesco!$M$11:$M$165,0)),"")</f>
        <v/>
      </c>
      <c r="AG219" s="23" t="str">
        <f t="shared" si="135"/>
        <v/>
      </c>
      <c r="AH219" s="23" t="str">
        <f t="shared" si="135"/>
        <v/>
      </c>
      <c r="AI219" s="9" t="str">
        <f t="shared" si="121"/>
        <v/>
      </c>
      <c r="AJ219" s="4" t="str">
        <f t="shared" si="122"/>
        <v/>
      </c>
      <c r="AK219" s="4"/>
      <c r="AL219" s="4"/>
      <c r="AM219" s="4"/>
      <c r="AN219" s="4"/>
      <c r="AO219" s="4"/>
      <c r="AP219" s="20" t="str">
        <f t="shared" si="123"/>
        <v>-</v>
      </c>
      <c r="AQ219" s="13" t="str">
        <f t="shared" si="136"/>
        <v>-</v>
      </c>
      <c r="AR219" s="13" t="str">
        <f t="shared" si="137"/>
        <v>-</v>
      </c>
      <c r="AS219" s="13" t="str">
        <f t="shared" si="124"/>
        <v>-</v>
      </c>
      <c r="AT219" s="16" t="str">
        <f t="shared" si="138"/>
        <v>-</v>
      </c>
      <c r="AU219" s="16" t="str">
        <f t="shared" si="125"/>
        <v>-</v>
      </c>
      <c r="AV219" s="16" t="str">
        <f t="shared" si="126"/>
        <v>-</v>
      </c>
      <c r="AW219" s="16" t="str">
        <f t="shared" si="139"/>
        <v>-</v>
      </c>
      <c r="AX219" s="13" t="str">
        <f t="shared" si="140"/>
        <v>-</v>
      </c>
      <c r="AY219" s="10" t="str">
        <f t="shared" si="141"/>
        <v>-</v>
      </c>
      <c r="AZ219" s="9" t="str">
        <f t="shared" si="142"/>
        <v>-</v>
      </c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</row>
    <row r="220" spans="2:68" x14ac:dyDescent="0.3">
      <c r="B220" s="108" t="str">
        <f t="shared" si="127"/>
        <v/>
      </c>
      <c r="C220" s="108" t="str">
        <f t="shared" si="113"/>
        <v/>
      </c>
      <c r="D220" s="3"/>
      <c r="E220" s="3"/>
      <c r="F220" s="3"/>
      <c r="G220" s="20">
        <f>IFERROR(INDEX('Input - Tesco'!F$2:F$200,MATCH('Calculations - Tesco'!$C220,'Input - Tesco'!$B$2:$B$200,0)),"")</f>
        <v>0</v>
      </c>
      <c r="H220" s="20">
        <f>IFERROR(INDEX('Input - Tesco'!G$2:G$200,MATCH('Calculations - Tesco'!$C220,'Input - Tesco'!$B$2:$B$200,0)),"")</f>
        <v>0</v>
      </c>
      <c r="I220" s="21">
        <f>IFERROR(INDEX('Input - Tesco'!H$2:H$200,MATCH('Calculations - Tesco'!$C220,'Input - Tesco'!$B$2:$B$200,0)),"")</f>
        <v>0</v>
      </c>
      <c r="J220" s="21">
        <f>IFERROR(INDEX('Input - Tesco'!I$2:I$200,MATCH('Calculations - Tesco'!$C220,'Input - Tesco'!$B$2:$B$200,0)),"")</f>
        <v>0</v>
      </c>
      <c r="K220" s="20">
        <f>IFERROR(INDEX('Input - Tesco'!J$2:J$200,MATCH('Calculations - Tesco'!$C220,'Input - Tesco'!$B$2:$B$200,0)),"")</f>
        <v>0</v>
      </c>
      <c r="L220" s="20">
        <f>IFERROR(INDEX('Input - Tesco'!K$2:K$200,MATCH('Calculations - Tesco'!$C220,'Input - Tesco'!$B$2:$B$200,0)),"")</f>
        <v>0</v>
      </c>
      <c r="M220" s="21" t="str">
        <f t="shared" si="128"/>
        <v/>
      </c>
      <c r="N220" s="21" t="str">
        <f t="shared" si="114"/>
        <v/>
      </c>
      <c r="O220" s="21">
        <f t="shared" si="129"/>
        <v>0</v>
      </c>
      <c r="P220" s="9">
        <f t="shared" si="143"/>
        <v>0</v>
      </c>
      <c r="Q220" s="9">
        <f t="shared" si="144"/>
        <v>0</v>
      </c>
      <c r="R220" s="22" t="str">
        <f>IFERROR(INDEX(Tesco!$Q$11:$Q$165,MATCH('Calculations - Tesco'!$C220,Tesco!$M$11:$M$165,0)),"")</f>
        <v/>
      </c>
      <c r="S220" s="22" t="str">
        <f>IFERROR(INDEX(Tesco!$R$11:$R$165,MATCH('Calculations - Tesco'!$C220,Tesco!$M$11:$M$165,0)),"")</f>
        <v/>
      </c>
      <c r="T220" s="16" t="e">
        <f t="shared" si="115"/>
        <v>#VALUE!</v>
      </c>
      <c r="U220" s="16" t="e">
        <f t="shared" si="130"/>
        <v>#VALUE!</v>
      </c>
      <c r="V220" s="16" t="e">
        <f t="shared" si="131"/>
        <v>#VALUE!</v>
      </c>
      <c r="W220" s="10" t="str">
        <f t="shared" si="116"/>
        <v>-</v>
      </c>
      <c r="X220" s="10" t="str">
        <f t="shared" si="117"/>
        <v>-</v>
      </c>
      <c r="Y220" s="13" t="str">
        <f t="shared" si="132"/>
        <v>-</v>
      </c>
      <c r="Z220" s="9" t="str">
        <f t="shared" si="118"/>
        <v>-</v>
      </c>
      <c r="AA220" s="16" t="str">
        <f t="shared" si="133"/>
        <v>-</v>
      </c>
      <c r="AB220" s="16" t="str">
        <f t="shared" si="119"/>
        <v>-</v>
      </c>
      <c r="AC220" s="16" t="str">
        <f t="shared" si="120"/>
        <v>-</v>
      </c>
      <c r="AD220" s="16" t="str">
        <f t="shared" si="134"/>
        <v>-</v>
      </c>
      <c r="AE220" s="16"/>
      <c r="AF220" s="31" t="str">
        <f>IFERROR(INDEX(Tesco!$P$11:$P$165,MATCH('Calculations - Tesco'!C220,Tesco!$M$11:$M$165,0)),"")</f>
        <v/>
      </c>
      <c r="AG220" s="23" t="str">
        <f t="shared" si="135"/>
        <v/>
      </c>
      <c r="AH220" s="23" t="str">
        <f t="shared" si="135"/>
        <v/>
      </c>
      <c r="AI220" s="9" t="str">
        <f t="shared" si="121"/>
        <v/>
      </c>
      <c r="AJ220" s="4" t="str">
        <f t="shared" si="122"/>
        <v/>
      </c>
      <c r="AK220" s="4"/>
      <c r="AL220" s="4"/>
      <c r="AM220" s="4"/>
      <c r="AN220" s="4"/>
      <c r="AO220" s="4"/>
      <c r="AP220" s="20" t="str">
        <f t="shared" si="123"/>
        <v>-</v>
      </c>
      <c r="AQ220" s="13" t="str">
        <f t="shared" si="136"/>
        <v>-</v>
      </c>
      <c r="AR220" s="13" t="str">
        <f t="shared" si="137"/>
        <v>-</v>
      </c>
      <c r="AS220" s="13" t="str">
        <f t="shared" si="124"/>
        <v>-</v>
      </c>
      <c r="AT220" s="16" t="str">
        <f t="shared" si="138"/>
        <v>-</v>
      </c>
      <c r="AU220" s="16" t="str">
        <f t="shared" si="125"/>
        <v>-</v>
      </c>
      <c r="AV220" s="16" t="str">
        <f t="shared" si="126"/>
        <v>-</v>
      </c>
      <c r="AW220" s="16" t="str">
        <f t="shared" si="139"/>
        <v>-</v>
      </c>
      <c r="AX220" s="13" t="str">
        <f t="shared" si="140"/>
        <v>-</v>
      </c>
      <c r="AY220" s="10" t="str">
        <f t="shared" si="141"/>
        <v>-</v>
      </c>
      <c r="AZ220" s="9" t="str">
        <f t="shared" si="142"/>
        <v>-</v>
      </c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</row>
    <row r="221" spans="2:68" x14ac:dyDescent="0.3">
      <c r="B221" s="108" t="str">
        <f t="shared" si="127"/>
        <v/>
      </c>
      <c r="C221" s="108" t="str">
        <f t="shared" si="113"/>
        <v/>
      </c>
      <c r="D221" s="3"/>
      <c r="E221" s="3"/>
      <c r="F221" s="3"/>
      <c r="G221" s="20">
        <f>IFERROR(INDEX('Input - Tesco'!F$2:F$200,MATCH('Calculations - Tesco'!$C221,'Input - Tesco'!$B$2:$B$200,0)),"")</f>
        <v>0</v>
      </c>
      <c r="H221" s="20">
        <f>IFERROR(INDEX('Input - Tesco'!G$2:G$200,MATCH('Calculations - Tesco'!$C221,'Input - Tesco'!$B$2:$B$200,0)),"")</f>
        <v>0</v>
      </c>
      <c r="I221" s="21">
        <f>IFERROR(INDEX('Input - Tesco'!H$2:H$200,MATCH('Calculations - Tesco'!$C221,'Input - Tesco'!$B$2:$B$200,0)),"")</f>
        <v>0</v>
      </c>
      <c r="J221" s="21">
        <f>IFERROR(INDEX('Input - Tesco'!I$2:I$200,MATCH('Calculations - Tesco'!$C221,'Input - Tesco'!$B$2:$B$200,0)),"")</f>
        <v>0</v>
      </c>
      <c r="K221" s="20">
        <f>IFERROR(INDEX('Input - Tesco'!J$2:J$200,MATCH('Calculations - Tesco'!$C221,'Input - Tesco'!$B$2:$B$200,0)),"")</f>
        <v>0</v>
      </c>
      <c r="L221" s="20">
        <f>IFERROR(INDEX('Input - Tesco'!K$2:K$200,MATCH('Calculations - Tesco'!$C221,'Input - Tesco'!$B$2:$B$200,0)),"")</f>
        <v>0</v>
      </c>
      <c r="M221" s="21" t="str">
        <f t="shared" si="128"/>
        <v/>
      </c>
      <c r="N221" s="21" t="str">
        <f t="shared" si="114"/>
        <v/>
      </c>
      <c r="O221" s="21">
        <f t="shared" si="129"/>
        <v>0</v>
      </c>
      <c r="P221" s="9">
        <f t="shared" si="143"/>
        <v>0</v>
      </c>
      <c r="Q221" s="9">
        <f t="shared" si="144"/>
        <v>0</v>
      </c>
      <c r="R221" s="22" t="str">
        <f>IFERROR(INDEX(Tesco!$Q$11:$Q$165,MATCH('Calculations - Tesco'!$C221,Tesco!$M$11:$M$165,0)),"")</f>
        <v/>
      </c>
      <c r="S221" s="22" t="str">
        <f>IFERROR(INDEX(Tesco!$R$11:$R$165,MATCH('Calculations - Tesco'!$C221,Tesco!$M$11:$M$165,0)),"")</f>
        <v/>
      </c>
      <c r="T221" s="16" t="e">
        <f t="shared" si="115"/>
        <v>#VALUE!</v>
      </c>
      <c r="U221" s="16" t="e">
        <f t="shared" si="130"/>
        <v>#VALUE!</v>
      </c>
      <c r="V221" s="16" t="e">
        <f t="shared" si="131"/>
        <v>#VALUE!</v>
      </c>
      <c r="W221" s="10" t="str">
        <f t="shared" si="116"/>
        <v>-</v>
      </c>
      <c r="X221" s="10" t="str">
        <f t="shared" si="117"/>
        <v>-</v>
      </c>
      <c r="Y221" s="13" t="str">
        <f t="shared" si="132"/>
        <v>-</v>
      </c>
      <c r="Z221" s="9" t="str">
        <f t="shared" si="118"/>
        <v>-</v>
      </c>
      <c r="AA221" s="16" t="str">
        <f t="shared" si="133"/>
        <v>-</v>
      </c>
      <c r="AB221" s="16" t="str">
        <f t="shared" si="119"/>
        <v>-</v>
      </c>
      <c r="AC221" s="16" t="str">
        <f t="shared" si="120"/>
        <v>-</v>
      </c>
      <c r="AD221" s="16" t="str">
        <f t="shared" si="134"/>
        <v>-</v>
      </c>
      <c r="AE221" s="16"/>
      <c r="AF221" s="31" t="str">
        <f>IFERROR(INDEX(Tesco!$P$11:$P$165,MATCH('Calculations - Tesco'!C221,Tesco!$M$11:$M$165,0)),"")</f>
        <v/>
      </c>
      <c r="AG221" s="23" t="str">
        <f t="shared" si="135"/>
        <v/>
      </c>
      <c r="AH221" s="23" t="str">
        <f t="shared" si="135"/>
        <v/>
      </c>
      <c r="AI221" s="9" t="str">
        <f t="shared" si="121"/>
        <v/>
      </c>
      <c r="AJ221" s="4" t="str">
        <f t="shared" si="122"/>
        <v/>
      </c>
      <c r="AK221" s="4"/>
      <c r="AL221" s="4"/>
      <c r="AM221" s="4"/>
      <c r="AN221" s="4"/>
      <c r="AO221" s="4"/>
      <c r="AP221" s="20" t="str">
        <f t="shared" si="123"/>
        <v>-</v>
      </c>
      <c r="AQ221" s="13" t="str">
        <f t="shared" si="136"/>
        <v>-</v>
      </c>
      <c r="AR221" s="13" t="str">
        <f t="shared" si="137"/>
        <v>-</v>
      </c>
      <c r="AS221" s="13" t="str">
        <f t="shared" si="124"/>
        <v>-</v>
      </c>
      <c r="AT221" s="16" t="str">
        <f t="shared" si="138"/>
        <v>-</v>
      </c>
      <c r="AU221" s="16" t="str">
        <f t="shared" si="125"/>
        <v>-</v>
      </c>
      <c r="AV221" s="16" t="str">
        <f t="shared" si="126"/>
        <v>-</v>
      </c>
      <c r="AW221" s="16" t="str">
        <f t="shared" si="139"/>
        <v>-</v>
      </c>
      <c r="AX221" s="13" t="str">
        <f t="shared" si="140"/>
        <v>-</v>
      </c>
      <c r="AY221" s="10" t="str">
        <f t="shared" si="141"/>
        <v>-</v>
      </c>
      <c r="AZ221" s="9" t="str">
        <f t="shared" si="142"/>
        <v>-</v>
      </c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</row>
    <row r="222" spans="2:68" x14ac:dyDescent="0.3">
      <c r="B222" s="108" t="str">
        <f t="shared" si="127"/>
        <v/>
      </c>
      <c r="C222" s="108" t="str">
        <f t="shared" si="113"/>
        <v/>
      </c>
      <c r="D222" s="3"/>
      <c r="E222" s="3"/>
      <c r="F222" s="3"/>
      <c r="G222" s="20">
        <f>IFERROR(INDEX('Input - Tesco'!F$2:F$200,MATCH('Calculations - Tesco'!$C222,'Input - Tesco'!$B$2:$B$200,0)),"")</f>
        <v>0</v>
      </c>
      <c r="H222" s="20">
        <f>IFERROR(INDEX('Input - Tesco'!G$2:G$200,MATCH('Calculations - Tesco'!$C222,'Input - Tesco'!$B$2:$B$200,0)),"")</f>
        <v>0</v>
      </c>
      <c r="I222" s="21">
        <f>IFERROR(INDEX('Input - Tesco'!H$2:H$200,MATCH('Calculations - Tesco'!$C222,'Input - Tesco'!$B$2:$B$200,0)),"")</f>
        <v>0</v>
      </c>
      <c r="J222" s="21">
        <f>IFERROR(INDEX('Input - Tesco'!I$2:I$200,MATCH('Calculations - Tesco'!$C222,'Input - Tesco'!$B$2:$B$200,0)),"")</f>
        <v>0</v>
      </c>
      <c r="K222" s="20">
        <f>IFERROR(INDEX('Input - Tesco'!J$2:J$200,MATCH('Calculations - Tesco'!$C222,'Input - Tesco'!$B$2:$B$200,0)),"")</f>
        <v>0</v>
      </c>
      <c r="L222" s="20">
        <f>IFERROR(INDEX('Input - Tesco'!K$2:K$200,MATCH('Calculations - Tesco'!$C222,'Input - Tesco'!$B$2:$B$200,0)),"")</f>
        <v>0</v>
      </c>
      <c r="M222" s="21" t="str">
        <f t="shared" si="128"/>
        <v/>
      </c>
      <c r="N222" s="21" t="str">
        <f t="shared" si="114"/>
        <v/>
      </c>
      <c r="O222" s="21">
        <f t="shared" si="129"/>
        <v>0</v>
      </c>
      <c r="P222" s="9">
        <f t="shared" si="143"/>
        <v>0</v>
      </c>
      <c r="Q222" s="9">
        <f t="shared" si="144"/>
        <v>0</v>
      </c>
      <c r="R222" s="22" t="str">
        <f>IFERROR(INDEX(Tesco!$Q$11:$Q$165,MATCH('Calculations - Tesco'!$C222,Tesco!$M$11:$M$165,0)),"")</f>
        <v/>
      </c>
      <c r="S222" s="22" t="str">
        <f>IFERROR(INDEX(Tesco!$R$11:$R$165,MATCH('Calculations - Tesco'!$C222,Tesco!$M$11:$M$165,0)),"")</f>
        <v/>
      </c>
      <c r="T222" s="16" t="e">
        <f t="shared" si="115"/>
        <v>#VALUE!</v>
      </c>
      <c r="U222" s="16" t="e">
        <f t="shared" si="130"/>
        <v>#VALUE!</v>
      </c>
      <c r="V222" s="16" t="e">
        <f t="shared" si="131"/>
        <v>#VALUE!</v>
      </c>
      <c r="W222" s="10" t="str">
        <f t="shared" si="116"/>
        <v>-</v>
      </c>
      <c r="X222" s="10" t="str">
        <f t="shared" si="117"/>
        <v>-</v>
      </c>
      <c r="Y222" s="13" t="str">
        <f t="shared" si="132"/>
        <v>-</v>
      </c>
      <c r="Z222" s="9" t="str">
        <f t="shared" si="118"/>
        <v>-</v>
      </c>
      <c r="AA222" s="16" t="str">
        <f t="shared" si="133"/>
        <v>-</v>
      </c>
      <c r="AB222" s="16" t="str">
        <f t="shared" si="119"/>
        <v>-</v>
      </c>
      <c r="AC222" s="16" t="str">
        <f t="shared" si="120"/>
        <v>-</v>
      </c>
      <c r="AD222" s="16" t="str">
        <f t="shared" si="134"/>
        <v>-</v>
      </c>
      <c r="AE222" s="16"/>
      <c r="AF222" s="31" t="str">
        <f>IFERROR(INDEX(Tesco!$P$11:$P$165,MATCH('Calculations - Tesco'!C222,Tesco!$M$11:$M$165,0)),"")</f>
        <v/>
      </c>
      <c r="AG222" s="23" t="str">
        <f t="shared" si="135"/>
        <v/>
      </c>
      <c r="AH222" s="23" t="str">
        <f t="shared" si="135"/>
        <v/>
      </c>
      <c r="AI222" s="9" t="str">
        <f t="shared" si="121"/>
        <v/>
      </c>
      <c r="AJ222" s="4" t="str">
        <f t="shared" si="122"/>
        <v/>
      </c>
      <c r="AK222" s="4"/>
      <c r="AL222" s="4"/>
      <c r="AM222" s="4"/>
      <c r="AN222" s="4"/>
      <c r="AO222" s="4"/>
      <c r="AP222" s="20" t="str">
        <f t="shared" si="123"/>
        <v>-</v>
      </c>
      <c r="AQ222" s="13" t="str">
        <f t="shared" si="136"/>
        <v>-</v>
      </c>
      <c r="AR222" s="13" t="str">
        <f t="shared" si="137"/>
        <v>-</v>
      </c>
      <c r="AS222" s="13" t="str">
        <f t="shared" si="124"/>
        <v>-</v>
      </c>
      <c r="AT222" s="16" t="str">
        <f t="shared" si="138"/>
        <v>-</v>
      </c>
      <c r="AU222" s="16" t="str">
        <f t="shared" si="125"/>
        <v>-</v>
      </c>
      <c r="AV222" s="16" t="str">
        <f t="shared" si="126"/>
        <v>-</v>
      </c>
      <c r="AW222" s="16" t="str">
        <f t="shared" si="139"/>
        <v>-</v>
      </c>
      <c r="AX222" s="13" t="str">
        <f t="shared" si="140"/>
        <v>-</v>
      </c>
      <c r="AY222" s="10" t="str">
        <f t="shared" si="141"/>
        <v>-</v>
      </c>
      <c r="AZ222" s="9" t="str">
        <f t="shared" si="142"/>
        <v>-</v>
      </c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</row>
    <row r="223" spans="2:68" x14ac:dyDescent="0.3">
      <c r="B223" s="108" t="str">
        <f t="shared" si="127"/>
        <v/>
      </c>
      <c r="C223" s="108" t="str">
        <f t="shared" si="113"/>
        <v/>
      </c>
      <c r="D223" s="3"/>
      <c r="E223" s="3"/>
      <c r="F223" s="3"/>
      <c r="G223" s="20">
        <f>IFERROR(INDEX('Input - Tesco'!F$2:F$200,MATCH('Calculations - Tesco'!$C223,'Input - Tesco'!$B$2:$B$200,0)),"")</f>
        <v>0</v>
      </c>
      <c r="H223" s="20">
        <f>IFERROR(INDEX('Input - Tesco'!G$2:G$200,MATCH('Calculations - Tesco'!$C223,'Input - Tesco'!$B$2:$B$200,0)),"")</f>
        <v>0</v>
      </c>
      <c r="I223" s="21">
        <f>IFERROR(INDEX('Input - Tesco'!H$2:H$200,MATCH('Calculations - Tesco'!$C223,'Input - Tesco'!$B$2:$B$200,0)),"")</f>
        <v>0</v>
      </c>
      <c r="J223" s="21">
        <f>IFERROR(INDEX('Input - Tesco'!I$2:I$200,MATCH('Calculations - Tesco'!$C223,'Input - Tesco'!$B$2:$B$200,0)),"")</f>
        <v>0</v>
      </c>
      <c r="K223" s="20">
        <f>IFERROR(INDEX('Input - Tesco'!J$2:J$200,MATCH('Calculations - Tesco'!$C223,'Input - Tesco'!$B$2:$B$200,0)),"")</f>
        <v>0</v>
      </c>
      <c r="L223" s="20">
        <f>IFERROR(INDEX('Input - Tesco'!K$2:K$200,MATCH('Calculations - Tesco'!$C223,'Input - Tesco'!$B$2:$B$200,0)),"")</f>
        <v>0</v>
      </c>
      <c r="M223" s="21" t="str">
        <f t="shared" si="128"/>
        <v/>
      </c>
      <c r="N223" s="21" t="str">
        <f t="shared" si="114"/>
        <v/>
      </c>
      <c r="O223" s="21">
        <f t="shared" si="129"/>
        <v>0</v>
      </c>
      <c r="P223" s="9">
        <f t="shared" si="143"/>
        <v>0</v>
      </c>
      <c r="Q223" s="9">
        <f t="shared" si="144"/>
        <v>0</v>
      </c>
      <c r="R223" s="22" t="str">
        <f>IFERROR(INDEX(Tesco!$Q$11:$Q$165,MATCH('Calculations - Tesco'!$C223,Tesco!$M$11:$M$165,0)),"")</f>
        <v/>
      </c>
      <c r="S223" s="22" t="str">
        <f>IFERROR(INDEX(Tesco!$R$11:$R$165,MATCH('Calculations - Tesco'!$C223,Tesco!$M$11:$M$165,0)),"")</f>
        <v/>
      </c>
      <c r="T223" s="16" t="e">
        <f t="shared" si="115"/>
        <v>#VALUE!</v>
      </c>
      <c r="U223" s="16" t="e">
        <f t="shared" si="130"/>
        <v>#VALUE!</v>
      </c>
      <c r="V223" s="16" t="e">
        <f t="shared" si="131"/>
        <v>#VALUE!</v>
      </c>
      <c r="W223" s="10" t="str">
        <f t="shared" si="116"/>
        <v>-</v>
      </c>
      <c r="X223" s="10" t="str">
        <f t="shared" si="117"/>
        <v>-</v>
      </c>
      <c r="Y223" s="13" t="str">
        <f t="shared" si="132"/>
        <v>-</v>
      </c>
      <c r="Z223" s="9" t="str">
        <f t="shared" si="118"/>
        <v>-</v>
      </c>
      <c r="AA223" s="16" t="str">
        <f t="shared" si="133"/>
        <v>-</v>
      </c>
      <c r="AB223" s="16" t="str">
        <f t="shared" si="119"/>
        <v>-</v>
      </c>
      <c r="AC223" s="16" t="str">
        <f t="shared" si="120"/>
        <v>-</v>
      </c>
      <c r="AD223" s="16" t="str">
        <f t="shared" si="134"/>
        <v>-</v>
      </c>
      <c r="AE223" s="16"/>
      <c r="AF223" s="31" t="str">
        <f>IFERROR(INDEX(Tesco!$P$11:$P$165,MATCH('Calculations - Tesco'!C223,Tesco!$M$11:$M$165,0)),"")</f>
        <v/>
      </c>
      <c r="AG223" s="23" t="str">
        <f t="shared" si="135"/>
        <v/>
      </c>
      <c r="AH223" s="23" t="str">
        <f t="shared" si="135"/>
        <v/>
      </c>
      <c r="AI223" s="9" t="str">
        <f t="shared" si="121"/>
        <v/>
      </c>
      <c r="AJ223" s="4" t="str">
        <f t="shared" si="122"/>
        <v/>
      </c>
      <c r="AK223" s="4"/>
      <c r="AL223" s="4"/>
      <c r="AM223" s="4"/>
      <c r="AN223" s="4"/>
      <c r="AO223" s="4"/>
      <c r="AP223" s="20" t="str">
        <f t="shared" si="123"/>
        <v>-</v>
      </c>
      <c r="AQ223" s="13" t="str">
        <f t="shared" si="136"/>
        <v>-</v>
      </c>
      <c r="AR223" s="13" t="str">
        <f t="shared" si="137"/>
        <v>-</v>
      </c>
      <c r="AS223" s="13" t="str">
        <f t="shared" si="124"/>
        <v>-</v>
      </c>
      <c r="AT223" s="16" t="str">
        <f t="shared" si="138"/>
        <v>-</v>
      </c>
      <c r="AU223" s="16" t="str">
        <f t="shared" si="125"/>
        <v>-</v>
      </c>
      <c r="AV223" s="16" t="str">
        <f t="shared" si="126"/>
        <v>-</v>
      </c>
      <c r="AW223" s="16" t="str">
        <f t="shared" si="139"/>
        <v>-</v>
      </c>
      <c r="AX223" s="13" t="str">
        <f t="shared" si="140"/>
        <v>-</v>
      </c>
      <c r="AY223" s="10" t="str">
        <f t="shared" si="141"/>
        <v>-</v>
      </c>
      <c r="AZ223" s="9" t="str">
        <f t="shared" si="142"/>
        <v>-</v>
      </c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</row>
    <row r="224" spans="2:68" x14ac:dyDescent="0.3">
      <c r="B224" s="108" t="str">
        <f t="shared" si="127"/>
        <v/>
      </c>
      <c r="C224" s="108" t="str">
        <f t="shared" ref="C224:C229" si="145">IFERROR(D224&amp;E224&amp;F224,"")</f>
        <v/>
      </c>
      <c r="D224" s="3"/>
      <c r="E224" s="3"/>
      <c r="F224" s="3"/>
      <c r="G224" s="20">
        <f>IFERROR(INDEX('Input - Tesco'!F$2:F$200,MATCH('Calculations - Tesco'!$C224,'Input - Tesco'!$B$2:$B$200,0)),"")</f>
        <v>0</v>
      </c>
      <c r="H224" s="20">
        <f>IFERROR(INDEX('Input - Tesco'!G$2:G$200,MATCH('Calculations - Tesco'!$C224,'Input - Tesco'!$B$2:$B$200,0)),"")</f>
        <v>0</v>
      </c>
      <c r="I224" s="21">
        <f>IFERROR(INDEX('Input - Tesco'!H$2:H$200,MATCH('Calculations - Tesco'!$C224,'Input - Tesco'!$B$2:$B$200,0)),"")</f>
        <v>0</v>
      </c>
      <c r="J224" s="21">
        <f>IFERROR(INDEX('Input - Tesco'!I$2:I$200,MATCH('Calculations - Tesco'!$C224,'Input - Tesco'!$B$2:$B$200,0)),"")</f>
        <v>0</v>
      </c>
      <c r="K224" s="20">
        <f>IFERROR(INDEX('Input - Tesco'!J$2:J$200,MATCH('Calculations - Tesco'!$C224,'Input - Tesco'!$B$2:$B$200,0)),"")</f>
        <v>0</v>
      </c>
      <c r="L224" s="20">
        <f>IFERROR(INDEX('Input - Tesco'!K$2:K$200,MATCH('Calculations - Tesco'!$C224,'Input - Tesco'!$B$2:$B$200,0)),"")</f>
        <v>0</v>
      </c>
      <c r="M224" s="21" t="str">
        <f t="shared" si="128"/>
        <v/>
      </c>
      <c r="N224" s="21" t="str">
        <f t="shared" ref="N224:N229" si="146">IFERROR(K224/L224,"")</f>
        <v/>
      </c>
      <c r="O224" s="21">
        <f t="shared" si="129"/>
        <v>0</v>
      </c>
      <c r="P224" s="9">
        <f t="shared" si="143"/>
        <v>0</v>
      </c>
      <c r="Q224" s="9">
        <f t="shared" si="144"/>
        <v>0</v>
      </c>
      <c r="R224" s="22" t="str">
        <f>IFERROR(INDEX(Tesco!$Q$11:$Q$165,MATCH('Calculations - Tesco'!$C224,Tesco!$M$11:$M$165,0)),"")</f>
        <v/>
      </c>
      <c r="S224" s="22" t="str">
        <f>IFERROR(INDEX(Tesco!$R$11:$R$165,MATCH('Calculations - Tesco'!$C224,Tesco!$M$11:$M$165,0)),"")</f>
        <v/>
      </c>
      <c r="T224" s="16" t="e">
        <f t="shared" ref="T224:T229" si="147">R224*G224</f>
        <v>#VALUE!</v>
      </c>
      <c r="U224" s="16" t="e">
        <f t="shared" si="130"/>
        <v>#VALUE!</v>
      </c>
      <c r="V224" s="16" t="e">
        <f t="shared" si="131"/>
        <v>#VALUE!</v>
      </c>
      <c r="W224" s="10" t="str">
        <f t="shared" ref="W224:W229" si="148">IFERROR(V224/H224,"-")</f>
        <v>-</v>
      </c>
      <c r="X224" s="10" t="str">
        <f t="shared" ref="X224:X229" si="149">IFERROR((J224+M224)*H224*0.5,"-")</f>
        <v>-</v>
      </c>
      <c r="Y224" s="13" t="str">
        <f t="shared" si="132"/>
        <v>-</v>
      </c>
      <c r="Z224" s="9" t="str">
        <f t="shared" ref="Z224:Z229" si="150">IFERROR(Y224-P224,"-")</f>
        <v>-</v>
      </c>
      <c r="AA224" s="16" t="str">
        <f t="shared" si="133"/>
        <v>-</v>
      </c>
      <c r="AB224" s="16" t="str">
        <f t="shared" ref="AB224:AB229" si="151">IFERROR(AA224/M224,"-")</f>
        <v>-</v>
      </c>
      <c r="AC224" s="16" t="str">
        <f t="shared" ref="AC224:AC229" si="152">IFERROR(R224*AA224,"-")</f>
        <v>-</v>
      </c>
      <c r="AD224" s="16" t="str">
        <f t="shared" si="134"/>
        <v>-</v>
      </c>
      <c r="AE224" s="16"/>
      <c r="AF224" s="31" t="str">
        <f>IFERROR(INDEX(Tesco!$P$11:$P$165,MATCH('Calculations - Tesco'!C224,Tesco!$M$11:$M$165,0)),"")</f>
        <v/>
      </c>
      <c r="AG224" s="23" t="str">
        <f t="shared" si="135"/>
        <v/>
      </c>
      <c r="AH224" s="23" t="str">
        <f t="shared" si="135"/>
        <v/>
      </c>
      <c r="AI224" s="9" t="str">
        <f t="shared" ref="AI224:AI229" si="153">IFERROR((AF224-M224)/M224,"")</f>
        <v/>
      </c>
      <c r="AJ224" s="4" t="str">
        <f t="shared" ref="AJ224:AJ229" si="154">IFERROR(MAX((1+AI224*O224/5)*H224,0),"")</f>
        <v/>
      </c>
      <c r="AK224" s="4"/>
      <c r="AL224" s="4"/>
      <c r="AM224" s="4"/>
      <c r="AN224" s="4"/>
      <c r="AO224" s="4"/>
      <c r="AP224" s="20" t="str">
        <f t="shared" ref="AP224:AP229" si="155">IFERROR(0.5*(J224+AF224)*AJ224,"-")</f>
        <v>-</v>
      </c>
      <c r="AQ224" s="13" t="str">
        <f t="shared" si="136"/>
        <v>-</v>
      </c>
      <c r="AR224" s="13" t="str">
        <f t="shared" si="137"/>
        <v>-</v>
      </c>
      <c r="AS224" s="13" t="str">
        <f t="shared" ref="AS224:AS229" si="156">IFERROR(AR224-P224,"-")</f>
        <v>-</v>
      </c>
      <c r="AT224" s="16" t="str">
        <f t="shared" si="138"/>
        <v>-</v>
      </c>
      <c r="AU224" s="16" t="str">
        <f t="shared" ref="AU224:AU229" si="157">IFERROR(AT224/AF224,"-")</f>
        <v>-</v>
      </c>
      <c r="AV224" s="16" t="str">
        <f t="shared" ref="AV224:AV229" si="158">IFERROR(AG224*AT224,"-")</f>
        <v>-</v>
      </c>
      <c r="AW224" s="16" t="str">
        <f t="shared" si="139"/>
        <v>-</v>
      </c>
      <c r="AX224" s="13" t="str">
        <f t="shared" si="140"/>
        <v>-</v>
      </c>
      <c r="AY224" s="10" t="str">
        <f t="shared" si="141"/>
        <v>-</v>
      </c>
      <c r="AZ224" s="9" t="str">
        <f t="shared" si="142"/>
        <v>-</v>
      </c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</row>
    <row r="225" spans="2:68" x14ac:dyDescent="0.3">
      <c r="B225" s="108" t="str">
        <f t="shared" ref="B225:B229" si="159">IFERROR(D225&amp;E225,"")</f>
        <v/>
      </c>
      <c r="C225" s="108" t="str">
        <f t="shared" si="145"/>
        <v/>
      </c>
      <c r="D225" s="3"/>
      <c r="E225" s="3"/>
      <c r="F225" s="3"/>
      <c r="G225" s="20">
        <f>IFERROR(INDEX('Input - Tesco'!F$2:F$200,MATCH('Calculations - Tesco'!$C225,'Input - Tesco'!$B$2:$B$200,0)),"")</f>
        <v>0</v>
      </c>
      <c r="H225" s="20">
        <f>IFERROR(INDEX('Input - Tesco'!G$2:G$200,MATCH('Calculations - Tesco'!$C225,'Input - Tesco'!$B$2:$B$200,0)),"")</f>
        <v>0</v>
      </c>
      <c r="I225" s="21">
        <f>IFERROR(INDEX('Input - Tesco'!H$2:H$200,MATCH('Calculations - Tesco'!$C225,'Input - Tesco'!$B$2:$B$200,0)),"")</f>
        <v>0</v>
      </c>
      <c r="J225" s="21">
        <f>IFERROR(INDEX('Input - Tesco'!I$2:I$200,MATCH('Calculations - Tesco'!$C225,'Input - Tesco'!$B$2:$B$200,0)),"")</f>
        <v>0</v>
      </c>
      <c r="K225" s="20">
        <f>IFERROR(INDEX('Input - Tesco'!J$2:J$200,MATCH('Calculations - Tesco'!$C225,'Input - Tesco'!$B$2:$B$200,0)),"")</f>
        <v>0</v>
      </c>
      <c r="L225" s="20">
        <f>IFERROR(INDEX('Input - Tesco'!K$2:K$200,MATCH('Calculations - Tesco'!$C225,'Input - Tesco'!$B$2:$B$200,0)),"")</f>
        <v>0</v>
      </c>
      <c r="M225" s="21" t="str">
        <f t="shared" ref="M225:M229" si="160">IFERROR(G225/H225,"")</f>
        <v/>
      </c>
      <c r="N225" s="21" t="str">
        <f t="shared" si="146"/>
        <v/>
      </c>
      <c r="O225" s="21">
        <f t="shared" ref="O225:O229" si="161">IFERROR((M225/(M225-J225)*5),0)</f>
        <v>0</v>
      </c>
      <c r="P225" s="9">
        <f t="shared" si="143"/>
        <v>0</v>
      </c>
      <c r="Q225" s="9">
        <f t="shared" si="144"/>
        <v>0</v>
      </c>
      <c r="R225" s="22" t="str">
        <f>IFERROR(INDEX(Tesco!$Q$11:$Q$165,MATCH('Calculations - Tesco'!$C225,Tesco!$M$11:$M$165,0)),"")</f>
        <v/>
      </c>
      <c r="S225" s="22" t="str">
        <f>IFERROR(INDEX(Tesco!$R$11:$R$165,MATCH('Calculations - Tesco'!$C225,Tesco!$M$11:$M$165,0)),"")</f>
        <v/>
      </c>
      <c r="T225" s="16" t="e">
        <f t="shared" si="147"/>
        <v>#VALUE!</v>
      </c>
      <c r="U225" s="16" t="e">
        <f t="shared" ref="U225:U229" si="162">S225*T225</f>
        <v>#VALUE!</v>
      </c>
      <c r="V225" s="16" t="e">
        <f t="shared" ref="V225:V229" si="163">T225-U225</f>
        <v>#VALUE!</v>
      </c>
      <c r="W225" s="10" t="str">
        <f t="shared" si="148"/>
        <v>-</v>
      </c>
      <c r="X225" s="10" t="str">
        <f t="shared" si="149"/>
        <v>-</v>
      </c>
      <c r="Y225" s="13" t="str">
        <f t="shared" ref="Y225:Y229" si="164">IFERROR(X225/$X$30,"-")</f>
        <v>-</v>
      </c>
      <c r="Z225" s="9" t="str">
        <f t="shared" si="150"/>
        <v>-</v>
      </c>
      <c r="AA225" s="16" t="str">
        <f t="shared" ref="AA225:AA229" si="165">IFERROR(Y225*$G$30,"-")</f>
        <v>-</v>
      </c>
      <c r="AB225" s="16" t="str">
        <f t="shared" si="151"/>
        <v>-</v>
      </c>
      <c r="AC225" s="16" t="str">
        <f t="shared" si="152"/>
        <v>-</v>
      </c>
      <c r="AD225" s="16" t="str">
        <f t="shared" ref="AD225:AD229" si="166">IFERROR(AC225-(W225)*AB225,"-")</f>
        <v>-</v>
      </c>
      <c r="AE225" s="16"/>
      <c r="AF225" s="31" t="str">
        <f>IFERROR(INDEX(Tesco!$P$11:$P$165,MATCH('Calculations - Tesco'!C225,Tesco!$M$11:$M$165,0)),"")</f>
        <v/>
      </c>
      <c r="AG225" s="23" t="str">
        <f t="shared" ref="AG225:AH229" si="167">R225</f>
        <v/>
      </c>
      <c r="AH225" s="23" t="str">
        <f t="shared" si="167"/>
        <v/>
      </c>
      <c r="AI225" s="9" t="str">
        <f t="shared" si="153"/>
        <v/>
      </c>
      <c r="AJ225" s="4" t="str">
        <f t="shared" si="154"/>
        <v/>
      </c>
      <c r="AK225" s="4"/>
      <c r="AL225" s="4"/>
      <c r="AM225" s="4"/>
      <c r="AN225" s="4"/>
      <c r="AO225" s="4"/>
      <c r="AP225" s="20" t="str">
        <f t="shared" si="155"/>
        <v>-</v>
      </c>
      <c r="AQ225" s="13" t="str">
        <f t="shared" ref="AQ225:AQ229" si="168">IFERROR(AP225/AP$30,"-")</f>
        <v>-</v>
      </c>
      <c r="AR225" s="13" t="str">
        <f t="shared" ref="AR225:AR229" si="169">IFERROR(AQ225*$P$30,"-")</f>
        <v>-</v>
      </c>
      <c r="AS225" s="13" t="str">
        <f t="shared" si="156"/>
        <v>-</v>
      </c>
      <c r="AT225" s="16" t="str">
        <f t="shared" ref="AT225:AT229" si="170">IFERROR(AR225*AO$32,"-")</f>
        <v>-</v>
      </c>
      <c r="AU225" s="16" t="str">
        <f t="shared" si="157"/>
        <v>-</v>
      </c>
      <c r="AV225" s="16" t="str">
        <f t="shared" si="158"/>
        <v>-</v>
      </c>
      <c r="AW225" s="16" t="str">
        <f t="shared" ref="AW225:AW229" si="171">IFERROR(AV225-(W225*AU225),"-")</f>
        <v>-</v>
      </c>
      <c r="AX225" s="13" t="str">
        <f t="shared" ref="AX225:AX229" si="172">IFERROR(AU225/SUMIFS($AU$32:$AU$229,$B$32:$B$229,$B225),"-")</f>
        <v>-</v>
      </c>
      <c r="AY225" s="10" t="str">
        <f t="shared" ref="AY225:AY229" si="173">IFERROR(AX225*INDEX($AU$4:$AU$24,MATCH($B225,$D$4:$D$24,0)),"-")</f>
        <v>-</v>
      </c>
      <c r="AZ225" s="9" t="str">
        <f t="shared" ref="AZ225:AZ229" si="174">IFERROR(AY225/SUM($AY$32:$AY$229),"-")</f>
        <v>-</v>
      </c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</row>
    <row r="226" spans="2:68" x14ac:dyDescent="0.3">
      <c r="B226" s="108" t="str">
        <f t="shared" si="159"/>
        <v/>
      </c>
      <c r="C226" s="108" t="str">
        <f t="shared" si="145"/>
        <v/>
      </c>
      <c r="D226" s="3"/>
      <c r="E226" s="3"/>
      <c r="F226" s="3"/>
      <c r="G226" s="20">
        <f>IFERROR(INDEX('Input - Tesco'!F$2:F$200,MATCH('Calculations - Tesco'!$C226,'Input - Tesco'!$B$2:$B$200,0)),"")</f>
        <v>0</v>
      </c>
      <c r="H226" s="20">
        <f>IFERROR(INDEX('Input - Tesco'!G$2:G$200,MATCH('Calculations - Tesco'!$C226,'Input - Tesco'!$B$2:$B$200,0)),"")</f>
        <v>0</v>
      </c>
      <c r="I226" s="21">
        <f>IFERROR(INDEX('Input - Tesco'!H$2:H$200,MATCH('Calculations - Tesco'!$C226,'Input - Tesco'!$B$2:$B$200,0)),"")</f>
        <v>0</v>
      </c>
      <c r="J226" s="21">
        <f>IFERROR(INDEX('Input - Tesco'!I$2:I$200,MATCH('Calculations - Tesco'!$C226,'Input - Tesco'!$B$2:$B$200,0)),"")</f>
        <v>0</v>
      </c>
      <c r="K226" s="20">
        <f>IFERROR(INDEX('Input - Tesco'!J$2:J$200,MATCH('Calculations - Tesco'!$C226,'Input - Tesco'!$B$2:$B$200,0)),"")</f>
        <v>0</v>
      </c>
      <c r="L226" s="20">
        <f>IFERROR(INDEX('Input - Tesco'!K$2:K$200,MATCH('Calculations - Tesco'!$C226,'Input - Tesco'!$B$2:$B$200,0)),"")</f>
        <v>0</v>
      </c>
      <c r="M226" s="21" t="str">
        <f t="shared" si="160"/>
        <v/>
      </c>
      <c r="N226" s="21" t="str">
        <f t="shared" si="146"/>
        <v/>
      </c>
      <c r="O226" s="21">
        <f t="shared" si="161"/>
        <v>0</v>
      </c>
      <c r="P226" s="9">
        <f t="shared" si="143"/>
        <v>0</v>
      </c>
      <c r="Q226" s="9">
        <f t="shared" si="144"/>
        <v>0</v>
      </c>
      <c r="R226" s="22" t="str">
        <f>IFERROR(INDEX(Tesco!$Q$11:$Q$165,MATCH('Calculations - Tesco'!$C226,Tesco!$M$11:$M$165,0)),"")</f>
        <v/>
      </c>
      <c r="S226" s="22" t="str">
        <f>IFERROR(INDEX(Tesco!$R$11:$R$165,MATCH('Calculations - Tesco'!$C226,Tesco!$M$11:$M$165,0)),"")</f>
        <v/>
      </c>
      <c r="T226" s="16" t="e">
        <f t="shared" si="147"/>
        <v>#VALUE!</v>
      </c>
      <c r="U226" s="16" t="e">
        <f t="shared" si="162"/>
        <v>#VALUE!</v>
      </c>
      <c r="V226" s="16" t="e">
        <f t="shared" si="163"/>
        <v>#VALUE!</v>
      </c>
      <c r="W226" s="10" t="str">
        <f t="shared" si="148"/>
        <v>-</v>
      </c>
      <c r="X226" s="10" t="str">
        <f t="shared" si="149"/>
        <v>-</v>
      </c>
      <c r="Y226" s="13" t="str">
        <f t="shared" si="164"/>
        <v>-</v>
      </c>
      <c r="Z226" s="9" t="str">
        <f t="shared" si="150"/>
        <v>-</v>
      </c>
      <c r="AA226" s="16" t="str">
        <f t="shared" si="165"/>
        <v>-</v>
      </c>
      <c r="AB226" s="16" t="str">
        <f t="shared" si="151"/>
        <v>-</v>
      </c>
      <c r="AC226" s="16" t="str">
        <f t="shared" si="152"/>
        <v>-</v>
      </c>
      <c r="AD226" s="16" t="str">
        <f t="shared" si="166"/>
        <v>-</v>
      </c>
      <c r="AE226" s="16"/>
      <c r="AF226" s="31" t="str">
        <f>IFERROR(INDEX(Tesco!$P$11:$P$165,MATCH('Calculations - Tesco'!C226,Tesco!$M$11:$M$165,0)),"")</f>
        <v/>
      </c>
      <c r="AG226" s="23" t="str">
        <f t="shared" si="167"/>
        <v/>
      </c>
      <c r="AH226" s="23" t="str">
        <f t="shared" si="167"/>
        <v/>
      </c>
      <c r="AI226" s="9" t="str">
        <f t="shared" si="153"/>
        <v/>
      </c>
      <c r="AJ226" s="4" t="str">
        <f t="shared" si="154"/>
        <v/>
      </c>
      <c r="AK226" s="4"/>
      <c r="AL226" s="4"/>
      <c r="AM226" s="4"/>
      <c r="AN226" s="4"/>
      <c r="AO226" s="4"/>
      <c r="AP226" s="20" t="str">
        <f t="shared" si="155"/>
        <v>-</v>
      </c>
      <c r="AQ226" s="13" t="str">
        <f t="shared" si="168"/>
        <v>-</v>
      </c>
      <c r="AR226" s="13" t="str">
        <f t="shared" si="169"/>
        <v>-</v>
      </c>
      <c r="AS226" s="13" t="str">
        <f t="shared" si="156"/>
        <v>-</v>
      </c>
      <c r="AT226" s="16" t="str">
        <f t="shared" si="170"/>
        <v>-</v>
      </c>
      <c r="AU226" s="16" t="str">
        <f t="shared" si="157"/>
        <v>-</v>
      </c>
      <c r="AV226" s="16" t="str">
        <f t="shared" si="158"/>
        <v>-</v>
      </c>
      <c r="AW226" s="16" t="str">
        <f t="shared" si="171"/>
        <v>-</v>
      </c>
      <c r="AX226" s="13" t="str">
        <f t="shared" si="172"/>
        <v>-</v>
      </c>
      <c r="AY226" s="10" t="str">
        <f t="shared" si="173"/>
        <v>-</v>
      </c>
      <c r="AZ226" s="9" t="str">
        <f t="shared" si="174"/>
        <v>-</v>
      </c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</row>
    <row r="227" spans="2:68" x14ac:dyDescent="0.3">
      <c r="B227" s="108" t="str">
        <f t="shared" si="159"/>
        <v/>
      </c>
      <c r="C227" s="108" t="str">
        <f t="shared" si="145"/>
        <v/>
      </c>
      <c r="D227" s="3"/>
      <c r="E227" s="3"/>
      <c r="F227" s="3"/>
      <c r="G227" s="20">
        <f>IFERROR(INDEX('Input - Tesco'!F$2:F$200,MATCH('Calculations - Tesco'!$C227,'Input - Tesco'!$B$2:$B$200,0)),"")</f>
        <v>0</v>
      </c>
      <c r="H227" s="20">
        <f>IFERROR(INDEX('Input - Tesco'!G$2:G$200,MATCH('Calculations - Tesco'!$C227,'Input - Tesco'!$B$2:$B$200,0)),"")</f>
        <v>0</v>
      </c>
      <c r="I227" s="21">
        <f>IFERROR(INDEX('Input - Tesco'!H$2:H$200,MATCH('Calculations - Tesco'!$C227,'Input - Tesco'!$B$2:$B$200,0)),"")</f>
        <v>0</v>
      </c>
      <c r="J227" s="21">
        <f>IFERROR(INDEX('Input - Tesco'!I$2:I$200,MATCH('Calculations - Tesco'!$C227,'Input - Tesco'!$B$2:$B$200,0)),"")</f>
        <v>0</v>
      </c>
      <c r="K227" s="20">
        <f>IFERROR(INDEX('Input - Tesco'!J$2:J$200,MATCH('Calculations - Tesco'!$C227,'Input - Tesco'!$B$2:$B$200,0)),"")</f>
        <v>0</v>
      </c>
      <c r="L227" s="20">
        <f>IFERROR(INDEX('Input - Tesco'!K$2:K$200,MATCH('Calculations - Tesco'!$C227,'Input - Tesco'!$B$2:$B$200,0)),"")</f>
        <v>0</v>
      </c>
      <c r="M227" s="21" t="str">
        <f t="shared" si="160"/>
        <v/>
      </c>
      <c r="N227" s="21" t="str">
        <f t="shared" si="146"/>
        <v/>
      </c>
      <c r="O227" s="21">
        <f t="shared" si="161"/>
        <v>0</v>
      </c>
      <c r="P227" s="9">
        <f t="shared" si="143"/>
        <v>0</v>
      </c>
      <c r="Q227" s="9">
        <f t="shared" si="144"/>
        <v>0</v>
      </c>
      <c r="R227" s="22" t="str">
        <f>IFERROR(INDEX(Tesco!$Q$11:$Q$165,MATCH('Calculations - Tesco'!$C227,Tesco!$M$11:$M$165,0)),"")</f>
        <v/>
      </c>
      <c r="S227" s="22" t="str">
        <f>IFERROR(INDEX(Tesco!$R$11:$R$165,MATCH('Calculations - Tesco'!$C227,Tesco!$M$11:$M$165,0)),"")</f>
        <v/>
      </c>
      <c r="T227" s="16" t="e">
        <f t="shared" si="147"/>
        <v>#VALUE!</v>
      </c>
      <c r="U227" s="16" t="e">
        <f t="shared" si="162"/>
        <v>#VALUE!</v>
      </c>
      <c r="V227" s="16" t="e">
        <f t="shared" si="163"/>
        <v>#VALUE!</v>
      </c>
      <c r="W227" s="10" t="str">
        <f t="shared" si="148"/>
        <v>-</v>
      </c>
      <c r="X227" s="10" t="str">
        <f t="shared" si="149"/>
        <v>-</v>
      </c>
      <c r="Y227" s="13" t="str">
        <f t="shared" si="164"/>
        <v>-</v>
      </c>
      <c r="Z227" s="9" t="str">
        <f t="shared" si="150"/>
        <v>-</v>
      </c>
      <c r="AA227" s="16" t="str">
        <f t="shared" si="165"/>
        <v>-</v>
      </c>
      <c r="AB227" s="16" t="str">
        <f t="shared" si="151"/>
        <v>-</v>
      </c>
      <c r="AC227" s="16" t="str">
        <f t="shared" si="152"/>
        <v>-</v>
      </c>
      <c r="AD227" s="16" t="str">
        <f t="shared" si="166"/>
        <v>-</v>
      </c>
      <c r="AE227" s="16"/>
      <c r="AF227" s="31" t="str">
        <f>IFERROR(INDEX(Tesco!$P$11:$P$165,MATCH('Calculations - Tesco'!C227,Tesco!$M$11:$M$165,0)),"")</f>
        <v/>
      </c>
      <c r="AG227" s="23" t="str">
        <f t="shared" si="167"/>
        <v/>
      </c>
      <c r="AH227" s="23" t="str">
        <f t="shared" si="167"/>
        <v/>
      </c>
      <c r="AI227" s="9" t="str">
        <f t="shared" si="153"/>
        <v/>
      </c>
      <c r="AJ227" s="4" t="str">
        <f t="shared" si="154"/>
        <v/>
      </c>
      <c r="AK227" s="4"/>
      <c r="AL227" s="4"/>
      <c r="AM227" s="4"/>
      <c r="AN227" s="4"/>
      <c r="AO227" s="4"/>
      <c r="AP227" s="20" t="str">
        <f t="shared" si="155"/>
        <v>-</v>
      </c>
      <c r="AQ227" s="13" t="str">
        <f t="shared" si="168"/>
        <v>-</v>
      </c>
      <c r="AR227" s="13" t="str">
        <f t="shared" si="169"/>
        <v>-</v>
      </c>
      <c r="AS227" s="13" t="str">
        <f t="shared" si="156"/>
        <v>-</v>
      </c>
      <c r="AT227" s="16" t="str">
        <f t="shared" si="170"/>
        <v>-</v>
      </c>
      <c r="AU227" s="16" t="str">
        <f t="shared" si="157"/>
        <v>-</v>
      </c>
      <c r="AV227" s="16" t="str">
        <f t="shared" si="158"/>
        <v>-</v>
      </c>
      <c r="AW227" s="16" t="str">
        <f t="shared" si="171"/>
        <v>-</v>
      </c>
      <c r="AX227" s="13" t="str">
        <f t="shared" si="172"/>
        <v>-</v>
      </c>
      <c r="AY227" s="10" t="str">
        <f t="shared" si="173"/>
        <v>-</v>
      </c>
      <c r="AZ227" s="9" t="str">
        <f t="shared" si="174"/>
        <v>-</v>
      </c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</row>
    <row r="228" spans="2:68" x14ac:dyDescent="0.3">
      <c r="B228" s="108" t="str">
        <f t="shared" si="159"/>
        <v/>
      </c>
      <c r="C228" s="108" t="str">
        <f t="shared" si="145"/>
        <v/>
      </c>
      <c r="D228" s="3"/>
      <c r="E228" s="3"/>
      <c r="F228" s="3"/>
      <c r="G228" s="20">
        <f>IFERROR(INDEX('Input - Tesco'!F$2:F$200,MATCH('Calculations - Tesco'!$C228,'Input - Tesco'!$B$2:$B$200,0)),"")</f>
        <v>0</v>
      </c>
      <c r="H228" s="20">
        <f>IFERROR(INDEX('Input - Tesco'!G$2:G$200,MATCH('Calculations - Tesco'!$C228,'Input - Tesco'!$B$2:$B$200,0)),"")</f>
        <v>0</v>
      </c>
      <c r="I228" s="21">
        <f>IFERROR(INDEX('Input - Tesco'!H$2:H$200,MATCH('Calculations - Tesco'!$C228,'Input - Tesco'!$B$2:$B$200,0)),"")</f>
        <v>0</v>
      </c>
      <c r="J228" s="21">
        <f>IFERROR(INDEX('Input - Tesco'!I$2:I$200,MATCH('Calculations - Tesco'!$C228,'Input - Tesco'!$B$2:$B$200,0)),"")</f>
        <v>0</v>
      </c>
      <c r="K228" s="20">
        <f>IFERROR(INDEX('Input - Tesco'!J$2:J$200,MATCH('Calculations - Tesco'!$C228,'Input - Tesco'!$B$2:$B$200,0)),"")</f>
        <v>0</v>
      </c>
      <c r="L228" s="20">
        <f>IFERROR(INDEX('Input - Tesco'!K$2:K$200,MATCH('Calculations - Tesco'!$C228,'Input - Tesco'!$B$2:$B$200,0)),"")</f>
        <v>0</v>
      </c>
      <c r="M228" s="21" t="str">
        <f t="shared" si="160"/>
        <v/>
      </c>
      <c r="N228" s="21" t="str">
        <f t="shared" si="146"/>
        <v/>
      </c>
      <c r="O228" s="21">
        <f t="shared" si="161"/>
        <v>0</v>
      </c>
      <c r="P228" s="9">
        <f t="shared" si="143"/>
        <v>0</v>
      </c>
      <c r="Q228" s="9">
        <f t="shared" si="144"/>
        <v>0</v>
      </c>
      <c r="R228" s="22" t="str">
        <f>IFERROR(INDEX(Tesco!$Q$11:$Q$165,MATCH('Calculations - Tesco'!$C228,Tesco!$M$11:$M$165,0)),"")</f>
        <v/>
      </c>
      <c r="S228" s="22" t="str">
        <f>IFERROR(INDEX(Tesco!$R$11:$R$165,MATCH('Calculations - Tesco'!$C228,Tesco!$M$11:$M$165,0)),"")</f>
        <v/>
      </c>
      <c r="T228" s="16" t="e">
        <f t="shared" si="147"/>
        <v>#VALUE!</v>
      </c>
      <c r="U228" s="16" t="e">
        <f t="shared" si="162"/>
        <v>#VALUE!</v>
      </c>
      <c r="V228" s="16" t="e">
        <f t="shared" si="163"/>
        <v>#VALUE!</v>
      </c>
      <c r="W228" s="10" t="str">
        <f t="shared" si="148"/>
        <v>-</v>
      </c>
      <c r="X228" s="10" t="str">
        <f t="shared" si="149"/>
        <v>-</v>
      </c>
      <c r="Y228" s="13" t="str">
        <f t="shared" si="164"/>
        <v>-</v>
      </c>
      <c r="Z228" s="9" t="str">
        <f t="shared" si="150"/>
        <v>-</v>
      </c>
      <c r="AA228" s="16" t="str">
        <f t="shared" si="165"/>
        <v>-</v>
      </c>
      <c r="AB228" s="16" t="str">
        <f t="shared" si="151"/>
        <v>-</v>
      </c>
      <c r="AC228" s="16" t="str">
        <f t="shared" si="152"/>
        <v>-</v>
      </c>
      <c r="AD228" s="16" t="str">
        <f t="shared" si="166"/>
        <v>-</v>
      </c>
      <c r="AE228" s="16"/>
      <c r="AF228" s="31" t="str">
        <f>IFERROR(INDEX(Tesco!$P$11:$P$165,MATCH('Calculations - Tesco'!C228,Tesco!$M$11:$M$165,0)),"")</f>
        <v/>
      </c>
      <c r="AG228" s="23" t="str">
        <f t="shared" si="167"/>
        <v/>
      </c>
      <c r="AH228" s="23" t="str">
        <f t="shared" si="167"/>
        <v/>
      </c>
      <c r="AI228" s="9" t="str">
        <f t="shared" si="153"/>
        <v/>
      </c>
      <c r="AJ228" s="4" t="str">
        <f t="shared" si="154"/>
        <v/>
      </c>
      <c r="AK228" s="4"/>
      <c r="AL228" s="4"/>
      <c r="AM228" s="4"/>
      <c r="AN228" s="4"/>
      <c r="AO228" s="4"/>
      <c r="AP228" s="20" t="str">
        <f t="shared" si="155"/>
        <v>-</v>
      </c>
      <c r="AQ228" s="13" t="str">
        <f t="shared" si="168"/>
        <v>-</v>
      </c>
      <c r="AR228" s="13" t="str">
        <f t="shared" si="169"/>
        <v>-</v>
      </c>
      <c r="AS228" s="13" t="str">
        <f t="shared" si="156"/>
        <v>-</v>
      </c>
      <c r="AT228" s="16" t="str">
        <f t="shared" si="170"/>
        <v>-</v>
      </c>
      <c r="AU228" s="16" t="str">
        <f t="shared" si="157"/>
        <v>-</v>
      </c>
      <c r="AV228" s="16" t="str">
        <f t="shared" si="158"/>
        <v>-</v>
      </c>
      <c r="AW228" s="16" t="str">
        <f t="shared" si="171"/>
        <v>-</v>
      </c>
      <c r="AX228" s="13" t="str">
        <f t="shared" si="172"/>
        <v>-</v>
      </c>
      <c r="AY228" s="10" t="str">
        <f t="shared" si="173"/>
        <v>-</v>
      </c>
      <c r="AZ228" s="9" t="str">
        <f t="shared" si="174"/>
        <v>-</v>
      </c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</row>
    <row r="229" spans="2:68" x14ac:dyDescent="0.3">
      <c r="B229" s="108" t="str">
        <f t="shared" si="159"/>
        <v/>
      </c>
      <c r="C229" s="108" t="str">
        <f t="shared" si="145"/>
        <v/>
      </c>
      <c r="D229" s="3"/>
      <c r="E229" s="3"/>
      <c r="F229" s="3"/>
      <c r="G229" s="20">
        <f>IFERROR(INDEX('Input - Tesco'!F$2:F$200,MATCH('Calculations - Tesco'!$C229,'Input - Tesco'!$B$2:$B$200,0)),"")</f>
        <v>0</v>
      </c>
      <c r="H229" s="20">
        <f>IFERROR(INDEX('Input - Tesco'!G$2:G$200,MATCH('Calculations - Tesco'!$C229,'Input - Tesco'!$B$2:$B$200,0)),"")</f>
        <v>0</v>
      </c>
      <c r="I229" s="21">
        <f>IFERROR(INDEX('Input - Tesco'!H$2:H$200,MATCH('Calculations - Tesco'!$C229,'Input - Tesco'!$B$2:$B$200,0)),"")</f>
        <v>0</v>
      </c>
      <c r="J229" s="21">
        <f>IFERROR(INDEX('Input - Tesco'!I$2:I$200,MATCH('Calculations - Tesco'!$C229,'Input - Tesco'!$B$2:$B$200,0)),"")</f>
        <v>0</v>
      </c>
      <c r="K229" s="20">
        <f>IFERROR(INDEX('Input - Tesco'!J$2:J$200,MATCH('Calculations - Tesco'!$C229,'Input - Tesco'!$B$2:$B$200,0)),"")</f>
        <v>0</v>
      </c>
      <c r="L229" s="20">
        <f>IFERROR(INDEX('Input - Tesco'!K$2:K$200,MATCH('Calculations - Tesco'!$C229,'Input - Tesco'!$B$2:$B$200,0)),"")</f>
        <v>0</v>
      </c>
      <c r="M229" s="21" t="str">
        <f t="shared" si="160"/>
        <v/>
      </c>
      <c r="N229" s="21" t="str">
        <f t="shared" si="146"/>
        <v/>
      </c>
      <c r="O229" s="21">
        <f t="shared" si="161"/>
        <v>0</v>
      </c>
      <c r="P229" s="9">
        <f t="shared" si="143"/>
        <v>0</v>
      </c>
      <c r="Q229" s="9">
        <f t="shared" si="144"/>
        <v>0</v>
      </c>
      <c r="R229" s="22" t="str">
        <f>IFERROR(INDEX(Tesco!$Q$11:$Q$165,MATCH('Calculations - Tesco'!$C229,Tesco!$M$11:$M$165,0)),"")</f>
        <v/>
      </c>
      <c r="S229" s="22" t="str">
        <f>IFERROR(INDEX(Tesco!$R$11:$R$165,MATCH('Calculations - Tesco'!$C229,Tesco!$M$11:$M$165,0)),"")</f>
        <v/>
      </c>
      <c r="T229" s="16" t="e">
        <f t="shared" si="147"/>
        <v>#VALUE!</v>
      </c>
      <c r="U229" s="16" t="e">
        <f t="shared" si="162"/>
        <v>#VALUE!</v>
      </c>
      <c r="V229" s="16" t="e">
        <f t="shared" si="163"/>
        <v>#VALUE!</v>
      </c>
      <c r="W229" s="10" t="str">
        <f t="shared" si="148"/>
        <v>-</v>
      </c>
      <c r="X229" s="10" t="str">
        <f t="shared" si="149"/>
        <v>-</v>
      </c>
      <c r="Y229" s="13" t="str">
        <f t="shared" si="164"/>
        <v>-</v>
      </c>
      <c r="Z229" s="9" t="str">
        <f t="shared" si="150"/>
        <v>-</v>
      </c>
      <c r="AA229" s="16" t="str">
        <f t="shared" si="165"/>
        <v>-</v>
      </c>
      <c r="AB229" s="16" t="str">
        <f t="shared" si="151"/>
        <v>-</v>
      </c>
      <c r="AC229" s="16" t="str">
        <f t="shared" si="152"/>
        <v>-</v>
      </c>
      <c r="AD229" s="16" t="str">
        <f t="shared" si="166"/>
        <v>-</v>
      </c>
      <c r="AE229" s="16"/>
      <c r="AF229" s="31" t="str">
        <f>IFERROR(INDEX(Tesco!$P$11:$P$165,MATCH('Calculations - Tesco'!C229,Tesco!$M$11:$M$165,0)),"")</f>
        <v/>
      </c>
      <c r="AG229" s="23" t="str">
        <f t="shared" si="167"/>
        <v/>
      </c>
      <c r="AH229" s="23" t="str">
        <f t="shared" si="167"/>
        <v/>
      </c>
      <c r="AI229" s="9" t="str">
        <f t="shared" si="153"/>
        <v/>
      </c>
      <c r="AJ229" s="4" t="str">
        <f t="shared" si="154"/>
        <v/>
      </c>
      <c r="AK229" s="4"/>
      <c r="AL229" s="4"/>
      <c r="AM229" s="4"/>
      <c r="AN229" s="4"/>
      <c r="AO229" s="4"/>
      <c r="AP229" s="20" t="str">
        <f t="shared" si="155"/>
        <v>-</v>
      </c>
      <c r="AQ229" s="13" t="str">
        <f t="shared" si="168"/>
        <v>-</v>
      </c>
      <c r="AR229" s="13" t="str">
        <f t="shared" si="169"/>
        <v>-</v>
      </c>
      <c r="AS229" s="13" t="str">
        <f t="shared" si="156"/>
        <v>-</v>
      </c>
      <c r="AT229" s="16" t="str">
        <f t="shared" si="170"/>
        <v>-</v>
      </c>
      <c r="AU229" s="16" t="str">
        <f t="shared" si="157"/>
        <v>-</v>
      </c>
      <c r="AV229" s="16" t="str">
        <f t="shared" si="158"/>
        <v>-</v>
      </c>
      <c r="AW229" s="16" t="str">
        <f t="shared" si="171"/>
        <v>-</v>
      </c>
      <c r="AX229" s="13" t="str">
        <f t="shared" si="172"/>
        <v>-</v>
      </c>
      <c r="AY229" s="10" t="str">
        <f t="shared" si="173"/>
        <v>-</v>
      </c>
      <c r="AZ229" s="9" t="str">
        <f t="shared" si="174"/>
        <v>-</v>
      </c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C1091-5904-4AFB-91D4-6BB73D880BF7}">
  <sheetPr codeName="Sheet6"/>
  <dimension ref="A1:AE125"/>
  <sheetViews>
    <sheetView showGridLines="0" topLeftCell="J1" zoomScale="55" zoomScaleNormal="55" workbookViewId="0">
      <selection activeCell="O11" sqref="O11:P11"/>
    </sheetView>
  </sheetViews>
  <sheetFormatPr defaultColWidth="15.77734375" defaultRowHeight="14.4" x14ac:dyDescent="0.3"/>
  <cols>
    <col min="1" max="1" width="8.88671875" style="103" customWidth="1"/>
    <col min="2" max="2" width="43.88671875" style="103" bestFit="1" customWidth="1"/>
    <col min="3" max="3" width="33.44140625" style="103" bestFit="1" customWidth="1"/>
    <col min="4" max="4" width="32.109375" style="103" bestFit="1" customWidth="1"/>
    <col min="5" max="5" width="34.88671875" style="103" bestFit="1" customWidth="1"/>
    <col min="6" max="6" width="23.5546875" style="103" bestFit="1" customWidth="1"/>
    <col min="7" max="7" width="33.44140625" style="103" bestFit="1" customWidth="1"/>
    <col min="8" max="8" width="25.77734375" style="103" customWidth="1"/>
    <col min="9" max="9" width="29.33203125" style="103" bestFit="1" customWidth="1"/>
    <col min="10" max="10" width="25.77734375" style="103" customWidth="1"/>
    <col min="11" max="11" width="34.88671875" style="103" bestFit="1" customWidth="1"/>
    <col min="12" max="12" width="27.88671875" style="103" customWidth="1"/>
    <col min="13" max="13" width="23.5546875" style="103" hidden="1" customWidth="1"/>
    <col min="14" max="14" width="23.5546875" style="103" bestFit="1" customWidth="1"/>
    <col min="15" max="15" width="31.6640625" style="103" customWidth="1"/>
    <col min="16" max="16" width="35.21875" style="103" customWidth="1"/>
    <col min="17" max="17" width="26.88671875" style="103" customWidth="1"/>
    <col min="18" max="18" width="34.6640625" style="103" customWidth="1"/>
    <col min="19" max="21" width="30.77734375" style="103" customWidth="1"/>
    <col min="22" max="22" width="45.77734375" style="103" customWidth="1"/>
    <col min="23" max="23" width="33.44140625" style="103" bestFit="1" customWidth="1"/>
    <col min="24" max="26" width="29.33203125" style="103" bestFit="1" customWidth="1"/>
    <col min="27" max="27" width="34.88671875" style="103" bestFit="1" customWidth="1"/>
    <col min="28" max="28" width="25.77734375" style="103" customWidth="1"/>
    <col min="29" max="16384" width="15.77734375" style="103"/>
  </cols>
  <sheetData>
    <row r="1" spans="1:29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pans="1:29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25.05" customHeight="1" x14ac:dyDescent="0.3">
      <c r="A6"/>
      <c r="B6" s="160" t="s">
        <v>114</v>
      </c>
      <c r="C6" s="160"/>
      <c r="D6"/>
      <c r="E6"/>
      <c r="F6"/>
      <c r="G6"/>
      <c r="H6"/>
      <c r="I6"/>
      <c r="J6"/>
      <c r="K6"/>
      <c r="L6"/>
      <c r="M6"/>
      <c r="N6" s="69" t="s">
        <v>64</v>
      </c>
      <c r="O6" s="116" t="s">
        <v>115</v>
      </c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ht="25.8" x14ac:dyDescent="0.5">
      <c r="A8"/>
      <c r="B8" s="159" t="s">
        <v>49</v>
      </c>
      <c r="C8" s="159"/>
      <c r="D8" s="159"/>
      <c r="E8" s="159"/>
      <c r="F8" s="159"/>
      <c r="G8" s="159"/>
      <c r="H8" s="159"/>
      <c r="I8" s="159"/>
      <c r="J8" s="159"/>
      <c r="K8" s="159"/>
      <c r="L8" s="34"/>
      <c r="M8"/>
      <c r="N8" s="159" t="s">
        <v>50</v>
      </c>
      <c r="O8" s="159"/>
      <c r="P8" s="159"/>
      <c r="Q8" s="159"/>
      <c r="R8" s="159"/>
      <c r="S8" s="159"/>
      <c r="T8" s="159"/>
      <c r="U8"/>
      <c r="V8" s="159" t="s">
        <v>65</v>
      </c>
      <c r="W8" s="159"/>
      <c r="X8" s="159"/>
      <c r="Y8" s="159"/>
      <c r="Z8" s="159"/>
      <c r="AA8" s="159"/>
      <c r="AB8" s="159"/>
      <c r="AC8"/>
    </row>
    <row r="9" spans="1:29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117" t="s">
        <v>100</v>
      </c>
      <c r="U9" s="117"/>
      <c r="V9"/>
      <c r="W9"/>
      <c r="X9"/>
      <c r="Y9"/>
      <c r="Z9"/>
      <c r="AA9"/>
      <c r="AB9"/>
      <c r="AC9"/>
    </row>
    <row r="10" spans="1:29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 s="42"/>
      <c r="O10" s="32" t="s">
        <v>10</v>
      </c>
      <c r="P10" s="32" t="s">
        <v>51</v>
      </c>
      <c r="Q10" s="32" t="s">
        <v>52</v>
      </c>
      <c r="R10" s="32" t="s">
        <v>53</v>
      </c>
      <c r="S10" s="32" t="s">
        <v>54</v>
      </c>
      <c r="T10" s="32" t="s">
        <v>19</v>
      </c>
      <c r="U10" s="32"/>
      <c r="V10"/>
      <c r="W10"/>
      <c r="X10"/>
      <c r="Y10"/>
      <c r="Z10"/>
      <c r="AA10"/>
      <c r="AB10"/>
      <c r="AC10"/>
    </row>
    <row r="11" spans="1:29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 s="47" t="s">
        <v>9</v>
      </c>
      <c r="N11" s="42"/>
      <c r="O11" s="165" t="str">
        <f>'Calculations - Tesco'!F4</f>
        <v>HP</v>
      </c>
      <c r="P11" s="165"/>
      <c r="Q11" s="42"/>
      <c r="R11" s="42"/>
      <c r="S11" s="41">
        <f>P12/O12-1</f>
        <v>0</v>
      </c>
      <c r="T11"/>
      <c r="U11"/>
      <c r="V11"/>
      <c r="W11"/>
      <c r="X11"/>
      <c r="Y11"/>
      <c r="Z11"/>
      <c r="AA11"/>
      <c r="AB11"/>
      <c r="AC11"/>
    </row>
    <row r="12" spans="1:29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 t="str">
        <f>$O$6&amp;O11&amp;N12</f>
        <v>TescoHP</v>
      </c>
      <c r="N12" s="42"/>
      <c r="O12" s="48">
        <f>INDEX('Calculations - Tesco'!$M$3:$M$24,MATCH(M12,'Calculations - Tesco'!$D$3:$D$24,0))</f>
        <v>5.9336893937893658</v>
      </c>
      <c r="P12" s="49">
        <f>INDEX('Calculations - Tesco'!$AF$3:$AF$24,MATCH(M12,'Calculations - Tesco'!$D$3:$D$24,0))</f>
        <v>5.9336893937893667</v>
      </c>
      <c r="Q12" s="64">
        <f>INDEX('Calculations - Tesco'!$R$3:$R$24,MATCH(Tesco!$O$6&amp;Tesco!$O11,'Calculations - Tesco'!$D$3:$D$24,0))</f>
        <v>0.8</v>
      </c>
      <c r="R12" s="64">
        <f>INDEX('Calculations - Tesco'!$S$3:$S$24,MATCH(Tesco!$O$6&amp;Tesco!$O11,'Calculations - Tesco'!$D$3:$D$24,0))</f>
        <v>0.3</v>
      </c>
      <c r="S12" s="42"/>
      <c r="T12" s="121">
        <f>SUM(T13:T15)</f>
        <v>0.66867385246489597</v>
      </c>
      <c r="U12"/>
      <c r="V12"/>
      <c r="W12"/>
      <c r="X12"/>
      <c r="Y12"/>
      <c r="Z12"/>
      <c r="AA12"/>
      <c r="AB12"/>
      <c r="AC12"/>
    </row>
    <row r="13" spans="1:29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 t="str">
        <f>$O$6&amp;O11&amp;N13</f>
        <v>TescoHPSmall</v>
      </c>
      <c r="N13" s="33" t="s">
        <v>113</v>
      </c>
      <c r="O13" s="50">
        <f>IFERROR(INDEX('Calculations - Tesco'!$M$32:$M$229,MATCH($M13,'Calculations - Tesco'!$C$32:$C$229,0)),0)</f>
        <v>7.1853230671942629</v>
      </c>
      <c r="P13" s="51">
        <f>O13</f>
        <v>7.1853230671942629</v>
      </c>
      <c r="Q13" s="65">
        <v>0.8</v>
      </c>
      <c r="R13" s="65">
        <v>0.3</v>
      </c>
      <c r="S13" s="41">
        <f>IFERROR(P13/O13-1,0)</f>
        <v>0</v>
      </c>
      <c r="T13" s="122">
        <f>IFERROR(INDEX('Calculations - Tesco'!$AZ$32:$AZ$229,MATCH($M13,'Calculations - Tesco'!$C$32:$C$229,0)),"-")</f>
        <v>5.863080337836598E-2</v>
      </c>
      <c r="U13"/>
      <c r="V13"/>
      <c r="W13"/>
      <c r="X13"/>
      <c r="Y13"/>
      <c r="Z13"/>
      <c r="AA13"/>
      <c r="AB13"/>
      <c r="AC13"/>
    </row>
    <row r="14" spans="1:29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 t="str">
        <f>$O$6&amp;O11&amp;N14</f>
        <v>TescoHPMedium</v>
      </c>
      <c r="N14" s="33" t="s">
        <v>111</v>
      </c>
      <c r="O14" s="50">
        <f>IFERROR(INDEX('Calculations - Tesco'!$M$32:$M$229,MATCH($M14,'Calculations - Tesco'!$C$32:$C$229,0)),0)</f>
        <v>5.9599317670496594</v>
      </c>
      <c r="P14" s="51">
        <f>O14</f>
        <v>5.9599317670496594</v>
      </c>
      <c r="Q14" s="65">
        <v>0.8</v>
      </c>
      <c r="R14" s="65">
        <v>0.3</v>
      </c>
      <c r="S14" s="41">
        <f t="shared" ref="S14:S15" si="0">IFERROR(P14/O14-1,0)</f>
        <v>0</v>
      </c>
      <c r="T14" s="122">
        <f>IFERROR(INDEX('Calculations - Tesco'!$AZ$32:$AZ$229,MATCH($M14,'Calculations - Tesco'!$C$32:$C$229,0)),"-")</f>
        <v>0.43682722825391374</v>
      </c>
      <c r="U14"/>
      <c r="V14"/>
      <c r="W14"/>
      <c r="X14"/>
      <c r="Y14"/>
      <c r="Z14"/>
      <c r="AA14"/>
      <c r="AB14"/>
      <c r="AC14"/>
    </row>
    <row r="15" spans="1:29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 t="str">
        <f>$O$6&amp;O11&amp;N15</f>
        <v>TescoHPLarge</v>
      </c>
      <c r="N15" s="33" t="s">
        <v>112</v>
      </c>
      <c r="O15" s="50">
        <f>IFERROR(INDEX('Calculations - Tesco'!$M$32:$M$229,MATCH($M15,'Calculations - Tesco'!$C$32:$C$229,0)),0)</f>
        <v>5.4761249901517202</v>
      </c>
      <c r="P15" s="51">
        <f>O15</f>
        <v>5.4761249901517202</v>
      </c>
      <c r="Q15" s="65">
        <v>0.8</v>
      </c>
      <c r="R15" s="65">
        <v>0.3</v>
      </c>
      <c r="S15" s="41">
        <f t="shared" si="0"/>
        <v>0</v>
      </c>
      <c r="T15" s="122">
        <f>IFERROR(INDEX('Calculations - Tesco'!$AZ$32:$AZ$229,MATCH($M15,'Calculations - Tesco'!$C$32:$C$229,0)),"-")</f>
        <v>0.1732158208326163</v>
      </c>
      <c r="U15"/>
      <c r="V15"/>
      <c r="W15"/>
      <c r="X15"/>
      <c r="Y15"/>
      <c r="Z15"/>
      <c r="AA15"/>
      <c r="AB15"/>
      <c r="AC15"/>
    </row>
    <row r="16" spans="1:29" ht="25.05" customHeight="1" x14ac:dyDescent="0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 s="52"/>
      <c r="P16" s="52"/>
      <c r="Q16" s="52"/>
      <c r="R16" s="52"/>
      <c r="S16"/>
      <c r="T16"/>
      <c r="U16"/>
      <c r="V16"/>
      <c r="W16"/>
      <c r="X16"/>
      <c r="Y16"/>
      <c r="Z16"/>
      <c r="AA16"/>
      <c r="AB16"/>
      <c r="AC16"/>
    </row>
    <row r="17" spans="1:31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s="42"/>
      <c r="O17" s="163" t="str">
        <f>'Calculations - Tesco'!F5</f>
        <v>DADDIES</v>
      </c>
      <c r="P17" s="163"/>
      <c r="Q17" s="66"/>
      <c r="R17" s="66"/>
      <c r="S17" s="41">
        <f>P18/O18-1</f>
        <v>0</v>
      </c>
      <c r="T17" s="118"/>
      <c r="U17"/>
      <c r="V17"/>
      <c r="W17"/>
      <c r="X17"/>
      <c r="Y17"/>
      <c r="Z17"/>
      <c r="AA17"/>
      <c r="AB17"/>
      <c r="AC17"/>
    </row>
    <row r="18" spans="1:31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 t="str">
        <f>$O$6&amp;O17&amp;N18</f>
        <v>TescoDADDIES</v>
      </c>
      <c r="N18" s="42"/>
      <c r="O18" s="48">
        <f>INDEX('Calculations - Tesco'!$M$3:$M$24,MATCH(M18,'Calculations - Tesco'!$D$3:$D$24,0))</f>
        <v>3.7518646466047127</v>
      </c>
      <c r="P18" s="53">
        <f>INDEX('Calculations - Tesco'!$AF$3:$AF$24,MATCH(M18,'Calculations - Tesco'!$D$3:$D$24,0))</f>
        <v>3.7518646466047123</v>
      </c>
      <c r="Q18" s="64">
        <f>INDEX('Calculations - Tesco'!$R$3:$R$24,MATCH(Tesco!$O$6&amp;Tesco!$O17,'Calculations - Tesco'!$D$3:$D$24,0))</f>
        <v>0.79999999999999993</v>
      </c>
      <c r="R18" s="64">
        <f>INDEX('Calculations - Tesco'!$S$3:$S$24,MATCH(Tesco!$O$6&amp;Tesco!$O17,'Calculations - Tesco'!$D$3:$D$24,0))</f>
        <v>0.3</v>
      </c>
      <c r="S18" s="42"/>
      <c r="T18" s="121">
        <f>SUM(T19:T21)</f>
        <v>0.14753995809218864</v>
      </c>
      <c r="U18"/>
      <c r="V18"/>
      <c r="W18"/>
      <c r="X18"/>
      <c r="Y18"/>
      <c r="Z18"/>
      <c r="AA18"/>
      <c r="AB18"/>
      <c r="AC18"/>
    </row>
    <row r="19" spans="1:31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 t="str">
        <f>$O$6&amp;O17&amp;N19</f>
        <v>TescoDADDIESSmall</v>
      </c>
      <c r="N19" s="33" t="s">
        <v>113</v>
      </c>
      <c r="O19" s="50">
        <f>IFERROR(INDEX('Calculations - Tesco'!$M$32:$M$229,MATCH($M19,'Calculations - Tesco'!$C$32:$C$229,0)),0)</f>
        <v>0</v>
      </c>
      <c r="P19" s="54">
        <f>O19</f>
        <v>0</v>
      </c>
      <c r="Q19" s="65">
        <v>0.8</v>
      </c>
      <c r="R19" s="65">
        <v>0.3</v>
      </c>
      <c r="S19" s="41">
        <f t="shared" ref="S19:S21" si="1">IFERROR(P19/O19-1,0)</f>
        <v>0</v>
      </c>
      <c r="T19" s="122" t="str">
        <f>IFERROR(INDEX('Calculations - Tesco'!$AZ$32:$AZ$229,MATCH($M19,'Calculations - Tesco'!$C$32:$C$229,0)),"-")</f>
        <v>-</v>
      </c>
      <c r="U19"/>
      <c r="V19"/>
      <c r="W19"/>
      <c r="X19"/>
      <c r="Y19"/>
      <c r="Z19"/>
      <c r="AA19"/>
      <c r="AB19"/>
      <c r="AC19"/>
    </row>
    <row r="20" spans="1:31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 t="str">
        <f>$O$6&amp;O17&amp;N20</f>
        <v>TescoDADDIESMedium</v>
      </c>
      <c r="N20" s="33" t="s">
        <v>111</v>
      </c>
      <c r="O20" s="50">
        <f>IFERROR(INDEX('Calculations - Tesco'!$M$32:$M$229,MATCH($M20,'Calculations - Tesco'!$C$32:$C$229,0)),0)</f>
        <v>3.756443522268035</v>
      </c>
      <c r="P20" s="54">
        <f>O20</f>
        <v>3.756443522268035</v>
      </c>
      <c r="Q20" s="65">
        <v>0.8</v>
      </c>
      <c r="R20" s="65">
        <v>0.3</v>
      </c>
      <c r="S20" s="41">
        <f t="shared" si="1"/>
        <v>0</v>
      </c>
      <c r="T20" s="122">
        <f>IFERROR(INDEX('Calculations - Tesco'!$AZ$32:$AZ$229,MATCH($M20,'Calculations - Tesco'!$C$32:$C$229,0)),"-")</f>
        <v>0.1469221342634805</v>
      </c>
      <c r="U20"/>
      <c r="V20"/>
      <c r="W20"/>
      <c r="X20"/>
      <c r="Y20"/>
      <c r="Z20"/>
      <c r="AA20"/>
      <c r="AB20"/>
      <c r="AC20"/>
    </row>
    <row r="21" spans="1:31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 t="str">
        <f>$O$6&amp;O17&amp;N21</f>
        <v>TescoDADDIESLarge</v>
      </c>
      <c r="N21" s="33" t="s">
        <v>112</v>
      </c>
      <c r="O21" s="50">
        <f>IFERROR(INDEX('Calculations - Tesco'!$M$32:$M$229,MATCH($M21,'Calculations - Tesco'!$C$32:$C$229,0)),0)</f>
        <v>2.4998348606391736</v>
      </c>
      <c r="P21" s="54">
        <f>O21</f>
        <v>2.4998348606391736</v>
      </c>
      <c r="Q21" s="65">
        <v>0.8</v>
      </c>
      <c r="R21" s="65">
        <v>0.3</v>
      </c>
      <c r="S21" s="41">
        <f t="shared" si="1"/>
        <v>0</v>
      </c>
      <c r="T21" s="122">
        <f>IFERROR(INDEX('Calculations - Tesco'!$AZ$32:$AZ$229,MATCH($M21,'Calculations - Tesco'!$C$32:$C$229,0)),"-")</f>
        <v>6.1782382870814929E-4</v>
      </c>
      <c r="U21"/>
      <c r="V21"/>
      <c r="W21"/>
      <c r="X21"/>
      <c r="Y21"/>
      <c r="Z21"/>
      <c r="AA21"/>
      <c r="AB21"/>
      <c r="AC21"/>
    </row>
    <row r="22" spans="1:31" ht="25.05" customHeight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 s="52"/>
      <c r="P22" s="5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31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s="42"/>
      <c r="O23" s="164" t="str">
        <f>'Calculations - Tesco'!F6</f>
        <v>PRIVATE LABEL</v>
      </c>
      <c r="P23" s="164"/>
      <c r="Q23" s="42"/>
      <c r="R23" s="42"/>
      <c r="S23" s="41">
        <f>P24/O24-1</f>
        <v>0</v>
      </c>
      <c r="T23" s="118"/>
      <c r="U23"/>
      <c r="V23"/>
      <c r="W23"/>
      <c r="X23"/>
      <c r="Y23"/>
      <c r="Z23"/>
      <c r="AA23"/>
      <c r="AB23"/>
      <c r="AC23"/>
    </row>
    <row r="24" spans="1:31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 t="str">
        <f>$O$6&amp;O23&amp;N24</f>
        <v>TescoPRIVATE LABEL</v>
      </c>
      <c r="N24" s="42"/>
      <c r="O24" s="48">
        <f>INDEX('Calculations - Tesco'!$M$3:$M$24,MATCH(M24,'Calculations - Tesco'!$D$3:$D$24,0))</f>
        <v>2.3979515520769397</v>
      </c>
      <c r="P24" s="55">
        <f>INDEX('Calculations - Tesco'!$AF$3:$AF$24,MATCH(M24,'Calculations - Tesco'!$D$3:$D$24,0))</f>
        <v>2.3979515520769406</v>
      </c>
      <c r="Q24"/>
      <c r="R24"/>
      <c r="S24" s="42"/>
      <c r="T24" s="121">
        <f>SUM(T25:T27)</f>
        <v>0.16441632262038916</v>
      </c>
      <c r="U24"/>
      <c r="V24"/>
      <c r="W24"/>
      <c r="X24"/>
      <c r="Y24"/>
      <c r="Z24"/>
      <c r="AA24"/>
      <c r="AB24"/>
      <c r="AC24"/>
    </row>
    <row r="25" spans="1:31" ht="25.0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 t="str">
        <f>$O$6&amp;O23&amp;N25</f>
        <v>TescoPRIVATE LABELSmall</v>
      </c>
      <c r="N25" s="33" t="s">
        <v>113</v>
      </c>
      <c r="O25" s="50">
        <f>IFERROR(INDEX('Calculations - Tesco'!$M$32:$M$229,MATCH($M25,'Calculations - Tesco'!$C$32:$C$229,0)),0)</f>
        <v>0</v>
      </c>
      <c r="P25" s="56">
        <f>O25</f>
        <v>0</v>
      </c>
      <c r="Q25"/>
      <c r="R25"/>
      <c r="S25" s="41">
        <f t="shared" ref="S25:S27" si="2">IFERROR(P25/O25-1,0)</f>
        <v>0</v>
      </c>
      <c r="T25" s="122" t="str">
        <f>IFERROR(INDEX('Calculations - Tesco'!$AZ$32:$AZ$229,MATCH($M25,'Calculations - Tesco'!$C$32:$C$229,0)),"-")</f>
        <v>-</v>
      </c>
      <c r="U25"/>
      <c r="V25"/>
      <c r="W25"/>
      <c r="X25"/>
      <c r="Y25"/>
      <c r="Z25"/>
      <c r="AA25"/>
      <c r="AB25"/>
      <c r="AC25"/>
    </row>
    <row r="26" spans="1:31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 t="str">
        <f>$O$6&amp;O23&amp;N26</f>
        <v>TescoPRIVATE LABELMedium</v>
      </c>
      <c r="N26" s="33" t="s">
        <v>111</v>
      </c>
      <c r="O26" s="50">
        <f>IFERROR(INDEX('Calculations - Tesco'!$M$32:$M$229,MATCH($M26,'Calculations - Tesco'!$C$32:$C$229,0)),0)</f>
        <v>2.397958762952058</v>
      </c>
      <c r="P26" s="56">
        <f>O26</f>
        <v>2.397958762952058</v>
      </c>
      <c r="Q26"/>
      <c r="R26"/>
      <c r="S26" s="41">
        <f t="shared" si="2"/>
        <v>0</v>
      </c>
      <c r="T26" s="122">
        <f>IFERROR(INDEX('Calculations - Tesco'!$AZ$32:$AZ$229,MATCH($M26,'Calculations - Tesco'!$C$32:$C$229,0)),"-")</f>
        <v>0.16441361045775357</v>
      </c>
      <c r="U26"/>
      <c r="V26"/>
      <c r="W26"/>
      <c r="X26"/>
      <c r="Y26"/>
      <c r="Z26"/>
      <c r="AA26"/>
      <c r="AB26"/>
      <c r="AC26"/>
    </row>
    <row r="27" spans="1:31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 t="str">
        <f>$O$6&amp;O23&amp;N27</f>
        <v>TescoPRIVATE LABELLarge</v>
      </c>
      <c r="N27" s="33" t="s">
        <v>112</v>
      </c>
      <c r="O27" s="50">
        <f>IFERROR(INDEX('Calculations - Tesco'!$M$32:$M$229,MATCH($M27,'Calculations - Tesco'!$C$32:$C$229,0)),0)</f>
        <v>1.9622641509433962</v>
      </c>
      <c r="P27" s="56">
        <f>O27</f>
        <v>1.9622641509433962</v>
      </c>
      <c r="Q27"/>
      <c r="R27"/>
      <c r="S27" s="41">
        <f t="shared" si="2"/>
        <v>0</v>
      </c>
      <c r="T27" s="122">
        <f>IFERROR(INDEX('Calculations - Tesco'!$AZ$32:$AZ$229,MATCH($M27,'Calculations - Tesco'!$C$32:$C$229,0)),"-")</f>
        <v>2.7121626356013258E-6</v>
      </c>
      <c r="U27"/>
      <c r="V27"/>
      <c r="W27"/>
      <c r="X27"/>
      <c r="Y27"/>
      <c r="Z27"/>
      <c r="AA27"/>
      <c r="AB27"/>
      <c r="AC27"/>
    </row>
    <row r="28" spans="1:31" ht="25.05" customHeight="1" x14ac:dyDescent="0.4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 s="52"/>
      <c r="P28" s="52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31" ht="25.05" customHeight="1" x14ac:dyDescent="0.5">
      <c r="A29"/>
      <c r="B29" s="159" t="s">
        <v>77</v>
      </c>
      <c r="C29" s="159"/>
      <c r="D29" s="159"/>
      <c r="E29" s="159"/>
      <c r="F29" s="159"/>
      <c r="G29" s="159"/>
      <c r="H29" s="159"/>
      <c r="I29" s="159"/>
      <c r="J29" s="159"/>
      <c r="K29" s="159"/>
      <c r="L29" s="34"/>
      <c r="M29"/>
      <c r="N29" s="42"/>
      <c r="O29" s="149" t="str">
        <f>'Calculations - Tesco'!F7</f>
        <v>RESTOFCATEGORY</v>
      </c>
      <c r="P29" s="149"/>
      <c r="Q29"/>
      <c r="R29"/>
      <c r="S29" s="41">
        <f>P30/O30-1</f>
        <v>0</v>
      </c>
      <c r="T29" s="118"/>
      <c r="U29"/>
      <c r="V29" s="158" t="s">
        <v>78</v>
      </c>
      <c r="W29" s="158"/>
      <c r="X29" s="158"/>
      <c r="Y29" s="158"/>
      <c r="Z29" s="158"/>
      <c r="AA29" s="158"/>
      <c r="AB29" s="158"/>
      <c r="AC29"/>
    </row>
    <row r="30" spans="1:31" ht="25.05" customHeight="1" x14ac:dyDescent="0.5">
      <c r="A30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/>
      <c r="M30" t="str">
        <f>$O$6&amp;O29&amp;N30</f>
        <v>TescoRESTOFCATEGORY</v>
      </c>
      <c r="N30" s="42"/>
      <c r="O30" s="48">
        <f>INDEX('Calculations - Tesco'!$M$3:$M$24,MATCH(M30,'Calculations - Tesco'!$D$3:$D$24,0))</f>
        <v>1.4953380062968944</v>
      </c>
      <c r="P30" s="59">
        <f>INDEX('Calculations - Tesco'!$AF$3:$AF$24,MATCH(M30,'Calculations - Tesco'!$D$3:$D$24,0))</f>
        <v>1.4953380062968944</v>
      </c>
      <c r="Q30"/>
      <c r="R30"/>
      <c r="S30" s="42"/>
      <c r="T30" s="121">
        <f>SUM(T31:T33)</f>
        <v>1.936986682252612E-2</v>
      </c>
      <c r="U30"/>
      <c r="V30" s="34"/>
      <c r="W30" s="34"/>
      <c r="X30" s="34"/>
      <c r="Y30" s="34"/>
      <c r="Z30" s="34"/>
      <c r="AA30" s="34"/>
      <c r="AB30" s="34"/>
      <c r="AC30" s="34"/>
      <c r="AD30" s="104"/>
      <c r="AE30" s="104"/>
    </row>
    <row r="31" spans="1:31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 s="43"/>
      <c r="M31" t="str">
        <f>$O$6&amp;O29&amp;N31</f>
        <v>TescoRESTOFCATEGORYSmall</v>
      </c>
      <c r="N31" s="33" t="s">
        <v>113</v>
      </c>
      <c r="O31" s="50">
        <f>IFERROR(INDEX('Calculations - Tesco'!$M$32:$M$229,MATCH($M31,'Calculations - Tesco'!$C$32:$C$229,0)),0)</f>
        <v>0</v>
      </c>
      <c r="P31" s="60">
        <f>O31</f>
        <v>0</v>
      </c>
      <c r="Q31"/>
      <c r="R31"/>
      <c r="S31" s="41">
        <f t="shared" ref="S31:S33" si="3">IFERROR(P31/O31-1,0)</f>
        <v>0</v>
      </c>
      <c r="T31" s="122" t="str">
        <f>IFERROR(INDEX('Calculations - Tesco'!$AZ$32:$AZ$229,MATCH($M31,'Calculations - Tesco'!$C$32:$C$229,0)),"-")</f>
        <v>-</v>
      </c>
      <c r="U31"/>
      <c r="V31"/>
      <c r="W31"/>
      <c r="X31"/>
      <c r="Y31"/>
      <c r="Z31"/>
      <c r="AA31"/>
      <c r="AB31"/>
      <c r="AC31"/>
    </row>
    <row r="32" spans="1:31" ht="25.05" customHeight="1" x14ac:dyDescent="0.3">
      <c r="A32"/>
      <c r="B32" s="161" t="s">
        <v>55</v>
      </c>
      <c r="C32" s="135" t="s">
        <v>107</v>
      </c>
      <c r="D32" s="87" t="s">
        <v>106</v>
      </c>
      <c r="E32" s="67" t="s">
        <v>56</v>
      </c>
      <c r="F32" s="62"/>
      <c r="G32" s="152" t="s">
        <v>107</v>
      </c>
      <c r="H32" s="153"/>
      <c r="I32" s="154" t="s">
        <v>106</v>
      </c>
      <c r="J32" s="155"/>
      <c r="K32" s="61" t="s">
        <v>56</v>
      </c>
      <c r="L32" s="44"/>
      <c r="M32" t="str">
        <f>$O$6&amp;O29&amp;N32</f>
        <v>TescoRESTOFCATEGORYMedium</v>
      </c>
      <c r="N32" s="33" t="s">
        <v>111</v>
      </c>
      <c r="O32" s="50">
        <f>IFERROR(INDEX('Calculations - Tesco'!$M$32:$M$229,MATCH($M32,'Calculations - Tesco'!$C$32:$C$229,0)),0)</f>
        <v>0</v>
      </c>
      <c r="P32" s="60">
        <f>O32</f>
        <v>0</v>
      </c>
      <c r="Q32"/>
      <c r="R32"/>
      <c r="S32" s="41">
        <f t="shared" si="3"/>
        <v>0</v>
      </c>
      <c r="T32" s="122" t="str">
        <f>IFERROR(INDEX('Calculations - Tesco'!$AZ$32:$AZ$229,MATCH($M32,'Calculations - Tesco'!$C$32:$C$229,0)),"-")</f>
        <v>-</v>
      </c>
      <c r="U32"/>
      <c r="V32" s="150" t="s">
        <v>67</v>
      </c>
      <c r="W32" s="152" t="s">
        <v>107</v>
      </c>
      <c r="X32" s="153"/>
      <c r="Y32" s="154" t="s">
        <v>106</v>
      </c>
      <c r="Z32" s="155"/>
      <c r="AA32" s="156" t="s">
        <v>56</v>
      </c>
      <c r="AB32" s="157"/>
      <c r="AC32"/>
    </row>
    <row r="33" spans="1:29" ht="25.05" customHeight="1" thickBot="1" x14ac:dyDescent="0.35">
      <c r="A33"/>
      <c r="B33" s="162"/>
      <c r="C33" s="136" t="s">
        <v>57</v>
      </c>
      <c r="D33" s="88" t="s">
        <v>57</v>
      </c>
      <c r="E33" s="68" t="s">
        <v>57</v>
      </c>
      <c r="F33" s="62"/>
      <c r="G33" s="78" t="s">
        <v>57</v>
      </c>
      <c r="H33" s="80" t="s">
        <v>66</v>
      </c>
      <c r="I33" s="81" t="s">
        <v>57</v>
      </c>
      <c r="J33" s="82" t="s">
        <v>66</v>
      </c>
      <c r="K33" s="63" t="s">
        <v>57</v>
      </c>
      <c r="L33" s="35"/>
      <c r="M33" t="str">
        <f>$O$6&amp;O29&amp;N33</f>
        <v>TescoRESTOFCATEGORYLarge</v>
      </c>
      <c r="N33" s="33" t="s">
        <v>112</v>
      </c>
      <c r="O33" s="50">
        <f>IFERROR(INDEX('Calculations - Tesco'!$M$32:$M$229,MATCH($M33,'Calculations - Tesco'!$C$32:$C$229,0)),0)</f>
        <v>1.4953380062968944</v>
      </c>
      <c r="P33" s="60">
        <f>O33</f>
        <v>1.4953380062968944</v>
      </c>
      <c r="Q33"/>
      <c r="R33"/>
      <c r="S33" s="41">
        <f t="shared" si="3"/>
        <v>0</v>
      </c>
      <c r="T33" s="122">
        <f>IFERROR(INDEX('Calculations - Tesco'!$AZ$32:$AZ$229,MATCH($M33,'Calculations - Tesco'!$C$32:$C$229,0)),"-")</f>
        <v>1.936986682252612E-2</v>
      </c>
      <c r="U33"/>
      <c r="V33" s="151"/>
      <c r="W33" s="78" t="s">
        <v>57</v>
      </c>
      <c r="X33" s="80" t="s">
        <v>66</v>
      </c>
      <c r="Y33" s="81" t="s">
        <v>57</v>
      </c>
      <c r="Z33" s="82" t="s">
        <v>66</v>
      </c>
      <c r="AA33" s="79" t="s">
        <v>57</v>
      </c>
      <c r="AB33" s="68" t="s">
        <v>66</v>
      </c>
      <c r="AC33"/>
    </row>
    <row r="34" spans="1:29" ht="25.05" customHeight="1" x14ac:dyDescent="0.45">
      <c r="A34"/>
      <c r="B34" s="130" t="s">
        <v>58</v>
      </c>
      <c r="C34" s="131">
        <f>INDEX('Calculations - Tesco'!$H$4:$H$24,MATCH(Tesco!C$32,'Calculations - Tesco'!$F$4:$F$24,0))</f>
        <v>2069063.425</v>
      </c>
      <c r="D34" s="131">
        <f>INDEX('Calculations - Tesco'!$H$4:$H$24,MATCH(Tesco!D$32,'Calculations - Tesco'!$F$4:$F$24,0))</f>
        <v>490244.37</v>
      </c>
      <c r="E34" s="132">
        <f>INDEX('Calculations - Tesco'!$H$4:$H$24,MATCH(Tesco!E$32,'Calculations - Tesco'!$F$4:$F$24,0))</f>
        <v>3107727.0199999996</v>
      </c>
      <c r="F34" s="36"/>
      <c r="G34" s="73">
        <f>INDEX('Calculations - Tesco'!$AB$4:$AB$24,MATCH(Tesco!G$32,'Calculations - Tesco'!$F$4:$F$24,0))</f>
        <v>2078605.2509370761</v>
      </c>
      <c r="H34" s="137">
        <f>G34/C34-1</f>
        <v>4.6116643026909987E-3</v>
      </c>
      <c r="I34" s="73">
        <f>INDEX('Calculations - Tesco'!$AB$4:$AB$24,MATCH(Tesco!I$32,'Calculations - Tesco'!$F$4:$F$24,0))</f>
        <v>458635.14848527627</v>
      </c>
      <c r="J34" s="137">
        <f>I34/D34-1</f>
        <v>-6.4476460004474379E-2</v>
      </c>
      <c r="K34" s="89">
        <f>INDEX('Calculations - Tesco'!$AB$4:$AB$24,MATCH(Tesco!K$32,'Calculations - Tesco'!$F$4:$F$24,0))</f>
        <v>3108548.724127355</v>
      </c>
      <c r="L34" s="35"/>
      <c r="M34"/>
      <c r="N34"/>
      <c r="O34" s="52"/>
      <c r="P34" s="52"/>
      <c r="Q34"/>
      <c r="R34"/>
      <c r="S34"/>
      <c r="T34"/>
      <c r="U34"/>
      <c r="V34" s="125" t="s">
        <v>58</v>
      </c>
      <c r="W34" s="126">
        <f>INDEX('Calculations - Tesco'!$AU$4:$AU$24,MATCH(Tesco!W$32,'Calculations - Tesco'!$F$4:$F$24,0))</f>
        <v>2078605.2509370758</v>
      </c>
      <c r="X34" s="137">
        <f>W34/C34-1</f>
        <v>4.6116643026907767E-3</v>
      </c>
      <c r="Y34" s="126">
        <f>INDEX('Calculations - Tesco'!$AU$4:$AU$24,MATCH(Tesco!Y$32,'Calculations - Tesco'!$F$4:$F$24,0))</f>
        <v>458635.1484852765</v>
      </c>
      <c r="Z34" s="137">
        <f>Y34/D34-1</f>
        <v>-6.4476460004473934E-2</v>
      </c>
      <c r="AA34" s="127">
        <f>INDEX('Calculations - Tesco'!$AU$4:$AU$24,MATCH(Tesco!AA$32,'Calculations - Tesco'!$F$4:$F$24,0))</f>
        <v>3108548.724127355</v>
      </c>
      <c r="AB34" s="137">
        <f>AA34/E34-1</f>
        <v>2.6440679057948557E-4</v>
      </c>
      <c r="AC34"/>
    </row>
    <row r="35" spans="1:29" ht="25.05" customHeight="1" x14ac:dyDescent="0.45">
      <c r="A35"/>
      <c r="B35" s="83" t="s">
        <v>3</v>
      </c>
      <c r="C35" s="90">
        <f>INDEX('Calculations - Tesco'!$G$4:$G$24,MATCH(Tesco!C$32,'Calculations - Tesco'!$F$4:$F$24,0))</f>
        <v>12277179.699999999</v>
      </c>
      <c r="D35" s="90">
        <f>INDEX('Calculations - Tesco'!$G$4:$G$24,MATCH(Tesco!D$32,'Calculations - Tesco'!$F$4:$F$24,0))</f>
        <v>1839330.52</v>
      </c>
      <c r="E35" s="85">
        <f>INDEX('Calculations - Tesco'!$G$4:$G$24,MATCH(Tesco!E$32,'Calculations - Tesco'!$F$4:$F$24,0))</f>
        <v>15370156.289999999</v>
      </c>
      <c r="F35" s="37"/>
      <c r="G35" s="74">
        <f>INDEX('Calculations - Tesco'!$AA$4:$AA$24,MATCH(Tesco!G$32,'Calculations - Tesco'!$F$4:$F$24,0))</f>
        <v>12333797.931360211</v>
      </c>
      <c r="H35" s="138">
        <f>G35/C35-1</f>
        <v>4.6116643026909987E-3</v>
      </c>
      <c r="I35" s="74">
        <f>INDEX('Calculations - Tesco'!$AA$4:$AA$24,MATCH(Tesco!I$32,'Calculations - Tesco'!$F$4:$F$24,0))</f>
        <v>1720736.9992922109</v>
      </c>
      <c r="J35" s="138">
        <f>I35/D35-1</f>
        <v>-6.4476460004474379E-2</v>
      </c>
      <c r="K35" s="90">
        <f>INDEX('Calculations - Tesco'!$AA$4:$AA$24,MATCH(Tesco!K$32,'Calculations - Tesco'!$F$4:$F$24,0))</f>
        <v>15370156.289999999</v>
      </c>
      <c r="L35" s="45"/>
      <c r="M35"/>
      <c r="N35"/>
      <c r="O35"/>
      <c r="P35"/>
      <c r="Q35"/>
      <c r="R35"/>
      <c r="S35"/>
      <c r="T35"/>
      <c r="U35"/>
      <c r="V35" s="70" t="s">
        <v>3</v>
      </c>
      <c r="W35" s="74">
        <f>INDEX('Calculations - Tesco'!$AT$4:$AT$24,MATCH(Tesco!W$32,'Calculations - Tesco'!$F$4:$F$24,0))</f>
        <v>12333797.931360211</v>
      </c>
      <c r="X35" s="138">
        <f>W35/C35-1</f>
        <v>4.6116643026909987E-3</v>
      </c>
      <c r="Y35" s="74">
        <f>INDEX('Calculations - Tesco'!$AT$4:$AT$24,MATCH(Tesco!Y$32,'Calculations - Tesco'!$F$4:$F$24,0))</f>
        <v>1720736.9992922116</v>
      </c>
      <c r="Z35" s="138">
        <f>Y35/D35-1</f>
        <v>-6.4476460004474045E-2</v>
      </c>
      <c r="AA35" s="72">
        <f>INDEX('Calculations - Tesco'!$AT$4:$AT$24,MATCH(Tesco!AA$32,'Calculations - Tesco'!$F$4:$F$24,0))</f>
        <v>15370156.289999999</v>
      </c>
      <c r="AB35" s="138">
        <f>AA35/E35-1</f>
        <v>0</v>
      </c>
      <c r="AC35"/>
    </row>
    <row r="36" spans="1:29" ht="25.05" customHeight="1" x14ac:dyDescent="0.3">
      <c r="A36"/>
      <c r="B36" s="83" t="s">
        <v>59</v>
      </c>
      <c r="C36" s="90">
        <f>INDEX('Calculations - Tesco'!$T$4:$T$24,MATCH(Tesco!C$32,'Calculations - Tesco'!$F$4:$F$24,0))</f>
        <v>9821743.7599999998</v>
      </c>
      <c r="D36" s="90">
        <f>INDEX('Calculations - Tesco'!$T$4:$T$24,MATCH(Tesco!D$32,'Calculations - Tesco'!$F$4:$F$24,0))</f>
        <v>1471464.416</v>
      </c>
      <c r="E36" s="85">
        <f>INDEX('Calculations - Tesco'!$T$4:$T$24,MATCH(Tesco!E$32,'Calculations - Tesco'!$F$4:$F$24,0))</f>
        <v>11293208.175999999</v>
      </c>
      <c r="F36" s="38"/>
      <c r="G36" s="74">
        <f>INDEX('Calculations - Tesco'!$AC$4:$AC$24,MATCH(Tesco!G$32,'Calculations - Tesco'!$F$4:$F$24,0))</f>
        <v>9867038.345088169</v>
      </c>
      <c r="H36" s="138">
        <f>G36/C36-1</f>
        <v>4.6116643026909987E-3</v>
      </c>
      <c r="I36" s="74">
        <f>INDEX('Calculations - Tesco'!$AC$4:$AC$24,MATCH(Tesco!I$32,'Calculations - Tesco'!$F$4:$F$24,0))</f>
        <v>1376589.5994337685</v>
      </c>
      <c r="J36" s="138">
        <f>I36/D36-1</f>
        <v>-6.447646000447449E-2</v>
      </c>
      <c r="K36" s="90" t="s">
        <v>62</v>
      </c>
      <c r="L36" s="35"/>
      <c r="M36"/>
      <c r="N36"/>
      <c r="O36"/>
      <c r="P36"/>
      <c r="Q36"/>
      <c r="R36"/>
      <c r="S36"/>
      <c r="T36"/>
      <c r="U36"/>
      <c r="V36" s="70" t="s">
        <v>59</v>
      </c>
      <c r="W36" s="74">
        <f>INDEX('Calculations - Tesco'!$AV$4:$AV$24,MATCH(Tesco!W$32,'Calculations - Tesco'!$F$4:$F$24,0))</f>
        <v>9867038.3450881727</v>
      </c>
      <c r="X36" s="138">
        <f>W36/C36-1</f>
        <v>4.6116643026912207E-3</v>
      </c>
      <c r="Y36" s="74">
        <f>INDEX('Calculations - Tesco'!$AV$4:$AV$24,MATCH(Tesco!Y$32,'Calculations - Tesco'!$F$4:$F$24,0))</f>
        <v>1376589.5994337695</v>
      </c>
      <c r="Z36" s="138">
        <f>Y36/D36-1</f>
        <v>-6.4476460004473823E-2</v>
      </c>
      <c r="AA36" s="72" t="s">
        <v>62</v>
      </c>
      <c r="AB36" s="138" t="s">
        <v>62</v>
      </c>
      <c r="AC36"/>
    </row>
    <row r="37" spans="1:29" ht="25.05" customHeight="1" x14ac:dyDescent="0.3">
      <c r="A37"/>
      <c r="B37" s="83" t="s">
        <v>60</v>
      </c>
      <c r="C37" s="91">
        <f>C36/C34</f>
        <v>4.7469515150314932</v>
      </c>
      <c r="D37" s="91">
        <f>D36/D34</f>
        <v>3.0014917172837703</v>
      </c>
      <c r="E37" s="86">
        <f>E36/E34</f>
        <v>3.6339125358571556</v>
      </c>
      <c r="F37" s="38"/>
      <c r="G37" s="75">
        <f>G36/G34</f>
        <v>4.7469515150314923</v>
      </c>
      <c r="H37" s="138">
        <f>G37/C37-1</f>
        <v>0</v>
      </c>
      <c r="I37" s="75">
        <f>I36/I34</f>
        <v>3.0014917172837698</v>
      </c>
      <c r="J37" s="138">
        <f>I37/D37-1</f>
        <v>0</v>
      </c>
      <c r="K37" s="90" t="s">
        <v>62</v>
      </c>
      <c r="L37"/>
      <c r="M37"/>
      <c r="N37"/>
      <c r="O37"/>
      <c r="P37"/>
      <c r="Q37"/>
      <c r="R37"/>
      <c r="S37"/>
      <c r="T37"/>
      <c r="U37"/>
      <c r="V37" s="70" t="s">
        <v>60</v>
      </c>
      <c r="W37" s="75">
        <f>W36/W34</f>
        <v>4.7469515150314949</v>
      </c>
      <c r="X37" s="138">
        <f>W37/C37-1</f>
        <v>0</v>
      </c>
      <c r="Y37" s="75">
        <f>Y36/Y34</f>
        <v>3.0014917172837703</v>
      </c>
      <c r="Z37" s="138">
        <f>Y37/D37-1</f>
        <v>0</v>
      </c>
      <c r="AA37" s="72" t="s">
        <v>62</v>
      </c>
      <c r="AB37" s="138" t="s">
        <v>62</v>
      </c>
      <c r="AC37"/>
    </row>
    <row r="38" spans="1:29" ht="25.05" customHeight="1" x14ac:dyDescent="0.3">
      <c r="A38"/>
      <c r="B38" s="83" t="s">
        <v>61</v>
      </c>
      <c r="C38" s="92">
        <f>INDEX('Calculations - Tesco'!$S$4:$S$24,MATCH(Tesco!C$32,'Calculations - Tesco'!$F$4:$F$24,0))</f>
        <v>0.3</v>
      </c>
      <c r="D38" s="92">
        <f>INDEX('Calculations - Tesco'!$S$4:$S$24,MATCH(Tesco!D$32,'Calculations - Tesco'!$F$4:$F$24,0))</f>
        <v>0.3</v>
      </c>
      <c r="E38" s="85" t="s">
        <v>62</v>
      </c>
      <c r="F38" s="38"/>
      <c r="G38" s="76">
        <f>INDEX('Calculations - Tesco'!$AD$4:$AD$24,MATCH(Tesco!G$32,'Calculations - Tesco'!$F$4:$F$24,0))/G36</f>
        <v>0.29999999999999993</v>
      </c>
      <c r="H38" s="139">
        <f>(G38-C38)*10000</f>
        <v>-5.5511151231257827E-13</v>
      </c>
      <c r="I38" s="76">
        <f>INDEX('Calculations - Tesco'!$AD$4:$AD$24,MATCH(Tesco!I$32,'Calculations - Tesco'!$F$4:$F$24,0))/I36</f>
        <v>0.29999999999999988</v>
      </c>
      <c r="J38" s="139">
        <f>(I38-D38)*10000</f>
        <v>-1.1102230246251565E-12</v>
      </c>
      <c r="K38" s="90" t="s">
        <v>62</v>
      </c>
      <c r="L38"/>
      <c r="M38"/>
      <c r="N38"/>
      <c r="O38"/>
      <c r="P38"/>
      <c r="Q38"/>
      <c r="R38"/>
      <c r="S38"/>
      <c r="T38"/>
      <c r="U38"/>
      <c r="V38" s="70" t="s">
        <v>61</v>
      </c>
      <c r="W38" s="76">
        <f>INDEX('Calculations - Tesco'!$AH$4:$AH$24,MATCH(Tesco!W$32,'Calculations - Tesco'!$F$4:$F$24,0))</f>
        <v>0.3</v>
      </c>
      <c r="X38" s="139">
        <f>(W38-C38)*10000</f>
        <v>0</v>
      </c>
      <c r="Y38" s="76">
        <f>INDEX('Calculations - Tesco'!$AH$4:$AH$24,MATCH(Tesco!Y$32,'Calculations - Tesco'!$F$4:$F$24,0))</f>
        <v>0.29999999999999988</v>
      </c>
      <c r="Z38" s="139">
        <f>(Y38-D38)*10000</f>
        <v>-1.1102230246251565E-12</v>
      </c>
      <c r="AA38" s="72" t="s">
        <v>62</v>
      </c>
      <c r="AB38" s="139" t="s">
        <v>62</v>
      </c>
      <c r="AC38"/>
    </row>
    <row r="39" spans="1:29" ht="25.05" customHeight="1" x14ac:dyDescent="0.3">
      <c r="A39"/>
      <c r="B39" s="83" t="s">
        <v>79</v>
      </c>
      <c r="C39" s="93">
        <f>C35/$E$35</f>
        <v>0.79876739496706839</v>
      </c>
      <c r="D39" s="93">
        <f>D35/$E$35</f>
        <v>0.11966895360697728</v>
      </c>
      <c r="E39" s="85" t="s">
        <v>62</v>
      </c>
      <c r="F39" s="38"/>
      <c r="G39" s="77">
        <f>G35/$K$35</f>
        <v>0.80245104204859141</v>
      </c>
      <c r="H39" s="139">
        <f t="shared" ref="H39:H40" si="4">(G39-C39)*10000</f>
        <v>36.836470815230228</v>
      </c>
      <c r="I39" s="77">
        <f>I35/$K$35</f>
        <v>0.11195312310595971</v>
      </c>
      <c r="J39" s="139">
        <f>(I39-D39)*10000</f>
        <v>-77.158305010175681</v>
      </c>
      <c r="K39" s="93" t="s">
        <v>62</v>
      </c>
      <c r="L39"/>
      <c r="M39"/>
      <c r="N39"/>
      <c r="O39"/>
      <c r="P39"/>
      <c r="Q39"/>
      <c r="R39"/>
      <c r="S39"/>
      <c r="T39"/>
      <c r="U39"/>
      <c r="V39" s="70" t="s">
        <v>79</v>
      </c>
      <c r="W39" s="77">
        <f>W35/$AA$35</f>
        <v>0.80245104204859141</v>
      </c>
      <c r="X39" s="139">
        <f>(W39-C39)*10000</f>
        <v>36.836470815230228</v>
      </c>
      <c r="Y39" s="77">
        <f>Y35/$AA$35</f>
        <v>0.11195312310595976</v>
      </c>
      <c r="Z39" s="139">
        <f>(Y39-D39)*10000</f>
        <v>-77.158305010175255</v>
      </c>
      <c r="AA39" s="72" t="s">
        <v>62</v>
      </c>
      <c r="AB39" s="139" t="s">
        <v>62</v>
      </c>
      <c r="AC39"/>
    </row>
    <row r="40" spans="1:29" ht="25.05" customHeight="1" x14ac:dyDescent="0.3">
      <c r="A40"/>
      <c r="B40" s="83" t="s">
        <v>80</v>
      </c>
      <c r="C40" s="93">
        <f>C34/$E$34</f>
        <v>0.66578029913322323</v>
      </c>
      <c r="D40" s="93">
        <f>D34/$E$34</f>
        <v>0.15775013919980657</v>
      </c>
      <c r="E40" s="85" t="s">
        <v>62</v>
      </c>
      <c r="F40" s="38"/>
      <c r="G40" s="77">
        <f>G34/$K$34</f>
        <v>0.66867385246489608</v>
      </c>
      <c r="H40" s="139">
        <f t="shared" si="4"/>
        <v>28.935533316728488</v>
      </c>
      <c r="I40" s="77">
        <f>I34/$K$34</f>
        <v>0.14753995809218859</v>
      </c>
      <c r="J40" s="139">
        <f>(I40-D40)*10000</f>
        <v>-102.10181107617983</v>
      </c>
      <c r="K40" s="93" t="s">
        <v>62</v>
      </c>
      <c r="L40"/>
      <c r="M40"/>
      <c r="N40"/>
      <c r="O40"/>
      <c r="P40"/>
      <c r="Q40"/>
      <c r="R40"/>
      <c r="S40"/>
      <c r="T40"/>
      <c r="U40"/>
      <c r="V40" s="70" t="s">
        <v>80</v>
      </c>
      <c r="W40" s="77">
        <f>W34/$AA$34</f>
        <v>0.66867385246489608</v>
      </c>
      <c r="X40" s="139">
        <f>(W40-C40)*10000</f>
        <v>28.935533316728488</v>
      </c>
      <c r="Y40" s="77">
        <f>Y34/$AA$34</f>
        <v>0.14753995809218867</v>
      </c>
      <c r="Z40" s="139">
        <f>(Y40-D40)*10000</f>
        <v>-102.10181107617899</v>
      </c>
      <c r="AA40" s="72" t="s">
        <v>62</v>
      </c>
      <c r="AB40" s="139" t="s">
        <v>62</v>
      </c>
      <c r="AC40"/>
    </row>
    <row r="41" spans="1:29" ht="25.05" customHeight="1" thickBot="1" x14ac:dyDescent="0.35">
      <c r="A41"/>
      <c r="B41" s="84" t="s">
        <v>63</v>
      </c>
      <c r="C41" s="133">
        <f>C35/C34</f>
        <v>5.9336893937893658</v>
      </c>
      <c r="D41" s="133">
        <f>D35/D34</f>
        <v>3.7518646466047127</v>
      </c>
      <c r="E41" s="134">
        <f>E35/E34</f>
        <v>4.9457871270817089</v>
      </c>
      <c r="F41" s="39"/>
      <c r="G41" s="128">
        <f>G35/G34</f>
        <v>5.9336893937893658</v>
      </c>
      <c r="H41" s="140">
        <f t="shared" ref="H41" si="5">G41/C41-1</f>
        <v>0</v>
      </c>
      <c r="I41" s="128">
        <f>I35/I34</f>
        <v>3.7518646466047127</v>
      </c>
      <c r="J41" s="140">
        <f>I41/D41-1</f>
        <v>0</v>
      </c>
      <c r="K41" s="133">
        <f>K35/K34</f>
        <v>4.944479773053831</v>
      </c>
      <c r="L41"/>
      <c r="M41"/>
      <c r="N41"/>
      <c r="O41"/>
      <c r="P41"/>
      <c r="Q41"/>
      <c r="R41"/>
      <c r="S41"/>
      <c r="T41"/>
      <c r="U41"/>
      <c r="V41" s="71" t="s">
        <v>63</v>
      </c>
      <c r="W41" s="128">
        <f>W35/W34</f>
        <v>5.9336893937893667</v>
      </c>
      <c r="X41" s="140">
        <f>W41/C41-1</f>
        <v>0</v>
      </c>
      <c r="Y41" s="128">
        <f>Y35/Y34</f>
        <v>3.7518646466047123</v>
      </c>
      <c r="Z41" s="140">
        <f>Y41/D41-1</f>
        <v>0</v>
      </c>
      <c r="AA41" s="129">
        <f>AA35/AA34</f>
        <v>4.944479773053831</v>
      </c>
      <c r="AB41" s="140">
        <f>AA41/E41-1</f>
        <v>-2.6433689810856364E-4</v>
      </c>
      <c r="AC41"/>
    </row>
    <row r="42" spans="1:29" ht="25.05" customHeight="1" x14ac:dyDescent="0.3">
      <c r="A42"/>
      <c r="B42"/>
      <c r="C42"/>
      <c r="D42"/>
      <c r="E42"/>
      <c r="F42" s="40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ht="25.0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ht="25.0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ht="25.05" customHeight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47" t="s">
        <v>76</v>
      </c>
      <c r="W63" s="143" t="str">
        <f>$O$11</f>
        <v>HP</v>
      </c>
      <c r="X63" s="144"/>
      <c r="Y63" s="145" t="str">
        <f>$O$17</f>
        <v>DADDIES</v>
      </c>
      <c r="Z63" s="146"/>
      <c r="AA63"/>
      <c r="AB63"/>
      <c r="AC63"/>
    </row>
    <row r="64" spans="1:29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48"/>
      <c r="W64" s="99" t="s">
        <v>71</v>
      </c>
      <c r="X64" s="98" t="s">
        <v>86</v>
      </c>
      <c r="Y64" s="99" t="s">
        <v>71</v>
      </c>
      <c r="Z64" s="98" t="s">
        <v>86</v>
      </c>
      <c r="AA64"/>
      <c r="AB64"/>
      <c r="AC64"/>
    </row>
    <row r="65" spans="1:29" ht="25.05" customHeigh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05" t="str">
        <f>$O$11</f>
        <v>HP</v>
      </c>
      <c r="W65" s="100">
        <f>INDEX('Calculations - Tesco'!$AZ$4:$AZ$24,MATCH(Tesco!$V65,'Calculations - Tesco'!$F$4:$F$24,0))</f>
        <v>100</v>
      </c>
      <c r="X65" s="97">
        <f>INDEX('Calculations - Tesco'!$BB$4:$BB$24,MATCH(Tesco!$V65,'Calculations - Tesco'!$F$4:$F$24,0))</f>
        <v>100.00000000000001</v>
      </c>
      <c r="Y65" s="100">
        <f>INDEX('Calculations - Tesco'!$BA$4:$BA$24,MATCH(Tesco!$V65,'Calculations - Tesco'!$F$4:$F$24,0))</f>
        <v>63.229879382154543</v>
      </c>
      <c r="Z65" s="97">
        <f>INDEX('Calculations - Tesco'!$BC$4:$BC$24,MATCH(Tesco!$V65,'Calculations - Tesco'!$F$4:$F$24,0))</f>
        <v>63.229879382154522</v>
      </c>
      <c r="AA65"/>
      <c r="AB65"/>
      <c r="AC65"/>
    </row>
    <row r="66" spans="1:29" ht="25.05" customHeigh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06" t="str">
        <f>$O$17</f>
        <v>DADDIES</v>
      </c>
      <c r="W66" s="101">
        <f>INDEX('Calculations - Tesco'!$AZ$4:$AZ$24,MATCH(Tesco!$V66,'Calculations - Tesco'!$F$4:$F$24,0))</f>
        <v>158.15307727476568</v>
      </c>
      <c r="X66" s="95">
        <f>INDEX('Calculations - Tesco'!$BB$4:$BB$24,MATCH(Tesco!$V66,'Calculations - Tesco'!$F$4:$F$24,0))</f>
        <v>158.15307727476574</v>
      </c>
      <c r="Y66" s="101">
        <f>INDEX('Calculations - Tesco'!$BA$4:$BA$24,MATCH(Tesco!$V66,'Calculations - Tesco'!$F$4:$F$24,0))</f>
        <v>100</v>
      </c>
      <c r="Z66" s="95">
        <f>INDEX('Calculations - Tesco'!$BC$4:$BC$24,MATCH(Tesco!$V66,'Calculations - Tesco'!$F$4:$F$24,0))</f>
        <v>100</v>
      </c>
      <c r="AA66"/>
      <c r="AB66"/>
      <c r="AC66"/>
    </row>
    <row r="67" spans="1:29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06" t="str">
        <f>$O$23</f>
        <v>PRIVATE LABEL</v>
      </c>
      <c r="W67" s="101">
        <f>INDEX('Calculations - Tesco'!$AZ$4:$AZ$24,MATCH(Tesco!$V67,'Calculations - Tesco'!$F$4:$F$24,0))</f>
        <v>247.4482601055895</v>
      </c>
      <c r="X67" s="95">
        <f>INDEX('Calculations - Tesco'!$BB$4:$BB$24,MATCH(Tesco!$V67,'Calculations - Tesco'!$F$4:$F$24,0))</f>
        <v>247.44826010558944</v>
      </c>
      <c r="Y67" s="101">
        <f>INDEX('Calculations - Tesco'!$BA$4:$BA$24,MATCH(Tesco!$V67,'Calculations - Tesco'!$F$4:$F$24,0))</f>
        <v>156.46123639800427</v>
      </c>
      <c r="Z67" s="95">
        <f>INDEX('Calculations - Tesco'!$BC$4:$BC$24,MATCH(Tesco!$V67,'Calculations - Tesco'!$F$4:$F$24,0))</f>
        <v>156.46123639800419</v>
      </c>
      <c r="AA67"/>
      <c r="AB67"/>
      <c r="AC67"/>
    </row>
    <row r="68" spans="1:29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06" t="str">
        <f>$O$29</f>
        <v>RESTOFCATEGORY</v>
      </c>
      <c r="W68" s="101">
        <f>INDEX('Calculations - Tesco'!$AZ$4:$AZ$24,MATCH(Tesco!$V68,'Calculations - Tesco'!$F$4:$F$24,0))</f>
        <v>396.81258476695547</v>
      </c>
      <c r="X68" s="95">
        <f>INDEX('Calculations - Tesco'!$BB$4:$BB$24,MATCH(Tesco!$V68,'Calculations - Tesco'!$F$4:$F$24,0))</f>
        <v>396.81258476695552</v>
      </c>
      <c r="Y68" s="101">
        <f>INDEX('Calculations - Tesco'!$BA$4:$BA$24,MATCH(Tesco!$V68,'Calculations - Tesco'!$F$4:$F$24,0))</f>
        <v>250.90411872135567</v>
      </c>
      <c r="Z68" s="95">
        <f>INDEX('Calculations - Tesco'!$BC$4:$BC$24,MATCH(Tesco!$V68,'Calculations - Tesco'!$F$4:$F$24,0))</f>
        <v>250.90411872135564</v>
      </c>
      <c r="AA68"/>
      <c r="AB68"/>
      <c r="AC68"/>
    </row>
    <row r="69" spans="1:29" ht="25.05" customHeight="1" thickBot="1" x14ac:dyDescent="0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07" t="s">
        <v>56</v>
      </c>
      <c r="W69" s="102">
        <f>INDEX('Calculations - Tesco'!$AZ$4:$AZ$24,MATCH(Tesco!$V69,'Calculations - Tesco'!$F$4:$F$24,0))</f>
        <v>119.97462165927418</v>
      </c>
      <c r="X69" s="96">
        <f>INDEX('Calculations - Tesco'!$BB$4:$BB$24,MATCH(Tesco!$V69,'Calculations - Tesco'!$F$4:$F$24,0))</f>
        <v>120.0063437639381</v>
      </c>
      <c r="Y69" s="102">
        <f>INDEX('Calculations - Tesco'!$BA$4:$BA$24,MATCH(Tesco!$V69,'Calculations - Tesco'!$F$4:$F$24,0))</f>
        <v>75.859808564355319</v>
      </c>
      <c r="Z69" s="96">
        <f>INDEX('Calculations - Tesco'!$BC$4:$BC$24,MATCH(Tesco!$V69,'Calculations - Tesco'!$F$4:$F$24,0))</f>
        <v>75.879866412871777</v>
      </c>
      <c r="AA69"/>
      <c r="AB69"/>
      <c r="AC69"/>
    </row>
    <row r="70" spans="1:29" ht="25.05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ht="25.05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ht="25.05" customHeight="1" x14ac:dyDescent="0.3"/>
    <row r="74" spans="1:29" ht="25.05" customHeight="1" x14ac:dyDescent="0.3"/>
    <row r="75" spans="1:29" ht="25.05" customHeight="1" x14ac:dyDescent="0.3"/>
    <row r="76" spans="1:29" ht="25.05" customHeight="1" x14ac:dyDescent="0.3"/>
    <row r="77" spans="1:29" ht="25.05" customHeight="1" x14ac:dyDescent="0.3"/>
    <row r="78" spans="1:29" ht="25.05" customHeight="1" x14ac:dyDescent="0.3"/>
    <row r="79" spans="1:29" ht="25.05" customHeight="1" x14ac:dyDescent="0.3"/>
    <row r="80" spans="1:29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</sheetData>
  <mergeCells count="20">
    <mergeCell ref="O17:P17"/>
    <mergeCell ref="B6:C6"/>
    <mergeCell ref="B8:K8"/>
    <mergeCell ref="N8:T8"/>
    <mergeCell ref="V8:AB8"/>
    <mergeCell ref="O11:P11"/>
    <mergeCell ref="V63:V64"/>
    <mergeCell ref="W63:X63"/>
    <mergeCell ref="Y63:Z63"/>
    <mergeCell ref="O23:P23"/>
    <mergeCell ref="B29:K29"/>
    <mergeCell ref="O29:P29"/>
    <mergeCell ref="V29:AB29"/>
    <mergeCell ref="B32:B33"/>
    <mergeCell ref="G32:H32"/>
    <mergeCell ref="I32:J32"/>
    <mergeCell ref="V32:V33"/>
    <mergeCell ref="W32:X32"/>
    <mergeCell ref="Y32:Z32"/>
    <mergeCell ref="AA32:AB32"/>
  </mergeCells>
  <conditionalFormatting sqref="X65:X69 Z65:Z69">
    <cfRule type="cellIs" dxfId="3" priority="16" operator="lessThan">
      <formula>W65*0.99</formula>
    </cfRule>
    <cfRule type="cellIs" dxfId="2" priority="17" operator="greaterThan">
      <formula>W65*1.01</formula>
    </cfRule>
  </conditionalFormatting>
  <conditionalFormatting sqref="H34:H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4:X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8:X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X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4:Z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8:Z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Z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4:AB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8:AB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B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" id="{EFBA92E1-90EC-4556-8B74-5CDCE6B58B8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S11</xm:sqref>
        </x14:conditionalFormatting>
        <x14:conditionalFormatting xmlns:xm="http://schemas.microsoft.com/office/excel/2006/main">
          <x14:cfRule type="iconSet" priority="18" id="{E3916D73-ECE0-48BB-A5A9-5C91F5387CC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0" id="{D8BCAC77-2197-4AA9-AA6A-BB0DF1602EB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S13:S15</xm:sqref>
        </x14:conditionalFormatting>
        <x14:conditionalFormatting xmlns:xm="http://schemas.microsoft.com/office/excel/2006/main">
          <x14:cfRule type="iconSet" priority="21" id="{60A34CEF-9277-4BB3-A8F0-2DBDAFC06F6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S14:S15</xm:sqref>
        </x14:conditionalFormatting>
        <x14:conditionalFormatting xmlns:xm="http://schemas.microsoft.com/office/excel/2006/main">
          <x14:cfRule type="iconSet" priority="22" id="{92719D2F-08A9-4BBF-9F70-DF8FE95A74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3" id="{8B1FE09C-47CA-4353-B28A-D187824026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S19:S21</xm:sqref>
        </x14:conditionalFormatting>
        <x14:conditionalFormatting xmlns:xm="http://schemas.microsoft.com/office/excel/2006/main">
          <x14:cfRule type="iconSet" priority="24" id="{B24F7B84-38AD-492D-A930-75A3EE36ABC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5" id="{E8FCD52D-6D9F-49F8-B9B1-D8148F17E5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S25:S27</xm:sqref>
        </x14:conditionalFormatting>
        <x14:conditionalFormatting xmlns:xm="http://schemas.microsoft.com/office/excel/2006/main">
          <x14:cfRule type="iconSet" priority="26" id="{821938C8-63C2-486B-ADD2-5F1345DB341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7" id="{D7DB453F-9FA5-49A3-8AC5-041C177152A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S31:S33</xm:sqref>
        </x14:conditionalFormatting>
        <x14:conditionalFormatting xmlns:xm="http://schemas.microsoft.com/office/excel/2006/main">
          <x14:cfRule type="iconSet" priority="28" id="{6FE99F0B-D32F-4E9E-A55C-F1E51AD09DE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S29 S23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85B96-DA4D-45C8-8C9D-A15759666AB0}">
  <sheetPr codeName="Sheet7"/>
  <dimension ref="B1:Z200"/>
  <sheetViews>
    <sheetView workbookViewId="0"/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4.21875" bestFit="1" customWidth="1"/>
    <col min="6" max="6" width="15.88671875" bestFit="1" customWidth="1"/>
    <col min="7" max="9" width="14.33203125" bestFit="1" customWidth="1"/>
    <col min="10" max="10" width="16.88671875" bestFit="1" customWidth="1"/>
    <col min="11" max="11" width="15.88671875" bestFit="1" customWidth="1"/>
    <col min="16" max="16" width="8" bestFit="1" customWidth="1"/>
    <col min="17" max="17" width="19.33203125" bestFit="1" customWidth="1"/>
    <col min="18" max="18" width="15.88671875" bestFit="1" customWidth="1"/>
    <col min="19" max="21" width="14.33203125" bestFit="1" customWidth="1"/>
    <col min="22" max="22" width="16.88671875" bestFit="1" customWidth="1"/>
    <col min="23" max="23" width="15.88671875" bestFit="1" customWidth="1"/>
    <col min="25" max="25" width="21.6640625" bestFit="1" customWidth="1"/>
    <col min="26" max="26" width="15.44140625" bestFit="1" customWidth="1"/>
  </cols>
  <sheetData>
    <row r="1" spans="2:26" ht="18" x14ac:dyDescent="0.35">
      <c r="B1" s="112" t="s">
        <v>84</v>
      </c>
      <c r="O1" s="112" t="s">
        <v>85</v>
      </c>
    </row>
    <row r="2" spans="2:26" x14ac:dyDescent="0.3">
      <c r="B2" t="s">
        <v>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1"/>
      <c r="M2" t="s">
        <v>33</v>
      </c>
      <c r="O2" t="s">
        <v>9</v>
      </c>
      <c r="P2" s="1" t="s">
        <v>0</v>
      </c>
      <c r="Q2" s="1" t="s">
        <v>1</v>
      </c>
      <c r="R2" s="1" t="s">
        <v>3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Y2" t="s">
        <v>81</v>
      </c>
      <c r="Z2" t="s">
        <v>82</v>
      </c>
    </row>
    <row r="3" spans="2:26" x14ac:dyDescent="0.3">
      <c r="B3" s="2" t="str">
        <f>C3&amp;D3&amp;E3</f>
        <v>IcelandDADDIESMedium</v>
      </c>
      <c r="C3" s="1" t="s">
        <v>116</v>
      </c>
      <c r="D3" s="1" t="s">
        <v>106</v>
      </c>
      <c r="E3" s="1" t="s">
        <v>111</v>
      </c>
      <c r="F3" s="110">
        <v>592202.35</v>
      </c>
      <c r="G3" s="110">
        <v>157840.79999999999</v>
      </c>
      <c r="H3" s="111">
        <v>1.67546455415247</v>
      </c>
      <c r="I3" s="111">
        <v>6.2861696488537699</v>
      </c>
      <c r="J3" s="110">
        <v>1193331.08</v>
      </c>
      <c r="K3" s="110">
        <v>342244.4</v>
      </c>
      <c r="M3" s="28">
        <v>8.7281851479999997</v>
      </c>
      <c r="O3" s="2" t="str">
        <f>P3&amp;Q3</f>
        <v>IcelandDADDIES</v>
      </c>
      <c r="P3" s="1" t="s">
        <v>116</v>
      </c>
      <c r="Q3" s="1" t="s">
        <v>106</v>
      </c>
      <c r="R3" s="110">
        <v>592215.85</v>
      </c>
      <c r="S3" s="110">
        <v>157849.01999999999</v>
      </c>
      <c r="T3" s="111">
        <v>1.6755117826878201</v>
      </c>
      <c r="U3" s="111">
        <v>6.28616278117837</v>
      </c>
      <c r="V3" s="110">
        <v>1873245.08</v>
      </c>
      <c r="W3" s="110">
        <v>633646.82499999995</v>
      </c>
      <c r="Y3" t="str" cm="1">
        <f t="array" ref="Y3:Y7">_xlfn.UNIQUE($Q$3:$Q$200)</f>
        <v>DADDIES</v>
      </c>
      <c r="Z3" s="103">
        <v>2</v>
      </c>
    </row>
    <row r="4" spans="2:26" x14ac:dyDescent="0.3">
      <c r="B4" s="2" t="str">
        <f t="shared" ref="B4:B67" si="0">C4&amp;D4&amp;E4</f>
        <v>IcelandDADDIESLarge</v>
      </c>
      <c r="C4" s="1" t="s">
        <v>116</v>
      </c>
      <c r="D4" s="1" t="s">
        <v>106</v>
      </c>
      <c r="E4" s="1" t="s">
        <v>112</v>
      </c>
      <c r="F4" s="110">
        <v>13.5</v>
      </c>
      <c r="G4" s="110">
        <v>8.2200000000000006</v>
      </c>
      <c r="H4" s="111">
        <v>3.74727842093563</v>
      </c>
      <c r="I4" s="111">
        <v>6.1542893774490297</v>
      </c>
      <c r="J4" s="110">
        <v>679914</v>
      </c>
      <c r="K4" s="110">
        <v>291402.42499999999</v>
      </c>
      <c r="O4" s="2" t="str">
        <f t="shared" ref="O4:O67" si="1">P4&amp;Q4</f>
        <v>IcelandHP</v>
      </c>
      <c r="P4" s="1" t="s">
        <v>116</v>
      </c>
      <c r="Q4" s="1" t="s">
        <v>107</v>
      </c>
      <c r="R4" s="110">
        <v>1276066.33</v>
      </c>
      <c r="S4" s="110">
        <v>223584.97500000001</v>
      </c>
      <c r="T4" s="111">
        <v>1.76227877249831</v>
      </c>
      <c r="U4" s="111">
        <v>10.057852079098</v>
      </c>
      <c r="V4" s="110">
        <v>4214588.22</v>
      </c>
      <c r="W4" s="110">
        <v>762072.55</v>
      </c>
      <c r="Y4" t="str">
        <v>HP</v>
      </c>
      <c r="Z4" s="103">
        <v>1</v>
      </c>
    </row>
    <row r="5" spans="2:26" x14ac:dyDescent="0.3">
      <c r="B5" s="2" t="str">
        <f t="shared" si="0"/>
        <v>IcelandHPMedium</v>
      </c>
      <c r="C5" s="1" t="s">
        <v>116</v>
      </c>
      <c r="D5" s="1" t="s">
        <v>107</v>
      </c>
      <c r="E5" s="1" t="s">
        <v>111</v>
      </c>
      <c r="F5" s="110">
        <v>383204.27</v>
      </c>
      <c r="G5" s="110">
        <v>65823.975000000006</v>
      </c>
      <c r="H5" s="111">
        <v>1.7536218345171899</v>
      </c>
      <c r="I5" s="111">
        <v>10.208975908128</v>
      </c>
      <c r="J5" s="110">
        <v>2096703.47</v>
      </c>
      <c r="K5" s="110">
        <v>371712.55</v>
      </c>
      <c r="O5" s="2" t="str">
        <f t="shared" si="1"/>
        <v>IcelandRESTOFCATEGORY</v>
      </c>
      <c r="P5" s="1" t="s">
        <v>116</v>
      </c>
      <c r="Q5" s="1" t="s">
        <v>109</v>
      </c>
      <c r="R5" s="110">
        <v>136518.87</v>
      </c>
      <c r="S5" s="110">
        <v>58525</v>
      </c>
      <c r="T5" s="111">
        <v>1.9388879628081099</v>
      </c>
      <c r="U5" s="111">
        <v>4.5227645235226799</v>
      </c>
      <c r="V5" s="110">
        <v>188599.57</v>
      </c>
      <c r="W5" s="110">
        <v>77769.5</v>
      </c>
      <c r="Y5" t="str">
        <v>RESTOFCATEGORY</v>
      </c>
      <c r="Z5" s="103">
        <v>4</v>
      </c>
    </row>
    <row r="6" spans="2:26" x14ac:dyDescent="0.3">
      <c r="B6" s="2" t="str">
        <f t="shared" si="0"/>
        <v>IcelandHPLarge</v>
      </c>
      <c r="C6" s="1" t="s">
        <v>116</v>
      </c>
      <c r="D6" s="1" t="s">
        <v>107</v>
      </c>
      <c r="E6" s="1" t="s">
        <v>112</v>
      </c>
      <c r="F6" s="110">
        <v>892862.06</v>
      </c>
      <c r="G6" s="110">
        <v>157761</v>
      </c>
      <c r="H6" s="111">
        <v>1.7659942127080701</v>
      </c>
      <c r="I6" s="111">
        <v>9.9947973878626808</v>
      </c>
      <c r="J6" s="110">
        <v>2117884.75</v>
      </c>
      <c r="K6" s="110">
        <v>390360</v>
      </c>
      <c r="O6" s="2" t="str">
        <f t="shared" si="1"/>
        <v>IcelandGOLD STAR</v>
      </c>
      <c r="P6" s="1" t="s">
        <v>116</v>
      </c>
      <c r="Q6" s="1" t="s">
        <v>117</v>
      </c>
      <c r="R6" s="110">
        <v>71835.78</v>
      </c>
      <c r="S6" s="110">
        <v>38739.4</v>
      </c>
      <c r="T6" s="111">
        <v>1.78994020332587</v>
      </c>
      <c r="U6" s="111">
        <v>3.3191466739100801</v>
      </c>
      <c r="V6" s="110">
        <v>211229.05</v>
      </c>
      <c r="W6" s="110">
        <v>123993.55</v>
      </c>
      <c r="Y6" t="str">
        <v>GOLD STAR</v>
      </c>
      <c r="Z6" s="103">
        <v>3</v>
      </c>
    </row>
    <row r="7" spans="2:26" x14ac:dyDescent="0.3">
      <c r="B7" s="2" t="str">
        <f t="shared" si="0"/>
        <v>IcelandRESTOFCATEGORYMedium</v>
      </c>
      <c r="C7" s="1" t="s">
        <v>116</v>
      </c>
      <c r="D7" s="1" t="s">
        <v>109</v>
      </c>
      <c r="E7" s="1" t="s">
        <v>111</v>
      </c>
      <c r="F7" s="110">
        <v>136518.87</v>
      </c>
      <c r="G7" s="110">
        <v>58525</v>
      </c>
      <c r="H7" s="111">
        <v>1.9388879628081099</v>
      </c>
      <c r="I7" s="111">
        <v>4.5227645235226799</v>
      </c>
      <c r="J7" s="110">
        <v>188599.57</v>
      </c>
      <c r="K7" s="110">
        <v>77769.5</v>
      </c>
      <c r="O7" s="2" t="str">
        <f t="shared" si="1"/>
        <v>Iceland</v>
      </c>
      <c r="P7" s="1" t="s">
        <v>116</v>
      </c>
      <c r="Q7" s="1"/>
      <c r="R7" s="110"/>
      <c r="S7" s="110"/>
      <c r="T7" s="111"/>
      <c r="U7" s="111"/>
      <c r="V7" s="110"/>
      <c r="W7" s="110"/>
      <c r="Y7">
        <v>0</v>
      </c>
    </row>
    <row r="8" spans="2:26" x14ac:dyDescent="0.3">
      <c r="B8" s="2" t="str">
        <f t="shared" si="0"/>
        <v>IcelandGOLD STARLarge</v>
      </c>
      <c r="C8" s="1" t="s">
        <v>116</v>
      </c>
      <c r="D8" s="1" t="s">
        <v>117</v>
      </c>
      <c r="E8" s="1" t="s">
        <v>112</v>
      </c>
      <c r="F8" s="110">
        <v>71835.78</v>
      </c>
      <c r="G8" s="110">
        <v>38739.4</v>
      </c>
      <c r="H8" s="111">
        <v>1.78994020332587</v>
      </c>
      <c r="I8" s="111">
        <v>3.3191466739100801</v>
      </c>
      <c r="J8" s="110">
        <v>211229.05</v>
      </c>
      <c r="K8" s="110">
        <v>123993.55</v>
      </c>
      <c r="O8" s="2" t="str">
        <f t="shared" si="1"/>
        <v>Iceland</v>
      </c>
      <c r="P8" s="1" t="s">
        <v>116</v>
      </c>
      <c r="Q8" s="1"/>
      <c r="R8" s="110"/>
      <c r="S8" s="110"/>
      <c r="T8" s="111"/>
      <c r="U8" s="111"/>
      <c r="V8" s="110"/>
      <c r="W8" s="110"/>
    </row>
    <row r="9" spans="2:26" x14ac:dyDescent="0.3">
      <c r="B9" s="2" t="str">
        <f t="shared" si="0"/>
        <v/>
      </c>
      <c r="C9" s="1"/>
      <c r="D9" s="1"/>
      <c r="E9" s="1"/>
      <c r="F9" s="110"/>
      <c r="G9" s="110"/>
      <c r="H9" s="111"/>
      <c r="I9" s="111"/>
      <c r="J9" s="110"/>
      <c r="K9" s="110"/>
      <c r="O9" s="2" t="str">
        <f t="shared" si="1"/>
        <v>Iceland</v>
      </c>
      <c r="P9" s="1" t="s">
        <v>116</v>
      </c>
      <c r="Q9" s="1"/>
      <c r="R9" s="110"/>
      <c r="S9" s="110"/>
      <c r="T9" s="111"/>
      <c r="U9" s="111"/>
      <c r="V9" s="110"/>
      <c r="W9" s="110"/>
    </row>
    <row r="10" spans="2:26" x14ac:dyDescent="0.3">
      <c r="B10" s="2" t="str">
        <f t="shared" si="0"/>
        <v/>
      </c>
      <c r="C10" s="1"/>
      <c r="D10" s="1"/>
      <c r="E10" s="1"/>
      <c r="F10" s="110"/>
      <c r="G10" s="110"/>
      <c r="H10" s="111"/>
      <c r="I10" s="111"/>
      <c r="J10" s="110"/>
      <c r="K10" s="110"/>
      <c r="O10" s="2" t="str">
        <f t="shared" si="1"/>
        <v>Iceland</v>
      </c>
      <c r="P10" s="1" t="s">
        <v>116</v>
      </c>
      <c r="Q10" s="1"/>
      <c r="R10" s="110"/>
      <c r="S10" s="110"/>
      <c r="T10" s="111"/>
      <c r="U10" s="111"/>
      <c r="V10" s="110"/>
      <c r="W10" s="110"/>
    </row>
    <row r="11" spans="2:26" x14ac:dyDescent="0.3">
      <c r="B11" s="2" t="str">
        <f t="shared" si="0"/>
        <v/>
      </c>
      <c r="C11" s="1"/>
      <c r="D11" s="1"/>
      <c r="E11" s="1"/>
      <c r="F11" s="110"/>
      <c r="G11" s="110"/>
      <c r="H11" s="111"/>
      <c r="I11" s="111"/>
      <c r="J11" s="110"/>
      <c r="K11" s="110"/>
      <c r="O11" s="2" t="str">
        <f t="shared" si="1"/>
        <v>Iceland</v>
      </c>
      <c r="P11" s="1" t="s">
        <v>116</v>
      </c>
      <c r="Q11" s="1"/>
      <c r="R11" s="110"/>
      <c r="S11" s="110"/>
      <c r="T11" s="111"/>
      <c r="U11" s="111"/>
      <c r="V11" s="110"/>
      <c r="W11" s="110"/>
    </row>
    <row r="12" spans="2:26" x14ac:dyDescent="0.3">
      <c r="B12" s="2" t="str">
        <f t="shared" si="0"/>
        <v/>
      </c>
      <c r="C12" s="1"/>
      <c r="D12" s="1"/>
      <c r="E12" s="1"/>
      <c r="F12" s="110"/>
      <c r="G12" s="110"/>
      <c r="H12" s="111"/>
      <c r="I12" s="111"/>
      <c r="J12" s="110"/>
      <c r="K12" s="110"/>
      <c r="O12" s="2" t="str">
        <f t="shared" si="1"/>
        <v>Iceland</v>
      </c>
      <c r="P12" s="1" t="s">
        <v>116</v>
      </c>
      <c r="Q12" s="1"/>
      <c r="R12" s="110"/>
      <c r="S12" s="110"/>
      <c r="T12" s="111"/>
      <c r="U12" s="111"/>
      <c r="V12" s="110"/>
      <c r="W12" s="110"/>
    </row>
    <row r="13" spans="2:26" x14ac:dyDescent="0.3">
      <c r="B13" s="2" t="str">
        <f t="shared" si="0"/>
        <v/>
      </c>
      <c r="C13" s="1"/>
      <c r="D13" s="1"/>
      <c r="E13" s="1"/>
      <c r="F13" s="110"/>
      <c r="G13" s="110"/>
      <c r="H13" s="111"/>
      <c r="I13" s="111"/>
      <c r="J13" s="110"/>
      <c r="K13" s="110"/>
      <c r="O13" s="2" t="str">
        <f t="shared" si="1"/>
        <v>Iceland</v>
      </c>
      <c r="P13" s="1" t="s">
        <v>116</v>
      </c>
      <c r="Q13" s="1"/>
      <c r="R13" s="110"/>
      <c r="S13" s="110"/>
      <c r="T13" s="111"/>
      <c r="U13" s="111"/>
      <c r="V13" s="110"/>
      <c r="W13" s="110"/>
    </row>
    <row r="14" spans="2:26" x14ac:dyDescent="0.3">
      <c r="B14" s="2" t="str">
        <f t="shared" si="0"/>
        <v/>
      </c>
      <c r="C14" s="1"/>
      <c r="D14" s="1"/>
      <c r="E14" s="1"/>
      <c r="F14" s="110"/>
      <c r="G14" s="110"/>
      <c r="H14" s="111"/>
      <c r="I14" s="111"/>
      <c r="J14" s="110"/>
      <c r="K14" s="110"/>
      <c r="O14" s="2" t="str">
        <f t="shared" si="1"/>
        <v>Iceland</v>
      </c>
      <c r="P14" s="1" t="s">
        <v>116</v>
      </c>
      <c r="Q14" s="1"/>
      <c r="R14" s="110"/>
      <c r="S14" s="110"/>
      <c r="T14" s="111"/>
      <c r="U14" s="111"/>
      <c r="V14" s="110"/>
      <c r="W14" s="110"/>
    </row>
    <row r="15" spans="2:26" x14ac:dyDescent="0.3">
      <c r="B15" s="2" t="str">
        <f t="shared" si="0"/>
        <v/>
      </c>
      <c r="C15" s="1"/>
      <c r="D15" s="1"/>
      <c r="E15" s="1"/>
      <c r="F15" s="110"/>
      <c r="G15" s="110"/>
      <c r="H15" s="111"/>
      <c r="I15" s="111"/>
      <c r="J15" s="110"/>
      <c r="K15" s="110"/>
      <c r="O15" s="2" t="str">
        <f t="shared" si="1"/>
        <v>Iceland</v>
      </c>
      <c r="P15" s="1" t="s">
        <v>116</v>
      </c>
      <c r="Q15" s="1"/>
      <c r="R15" s="110"/>
      <c r="S15" s="110"/>
      <c r="T15" s="111"/>
      <c r="U15" s="111"/>
      <c r="V15" s="110"/>
      <c r="W15" s="110"/>
    </row>
    <row r="16" spans="2:26" x14ac:dyDescent="0.3">
      <c r="B16" s="2" t="str">
        <f t="shared" si="0"/>
        <v/>
      </c>
      <c r="C16" s="1"/>
      <c r="D16" s="1"/>
      <c r="E16" s="1"/>
      <c r="F16" s="110"/>
      <c r="G16" s="110"/>
      <c r="H16" s="111"/>
      <c r="I16" s="111"/>
      <c r="J16" s="110"/>
      <c r="K16" s="110"/>
      <c r="O16" s="2" t="str">
        <f t="shared" si="1"/>
        <v>Iceland</v>
      </c>
      <c r="P16" s="1" t="s">
        <v>116</v>
      </c>
      <c r="Q16" s="1"/>
      <c r="R16" s="110"/>
      <c r="S16" s="110"/>
      <c r="T16" s="111"/>
      <c r="U16" s="111"/>
      <c r="V16" s="110"/>
      <c r="W16" s="110"/>
    </row>
    <row r="17" spans="2:23" x14ac:dyDescent="0.3">
      <c r="B17" s="2" t="str">
        <f t="shared" si="0"/>
        <v/>
      </c>
      <c r="C17" s="1"/>
      <c r="D17" s="1"/>
      <c r="E17" s="1"/>
      <c r="F17" s="110"/>
      <c r="G17" s="110"/>
      <c r="H17" s="111"/>
      <c r="I17" s="111"/>
      <c r="J17" s="110"/>
      <c r="K17" s="110"/>
      <c r="O17" s="2" t="str">
        <f t="shared" si="1"/>
        <v>Iceland</v>
      </c>
      <c r="P17" s="1" t="s">
        <v>116</v>
      </c>
      <c r="Q17" s="1"/>
      <c r="R17" s="110"/>
      <c r="S17" s="110"/>
      <c r="T17" s="111"/>
      <c r="U17" s="111"/>
      <c r="V17" s="110"/>
      <c r="W17" s="110"/>
    </row>
    <row r="18" spans="2:23" x14ac:dyDescent="0.3">
      <c r="B18" s="2" t="str">
        <f t="shared" si="0"/>
        <v/>
      </c>
      <c r="C18" s="1"/>
      <c r="D18" s="1"/>
      <c r="E18" s="1"/>
      <c r="F18" s="110"/>
      <c r="G18" s="110"/>
      <c r="H18" s="111"/>
      <c r="I18" s="111"/>
      <c r="J18" s="110"/>
      <c r="K18" s="110"/>
      <c r="O18" s="2" t="str">
        <f t="shared" si="1"/>
        <v>Iceland</v>
      </c>
      <c r="P18" s="1" t="s">
        <v>116</v>
      </c>
      <c r="Q18" s="1"/>
      <c r="R18" s="110"/>
      <c r="S18" s="110"/>
      <c r="T18" s="111"/>
      <c r="U18" s="111"/>
      <c r="V18" s="110"/>
      <c r="W18" s="110"/>
    </row>
    <row r="19" spans="2:23" x14ac:dyDescent="0.3">
      <c r="B19" s="2" t="str">
        <f t="shared" si="0"/>
        <v/>
      </c>
      <c r="C19" s="1"/>
      <c r="D19" s="1"/>
      <c r="E19" s="1"/>
      <c r="F19" s="110"/>
      <c r="G19" s="110"/>
      <c r="H19" s="111"/>
      <c r="I19" s="111"/>
      <c r="J19" s="110"/>
      <c r="K19" s="110"/>
      <c r="O19" s="2" t="str">
        <f t="shared" si="1"/>
        <v>Iceland</v>
      </c>
      <c r="P19" s="1" t="s">
        <v>116</v>
      </c>
      <c r="Q19" s="1"/>
      <c r="R19" s="110"/>
      <c r="S19" s="110"/>
      <c r="T19" s="111"/>
      <c r="U19" s="111"/>
      <c r="V19" s="110"/>
      <c r="W19" s="110"/>
    </row>
    <row r="20" spans="2:23" x14ac:dyDescent="0.3">
      <c r="B20" s="2" t="str">
        <f t="shared" si="0"/>
        <v/>
      </c>
      <c r="C20" s="1"/>
      <c r="D20" s="1"/>
      <c r="E20" s="1"/>
      <c r="F20" s="110"/>
      <c r="G20" s="110"/>
      <c r="H20" s="111"/>
      <c r="I20" s="111"/>
      <c r="J20" s="110"/>
      <c r="K20" s="110"/>
      <c r="O20" s="2" t="str">
        <f t="shared" si="1"/>
        <v>Iceland</v>
      </c>
      <c r="P20" s="1" t="s">
        <v>116</v>
      </c>
      <c r="Q20" s="1"/>
      <c r="R20" s="110"/>
      <c r="S20" s="110"/>
      <c r="T20" s="111"/>
      <c r="U20" s="111"/>
      <c r="V20" s="110"/>
      <c r="W20" s="110"/>
    </row>
    <row r="21" spans="2:23" x14ac:dyDescent="0.3">
      <c r="B21" s="2" t="str">
        <f t="shared" si="0"/>
        <v/>
      </c>
      <c r="C21" s="1"/>
      <c r="D21" s="1"/>
      <c r="E21" s="1"/>
      <c r="F21" s="110"/>
      <c r="G21" s="110"/>
      <c r="H21" s="111"/>
      <c r="I21" s="111"/>
      <c r="J21" s="110"/>
      <c r="K21" s="110"/>
      <c r="O21" s="2" t="str">
        <f t="shared" si="1"/>
        <v>Iceland</v>
      </c>
      <c r="P21" s="1" t="s">
        <v>116</v>
      </c>
      <c r="Q21" s="1"/>
      <c r="R21" s="110"/>
      <c r="S21" s="110"/>
      <c r="T21" s="111"/>
      <c r="U21" s="111"/>
      <c r="V21" s="110"/>
      <c r="W21" s="110"/>
    </row>
    <row r="22" spans="2:23" x14ac:dyDescent="0.3">
      <c r="B22" s="2" t="str">
        <f t="shared" si="0"/>
        <v/>
      </c>
      <c r="C22" s="1"/>
      <c r="D22" s="1"/>
      <c r="E22" s="1"/>
      <c r="F22" s="110"/>
      <c r="G22" s="110"/>
      <c r="H22" s="111"/>
      <c r="I22" s="111"/>
      <c r="J22" s="110"/>
      <c r="K22" s="110"/>
      <c r="O22" s="2" t="str">
        <f t="shared" si="1"/>
        <v>Iceland</v>
      </c>
      <c r="P22" s="1" t="s">
        <v>116</v>
      </c>
      <c r="Q22" s="1"/>
      <c r="R22" s="110"/>
      <c r="S22" s="110"/>
      <c r="T22" s="111"/>
      <c r="U22" s="111"/>
      <c r="V22" s="110"/>
      <c r="W22" s="110"/>
    </row>
    <row r="23" spans="2:23" x14ac:dyDescent="0.3">
      <c r="B23" s="2" t="str">
        <f t="shared" si="0"/>
        <v/>
      </c>
      <c r="C23" s="1"/>
      <c r="D23" s="1"/>
      <c r="E23" s="1"/>
      <c r="F23" s="110"/>
      <c r="G23" s="110"/>
      <c r="H23" s="111"/>
      <c r="I23" s="111"/>
      <c r="J23" s="110"/>
      <c r="K23" s="110"/>
      <c r="O23" s="2" t="str">
        <f t="shared" si="1"/>
        <v>Iceland</v>
      </c>
      <c r="P23" s="1" t="s">
        <v>116</v>
      </c>
      <c r="Q23" s="1"/>
      <c r="R23" s="110"/>
      <c r="S23" s="110"/>
      <c r="T23" s="111"/>
      <c r="U23" s="111"/>
      <c r="V23" s="110"/>
      <c r="W23" s="110"/>
    </row>
    <row r="24" spans="2:23" x14ac:dyDescent="0.3">
      <c r="B24" s="2" t="str">
        <f t="shared" si="0"/>
        <v/>
      </c>
      <c r="C24" s="1"/>
      <c r="D24" s="1"/>
      <c r="E24" s="1"/>
      <c r="F24" s="110"/>
      <c r="G24" s="110"/>
      <c r="H24" s="111"/>
      <c r="I24" s="111"/>
      <c r="J24" s="110"/>
      <c r="K24" s="110"/>
      <c r="O24" s="2" t="str">
        <f t="shared" si="1"/>
        <v>Iceland</v>
      </c>
      <c r="P24" s="1" t="s">
        <v>116</v>
      </c>
      <c r="Q24" s="1"/>
      <c r="R24" s="110"/>
      <c r="S24" s="110"/>
      <c r="T24" s="111"/>
      <c r="U24" s="111"/>
      <c r="V24" s="110"/>
      <c r="W24" s="110"/>
    </row>
    <row r="25" spans="2:23" x14ac:dyDescent="0.3">
      <c r="B25" s="2" t="str">
        <f t="shared" si="0"/>
        <v/>
      </c>
      <c r="C25" s="1"/>
      <c r="D25" s="1"/>
      <c r="E25" s="1"/>
      <c r="F25" s="110"/>
      <c r="G25" s="110"/>
      <c r="H25" s="111"/>
      <c r="I25" s="111"/>
      <c r="J25" s="110"/>
      <c r="K25" s="110"/>
      <c r="O25" s="2" t="str">
        <f t="shared" si="1"/>
        <v>Iceland</v>
      </c>
      <c r="P25" s="1" t="s">
        <v>116</v>
      </c>
      <c r="Q25" s="1"/>
      <c r="R25" s="110"/>
      <c r="S25" s="110"/>
      <c r="T25" s="111"/>
      <c r="U25" s="111"/>
      <c r="V25" s="110"/>
      <c r="W25" s="110"/>
    </row>
    <row r="26" spans="2:23" x14ac:dyDescent="0.3">
      <c r="B26" s="2" t="str">
        <f t="shared" si="0"/>
        <v/>
      </c>
      <c r="C26" s="1"/>
      <c r="D26" s="1"/>
      <c r="E26" s="1"/>
      <c r="F26" s="110"/>
      <c r="G26" s="110"/>
      <c r="H26" s="111"/>
      <c r="I26" s="111"/>
      <c r="J26" s="110"/>
      <c r="K26" s="110"/>
      <c r="O26" s="2" t="str">
        <f t="shared" si="1"/>
        <v>Iceland</v>
      </c>
      <c r="P26" s="1" t="s">
        <v>116</v>
      </c>
      <c r="Q26" s="1"/>
      <c r="R26" s="110"/>
      <c r="S26" s="110"/>
      <c r="T26" s="111"/>
      <c r="U26" s="111"/>
      <c r="V26" s="110"/>
      <c r="W26" s="110"/>
    </row>
    <row r="27" spans="2:23" x14ac:dyDescent="0.3">
      <c r="B27" s="2" t="str">
        <f t="shared" si="0"/>
        <v/>
      </c>
      <c r="C27" s="1"/>
      <c r="D27" s="1"/>
      <c r="E27" s="1"/>
      <c r="F27" s="110"/>
      <c r="G27" s="110"/>
      <c r="H27" s="111"/>
      <c r="I27" s="111"/>
      <c r="J27" s="110"/>
      <c r="K27" s="110"/>
      <c r="O27" s="2" t="str">
        <f t="shared" si="1"/>
        <v>Iceland</v>
      </c>
      <c r="P27" s="1" t="s">
        <v>116</v>
      </c>
      <c r="Q27" s="1"/>
      <c r="R27" s="110"/>
      <c r="S27" s="110"/>
      <c r="T27" s="111"/>
      <c r="U27" s="111"/>
      <c r="V27" s="110"/>
      <c r="W27" s="110"/>
    </row>
    <row r="28" spans="2:23" x14ac:dyDescent="0.3">
      <c r="B28" s="2" t="str">
        <f t="shared" si="0"/>
        <v/>
      </c>
      <c r="C28" s="1"/>
      <c r="D28" s="1"/>
      <c r="E28" s="1"/>
      <c r="F28" s="110"/>
      <c r="G28" s="110"/>
      <c r="H28" s="111"/>
      <c r="I28" s="111"/>
      <c r="J28" s="110"/>
      <c r="K28" s="110"/>
      <c r="O28" s="2" t="str">
        <f t="shared" si="1"/>
        <v>Iceland</v>
      </c>
      <c r="P28" s="1" t="s">
        <v>116</v>
      </c>
      <c r="Q28" s="1"/>
      <c r="R28" s="110"/>
      <c r="S28" s="110"/>
      <c r="T28" s="111"/>
      <c r="U28" s="111"/>
      <c r="V28" s="110"/>
      <c r="W28" s="110"/>
    </row>
    <row r="29" spans="2:23" x14ac:dyDescent="0.3">
      <c r="B29" s="2" t="str">
        <f t="shared" si="0"/>
        <v/>
      </c>
      <c r="C29" s="1"/>
      <c r="D29" s="1"/>
      <c r="E29" s="1"/>
      <c r="F29" s="110"/>
      <c r="G29" s="110"/>
      <c r="H29" s="111"/>
      <c r="I29" s="111"/>
      <c r="J29" s="110"/>
      <c r="K29" s="110"/>
      <c r="O29" s="2" t="str">
        <f t="shared" si="1"/>
        <v>Iceland</v>
      </c>
      <c r="P29" s="1" t="s">
        <v>116</v>
      </c>
      <c r="Q29" s="1"/>
      <c r="R29" s="110"/>
      <c r="S29" s="110"/>
      <c r="T29" s="111"/>
      <c r="U29" s="111"/>
      <c r="V29" s="110"/>
      <c r="W29" s="110"/>
    </row>
    <row r="30" spans="2:23" x14ac:dyDescent="0.3">
      <c r="B30" s="2" t="str">
        <f t="shared" si="0"/>
        <v/>
      </c>
      <c r="C30" s="1"/>
      <c r="D30" s="1"/>
      <c r="E30" s="1"/>
      <c r="F30" s="110"/>
      <c r="G30" s="110"/>
      <c r="H30" s="111"/>
      <c r="I30" s="111"/>
      <c r="J30" s="110"/>
      <c r="K30" s="110"/>
      <c r="O30" s="2" t="str">
        <f t="shared" si="1"/>
        <v>Iceland</v>
      </c>
      <c r="P30" s="1" t="s">
        <v>116</v>
      </c>
      <c r="Q30" s="1"/>
      <c r="R30" s="110"/>
      <c r="S30" s="110"/>
      <c r="T30" s="111"/>
      <c r="U30" s="111"/>
      <c r="V30" s="110"/>
      <c r="W30" s="110"/>
    </row>
    <row r="31" spans="2:23" x14ac:dyDescent="0.3">
      <c r="B31" s="2" t="str">
        <f t="shared" si="0"/>
        <v/>
      </c>
      <c r="C31" s="1"/>
      <c r="D31" s="1"/>
      <c r="E31" s="1"/>
      <c r="F31" s="110"/>
      <c r="G31" s="110"/>
      <c r="H31" s="111"/>
      <c r="I31" s="111"/>
      <c r="J31" s="110"/>
      <c r="K31" s="110"/>
      <c r="O31" s="2" t="str">
        <f t="shared" si="1"/>
        <v>Iceland</v>
      </c>
      <c r="P31" s="1" t="s">
        <v>116</v>
      </c>
      <c r="Q31" s="1"/>
      <c r="R31" s="110"/>
      <c r="S31" s="110"/>
      <c r="T31" s="111"/>
      <c r="U31" s="111"/>
      <c r="V31" s="110"/>
      <c r="W31" s="110"/>
    </row>
    <row r="32" spans="2:23" x14ac:dyDescent="0.3">
      <c r="B32" s="2" t="str">
        <f t="shared" si="0"/>
        <v/>
      </c>
      <c r="C32" s="1"/>
      <c r="D32" s="1"/>
      <c r="E32" s="1"/>
      <c r="F32" s="110"/>
      <c r="G32" s="110"/>
      <c r="H32" s="111"/>
      <c r="I32" s="111"/>
      <c r="J32" s="110"/>
      <c r="K32" s="110"/>
      <c r="O32" s="2" t="str">
        <f t="shared" si="1"/>
        <v>Iceland</v>
      </c>
      <c r="P32" s="1" t="s">
        <v>116</v>
      </c>
      <c r="Q32" s="1"/>
      <c r="R32" s="110"/>
      <c r="S32" s="110"/>
      <c r="T32" s="111"/>
      <c r="U32" s="111"/>
      <c r="V32" s="110"/>
      <c r="W32" s="110"/>
    </row>
    <row r="33" spans="2:23" x14ac:dyDescent="0.3">
      <c r="B33" s="2" t="str">
        <f t="shared" si="0"/>
        <v/>
      </c>
      <c r="C33" s="1"/>
      <c r="D33" s="1"/>
      <c r="E33" s="1"/>
      <c r="F33" s="110"/>
      <c r="G33" s="110"/>
      <c r="H33" s="111"/>
      <c r="I33" s="111"/>
      <c r="J33" s="110"/>
      <c r="K33" s="110"/>
      <c r="O33" s="2" t="str">
        <f t="shared" si="1"/>
        <v>Iceland</v>
      </c>
      <c r="P33" s="1" t="s">
        <v>116</v>
      </c>
      <c r="Q33" s="1"/>
      <c r="R33" s="110"/>
      <c r="S33" s="110"/>
      <c r="T33" s="111"/>
      <c r="U33" s="111"/>
      <c r="V33" s="110"/>
      <c r="W33" s="110"/>
    </row>
    <row r="34" spans="2:23" x14ac:dyDescent="0.3">
      <c r="B34" s="2" t="str">
        <f t="shared" si="0"/>
        <v/>
      </c>
      <c r="C34" s="1"/>
      <c r="D34" s="1"/>
      <c r="E34" s="1"/>
      <c r="F34" s="110"/>
      <c r="G34" s="110"/>
      <c r="H34" s="111"/>
      <c r="I34" s="111"/>
      <c r="J34" s="110"/>
      <c r="K34" s="110"/>
      <c r="O34" s="2" t="str">
        <f t="shared" si="1"/>
        <v>Iceland</v>
      </c>
      <c r="P34" s="1" t="s">
        <v>116</v>
      </c>
      <c r="Q34" s="1"/>
      <c r="R34" s="110"/>
      <c r="S34" s="110"/>
      <c r="T34" s="111"/>
      <c r="U34" s="111"/>
      <c r="V34" s="110"/>
      <c r="W34" s="110"/>
    </row>
    <row r="35" spans="2:23" x14ac:dyDescent="0.3">
      <c r="B35" s="2" t="str">
        <f t="shared" si="0"/>
        <v/>
      </c>
      <c r="C35" s="1"/>
      <c r="D35" s="1"/>
      <c r="E35" s="1"/>
      <c r="F35" s="110"/>
      <c r="G35" s="110"/>
      <c r="H35" s="111"/>
      <c r="I35" s="111"/>
      <c r="J35" s="110"/>
      <c r="K35" s="110"/>
      <c r="O35" s="2" t="str">
        <f t="shared" si="1"/>
        <v>Iceland</v>
      </c>
      <c r="P35" s="1" t="s">
        <v>116</v>
      </c>
      <c r="Q35" s="1"/>
      <c r="R35" s="110"/>
      <c r="S35" s="110"/>
      <c r="T35" s="111"/>
      <c r="U35" s="111"/>
      <c r="V35" s="110"/>
      <c r="W35" s="110"/>
    </row>
    <row r="36" spans="2:23" x14ac:dyDescent="0.3">
      <c r="B36" s="2" t="str">
        <f t="shared" si="0"/>
        <v/>
      </c>
      <c r="C36" s="1"/>
      <c r="D36" s="1"/>
      <c r="E36" s="1"/>
      <c r="F36" s="110"/>
      <c r="G36" s="110"/>
      <c r="H36" s="111"/>
      <c r="I36" s="111"/>
      <c r="J36" s="110"/>
      <c r="K36" s="110"/>
      <c r="O36" s="2" t="str">
        <f t="shared" si="1"/>
        <v>Iceland</v>
      </c>
      <c r="P36" s="1" t="s">
        <v>116</v>
      </c>
      <c r="Q36" s="1"/>
      <c r="R36" s="110"/>
      <c r="S36" s="110"/>
      <c r="T36" s="111"/>
      <c r="U36" s="111"/>
      <c r="V36" s="110"/>
      <c r="W36" s="110"/>
    </row>
    <row r="37" spans="2:23" x14ac:dyDescent="0.3">
      <c r="B37" s="2" t="str">
        <f t="shared" si="0"/>
        <v/>
      </c>
      <c r="C37" s="1"/>
      <c r="D37" s="1"/>
      <c r="E37" s="1"/>
      <c r="F37" s="110"/>
      <c r="G37" s="110"/>
      <c r="H37" s="111"/>
      <c r="I37" s="111"/>
      <c r="J37" s="110"/>
      <c r="K37" s="110"/>
      <c r="O37" s="2" t="str">
        <f t="shared" si="1"/>
        <v>Iceland</v>
      </c>
      <c r="P37" s="1" t="s">
        <v>116</v>
      </c>
      <c r="Q37" s="1"/>
      <c r="R37" s="110"/>
      <c r="S37" s="110"/>
      <c r="T37" s="111"/>
      <c r="U37" s="111"/>
      <c r="V37" s="110"/>
      <c r="W37" s="110"/>
    </row>
    <row r="38" spans="2:23" x14ac:dyDescent="0.3">
      <c r="B38" s="2" t="str">
        <f t="shared" si="0"/>
        <v/>
      </c>
      <c r="C38" s="1"/>
      <c r="D38" s="1"/>
      <c r="E38" s="1"/>
      <c r="F38" s="110"/>
      <c r="G38" s="110"/>
      <c r="H38" s="111"/>
      <c r="I38" s="111"/>
      <c r="J38" s="110"/>
      <c r="K38" s="110"/>
      <c r="O38" s="2" t="str">
        <f t="shared" si="1"/>
        <v>Iceland</v>
      </c>
      <c r="P38" s="1" t="s">
        <v>116</v>
      </c>
      <c r="Q38" s="1"/>
      <c r="R38" s="110"/>
      <c r="S38" s="110"/>
      <c r="T38" s="111"/>
      <c r="U38" s="111"/>
      <c r="V38" s="110"/>
      <c r="W38" s="110"/>
    </row>
    <row r="39" spans="2:23" x14ac:dyDescent="0.3">
      <c r="B39" s="2" t="str">
        <f t="shared" si="0"/>
        <v/>
      </c>
      <c r="C39" s="1"/>
      <c r="D39" s="1"/>
      <c r="E39" s="1"/>
      <c r="F39" s="110"/>
      <c r="G39" s="110"/>
      <c r="H39" s="111"/>
      <c r="I39" s="111"/>
      <c r="J39" s="110"/>
      <c r="K39" s="110"/>
      <c r="O39" s="2" t="str">
        <f t="shared" si="1"/>
        <v>Iceland</v>
      </c>
      <c r="P39" s="1" t="s">
        <v>116</v>
      </c>
      <c r="Q39" s="1"/>
      <c r="R39" s="110"/>
      <c r="S39" s="110"/>
      <c r="T39" s="111"/>
      <c r="U39" s="111"/>
      <c r="V39" s="110"/>
      <c r="W39" s="110"/>
    </row>
    <row r="40" spans="2:23" x14ac:dyDescent="0.3">
      <c r="B40" s="2" t="str">
        <f t="shared" si="0"/>
        <v/>
      </c>
      <c r="C40" s="1"/>
      <c r="D40" s="1"/>
      <c r="E40" s="1"/>
      <c r="F40" s="110"/>
      <c r="G40" s="110"/>
      <c r="H40" s="111"/>
      <c r="I40" s="111"/>
      <c r="J40" s="110"/>
      <c r="K40" s="110"/>
      <c r="O40" s="2" t="str">
        <f t="shared" si="1"/>
        <v>Iceland</v>
      </c>
      <c r="P40" s="1" t="s">
        <v>116</v>
      </c>
      <c r="Q40" s="1"/>
      <c r="R40" s="110"/>
      <c r="S40" s="110"/>
      <c r="T40" s="111"/>
      <c r="U40" s="111"/>
      <c r="V40" s="110"/>
      <c r="W40" s="110"/>
    </row>
    <row r="41" spans="2:23" x14ac:dyDescent="0.3">
      <c r="B41" s="2" t="str">
        <f t="shared" si="0"/>
        <v/>
      </c>
      <c r="C41" s="1"/>
      <c r="D41" s="1"/>
      <c r="E41" s="1"/>
      <c r="F41" s="110"/>
      <c r="G41" s="110"/>
      <c r="H41" s="111"/>
      <c r="I41" s="111"/>
      <c r="J41" s="110"/>
      <c r="K41" s="110"/>
      <c r="O41" s="2" t="str">
        <f t="shared" si="1"/>
        <v>Iceland</v>
      </c>
      <c r="P41" s="1" t="s">
        <v>116</v>
      </c>
      <c r="Q41" s="1"/>
      <c r="R41" s="110"/>
      <c r="S41" s="110"/>
      <c r="T41" s="111"/>
      <c r="U41" s="111"/>
      <c r="V41" s="110"/>
      <c r="W41" s="110"/>
    </row>
    <row r="42" spans="2:23" x14ac:dyDescent="0.3">
      <c r="B42" s="2" t="str">
        <f t="shared" si="0"/>
        <v/>
      </c>
      <c r="C42" s="1"/>
      <c r="D42" s="1"/>
      <c r="E42" s="1"/>
      <c r="F42" s="110"/>
      <c r="G42" s="110"/>
      <c r="H42" s="111"/>
      <c r="I42" s="111"/>
      <c r="J42" s="110"/>
      <c r="K42" s="110"/>
      <c r="O42" s="2" t="str">
        <f t="shared" si="1"/>
        <v>Iceland</v>
      </c>
      <c r="P42" s="1" t="s">
        <v>116</v>
      </c>
      <c r="Q42" s="1"/>
      <c r="R42" s="110"/>
      <c r="S42" s="110"/>
      <c r="T42" s="111"/>
      <c r="U42" s="111"/>
      <c r="V42" s="110"/>
      <c r="W42" s="110"/>
    </row>
    <row r="43" spans="2:23" x14ac:dyDescent="0.3">
      <c r="B43" s="2" t="str">
        <f t="shared" si="0"/>
        <v/>
      </c>
      <c r="C43" s="1"/>
      <c r="D43" s="1"/>
      <c r="E43" s="1"/>
      <c r="F43" s="110"/>
      <c r="G43" s="110"/>
      <c r="H43" s="111"/>
      <c r="I43" s="111"/>
      <c r="J43" s="110"/>
      <c r="K43" s="110"/>
      <c r="O43" s="2" t="str">
        <f t="shared" si="1"/>
        <v>Iceland</v>
      </c>
      <c r="P43" s="1" t="s">
        <v>116</v>
      </c>
      <c r="Q43" s="1"/>
      <c r="R43" s="110"/>
      <c r="S43" s="110"/>
      <c r="T43" s="111"/>
      <c r="U43" s="111"/>
      <c r="V43" s="110"/>
      <c r="W43" s="110"/>
    </row>
    <row r="44" spans="2:23" x14ac:dyDescent="0.3">
      <c r="B44" s="2" t="str">
        <f t="shared" si="0"/>
        <v/>
      </c>
      <c r="C44" s="1"/>
      <c r="D44" s="1"/>
      <c r="E44" s="1"/>
      <c r="F44" s="110"/>
      <c r="G44" s="110"/>
      <c r="H44" s="111"/>
      <c r="I44" s="111"/>
      <c r="J44" s="110"/>
      <c r="K44" s="110"/>
      <c r="O44" s="2" t="str">
        <f t="shared" si="1"/>
        <v>Iceland</v>
      </c>
      <c r="P44" s="1" t="s">
        <v>116</v>
      </c>
      <c r="Q44" s="1"/>
      <c r="R44" s="110"/>
      <c r="S44" s="110"/>
      <c r="T44" s="111"/>
      <c r="U44" s="111"/>
      <c r="V44" s="110"/>
      <c r="W44" s="110"/>
    </row>
    <row r="45" spans="2:23" x14ac:dyDescent="0.3">
      <c r="B45" s="2" t="str">
        <f t="shared" si="0"/>
        <v/>
      </c>
      <c r="C45" s="1"/>
      <c r="D45" s="1"/>
      <c r="E45" s="1"/>
      <c r="F45" s="110"/>
      <c r="G45" s="110"/>
      <c r="H45" s="111"/>
      <c r="I45" s="111"/>
      <c r="J45" s="110"/>
      <c r="K45" s="110"/>
      <c r="O45" s="2" t="str">
        <f t="shared" si="1"/>
        <v>Iceland</v>
      </c>
      <c r="P45" s="1" t="s">
        <v>116</v>
      </c>
      <c r="Q45" s="1"/>
      <c r="R45" s="110"/>
      <c r="S45" s="110"/>
      <c r="T45" s="111"/>
      <c r="U45" s="111"/>
      <c r="V45" s="110"/>
      <c r="W45" s="110"/>
    </row>
    <row r="46" spans="2:23" x14ac:dyDescent="0.3">
      <c r="B46" s="2" t="str">
        <f t="shared" si="0"/>
        <v/>
      </c>
      <c r="C46" s="1"/>
      <c r="D46" s="1"/>
      <c r="E46" s="1"/>
      <c r="F46" s="110"/>
      <c r="G46" s="110"/>
      <c r="H46" s="111"/>
      <c r="I46" s="111"/>
      <c r="J46" s="110"/>
      <c r="K46" s="110"/>
      <c r="O46" s="2" t="str">
        <f t="shared" si="1"/>
        <v>Iceland</v>
      </c>
      <c r="P46" s="1" t="s">
        <v>116</v>
      </c>
      <c r="Q46" s="1"/>
      <c r="R46" s="110"/>
      <c r="S46" s="110"/>
      <c r="T46" s="111"/>
      <c r="U46" s="111"/>
      <c r="V46" s="110"/>
      <c r="W46" s="110"/>
    </row>
    <row r="47" spans="2:23" x14ac:dyDescent="0.3">
      <c r="B47" s="2" t="str">
        <f t="shared" si="0"/>
        <v/>
      </c>
      <c r="C47" s="1"/>
      <c r="D47" s="1"/>
      <c r="E47" s="1"/>
      <c r="F47" s="110"/>
      <c r="G47" s="110"/>
      <c r="H47" s="111"/>
      <c r="I47" s="111"/>
      <c r="J47" s="110"/>
      <c r="K47" s="110"/>
      <c r="O47" s="2" t="str">
        <f t="shared" si="1"/>
        <v>Iceland</v>
      </c>
      <c r="P47" s="1" t="s">
        <v>116</v>
      </c>
      <c r="Q47" s="1"/>
      <c r="R47" s="110"/>
      <c r="S47" s="110"/>
      <c r="T47" s="111"/>
      <c r="U47" s="111"/>
      <c r="V47" s="110"/>
      <c r="W47" s="110"/>
    </row>
    <row r="48" spans="2:23" x14ac:dyDescent="0.3">
      <c r="B48" s="2" t="str">
        <f t="shared" si="0"/>
        <v/>
      </c>
      <c r="C48" s="1"/>
      <c r="D48" s="1"/>
      <c r="E48" s="1"/>
      <c r="F48" s="110"/>
      <c r="G48" s="110"/>
      <c r="H48" s="111"/>
      <c r="I48" s="111"/>
      <c r="J48" s="110"/>
      <c r="K48" s="110"/>
      <c r="O48" s="2" t="str">
        <f t="shared" si="1"/>
        <v>Iceland</v>
      </c>
      <c r="P48" s="1" t="s">
        <v>116</v>
      </c>
      <c r="Q48" s="1"/>
      <c r="R48" s="110"/>
      <c r="S48" s="110"/>
      <c r="T48" s="111"/>
      <c r="U48" s="111"/>
      <c r="V48" s="110"/>
      <c r="W48" s="110"/>
    </row>
    <row r="49" spans="2:23" x14ac:dyDescent="0.3">
      <c r="B49" s="2" t="str">
        <f t="shared" si="0"/>
        <v/>
      </c>
      <c r="C49" s="1"/>
      <c r="D49" s="1"/>
      <c r="E49" s="1"/>
      <c r="F49" s="110"/>
      <c r="G49" s="110"/>
      <c r="H49" s="111"/>
      <c r="I49" s="111"/>
      <c r="J49" s="110"/>
      <c r="K49" s="110"/>
      <c r="O49" s="2" t="str">
        <f t="shared" si="1"/>
        <v>Iceland</v>
      </c>
      <c r="P49" s="1" t="s">
        <v>116</v>
      </c>
      <c r="Q49" s="1"/>
      <c r="R49" s="110"/>
      <c r="S49" s="110"/>
      <c r="T49" s="111"/>
      <c r="U49" s="111"/>
      <c r="V49" s="110"/>
      <c r="W49" s="110"/>
    </row>
    <row r="50" spans="2:23" x14ac:dyDescent="0.3">
      <c r="B50" s="2" t="str">
        <f t="shared" si="0"/>
        <v/>
      </c>
      <c r="C50" s="1"/>
      <c r="D50" s="1"/>
      <c r="E50" s="1"/>
      <c r="F50" s="110"/>
      <c r="G50" s="110"/>
      <c r="H50" s="111"/>
      <c r="I50" s="111"/>
      <c r="J50" s="110"/>
      <c r="K50" s="110"/>
      <c r="O50" s="2" t="str">
        <f t="shared" si="1"/>
        <v>Iceland</v>
      </c>
      <c r="P50" s="1" t="s">
        <v>116</v>
      </c>
      <c r="Q50" s="1"/>
      <c r="R50" s="110"/>
      <c r="S50" s="110"/>
      <c r="T50" s="111"/>
      <c r="U50" s="111"/>
      <c r="V50" s="110"/>
      <c r="W50" s="110"/>
    </row>
    <row r="51" spans="2:23" x14ac:dyDescent="0.3">
      <c r="B51" s="2" t="str">
        <f t="shared" si="0"/>
        <v/>
      </c>
      <c r="C51" s="1"/>
      <c r="D51" s="1"/>
      <c r="E51" s="1"/>
      <c r="F51" s="110"/>
      <c r="G51" s="110"/>
      <c r="H51" s="111"/>
      <c r="I51" s="111"/>
      <c r="J51" s="110"/>
      <c r="K51" s="110"/>
      <c r="O51" s="2" t="str">
        <f t="shared" si="1"/>
        <v>Iceland</v>
      </c>
      <c r="P51" s="1" t="s">
        <v>116</v>
      </c>
      <c r="Q51" s="1"/>
      <c r="R51" s="110"/>
      <c r="S51" s="110"/>
      <c r="T51" s="111"/>
      <c r="U51" s="111"/>
      <c r="V51" s="110"/>
      <c r="W51" s="110"/>
    </row>
    <row r="52" spans="2:23" x14ac:dyDescent="0.3">
      <c r="B52" s="2" t="str">
        <f t="shared" si="0"/>
        <v/>
      </c>
      <c r="C52" s="1"/>
      <c r="D52" s="1"/>
      <c r="E52" s="1"/>
      <c r="F52" s="110"/>
      <c r="G52" s="110"/>
      <c r="H52" s="111"/>
      <c r="I52" s="111"/>
      <c r="J52" s="110"/>
      <c r="K52" s="110"/>
      <c r="O52" s="2" t="str">
        <f t="shared" si="1"/>
        <v>Iceland</v>
      </c>
      <c r="P52" s="1" t="s">
        <v>116</v>
      </c>
      <c r="Q52" s="1"/>
      <c r="R52" s="110"/>
      <c r="S52" s="110"/>
      <c r="T52" s="111"/>
      <c r="U52" s="111"/>
      <c r="V52" s="110"/>
      <c r="W52" s="110"/>
    </row>
    <row r="53" spans="2:23" x14ac:dyDescent="0.3">
      <c r="B53" s="2" t="str">
        <f t="shared" si="0"/>
        <v/>
      </c>
      <c r="C53" s="1"/>
      <c r="D53" s="1"/>
      <c r="E53" s="1"/>
      <c r="F53" s="110"/>
      <c r="G53" s="110"/>
      <c r="H53" s="111"/>
      <c r="I53" s="111"/>
      <c r="J53" s="110"/>
      <c r="K53" s="110"/>
      <c r="O53" s="2" t="str">
        <f t="shared" si="1"/>
        <v>Iceland</v>
      </c>
      <c r="P53" s="1" t="s">
        <v>116</v>
      </c>
      <c r="Q53" s="1"/>
      <c r="R53" s="110"/>
      <c r="S53" s="110"/>
      <c r="T53" s="111"/>
      <c r="U53" s="111"/>
      <c r="V53" s="110"/>
      <c r="W53" s="110"/>
    </row>
    <row r="54" spans="2:23" x14ac:dyDescent="0.3">
      <c r="B54" s="2" t="str">
        <f t="shared" si="0"/>
        <v/>
      </c>
      <c r="C54" s="1"/>
      <c r="D54" s="1"/>
      <c r="E54" s="1"/>
      <c r="F54" s="110"/>
      <c r="G54" s="110"/>
      <c r="H54" s="111"/>
      <c r="I54" s="111"/>
      <c r="J54" s="110"/>
      <c r="K54" s="110"/>
      <c r="O54" s="2" t="str">
        <f t="shared" si="1"/>
        <v>Iceland</v>
      </c>
      <c r="P54" s="1" t="s">
        <v>116</v>
      </c>
      <c r="Q54" s="1"/>
      <c r="R54" s="110"/>
      <c r="S54" s="110"/>
      <c r="T54" s="111"/>
      <c r="U54" s="111"/>
      <c r="V54" s="110"/>
      <c r="W54" s="110"/>
    </row>
    <row r="55" spans="2:23" x14ac:dyDescent="0.3">
      <c r="B55" s="2" t="str">
        <f t="shared" si="0"/>
        <v/>
      </c>
      <c r="C55" s="1"/>
      <c r="D55" s="1"/>
      <c r="E55" s="1"/>
      <c r="F55" s="110"/>
      <c r="G55" s="110"/>
      <c r="H55" s="111"/>
      <c r="I55" s="111"/>
      <c r="J55" s="110"/>
      <c r="K55" s="110"/>
      <c r="O55" s="2" t="str">
        <f t="shared" si="1"/>
        <v>Iceland</v>
      </c>
      <c r="P55" s="1" t="s">
        <v>116</v>
      </c>
      <c r="Q55" s="1"/>
      <c r="R55" s="110"/>
      <c r="S55" s="110"/>
      <c r="T55" s="111"/>
      <c r="U55" s="111"/>
      <c r="V55" s="110"/>
      <c r="W55" s="110"/>
    </row>
    <row r="56" spans="2:23" x14ac:dyDescent="0.3">
      <c r="B56" s="2" t="str">
        <f t="shared" si="0"/>
        <v/>
      </c>
      <c r="C56" s="1"/>
      <c r="D56" s="1"/>
      <c r="E56" s="1"/>
      <c r="F56" s="110"/>
      <c r="G56" s="110"/>
      <c r="H56" s="111"/>
      <c r="I56" s="111"/>
      <c r="J56" s="110"/>
      <c r="K56" s="110"/>
      <c r="O56" s="2" t="str">
        <f t="shared" si="1"/>
        <v>Iceland</v>
      </c>
      <c r="P56" s="1" t="s">
        <v>116</v>
      </c>
      <c r="Q56" s="1"/>
      <c r="R56" s="110"/>
      <c r="S56" s="110"/>
      <c r="T56" s="111"/>
      <c r="U56" s="111"/>
      <c r="V56" s="110"/>
      <c r="W56" s="110"/>
    </row>
    <row r="57" spans="2:23" x14ac:dyDescent="0.3">
      <c r="B57" s="2" t="str">
        <f t="shared" si="0"/>
        <v/>
      </c>
      <c r="C57" s="1"/>
      <c r="D57" s="1"/>
      <c r="E57" s="1"/>
      <c r="F57" s="110"/>
      <c r="G57" s="110"/>
      <c r="H57" s="111"/>
      <c r="I57" s="111"/>
      <c r="J57" s="110"/>
      <c r="K57" s="110"/>
      <c r="O57" s="2" t="str">
        <f t="shared" si="1"/>
        <v>Iceland</v>
      </c>
      <c r="P57" s="1" t="s">
        <v>116</v>
      </c>
      <c r="Q57" s="1"/>
      <c r="R57" s="110"/>
      <c r="S57" s="110"/>
      <c r="T57" s="111"/>
      <c r="U57" s="111"/>
      <c r="V57" s="110"/>
      <c r="W57" s="110"/>
    </row>
    <row r="58" spans="2:23" x14ac:dyDescent="0.3">
      <c r="B58" s="2" t="str">
        <f t="shared" si="0"/>
        <v/>
      </c>
      <c r="C58" s="1"/>
      <c r="D58" s="1"/>
      <c r="E58" s="1"/>
      <c r="F58" s="110"/>
      <c r="G58" s="110"/>
      <c r="H58" s="111"/>
      <c r="I58" s="111"/>
      <c r="J58" s="110"/>
      <c r="K58" s="110"/>
      <c r="O58" s="2" t="str">
        <f t="shared" si="1"/>
        <v>Iceland</v>
      </c>
      <c r="P58" s="1" t="s">
        <v>116</v>
      </c>
      <c r="Q58" s="1"/>
      <c r="R58" s="110"/>
      <c r="S58" s="110"/>
      <c r="T58" s="111"/>
      <c r="U58" s="111"/>
      <c r="V58" s="110"/>
      <c r="W58" s="110"/>
    </row>
    <row r="59" spans="2:23" x14ac:dyDescent="0.3">
      <c r="B59" s="2" t="str">
        <f t="shared" si="0"/>
        <v/>
      </c>
      <c r="C59" s="1"/>
      <c r="D59" s="1"/>
      <c r="E59" s="1"/>
      <c r="F59" s="110"/>
      <c r="G59" s="110"/>
      <c r="H59" s="111"/>
      <c r="I59" s="111"/>
      <c r="J59" s="110"/>
      <c r="K59" s="110"/>
      <c r="O59" s="2" t="str">
        <f t="shared" si="1"/>
        <v>Iceland</v>
      </c>
      <c r="P59" s="1" t="s">
        <v>116</v>
      </c>
      <c r="Q59" s="1"/>
      <c r="R59" s="110"/>
      <c r="S59" s="110"/>
      <c r="T59" s="111"/>
      <c r="U59" s="111"/>
      <c r="V59" s="110"/>
      <c r="W59" s="110"/>
    </row>
    <row r="60" spans="2:23" x14ac:dyDescent="0.3">
      <c r="B60" s="2" t="str">
        <f t="shared" si="0"/>
        <v/>
      </c>
      <c r="C60" s="1"/>
      <c r="D60" s="1"/>
      <c r="E60" s="1"/>
      <c r="F60" s="110"/>
      <c r="G60" s="110"/>
      <c r="H60" s="111"/>
      <c r="I60" s="111"/>
      <c r="J60" s="110"/>
      <c r="K60" s="110"/>
      <c r="O60" s="2" t="str">
        <f t="shared" si="1"/>
        <v>Iceland</v>
      </c>
      <c r="P60" s="1" t="s">
        <v>116</v>
      </c>
      <c r="Q60" s="1"/>
      <c r="R60" s="110"/>
      <c r="S60" s="110"/>
      <c r="T60" s="111"/>
      <c r="U60" s="111"/>
      <c r="V60" s="110"/>
      <c r="W60" s="110"/>
    </row>
    <row r="61" spans="2:23" x14ac:dyDescent="0.3">
      <c r="B61" s="2" t="str">
        <f t="shared" si="0"/>
        <v/>
      </c>
      <c r="C61" s="1"/>
      <c r="D61" s="1"/>
      <c r="E61" s="1"/>
      <c r="F61" s="110"/>
      <c r="G61" s="110"/>
      <c r="H61" s="111"/>
      <c r="I61" s="111"/>
      <c r="J61" s="110"/>
      <c r="K61" s="110"/>
      <c r="O61" s="2" t="str">
        <f t="shared" si="1"/>
        <v>Iceland</v>
      </c>
      <c r="P61" s="1" t="s">
        <v>116</v>
      </c>
      <c r="Q61" s="1"/>
      <c r="R61" s="110"/>
      <c r="S61" s="110"/>
      <c r="T61" s="111"/>
      <c r="U61" s="111"/>
      <c r="V61" s="110"/>
      <c r="W61" s="110"/>
    </row>
    <row r="62" spans="2:23" x14ac:dyDescent="0.3">
      <c r="B62" s="2" t="str">
        <f t="shared" si="0"/>
        <v/>
      </c>
      <c r="C62" s="1"/>
      <c r="D62" s="1"/>
      <c r="E62" s="1"/>
      <c r="F62" s="110"/>
      <c r="G62" s="110"/>
      <c r="H62" s="111"/>
      <c r="I62" s="111"/>
      <c r="J62" s="110"/>
      <c r="K62" s="110"/>
      <c r="O62" s="2" t="str">
        <f t="shared" si="1"/>
        <v>Iceland</v>
      </c>
      <c r="P62" s="1" t="s">
        <v>116</v>
      </c>
      <c r="Q62" s="1"/>
      <c r="R62" s="110"/>
      <c r="S62" s="110"/>
      <c r="T62" s="111"/>
      <c r="U62" s="111"/>
      <c r="V62" s="110"/>
      <c r="W62" s="110"/>
    </row>
    <row r="63" spans="2:23" x14ac:dyDescent="0.3">
      <c r="B63" s="2" t="str">
        <f t="shared" si="0"/>
        <v/>
      </c>
      <c r="C63" s="1"/>
      <c r="D63" s="1"/>
      <c r="E63" s="1"/>
      <c r="F63" s="110"/>
      <c r="G63" s="110"/>
      <c r="H63" s="111"/>
      <c r="I63" s="111"/>
      <c r="J63" s="110"/>
      <c r="K63" s="110"/>
      <c r="O63" s="2" t="str">
        <f t="shared" si="1"/>
        <v>Iceland</v>
      </c>
      <c r="P63" s="1" t="s">
        <v>116</v>
      </c>
      <c r="Q63" s="1"/>
      <c r="R63" s="110"/>
      <c r="S63" s="110"/>
      <c r="T63" s="111"/>
      <c r="U63" s="111"/>
      <c r="V63" s="110"/>
      <c r="W63" s="110"/>
    </row>
    <row r="64" spans="2:23" x14ac:dyDescent="0.3">
      <c r="B64" s="2" t="str">
        <f t="shared" si="0"/>
        <v/>
      </c>
      <c r="C64" s="1"/>
      <c r="D64" s="1"/>
      <c r="E64" s="1"/>
      <c r="F64" s="110"/>
      <c r="G64" s="110"/>
      <c r="H64" s="111"/>
      <c r="I64" s="111"/>
      <c r="J64" s="110"/>
      <c r="K64" s="110"/>
      <c r="O64" s="2" t="str">
        <f t="shared" si="1"/>
        <v>Iceland</v>
      </c>
      <c r="P64" s="1" t="s">
        <v>116</v>
      </c>
      <c r="Q64" s="1"/>
      <c r="R64" s="110"/>
      <c r="S64" s="110"/>
      <c r="T64" s="111"/>
      <c r="U64" s="111"/>
      <c r="V64" s="110"/>
      <c r="W64" s="110"/>
    </row>
    <row r="65" spans="2:23" x14ac:dyDescent="0.3">
      <c r="B65" s="2" t="str">
        <f t="shared" si="0"/>
        <v/>
      </c>
      <c r="C65" s="1"/>
      <c r="D65" s="1"/>
      <c r="E65" s="1"/>
      <c r="F65" s="110"/>
      <c r="G65" s="110"/>
      <c r="H65" s="111"/>
      <c r="I65" s="111"/>
      <c r="J65" s="110"/>
      <c r="K65" s="110"/>
      <c r="O65" s="2" t="str">
        <f t="shared" si="1"/>
        <v>Iceland</v>
      </c>
      <c r="P65" s="1" t="s">
        <v>116</v>
      </c>
      <c r="Q65" s="1"/>
      <c r="R65" s="110"/>
      <c r="S65" s="110"/>
      <c r="T65" s="111"/>
      <c r="U65" s="111"/>
      <c r="V65" s="110"/>
      <c r="W65" s="110"/>
    </row>
    <row r="66" spans="2:23" x14ac:dyDescent="0.3">
      <c r="B66" s="2" t="str">
        <f t="shared" si="0"/>
        <v/>
      </c>
      <c r="C66" s="1"/>
      <c r="D66" s="1"/>
      <c r="E66" s="1"/>
      <c r="F66" s="110"/>
      <c r="G66" s="110"/>
      <c r="H66" s="111"/>
      <c r="I66" s="111"/>
      <c r="J66" s="110"/>
      <c r="K66" s="110"/>
      <c r="O66" s="2" t="str">
        <f t="shared" si="1"/>
        <v>Iceland</v>
      </c>
      <c r="P66" s="1" t="s">
        <v>116</v>
      </c>
      <c r="Q66" s="1"/>
      <c r="R66" s="110"/>
      <c r="S66" s="110"/>
      <c r="T66" s="111"/>
      <c r="U66" s="111"/>
      <c r="V66" s="110"/>
      <c r="W66" s="110"/>
    </row>
    <row r="67" spans="2:23" x14ac:dyDescent="0.3">
      <c r="B67" s="2" t="str">
        <f t="shared" si="0"/>
        <v/>
      </c>
      <c r="C67" s="1"/>
      <c r="D67" s="1"/>
      <c r="E67" s="1"/>
      <c r="F67" s="110"/>
      <c r="G67" s="110"/>
      <c r="H67" s="111"/>
      <c r="I67" s="111"/>
      <c r="J67" s="110"/>
      <c r="K67" s="110"/>
      <c r="O67" s="2" t="str">
        <f t="shared" si="1"/>
        <v>Iceland</v>
      </c>
      <c r="P67" s="1" t="s">
        <v>116</v>
      </c>
      <c r="Q67" s="1"/>
      <c r="R67" s="110"/>
      <c r="S67" s="110"/>
      <c r="T67" s="111"/>
      <c r="U67" s="111"/>
      <c r="V67" s="110"/>
      <c r="W67" s="110"/>
    </row>
    <row r="68" spans="2:23" x14ac:dyDescent="0.3">
      <c r="B68" s="2" t="str">
        <f t="shared" ref="B68:B131" si="2">C68&amp;D68&amp;E68</f>
        <v/>
      </c>
      <c r="C68" s="1"/>
      <c r="D68" s="1"/>
      <c r="E68" s="1"/>
      <c r="F68" s="110"/>
      <c r="G68" s="110"/>
      <c r="H68" s="111"/>
      <c r="I68" s="111"/>
      <c r="J68" s="110"/>
      <c r="K68" s="110"/>
      <c r="O68" s="2" t="str">
        <f t="shared" ref="O68:O131" si="3">P68&amp;Q68</f>
        <v>Iceland</v>
      </c>
      <c r="P68" s="1" t="s">
        <v>116</v>
      </c>
      <c r="Q68" s="1"/>
      <c r="R68" s="110"/>
      <c r="S68" s="110"/>
      <c r="T68" s="111"/>
      <c r="U68" s="111"/>
      <c r="V68" s="110"/>
      <c r="W68" s="110"/>
    </row>
    <row r="69" spans="2:23" x14ac:dyDescent="0.3">
      <c r="B69" s="2" t="str">
        <f t="shared" si="2"/>
        <v/>
      </c>
      <c r="C69" s="1"/>
      <c r="D69" s="1"/>
      <c r="E69" s="1"/>
      <c r="F69" s="110"/>
      <c r="G69" s="110"/>
      <c r="H69" s="111"/>
      <c r="I69" s="111"/>
      <c r="J69" s="110"/>
      <c r="K69" s="110"/>
      <c r="O69" s="2" t="str">
        <f t="shared" si="3"/>
        <v>Iceland</v>
      </c>
      <c r="P69" s="1" t="s">
        <v>116</v>
      </c>
      <c r="Q69" s="1"/>
      <c r="R69" s="110"/>
      <c r="S69" s="110"/>
      <c r="T69" s="111"/>
      <c r="U69" s="111"/>
      <c r="V69" s="110"/>
      <c r="W69" s="110"/>
    </row>
    <row r="70" spans="2:23" x14ac:dyDescent="0.3">
      <c r="B70" s="2" t="str">
        <f t="shared" si="2"/>
        <v/>
      </c>
      <c r="C70" s="1"/>
      <c r="D70" s="1"/>
      <c r="E70" s="1"/>
      <c r="F70" s="110"/>
      <c r="G70" s="110"/>
      <c r="H70" s="111"/>
      <c r="I70" s="111"/>
      <c r="J70" s="110"/>
      <c r="K70" s="110"/>
      <c r="O70" s="2" t="str">
        <f t="shared" si="3"/>
        <v>Iceland</v>
      </c>
      <c r="P70" s="1" t="s">
        <v>116</v>
      </c>
      <c r="Q70" s="1"/>
      <c r="R70" s="110"/>
      <c r="S70" s="110"/>
      <c r="T70" s="111"/>
      <c r="U70" s="111"/>
      <c r="V70" s="110"/>
      <c r="W70" s="110"/>
    </row>
    <row r="71" spans="2:23" x14ac:dyDescent="0.3">
      <c r="B71" s="2" t="str">
        <f t="shared" si="2"/>
        <v/>
      </c>
      <c r="C71" s="1"/>
      <c r="D71" s="1"/>
      <c r="E71" s="1"/>
      <c r="F71" s="110"/>
      <c r="G71" s="110"/>
      <c r="H71" s="111"/>
      <c r="I71" s="111"/>
      <c r="J71" s="110"/>
      <c r="K71" s="110"/>
      <c r="O71" s="2" t="str">
        <f t="shared" si="3"/>
        <v>Iceland</v>
      </c>
      <c r="P71" s="1" t="s">
        <v>116</v>
      </c>
      <c r="Q71" s="1"/>
      <c r="R71" s="110"/>
      <c r="S71" s="110"/>
      <c r="T71" s="111"/>
      <c r="U71" s="111"/>
      <c r="V71" s="110"/>
      <c r="W71" s="110"/>
    </row>
    <row r="72" spans="2:23" x14ac:dyDescent="0.3">
      <c r="B72" s="2" t="str">
        <f t="shared" si="2"/>
        <v/>
      </c>
      <c r="C72" s="1"/>
      <c r="D72" s="1"/>
      <c r="E72" s="1"/>
      <c r="F72" s="110"/>
      <c r="G72" s="110"/>
      <c r="H72" s="111"/>
      <c r="I72" s="111"/>
      <c r="J72" s="110"/>
      <c r="K72" s="110"/>
      <c r="O72" s="2" t="str">
        <f t="shared" si="3"/>
        <v>Iceland</v>
      </c>
      <c r="P72" s="1" t="s">
        <v>116</v>
      </c>
      <c r="Q72" s="1"/>
      <c r="R72" s="110"/>
      <c r="S72" s="110"/>
      <c r="T72" s="111"/>
      <c r="U72" s="111"/>
      <c r="V72" s="110"/>
      <c r="W72" s="110"/>
    </row>
    <row r="73" spans="2:23" x14ac:dyDescent="0.3">
      <c r="B73" s="2" t="str">
        <f t="shared" si="2"/>
        <v/>
      </c>
      <c r="C73" s="1"/>
      <c r="D73" s="1"/>
      <c r="E73" s="1"/>
      <c r="F73" s="110"/>
      <c r="G73" s="110"/>
      <c r="H73" s="111"/>
      <c r="I73" s="111"/>
      <c r="J73" s="110"/>
      <c r="K73" s="110"/>
      <c r="O73" s="2" t="str">
        <f t="shared" si="3"/>
        <v>Iceland</v>
      </c>
      <c r="P73" s="1" t="s">
        <v>116</v>
      </c>
      <c r="Q73" s="1"/>
      <c r="R73" s="110"/>
      <c r="S73" s="110"/>
      <c r="T73" s="111"/>
      <c r="U73" s="111"/>
      <c r="V73" s="110"/>
      <c r="W73" s="110"/>
    </row>
    <row r="74" spans="2:23" x14ac:dyDescent="0.3">
      <c r="B74" s="2" t="str">
        <f t="shared" si="2"/>
        <v/>
      </c>
      <c r="C74" s="1"/>
      <c r="D74" s="1"/>
      <c r="E74" s="1"/>
      <c r="F74" s="110"/>
      <c r="G74" s="110"/>
      <c r="H74" s="111"/>
      <c r="I74" s="111"/>
      <c r="J74" s="110"/>
      <c r="K74" s="110"/>
      <c r="O74" s="2" t="str">
        <f t="shared" si="3"/>
        <v>Iceland</v>
      </c>
      <c r="P74" s="1" t="s">
        <v>116</v>
      </c>
      <c r="Q74" s="1"/>
      <c r="R74" s="110"/>
      <c r="S74" s="110"/>
      <c r="T74" s="111"/>
      <c r="U74" s="111"/>
      <c r="V74" s="110"/>
      <c r="W74" s="110"/>
    </row>
    <row r="75" spans="2:23" x14ac:dyDescent="0.3">
      <c r="B75" s="2" t="str">
        <f t="shared" si="2"/>
        <v/>
      </c>
      <c r="C75" s="1"/>
      <c r="D75" s="1"/>
      <c r="E75" s="1"/>
      <c r="F75" s="110"/>
      <c r="G75" s="110"/>
      <c r="H75" s="111"/>
      <c r="I75" s="111"/>
      <c r="J75" s="110"/>
      <c r="K75" s="110"/>
      <c r="O75" s="2" t="str">
        <f t="shared" si="3"/>
        <v>Iceland</v>
      </c>
      <c r="P75" s="1" t="s">
        <v>116</v>
      </c>
      <c r="Q75" s="1"/>
      <c r="R75" s="110"/>
      <c r="S75" s="110"/>
      <c r="T75" s="111"/>
      <c r="U75" s="111"/>
      <c r="V75" s="110"/>
      <c r="W75" s="110"/>
    </row>
    <row r="76" spans="2:23" x14ac:dyDescent="0.3">
      <c r="B76" s="2" t="str">
        <f t="shared" si="2"/>
        <v/>
      </c>
      <c r="C76" s="1"/>
      <c r="D76" s="1"/>
      <c r="E76" s="1"/>
      <c r="F76" s="110"/>
      <c r="G76" s="110"/>
      <c r="H76" s="111"/>
      <c r="I76" s="111"/>
      <c r="J76" s="110"/>
      <c r="K76" s="110"/>
      <c r="O76" s="2" t="str">
        <f t="shared" si="3"/>
        <v>Iceland</v>
      </c>
      <c r="P76" s="1" t="s">
        <v>116</v>
      </c>
      <c r="Q76" s="1"/>
      <c r="R76" s="110"/>
      <c r="S76" s="110"/>
      <c r="T76" s="111"/>
      <c r="U76" s="111"/>
      <c r="V76" s="110"/>
      <c r="W76" s="110"/>
    </row>
    <row r="77" spans="2:23" x14ac:dyDescent="0.3">
      <c r="B77" s="2" t="str">
        <f t="shared" si="2"/>
        <v/>
      </c>
      <c r="C77" s="1"/>
      <c r="D77" s="1"/>
      <c r="E77" s="1"/>
      <c r="F77" s="110"/>
      <c r="G77" s="110"/>
      <c r="H77" s="111"/>
      <c r="I77" s="111"/>
      <c r="J77" s="110"/>
      <c r="K77" s="110"/>
      <c r="O77" s="2" t="str">
        <f t="shared" si="3"/>
        <v>Iceland</v>
      </c>
      <c r="P77" s="1" t="s">
        <v>116</v>
      </c>
      <c r="Q77" s="1"/>
      <c r="R77" s="110"/>
      <c r="S77" s="110"/>
      <c r="T77" s="111"/>
      <c r="U77" s="111"/>
      <c r="V77" s="110"/>
      <c r="W77" s="110"/>
    </row>
    <row r="78" spans="2:23" x14ac:dyDescent="0.3">
      <c r="B78" s="2" t="str">
        <f t="shared" si="2"/>
        <v/>
      </c>
      <c r="C78" s="1"/>
      <c r="D78" s="1"/>
      <c r="E78" s="1"/>
      <c r="F78" s="110"/>
      <c r="G78" s="110"/>
      <c r="H78" s="111"/>
      <c r="I78" s="111"/>
      <c r="J78" s="110"/>
      <c r="K78" s="110"/>
      <c r="O78" s="2" t="str">
        <f t="shared" si="3"/>
        <v>Iceland</v>
      </c>
      <c r="P78" s="1" t="s">
        <v>116</v>
      </c>
      <c r="Q78" s="1"/>
      <c r="R78" s="110"/>
      <c r="S78" s="110"/>
      <c r="T78" s="111"/>
      <c r="U78" s="111"/>
      <c r="V78" s="110"/>
      <c r="W78" s="110"/>
    </row>
    <row r="79" spans="2:23" x14ac:dyDescent="0.3">
      <c r="B79" s="2" t="str">
        <f t="shared" si="2"/>
        <v/>
      </c>
      <c r="C79" s="1"/>
      <c r="D79" s="1"/>
      <c r="E79" s="1"/>
      <c r="F79" s="110"/>
      <c r="G79" s="110"/>
      <c r="H79" s="111"/>
      <c r="I79" s="111"/>
      <c r="J79" s="110"/>
      <c r="K79" s="110"/>
      <c r="O79" s="2" t="str">
        <f t="shared" si="3"/>
        <v>Iceland</v>
      </c>
      <c r="P79" s="1" t="s">
        <v>116</v>
      </c>
      <c r="Q79" s="1"/>
      <c r="R79" s="110"/>
      <c r="S79" s="110"/>
      <c r="T79" s="111"/>
      <c r="U79" s="111"/>
      <c r="V79" s="110"/>
      <c r="W79" s="110"/>
    </row>
    <row r="80" spans="2:23" x14ac:dyDescent="0.3">
      <c r="B80" s="2" t="str">
        <f t="shared" si="2"/>
        <v/>
      </c>
      <c r="C80" s="1"/>
      <c r="D80" s="1"/>
      <c r="E80" s="1"/>
      <c r="F80" s="110"/>
      <c r="G80" s="110"/>
      <c r="H80" s="111"/>
      <c r="I80" s="111"/>
      <c r="J80" s="110"/>
      <c r="K80" s="110"/>
      <c r="O80" s="2" t="str">
        <f t="shared" si="3"/>
        <v>Iceland</v>
      </c>
      <c r="P80" s="1" t="s">
        <v>116</v>
      </c>
      <c r="Q80" s="1"/>
      <c r="R80" s="110"/>
      <c r="S80" s="110"/>
      <c r="T80" s="111"/>
      <c r="U80" s="111"/>
      <c r="V80" s="110"/>
      <c r="W80" s="110"/>
    </row>
    <row r="81" spans="2:23" x14ac:dyDescent="0.3">
      <c r="B81" s="2" t="str">
        <f t="shared" si="2"/>
        <v/>
      </c>
      <c r="C81" s="1"/>
      <c r="D81" s="1"/>
      <c r="E81" s="1"/>
      <c r="F81" s="110"/>
      <c r="G81" s="110"/>
      <c r="H81" s="111"/>
      <c r="I81" s="111"/>
      <c r="J81" s="110"/>
      <c r="K81" s="110"/>
      <c r="O81" s="2" t="str">
        <f t="shared" si="3"/>
        <v>Iceland</v>
      </c>
      <c r="P81" s="1" t="s">
        <v>116</v>
      </c>
      <c r="Q81" s="1"/>
      <c r="R81" s="110"/>
      <c r="S81" s="110"/>
      <c r="T81" s="111"/>
      <c r="U81" s="111"/>
      <c r="V81" s="110"/>
      <c r="W81" s="110"/>
    </row>
    <row r="82" spans="2:23" x14ac:dyDescent="0.3">
      <c r="B82" s="2" t="str">
        <f t="shared" si="2"/>
        <v/>
      </c>
      <c r="C82" s="1"/>
      <c r="D82" s="1"/>
      <c r="E82" s="1"/>
      <c r="F82" s="110"/>
      <c r="G82" s="110"/>
      <c r="H82" s="111"/>
      <c r="I82" s="111"/>
      <c r="J82" s="110"/>
      <c r="K82" s="110"/>
      <c r="O82" s="2" t="str">
        <f t="shared" si="3"/>
        <v>Iceland</v>
      </c>
      <c r="P82" s="1" t="s">
        <v>116</v>
      </c>
      <c r="Q82" s="1"/>
      <c r="R82" s="110"/>
      <c r="S82" s="110"/>
      <c r="T82" s="111"/>
      <c r="U82" s="111"/>
      <c r="V82" s="110"/>
      <c r="W82" s="110"/>
    </row>
    <row r="83" spans="2:23" x14ac:dyDescent="0.3">
      <c r="B83" s="2" t="str">
        <f t="shared" si="2"/>
        <v/>
      </c>
      <c r="C83" s="1"/>
      <c r="D83" s="1"/>
      <c r="E83" s="1"/>
      <c r="F83" s="110"/>
      <c r="G83" s="110"/>
      <c r="H83" s="111"/>
      <c r="I83" s="111"/>
      <c r="J83" s="110"/>
      <c r="K83" s="110"/>
      <c r="O83" s="2" t="str">
        <f t="shared" si="3"/>
        <v>Iceland</v>
      </c>
      <c r="P83" s="1" t="s">
        <v>116</v>
      </c>
      <c r="Q83" s="1"/>
      <c r="R83" s="110"/>
      <c r="S83" s="110"/>
      <c r="T83" s="111"/>
      <c r="U83" s="111"/>
      <c r="V83" s="110"/>
      <c r="W83" s="110"/>
    </row>
    <row r="84" spans="2:23" x14ac:dyDescent="0.3">
      <c r="B84" s="2" t="str">
        <f t="shared" si="2"/>
        <v/>
      </c>
      <c r="C84" s="1"/>
      <c r="D84" s="1"/>
      <c r="E84" s="1"/>
      <c r="F84" s="110"/>
      <c r="G84" s="110"/>
      <c r="H84" s="111"/>
      <c r="I84" s="111"/>
      <c r="J84" s="110"/>
      <c r="K84" s="110"/>
      <c r="O84" s="2" t="str">
        <f t="shared" si="3"/>
        <v>Iceland</v>
      </c>
      <c r="P84" s="1" t="s">
        <v>116</v>
      </c>
      <c r="Q84" s="1"/>
      <c r="R84" s="110"/>
      <c r="S84" s="110"/>
      <c r="T84" s="111"/>
      <c r="U84" s="111"/>
      <c r="V84" s="110"/>
      <c r="W84" s="110"/>
    </row>
    <row r="85" spans="2:23" x14ac:dyDescent="0.3">
      <c r="B85" s="2" t="str">
        <f t="shared" si="2"/>
        <v/>
      </c>
      <c r="C85" s="1"/>
      <c r="D85" s="1"/>
      <c r="E85" s="1"/>
      <c r="F85" s="110"/>
      <c r="G85" s="110"/>
      <c r="H85" s="111"/>
      <c r="I85" s="111"/>
      <c r="J85" s="110"/>
      <c r="K85" s="110"/>
      <c r="O85" s="2" t="str">
        <f t="shared" si="3"/>
        <v>Iceland</v>
      </c>
      <c r="P85" s="1" t="s">
        <v>116</v>
      </c>
      <c r="Q85" s="1"/>
      <c r="R85" s="110"/>
      <c r="S85" s="110"/>
      <c r="T85" s="111"/>
      <c r="U85" s="111"/>
      <c r="V85" s="110"/>
      <c r="W85" s="110"/>
    </row>
    <row r="86" spans="2:23" x14ac:dyDescent="0.3">
      <c r="B86" s="2" t="str">
        <f t="shared" si="2"/>
        <v/>
      </c>
      <c r="C86" s="1"/>
      <c r="D86" s="1"/>
      <c r="E86" s="1"/>
      <c r="F86" s="110"/>
      <c r="G86" s="110"/>
      <c r="H86" s="111"/>
      <c r="I86" s="111"/>
      <c r="J86" s="110"/>
      <c r="K86" s="110"/>
      <c r="O86" s="2" t="str">
        <f t="shared" si="3"/>
        <v>Iceland</v>
      </c>
      <c r="P86" s="1" t="s">
        <v>116</v>
      </c>
      <c r="Q86" s="1"/>
      <c r="R86" s="110"/>
      <c r="S86" s="110"/>
      <c r="T86" s="111"/>
      <c r="U86" s="111"/>
      <c r="V86" s="110"/>
      <c r="W86" s="110"/>
    </row>
    <row r="87" spans="2:23" x14ac:dyDescent="0.3">
      <c r="B87" s="2" t="str">
        <f t="shared" si="2"/>
        <v/>
      </c>
      <c r="C87" s="1"/>
      <c r="D87" s="1"/>
      <c r="E87" s="1"/>
      <c r="F87" s="110"/>
      <c r="G87" s="110"/>
      <c r="H87" s="111"/>
      <c r="I87" s="111"/>
      <c r="J87" s="110"/>
      <c r="K87" s="110"/>
      <c r="O87" s="2" t="str">
        <f t="shared" si="3"/>
        <v>Iceland</v>
      </c>
      <c r="P87" s="1" t="s">
        <v>116</v>
      </c>
      <c r="Q87" s="1"/>
      <c r="R87" s="110"/>
      <c r="S87" s="110"/>
      <c r="T87" s="111"/>
      <c r="U87" s="111"/>
      <c r="V87" s="110"/>
      <c r="W87" s="110"/>
    </row>
    <row r="88" spans="2:23" x14ac:dyDescent="0.3">
      <c r="B88" s="2" t="str">
        <f t="shared" si="2"/>
        <v/>
      </c>
      <c r="C88" s="1"/>
      <c r="D88" s="1"/>
      <c r="E88" s="1"/>
      <c r="F88" s="110"/>
      <c r="G88" s="110"/>
      <c r="H88" s="111"/>
      <c r="I88" s="111"/>
      <c r="J88" s="110"/>
      <c r="K88" s="110"/>
      <c r="O88" s="2" t="str">
        <f t="shared" si="3"/>
        <v>Iceland</v>
      </c>
      <c r="P88" s="1" t="s">
        <v>116</v>
      </c>
      <c r="Q88" s="1"/>
      <c r="R88" s="110"/>
      <c r="S88" s="110"/>
      <c r="T88" s="111"/>
      <c r="U88" s="111"/>
      <c r="V88" s="110"/>
      <c r="W88" s="110"/>
    </row>
    <row r="89" spans="2:23" x14ac:dyDescent="0.3">
      <c r="B89" s="2" t="str">
        <f t="shared" si="2"/>
        <v/>
      </c>
      <c r="C89" s="1"/>
      <c r="D89" s="1"/>
      <c r="E89" s="1"/>
      <c r="F89" s="110"/>
      <c r="G89" s="110"/>
      <c r="H89" s="111"/>
      <c r="I89" s="111"/>
      <c r="J89" s="110"/>
      <c r="K89" s="110"/>
      <c r="O89" s="2" t="str">
        <f t="shared" si="3"/>
        <v>Iceland</v>
      </c>
      <c r="P89" s="1" t="s">
        <v>116</v>
      </c>
      <c r="Q89" s="1"/>
      <c r="R89" s="110"/>
      <c r="S89" s="110"/>
      <c r="T89" s="111"/>
      <c r="U89" s="111"/>
      <c r="V89" s="110"/>
      <c r="W89" s="110"/>
    </row>
    <row r="90" spans="2:23" x14ac:dyDescent="0.3">
      <c r="B90" s="2" t="str">
        <f t="shared" si="2"/>
        <v/>
      </c>
      <c r="C90" s="1"/>
      <c r="D90" s="1"/>
      <c r="E90" s="1"/>
      <c r="F90" s="110"/>
      <c r="G90" s="110"/>
      <c r="H90" s="111"/>
      <c r="I90" s="111"/>
      <c r="J90" s="110"/>
      <c r="K90" s="110"/>
      <c r="O90" s="2" t="str">
        <f t="shared" si="3"/>
        <v>Iceland</v>
      </c>
      <c r="P90" s="1" t="s">
        <v>116</v>
      </c>
      <c r="Q90" s="1"/>
      <c r="R90" s="110"/>
      <c r="S90" s="110"/>
      <c r="T90" s="111"/>
      <c r="U90" s="111"/>
      <c r="V90" s="110"/>
      <c r="W90" s="110"/>
    </row>
    <row r="91" spans="2:23" x14ac:dyDescent="0.3">
      <c r="B91" s="2" t="str">
        <f t="shared" si="2"/>
        <v/>
      </c>
      <c r="C91" s="1"/>
      <c r="D91" s="1"/>
      <c r="E91" s="1"/>
      <c r="F91" s="110"/>
      <c r="G91" s="110"/>
      <c r="H91" s="111"/>
      <c r="I91" s="111"/>
      <c r="J91" s="110"/>
      <c r="K91" s="110"/>
      <c r="O91" s="2" t="str">
        <f t="shared" si="3"/>
        <v>Iceland</v>
      </c>
      <c r="P91" s="1" t="s">
        <v>116</v>
      </c>
      <c r="Q91" s="1"/>
      <c r="R91" s="110"/>
      <c r="S91" s="110"/>
      <c r="T91" s="111"/>
      <c r="U91" s="111"/>
      <c r="V91" s="110"/>
      <c r="W91" s="110"/>
    </row>
    <row r="92" spans="2:23" x14ac:dyDescent="0.3">
      <c r="B92" s="2" t="str">
        <f t="shared" si="2"/>
        <v/>
      </c>
      <c r="C92" s="1"/>
      <c r="D92" s="1"/>
      <c r="E92" s="1"/>
      <c r="F92" s="110"/>
      <c r="G92" s="110"/>
      <c r="H92" s="111"/>
      <c r="I92" s="111"/>
      <c r="J92" s="110"/>
      <c r="K92" s="110"/>
      <c r="O92" s="2" t="str">
        <f t="shared" si="3"/>
        <v>Iceland</v>
      </c>
      <c r="P92" s="1" t="s">
        <v>116</v>
      </c>
      <c r="Q92" s="1"/>
      <c r="R92" s="110"/>
      <c r="S92" s="110"/>
      <c r="T92" s="111"/>
      <c r="U92" s="111"/>
      <c r="V92" s="110"/>
      <c r="W92" s="110"/>
    </row>
    <row r="93" spans="2:23" x14ac:dyDescent="0.3">
      <c r="B93" s="2" t="str">
        <f t="shared" si="2"/>
        <v/>
      </c>
      <c r="C93" s="1"/>
      <c r="D93" s="1"/>
      <c r="E93" s="1"/>
      <c r="F93" s="110"/>
      <c r="G93" s="110"/>
      <c r="H93" s="111"/>
      <c r="I93" s="111"/>
      <c r="J93" s="110"/>
      <c r="K93" s="110"/>
      <c r="O93" s="2" t="str">
        <f t="shared" si="3"/>
        <v>Iceland</v>
      </c>
      <c r="P93" s="1" t="s">
        <v>116</v>
      </c>
      <c r="Q93" s="1"/>
      <c r="R93" s="110"/>
      <c r="S93" s="110"/>
      <c r="T93" s="111"/>
      <c r="U93" s="111"/>
      <c r="V93" s="110"/>
      <c r="W93" s="110"/>
    </row>
    <row r="94" spans="2:23" x14ac:dyDescent="0.3">
      <c r="B94" s="2" t="str">
        <f t="shared" si="2"/>
        <v/>
      </c>
      <c r="C94" s="1"/>
      <c r="D94" s="1"/>
      <c r="E94" s="1"/>
      <c r="F94" s="110"/>
      <c r="G94" s="110"/>
      <c r="H94" s="111"/>
      <c r="I94" s="111"/>
      <c r="J94" s="110"/>
      <c r="K94" s="110"/>
      <c r="O94" s="2" t="str">
        <f t="shared" si="3"/>
        <v>Iceland</v>
      </c>
      <c r="P94" s="1" t="s">
        <v>116</v>
      </c>
      <c r="Q94" s="1"/>
      <c r="R94" s="110"/>
      <c r="S94" s="110"/>
      <c r="T94" s="111"/>
      <c r="U94" s="111"/>
      <c r="V94" s="110"/>
      <c r="W94" s="110"/>
    </row>
    <row r="95" spans="2:23" x14ac:dyDescent="0.3">
      <c r="B95" s="2" t="str">
        <f t="shared" si="2"/>
        <v/>
      </c>
      <c r="C95" s="1"/>
      <c r="D95" s="1"/>
      <c r="E95" s="1"/>
      <c r="F95" s="110"/>
      <c r="G95" s="110"/>
      <c r="H95" s="111"/>
      <c r="I95" s="111"/>
      <c r="J95" s="110"/>
      <c r="K95" s="110"/>
      <c r="O95" s="2" t="str">
        <f t="shared" si="3"/>
        <v>Iceland</v>
      </c>
      <c r="P95" s="1" t="s">
        <v>116</v>
      </c>
      <c r="Q95" s="1"/>
      <c r="R95" s="110"/>
      <c r="S95" s="110"/>
      <c r="T95" s="111"/>
      <c r="U95" s="111"/>
      <c r="V95" s="110"/>
      <c r="W95" s="110"/>
    </row>
    <row r="96" spans="2:23" x14ac:dyDescent="0.3">
      <c r="B96" s="2" t="str">
        <f t="shared" si="2"/>
        <v/>
      </c>
      <c r="C96" s="1"/>
      <c r="D96" s="1"/>
      <c r="E96" s="1"/>
      <c r="F96" s="110"/>
      <c r="G96" s="110"/>
      <c r="H96" s="111"/>
      <c r="I96" s="111"/>
      <c r="J96" s="110"/>
      <c r="K96" s="110"/>
      <c r="O96" s="2" t="str">
        <f t="shared" si="3"/>
        <v>Iceland</v>
      </c>
      <c r="P96" s="1" t="s">
        <v>116</v>
      </c>
      <c r="Q96" s="1"/>
      <c r="R96" s="110"/>
      <c r="S96" s="110"/>
      <c r="T96" s="111"/>
      <c r="U96" s="111"/>
      <c r="V96" s="110"/>
      <c r="W96" s="110"/>
    </row>
    <row r="97" spans="2:23" x14ac:dyDescent="0.3">
      <c r="B97" s="2" t="str">
        <f t="shared" si="2"/>
        <v/>
      </c>
      <c r="C97" s="1"/>
      <c r="D97" s="1"/>
      <c r="E97" s="1"/>
      <c r="F97" s="110"/>
      <c r="G97" s="110"/>
      <c r="H97" s="111"/>
      <c r="I97" s="111"/>
      <c r="J97" s="110"/>
      <c r="K97" s="110"/>
      <c r="O97" s="2" t="str">
        <f t="shared" si="3"/>
        <v>Iceland</v>
      </c>
      <c r="P97" s="1" t="s">
        <v>116</v>
      </c>
      <c r="Q97" s="1"/>
      <c r="R97" s="110"/>
      <c r="S97" s="110"/>
      <c r="T97" s="111"/>
      <c r="U97" s="111"/>
      <c r="V97" s="110"/>
      <c r="W97" s="110"/>
    </row>
    <row r="98" spans="2:23" x14ac:dyDescent="0.3">
      <c r="B98" s="2" t="str">
        <f t="shared" si="2"/>
        <v/>
      </c>
      <c r="C98" s="1"/>
      <c r="D98" s="1"/>
      <c r="E98" s="1"/>
      <c r="F98" s="110"/>
      <c r="G98" s="110"/>
      <c r="H98" s="111"/>
      <c r="I98" s="111"/>
      <c r="J98" s="110"/>
      <c r="K98" s="110"/>
      <c r="O98" s="2" t="str">
        <f t="shared" si="3"/>
        <v>Iceland</v>
      </c>
      <c r="P98" s="1" t="s">
        <v>116</v>
      </c>
      <c r="Q98" s="1"/>
      <c r="R98" s="110"/>
      <c r="S98" s="110"/>
      <c r="T98" s="111"/>
      <c r="U98" s="111"/>
      <c r="V98" s="110"/>
      <c r="W98" s="110"/>
    </row>
    <row r="99" spans="2:23" x14ac:dyDescent="0.3">
      <c r="B99" s="2" t="str">
        <f t="shared" si="2"/>
        <v/>
      </c>
      <c r="C99" s="1"/>
      <c r="D99" s="1"/>
      <c r="E99" s="1"/>
      <c r="F99" s="110"/>
      <c r="G99" s="110"/>
      <c r="H99" s="111"/>
      <c r="I99" s="111"/>
      <c r="J99" s="110"/>
      <c r="K99" s="110"/>
      <c r="O99" s="2" t="str">
        <f t="shared" si="3"/>
        <v>Iceland</v>
      </c>
      <c r="P99" s="1" t="s">
        <v>116</v>
      </c>
      <c r="Q99" s="1"/>
      <c r="R99" s="110"/>
      <c r="S99" s="110"/>
      <c r="T99" s="111"/>
      <c r="U99" s="111"/>
      <c r="V99" s="110"/>
      <c r="W99" s="110"/>
    </row>
    <row r="100" spans="2:23" x14ac:dyDescent="0.3">
      <c r="B100" s="2" t="str">
        <f t="shared" si="2"/>
        <v/>
      </c>
      <c r="C100" s="1"/>
      <c r="D100" s="1"/>
      <c r="E100" s="1"/>
      <c r="F100" s="110"/>
      <c r="G100" s="110"/>
      <c r="H100" s="111"/>
      <c r="I100" s="111"/>
      <c r="J100" s="110"/>
      <c r="K100" s="110"/>
      <c r="O100" s="2" t="str">
        <f t="shared" si="3"/>
        <v>Iceland</v>
      </c>
      <c r="P100" s="1" t="s">
        <v>116</v>
      </c>
      <c r="Q100" s="1"/>
      <c r="R100" s="110"/>
      <c r="S100" s="110"/>
      <c r="T100" s="111"/>
      <c r="U100" s="111"/>
      <c r="V100" s="110"/>
      <c r="W100" s="110"/>
    </row>
    <row r="101" spans="2:23" x14ac:dyDescent="0.3">
      <c r="B101" s="2" t="str">
        <f t="shared" si="2"/>
        <v/>
      </c>
      <c r="C101" s="1"/>
      <c r="D101" s="1"/>
      <c r="E101" s="1"/>
      <c r="F101" s="110"/>
      <c r="G101" s="110"/>
      <c r="H101" s="111"/>
      <c r="I101" s="111"/>
      <c r="J101" s="110"/>
      <c r="K101" s="110"/>
      <c r="O101" s="2" t="str">
        <f t="shared" si="3"/>
        <v>Iceland</v>
      </c>
      <c r="P101" s="1" t="s">
        <v>116</v>
      </c>
      <c r="Q101" s="1"/>
      <c r="R101" s="110"/>
      <c r="S101" s="110"/>
      <c r="T101" s="111"/>
      <c r="U101" s="111"/>
      <c r="V101" s="110"/>
      <c r="W101" s="110"/>
    </row>
    <row r="102" spans="2:23" x14ac:dyDescent="0.3">
      <c r="B102" s="2" t="str">
        <f t="shared" si="2"/>
        <v/>
      </c>
      <c r="C102" s="1"/>
      <c r="D102" s="1"/>
      <c r="E102" s="1"/>
      <c r="F102" s="110"/>
      <c r="G102" s="110"/>
      <c r="H102" s="111"/>
      <c r="I102" s="111"/>
      <c r="J102" s="110"/>
      <c r="K102" s="110"/>
      <c r="O102" s="2" t="str">
        <f t="shared" si="3"/>
        <v>Iceland</v>
      </c>
      <c r="P102" s="1" t="s">
        <v>116</v>
      </c>
      <c r="Q102" s="1"/>
      <c r="R102" s="110"/>
      <c r="S102" s="110"/>
      <c r="T102" s="111"/>
      <c r="U102" s="111"/>
      <c r="V102" s="110"/>
      <c r="W102" s="110"/>
    </row>
    <row r="103" spans="2:23" x14ac:dyDescent="0.3">
      <c r="B103" s="2" t="str">
        <f t="shared" si="2"/>
        <v/>
      </c>
      <c r="C103" s="1"/>
      <c r="D103" s="1"/>
      <c r="E103" s="1"/>
      <c r="F103" s="110"/>
      <c r="G103" s="110"/>
      <c r="H103" s="111"/>
      <c r="I103" s="111"/>
      <c r="J103" s="110"/>
      <c r="K103" s="110"/>
      <c r="O103" s="2" t="str">
        <f t="shared" si="3"/>
        <v>Iceland</v>
      </c>
      <c r="P103" s="1" t="s">
        <v>116</v>
      </c>
      <c r="Q103" s="1"/>
      <c r="R103" s="110"/>
      <c r="S103" s="110"/>
      <c r="T103" s="111"/>
      <c r="U103" s="111"/>
      <c r="V103" s="110"/>
      <c r="W103" s="110"/>
    </row>
    <row r="104" spans="2:23" x14ac:dyDescent="0.3">
      <c r="B104" s="2" t="str">
        <f t="shared" si="2"/>
        <v/>
      </c>
      <c r="C104" s="1"/>
      <c r="D104" s="1"/>
      <c r="E104" s="1"/>
      <c r="F104" s="110"/>
      <c r="G104" s="110"/>
      <c r="H104" s="111"/>
      <c r="I104" s="111"/>
      <c r="J104" s="110"/>
      <c r="K104" s="110"/>
      <c r="O104" s="2" t="str">
        <f t="shared" si="3"/>
        <v>Iceland</v>
      </c>
      <c r="P104" s="1" t="s">
        <v>116</v>
      </c>
      <c r="Q104" s="1"/>
      <c r="R104" s="110"/>
      <c r="S104" s="110"/>
      <c r="T104" s="111"/>
      <c r="U104" s="111"/>
      <c r="V104" s="110"/>
      <c r="W104" s="110"/>
    </row>
    <row r="105" spans="2:23" x14ac:dyDescent="0.3">
      <c r="B105" s="2" t="str">
        <f t="shared" si="2"/>
        <v/>
      </c>
      <c r="C105" s="1"/>
      <c r="D105" s="1"/>
      <c r="E105" s="1"/>
      <c r="F105" s="110"/>
      <c r="G105" s="110"/>
      <c r="H105" s="111"/>
      <c r="I105" s="111"/>
      <c r="J105" s="110"/>
      <c r="K105" s="110"/>
      <c r="O105" s="2" t="str">
        <f t="shared" si="3"/>
        <v>Iceland</v>
      </c>
      <c r="P105" s="1" t="s">
        <v>116</v>
      </c>
      <c r="Q105" s="1"/>
      <c r="R105" s="110"/>
      <c r="S105" s="110"/>
      <c r="T105" s="111"/>
      <c r="U105" s="111"/>
      <c r="V105" s="110"/>
      <c r="W105" s="110"/>
    </row>
    <row r="106" spans="2:23" x14ac:dyDescent="0.3">
      <c r="B106" s="2" t="str">
        <f t="shared" si="2"/>
        <v/>
      </c>
      <c r="C106" s="1"/>
      <c r="D106" s="1"/>
      <c r="E106" s="1"/>
      <c r="F106" s="110"/>
      <c r="G106" s="110"/>
      <c r="H106" s="111"/>
      <c r="I106" s="111"/>
      <c r="J106" s="110"/>
      <c r="K106" s="110"/>
      <c r="O106" s="2" t="str">
        <f t="shared" si="3"/>
        <v>Iceland</v>
      </c>
      <c r="P106" s="1" t="s">
        <v>116</v>
      </c>
      <c r="Q106" s="1"/>
      <c r="R106" s="110"/>
      <c r="S106" s="110"/>
      <c r="T106" s="111"/>
      <c r="U106" s="111"/>
      <c r="V106" s="110"/>
      <c r="W106" s="110"/>
    </row>
    <row r="107" spans="2:23" x14ac:dyDescent="0.3">
      <c r="B107" s="2" t="str">
        <f t="shared" si="2"/>
        <v/>
      </c>
      <c r="C107" s="1"/>
      <c r="D107" s="1"/>
      <c r="E107" s="1"/>
      <c r="F107" s="110"/>
      <c r="G107" s="110"/>
      <c r="H107" s="111"/>
      <c r="I107" s="111"/>
      <c r="J107" s="110"/>
      <c r="K107" s="110"/>
      <c r="O107" s="2" t="str">
        <f t="shared" si="3"/>
        <v>Iceland</v>
      </c>
      <c r="P107" s="1" t="s">
        <v>116</v>
      </c>
      <c r="Q107" s="1"/>
      <c r="R107" s="110"/>
      <c r="S107" s="110"/>
      <c r="T107" s="111"/>
      <c r="U107" s="111"/>
      <c r="V107" s="110"/>
      <c r="W107" s="110"/>
    </row>
    <row r="108" spans="2:23" x14ac:dyDescent="0.3">
      <c r="B108" s="2" t="str">
        <f t="shared" si="2"/>
        <v/>
      </c>
      <c r="C108" s="1"/>
      <c r="D108" s="1"/>
      <c r="E108" s="1"/>
      <c r="F108" s="110"/>
      <c r="G108" s="110"/>
      <c r="H108" s="111"/>
      <c r="I108" s="111"/>
      <c r="J108" s="110"/>
      <c r="K108" s="110"/>
      <c r="O108" s="2" t="str">
        <f t="shared" si="3"/>
        <v>Iceland</v>
      </c>
      <c r="P108" s="1" t="s">
        <v>116</v>
      </c>
      <c r="Q108" s="1"/>
      <c r="R108" s="110"/>
      <c r="S108" s="110"/>
      <c r="T108" s="111"/>
      <c r="U108" s="111"/>
      <c r="V108" s="110"/>
      <c r="W108" s="110"/>
    </row>
    <row r="109" spans="2:23" x14ac:dyDescent="0.3">
      <c r="B109" s="2" t="str">
        <f t="shared" si="2"/>
        <v/>
      </c>
      <c r="C109" s="1"/>
      <c r="D109" s="1"/>
      <c r="E109" s="1"/>
      <c r="F109" s="110"/>
      <c r="G109" s="110"/>
      <c r="H109" s="111"/>
      <c r="I109" s="111"/>
      <c r="J109" s="110"/>
      <c r="K109" s="110"/>
      <c r="O109" s="2" t="str">
        <f t="shared" si="3"/>
        <v>Iceland</v>
      </c>
      <c r="P109" s="1" t="s">
        <v>116</v>
      </c>
      <c r="Q109" s="1"/>
      <c r="R109" s="110"/>
      <c r="S109" s="110"/>
      <c r="T109" s="111"/>
      <c r="U109" s="111"/>
      <c r="V109" s="110"/>
      <c r="W109" s="110"/>
    </row>
    <row r="110" spans="2:23" x14ac:dyDescent="0.3">
      <c r="B110" s="2" t="str">
        <f t="shared" si="2"/>
        <v/>
      </c>
      <c r="C110" s="1"/>
      <c r="D110" s="1"/>
      <c r="E110" s="1"/>
      <c r="F110" s="110"/>
      <c r="G110" s="110"/>
      <c r="H110" s="111"/>
      <c r="I110" s="111"/>
      <c r="J110" s="110"/>
      <c r="K110" s="110"/>
      <c r="O110" s="2" t="str">
        <f t="shared" si="3"/>
        <v>Iceland</v>
      </c>
      <c r="P110" s="1" t="s">
        <v>116</v>
      </c>
      <c r="Q110" s="1"/>
      <c r="R110" s="110"/>
      <c r="S110" s="110"/>
      <c r="T110" s="111"/>
      <c r="U110" s="111"/>
      <c r="V110" s="110"/>
      <c r="W110" s="110"/>
    </row>
    <row r="111" spans="2:23" x14ac:dyDescent="0.3">
      <c r="B111" s="2" t="str">
        <f t="shared" si="2"/>
        <v/>
      </c>
      <c r="C111" s="1"/>
      <c r="D111" s="1"/>
      <c r="E111" s="1"/>
      <c r="F111" s="110"/>
      <c r="G111" s="110"/>
      <c r="H111" s="111"/>
      <c r="I111" s="111"/>
      <c r="J111" s="110"/>
      <c r="K111" s="110"/>
      <c r="O111" s="2" t="str">
        <f t="shared" si="3"/>
        <v>Iceland</v>
      </c>
      <c r="P111" s="1" t="s">
        <v>116</v>
      </c>
      <c r="Q111" s="1"/>
      <c r="R111" s="110"/>
      <c r="S111" s="110"/>
      <c r="T111" s="111"/>
      <c r="U111" s="111"/>
      <c r="V111" s="110"/>
      <c r="W111" s="110"/>
    </row>
    <row r="112" spans="2:23" x14ac:dyDescent="0.3">
      <c r="B112" s="2" t="str">
        <f t="shared" si="2"/>
        <v/>
      </c>
      <c r="C112" s="1"/>
      <c r="D112" s="1"/>
      <c r="E112" s="1"/>
      <c r="F112" s="110"/>
      <c r="G112" s="110"/>
      <c r="H112" s="111"/>
      <c r="I112" s="111"/>
      <c r="J112" s="110"/>
      <c r="K112" s="110"/>
      <c r="O112" s="2" t="str">
        <f t="shared" si="3"/>
        <v>Iceland</v>
      </c>
      <c r="P112" s="1" t="s">
        <v>116</v>
      </c>
      <c r="Q112" s="1"/>
      <c r="R112" s="110"/>
      <c r="S112" s="110"/>
      <c r="T112" s="111"/>
      <c r="U112" s="111"/>
      <c r="V112" s="110"/>
      <c r="W112" s="110"/>
    </row>
    <row r="113" spans="2:23" x14ac:dyDescent="0.3">
      <c r="B113" s="2" t="str">
        <f t="shared" si="2"/>
        <v/>
      </c>
      <c r="C113" s="1"/>
      <c r="D113" s="1"/>
      <c r="E113" s="1"/>
      <c r="F113" s="110"/>
      <c r="G113" s="110"/>
      <c r="H113" s="111"/>
      <c r="I113" s="111"/>
      <c r="J113" s="110"/>
      <c r="K113" s="110"/>
      <c r="O113" s="2" t="str">
        <f t="shared" si="3"/>
        <v>Iceland</v>
      </c>
      <c r="P113" s="1" t="s">
        <v>116</v>
      </c>
      <c r="Q113" s="1"/>
      <c r="R113" s="110"/>
      <c r="S113" s="110"/>
      <c r="T113" s="111"/>
      <c r="U113" s="111"/>
      <c r="V113" s="110"/>
      <c r="W113" s="110"/>
    </row>
    <row r="114" spans="2:23" x14ac:dyDescent="0.3">
      <c r="B114" s="2" t="str">
        <f t="shared" si="2"/>
        <v/>
      </c>
      <c r="C114" s="1"/>
      <c r="D114" s="1"/>
      <c r="E114" s="1"/>
      <c r="F114" s="110"/>
      <c r="G114" s="110"/>
      <c r="H114" s="111"/>
      <c r="I114" s="111"/>
      <c r="J114" s="110"/>
      <c r="K114" s="110"/>
      <c r="O114" s="2" t="str">
        <f t="shared" si="3"/>
        <v>Iceland</v>
      </c>
      <c r="P114" s="1" t="s">
        <v>116</v>
      </c>
      <c r="Q114" s="1"/>
      <c r="R114" s="110"/>
      <c r="S114" s="110"/>
      <c r="T114" s="111"/>
      <c r="U114" s="111"/>
      <c r="V114" s="110"/>
      <c r="W114" s="110"/>
    </row>
    <row r="115" spans="2:23" x14ac:dyDescent="0.3">
      <c r="B115" s="2" t="str">
        <f t="shared" si="2"/>
        <v/>
      </c>
      <c r="C115" s="1"/>
      <c r="D115" s="1"/>
      <c r="E115" s="1"/>
      <c r="F115" s="110"/>
      <c r="G115" s="110"/>
      <c r="H115" s="111"/>
      <c r="I115" s="111"/>
      <c r="J115" s="110"/>
      <c r="K115" s="110"/>
      <c r="O115" s="2" t="str">
        <f t="shared" si="3"/>
        <v>Iceland</v>
      </c>
      <c r="P115" s="1" t="s">
        <v>116</v>
      </c>
      <c r="Q115" s="1"/>
      <c r="R115" s="110"/>
      <c r="S115" s="110"/>
      <c r="T115" s="111"/>
      <c r="U115" s="111"/>
      <c r="V115" s="110"/>
      <c r="W115" s="110"/>
    </row>
    <row r="116" spans="2:23" x14ac:dyDescent="0.3">
      <c r="B116" s="2" t="str">
        <f t="shared" si="2"/>
        <v/>
      </c>
      <c r="C116" s="1"/>
      <c r="D116" s="1"/>
      <c r="E116" s="1"/>
      <c r="F116" s="110"/>
      <c r="G116" s="110"/>
      <c r="H116" s="111"/>
      <c r="I116" s="111"/>
      <c r="J116" s="110"/>
      <c r="K116" s="110"/>
      <c r="O116" s="2" t="str">
        <f t="shared" si="3"/>
        <v>Iceland</v>
      </c>
      <c r="P116" s="1" t="s">
        <v>116</v>
      </c>
      <c r="Q116" s="1"/>
      <c r="R116" s="110"/>
      <c r="S116" s="110"/>
      <c r="T116" s="111"/>
      <c r="U116" s="111"/>
      <c r="V116" s="110"/>
      <c r="W116" s="110"/>
    </row>
    <row r="117" spans="2:23" x14ac:dyDescent="0.3">
      <c r="B117" s="2" t="str">
        <f t="shared" si="2"/>
        <v/>
      </c>
      <c r="C117" s="1"/>
      <c r="D117" s="1"/>
      <c r="E117" s="1"/>
      <c r="F117" s="110"/>
      <c r="G117" s="110"/>
      <c r="H117" s="111"/>
      <c r="I117" s="111"/>
      <c r="J117" s="110"/>
      <c r="K117" s="110"/>
      <c r="O117" s="2" t="str">
        <f t="shared" si="3"/>
        <v>Iceland</v>
      </c>
      <c r="P117" s="1" t="s">
        <v>116</v>
      </c>
      <c r="Q117" s="1"/>
      <c r="R117" s="110"/>
      <c r="S117" s="110"/>
      <c r="T117" s="111"/>
      <c r="U117" s="111"/>
      <c r="V117" s="110"/>
      <c r="W117" s="110"/>
    </row>
    <row r="118" spans="2:23" x14ac:dyDescent="0.3">
      <c r="B118" s="2" t="str">
        <f t="shared" si="2"/>
        <v/>
      </c>
      <c r="C118" s="1"/>
      <c r="D118" s="1"/>
      <c r="E118" s="1"/>
      <c r="F118" s="110"/>
      <c r="G118" s="110"/>
      <c r="H118" s="111"/>
      <c r="I118" s="111"/>
      <c r="J118" s="110"/>
      <c r="K118" s="110"/>
      <c r="O118" s="2" t="str">
        <f t="shared" si="3"/>
        <v>Iceland</v>
      </c>
      <c r="P118" s="1" t="s">
        <v>116</v>
      </c>
      <c r="Q118" s="1"/>
      <c r="R118" s="110"/>
      <c r="S118" s="110"/>
      <c r="T118" s="111"/>
      <c r="U118" s="111"/>
      <c r="V118" s="110"/>
      <c r="W118" s="110"/>
    </row>
    <row r="119" spans="2:23" x14ac:dyDescent="0.3">
      <c r="B119" s="2" t="str">
        <f t="shared" si="2"/>
        <v/>
      </c>
      <c r="C119" s="1"/>
      <c r="D119" s="1"/>
      <c r="E119" s="1"/>
      <c r="F119" s="110"/>
      <c r="G119" s="110"/>
      <c r="H119" s="111"/>
      <c r="I119" s="111"/>
      <c r="J119" s="110"/>
      <c r="K119" s="110"/>
      <c r="O119" s="2" t="str">
        <f t="shared" si="3"/>
        <v>Iceland</v>
      </c>
      <c r="P119" s="1" t="s">
        <v>116</v>
      </c>
      <c r="Q119" s="1"/>
      <c r="R119" s="110"/>
      <c r="S119" s="110"/>
      <c r="T119" s="111"/>
      <c r="U119" s="111"/>
      <c r="V119" s="110"/>
      <c r="W119" s="110"/>
    </row>
    <row r="120" spans="2:23" x14ac:dyDescent="0.3">
      <c r="B120" s="2" t="str">
        <f t="shared" si="2"/>
        <v/>
      </c>
      <c r="C120" s="1"/>
      <c r="D120" s="1"/>
      <c r="E120" s="1"/>
      <c r="F120" s="110"/>
      <c r="G120" s="110"/>
      <c r="H120" s="111"/>
      <c r="I120" s="111"/>
      <c r="J120" s="110"/>
      <c r="K120" s="110"/>
      <c r="O120" s="2" t="str">
        <f t="shared" si="3"/>
        <v>Iceland</v>
      </c>
      <c r="P120" s="1" t="s">
        <v>116</v>
      </c>
      <c r="Q120" s="1"/>
      <c r="R120" s="110"/>
      <c r="S120" s="110"/>
      <c r="T120" s="111"/>
      <c r="U120" s="111"/>
      <c r="V120" s="110"/>
      <c r="W120" s="110"/>
    </row>
    <row r="121" spans="2:23" x14ac:dyDescent="0.3">
      <c r="B121" s="2" t="str">
        <f t="shared" si="2"/>
        <v/>
      </c>
      <c r="C121" s="1"/>
      <c r="D121" s="1"/>
      <c r="E121" s="1"/>
      <c r="F121" s="110"/>
      <c r="G121" s="110"/>
      <c r="H121" s="111"/>
      <c r="I121" s="111"/>
      <c r="J121" s="110"/>
      <c r="K121" s="110"/>
      <c r="O121" s="2" t="str">
        <f t="shared" si="3"/>
        <v>Iceland</v>
      </c>
      <c r="P121" s="1" t="s">
        <v>116</v>
      </c>
      <c r="Q121" s="1"/>
      <c r="R121" s="110"/>
      <c r="S121" s="110"/>
      <c r="T121" s="111"/>
      <c r="U121" s="111"/>
      <c r="V121" s="110"/>
      <c r="W121" s="110"/>
    </row>
    <row r="122" spans="2:23" x14ac:dyDescent="0.3">
      <c r="B122" s="2" t="str">
        <f t="shared" si="2"/>
        <v/>
      </c>
      <c r="C122" s="1"/>
      <c r="D122" s="1"/>
      <c r="E122" s="1"/>
      <c r="F122" s="110"/>
      <c r="G122" s="110"/>
      <c r="H122" s="111"/>
      <c r="I122" s="111"/>
      <c r="J122" s="110"/>
      <c r="K122" s="110"/>
      <c r="O122" s="2" t="str">
        <f t="shared" si="3"/>
        <v>Iceland</v>
      </c>
      <c r="P122" s="1" t="s">
        <v>116</v>
      </c>
      <c r="Q122" s="1"/>
      <c r="R122" s="110"/>
      <c r="S122" s="110"/>
      <c r="T122" s="111"/>
      <c r="U122" s="111"/>
      <c r="V122" s="110"/>
      <c r="W122" s="110"/>
    </row>
    <row r="123" spans="2:23" x14ac:dyDescent="0.3">
      <c r="B123" s="2" t="str">
        <f t="shared" si="2"/>
        <v/>
      </c>
      <c r="C123" s="1"/>
      <c r="D123" s="1"/>
      <c r="E123" s="1"/>
      <c r="F123" s="110"/>
      <c r="G123" s="110"/>
      <c r="H123" s="111"/>
      <c r="I123" s="111"/>
      <c r="J123" s="110"/>
      <c r="K123" s="110"/>
      <c r="O123" s="2" t="str">
        <f t="shared" si="3"/>
        <v>Iceland</v>
      </c>
      <c r="P123" s="1" t="s">
        <v>116</v>
      </c>
      <c r="Q123" s="1"/>
      <c r="R123" s="110"/>
      <c r="S123" s="110"/>
      <c r="T123" s="111"/>
      <c r="U123" s="111"/>
      <c r="V123" s="110"/>
      <c r="W123" s="110"/>
    </row>
    <row r="124" spans="2:23" x14ac:dyDescent="0.3">
      <c r="B124" s="2" t="str">
        <f t="shared" si="2"/>
        <v/>
      </c>
      <c r="C124" s="1"/>
      <c r="D124" s="1"/>
      <c r="E124" s="1"/>
      <c r="F124" s="110"/>
      <c r="G124" s="110"/>
      <c r="H124" s="111"/>
      <c r="I124" s="111"/>
      <c r="J124" s="110"/>
      <c r="K124" s="110"/>
      <c r="O124" s="2" t="str">
        <f t="shared" si="3"/>
        <v>Iceland</v>
      </c>
      <c r="P124" s="1" t="s">
        <v>116</v>
      </c>
      <c r="Q124" s="1"/>
      <c r="R124" s="110"/>
      <c r="S124" s="110"/>
      <c r="T124" s="111"/>
      <c r="U124" s="111"/>
      <c r="V124" s="110"/>
      <c r="W124" s="110"/>
    </row>
    <row r="125" spans="2:23" x14ac:dyDescent="0.3">
      <c r="B125" s="2" t="str">
        <f t="shared" si="2"/>
        <v/>
      </c>
      <c r="C125" s="1"/>
      <c r="D125" s="1"/>
      <c r="E125" s="1"/>
      <c r="F125" s="110"/>
      <c r="G125" s="110"/>
      <c r="H125" s="111"/>
      <c r="I125" s="111"/>
      <c r="J125" s="110"/>
      <c r="K125" s="110"/>
      <c r="O125" s="2" t="str">
        <f t="shared" si="3"/>
        <v>Iceland</v>
      </c>
      <c r="P125" s="1" t="s">
        <v>116</v>
      </c>
      <c r="Q125" s="1"/>
      <c r="R125" s="110"/>
      <c r="S125" s="110"/>
      <c r="T125" s="111"/>
      <c r="U125" s="111"/>
      <c r="V125" s="110"/>
      <c r="W125" s="110"/>
    </row>
    <row r="126" spans="2:23" x14ac:dyDescent="0.3">
      <c r="B126" s="2" t="str">
        <f t="shared" si="2"/>
        <v/>
      </c>
      <c r="C126" s="1"/>
      <c r="D126" s="1"/>
      <c r="E126" s="1"/>
      <c r="F126" s="110"/>
      <c r="G126" s="110"/>
      <c r="H126" s="111"/>
      <c r="I126" s="111"/>
      <c r="J126" s="110"/>
      <c r="K126" s="110"/>
      <c r="O126" s="2" t="str">
        <f t="shared" si="3"/>
        <v>Iceland</v>
      </c>
      <c r="P126" s="1" t="s">
        <v>116</v>
      </c>
      <c r="Q126" s="1"/>
      <c r="R126" s="110"/>
      <c r="S126" s="110"/>
      <c r="T126" s="111"/>
      <c r="U126" s="111"/>
      <c r="V126" s="110"/>
      <c r="W126" s="110"/>
    </row>
    <row r="127" spans="2:23" x14ac:dyDescent="0.3">
      <c r="B127" s="2" t="str">
        <f t="shared" si="2"/>
        <v/>
      </c>
      <c r="C127" s="1"/>
      <c r="D127" s="1"/>
      <c r="E127" s="1"/>
      <c r="F127" s="110"/>
      <c r="G127" s="110"/>
      <c r="H127" s="111"/>
      <c r="I127" s="111"/>
      <c r="J127" s="110"/>
      <c r="K127" s="110"/>
      <c r="O127" s="2" t="str">
        <f t="shared" si="3"/>
        <v>Iceland</v>
      </c>
      <c r="P127" s="1" t="s">
        <v>116</v>
      </c>
      <c r="Q127" s="1"/>
      <c r="R127" s="110"/>
      <c r="S127" s="110"/>
      <c r="T127" s="111"/>
      <c r="U127" s="111"/>
      <c r="V127" s="110"/>
      <c r="W127" s="110"/>
    </row>
    <row r="128" spans="2:23" x14ac:dyDescent="0.3">
      <c r="B128" s="2" t="str">
        <f t="shared" si="2"/>
        <v/>
      </c>
      <c r="C128" s="1"/>
      <c r="D128" s="1"/>
      <c r="E128" s="1"/>
      <c r="F128" s="110"/>
      <c r="G128" s="110"/>
      <c r="H128" s="111"/>
      <c r="I128" s="111"/>
      <c r="J128" s="110"/>
      <c r="K128" s="110"/>
      <c r="O128" s="2" t="str">
        <f t="shared" si="3"/>
        <v>Iceland</v>
      </c>
      <c r="P128" s="1" t="s">
        <v>116</v>
      </c>
      <c r="Q128" s="1"/>
      <c r="R128" s="110"/>
      <c r="S128" s="110"/>
      <c r="T128" s="111"/>
      <c r="U128" s="111"/>
      <c r="V128" s="110"/>
      <c r="W128" s="110"/>
    </row>
    <row r="129" spans="2:23" x14ac:dyDescent="0.3">
      <c r="B129" s="2" t="str">
        <f t="shared" si="2"/>
        <v/>
      </c>
      <c r="C129" s="1"/>
      <c r="D129" s="1"/>
      <c r="E129" s="1"/>
      <c r="F129" s="110"/>
      <c r="G129" s="110"/>
      <c r="H129" s="111"/>
      <c r="I129" s="111"/>
      <c r="J129" s="110"/>
      <c r="K129" s="110"/>
      <c r="O129" s="2" t="str">
        <f t="shared" si="3"/>
        <v>Iceland</v>
      </c>
      <c r="P129" s="1" t="s">
        <v>116</v>
      </c>
      <c r="Q129" s="1"/>
      <c r="R129" s="110"/>
      <c r="S129" s="110"/>
      <c r="T129" s="111"/>
      <c r="U129" s="111"/>
      <c r="V129" s="110"/>
      <c r="W129" s="110"/>
    </row>
    <row r="130" spans="2:23" x14ac:dyDescent="0.3">
      <c r="B130" s="2" t="str">
        <f t="shared" si="2"/>
        <v/>
      </c>
      <c r="C130" s="1"/>
      <c r="D130" s="1"/>
      <c r="E130" s="1"/>
      <c r="F130" s="110"/>
      <c r="G130" s="110"/>
      <c r="H130" s="111"/>
      <c r="I130" s="111"/>
      <c r="J130" s="110"/>
      <c r="K130" s="110"/>
      <c r="O130" s="2" t="str">
        <f t="shared" si="3"/>
        <v>Iceland</v>
      </c>
      <c r="P130" s="1" t="s">
        <v>116</v>
      </c>
      <c r="Q130" s="1"/>
      <c r="R130" s="110"/>
      <c r="S130" s="110"/>
      <c r="T130" s="111"/>
      <c r="U130" s="111"/>
      <c r="V130" s="110"/>
      <c r="W130" s="110"/>
    </row>
    <row r="131" spans="2:23" x14ac:dyDescent="0.3">
      <c r="B131" s="2" t="str">
        <f t="shared" si="2"/>
        <v/>
      </c>
      <c r="C131" s="1"/>
      <c r="D131" s="1"/>
      <c r="E131" s="1"/>
      <c r="F131" s="110"/>
      <c r="G131" s="110"/>
      <c r="H131" s="111"/>
      <c r="I131" s="111"/>
      <c r="J131" s="110"/>
      <c r="K131" s="110"/>
      <c r="O131" s="2" t="str">
        <f t="shared" si="3"/>
        <v>Iceland</v>
      </c>
      <c r="P131" s="1" t="s">
        <v>116</v>
      </c>
      <c r="Q131" s="1"/>
      <c r="R131" s="110"/>
      <c r="S131" s="110"/>
      <c r="T131" s="111"/>
      <c r="U131" s="111"/>
      <c r="V131" s="110"/>
      <c r="W131" s="110"/>
    </row>
    <row r="132" spans="2:23" x14ac:dyDescent="0.3">
      <c r="B132" s="2" t="str">
        <f t="shared" ref="B132:B195" si="4">C132&amp;D132&amp;E132</f>
        <v/>
      </c>
      <c r="C132" s="1"/>
      <c r="D132" s="1"/>
      <c r="E132" s="1"/>
      <c r="F132" s="110"/>
      <c r="G132" s="110"/>
      <c r="H132" s="111"/>
      <c r="I132" s="111"/>
      <c r="J132" s="110"/>
      <c r="K132" s="110"/>
      <c r="O132" s="2" t="str">
        <f t="shared" ref="O132:O195" si="5">P132&amp;Q132</f>
        <v>Iceland</v>
      </c>
      <c r="P132" s="1" t="s">
        <v>116</v>
      </c>
      <c r="Q132" s="1"/>
      <c r="R132" s="110"/>
      <c r="S132" s="110"/>
      <c r="T132" s="111"/>
      <c r="U132" s="111"/>
      <c r="V132" s="110"/>
      <c r="W132" s="110"/>
    </row>
    <row r="133" spans="2:23" x14ac:dyDescent="0.3">
      <c r="B133" s="2" t="str">
        <f t="shared" si="4"/>
        <v/>
      </c>
      <c r="C133" s="1"/>
      <c r="D133" s="1"/>
      <c r="E133" s="1"/>
      <c r="F133" s="110"/>
      <c r="G133" s="110"/>
      <c r="H133" s="111"/>
      <c r="I133" s="111"/>
      <c r="J133" s="110"/>
      <c r="K133" s="110"/>
      <c r="O133" s="2" t="str">
        <f t="shared" si="5"/>
        <v>Iceland</v>
      </c>
      <c r="P133" s="1" t="s">
        <v>116</v>
      </c>
      <c r="Q133" s="1"/>
      <c r="R133" s="110"/>
      <c r="S133" s="110"/>
      <c r="T133" s="111"/>
      <c r="U133" s="111"/>
      <c r="V133" s="110"/>
      <c r="W133" s="110"/>
    </row>
    <row r="134" spans="2:23" x14ac:dyDescent="0.3">
      <c r="B134" s="2" t="str">
        <f t="shared" si="4"/>
        <v/>
      </c>
      <c r="C134" s="1"/>
      <c r="D134" s="1"/>
      <c r="E134" s="1"/>
      <c r="F134" s="110"/>
      <c r="G134" s="110"/>
      <c r="H134" s="111"/>
      <c r="I134" s="111"/>
      <c r="J134" s="110"/>
      <c r="K134" s="110"/>
      <c r="O134" s="2" t="str">
        <f t="shared" si="5"/>
        <v>Iceland</v>
      </c>
      <c r="P134" s="1" t="s">
        <v>116</v>
      </c>
      <c r="Q134" s="1"/>
      <c r="R134" s="110"/>
      <c r="S134" s="110"/>
      <c r="T134" s="111"/>
      <c r="U134" s="111"/>
      <c r="V134" s="110"/>
      <c r="W134" s="110"/>
    </row>
    <row r="135" spans="2:23" x14ac:dyDescent="0.3">
      <c r="B135" s="2" t="str">
        <f t="shared" si="4"/>
        <v/>
      </c>
      <c r="C135" s="1"/>
      <c r="D135" s="1"/>
      <c r="E135" s="1"/>
      <c r="F135" s="110"/>
      <c r="G135" s="110"/>
      <c r="H135" s="111"/>
      <c r="I135" s="111"/>
      <c r="J135" s="110"/>
      <c r="K135" s="110"/>
      <c r="O135" s="2" t="str">
        <f t="shared" si="5"/>
        <v>Iceland</v>
      </c>
      <c r="P135" s="1" t="s">
        <v>116</v>
      </c>
      <c r="Q135" s="1"/>
      <c r="R135" s="110"/>
      <c r="S135" s="110"/>
      <c r="T135" s="111"/>
      <c r="U135" s="111"/>
      <c r="V135" s="110"/>
      <c r="W135" s="110"/>
    </row>
    <row r="136" spans="2:23" x14ac:dyDescent="0.3">
      <c r="B136" s="2" t="str">
        <f t="shared" si="4"/>
        <v/>
      </c>
      <c r="C136" s="1"/>
      <c r="D136" s="1"/>
      <c r="E136" s="1"/>
      <c r="F136" s="110"/>
      <c r="G136" s="110"/>
      <c r="H136" s="111"/>
      <c r="I136" s="111"/>
      <c r="J136" s="110"/>
      <c r="K136" s="110"/>
      <c r="O136" s="2" t="str">
        <f t="shared" si="5"/>
        <v>Iceland</v>
      </c>
      <c r="P136" s="1" t="s">
        <v>116</v>
      </c>
      <c r="Q136" s="1"/>
      <c r="R136" s="110"/>
      <c r="S136" s="110"/>
      <c r="T136" s="111"/>
      <c r="U136" s="111"/>
      <c r="V136" s="110"/>
      <c r="W136" s="110"/>
    </row>
    <row r="137" spans="2:23" x14ac:dyDescent="0.3">
      <c r="B137" s="2" t="str">
        <f t="shared" si="4"/>
        <v/>
      </c>
      <c r="C137" s="1"/>
      <c r="D137" s="1"/>
      <c r="E137" s="1"/>
      <c r="F137" s="110"/>
      <c r="G137" s="110"/>
      <c r="H137" s="111"/>
      <c r="I137" s="111"/>
      <c r="J137" s="110"/>
      <c r="K137" s="110"/>
      <c r="O137" s="2" t="str">
        <f t="shared" si="5"/>
        <v>Iceland</v>
      </c>
      <c r="P137" s="1" t="s">
        <v>116</v>
      </c>
      <c r="Q137" s="1"/>
      <c r="R137" s="110"/>
      <c r="S137" s="110"/>
      <c r="T137" s="111"/>
      <c r="U137" s="111"/>
      <c r="V137" s="110"/>
      <c r="W137" s="110"/>
    </row>
    <row r="138" spans="2:23" x14ac:dyDescent="0.3">
      <c r="B138" s="2" t="str">
        <f t="shared" si="4"/>
        <v/>
      </c>
      <c r="C138" s="1"/>
      <c r="D138" s="1"/>
      <c r="E138" s="1"/>
      <c r="F138" s="110"/>
      <c r="G138" s="110"/>
      <c r="H138" s="111"/>
      <c r="I138" s="111"/>
      <c r="J138" s="110"/>
      <c r="K138" s="110"/>
      <c r="O138" s="2" t="str">
        <f t="shared" si="5"/>
        <v>Iceland</v>
      </c>
      <c r="P138" s="1" t="s">
        <v>116</v>
      </c>
      <c r="Q138" s="1"/>
      <c r="R138" s="110"/>
      <c r="S138" s="110"/>
      <c r="T138" s="111"/>
      <c r="U138" s="111"/>
      <c r="V138" s="110"/>
      <c r="W138" s="110"/>
    </row>
    <row r="139" spans="2:23" x14ac:dyDescent="0.3">
      <c r="B139" s="2" t="str">
        <f t="shared" si="4"/>
        <v/>
      </c>
      <c r="C139" s="1"/>
      <c r="D139" s="1"/>
      <c r="E139" s="1"/>
      <c r="F139" s="110"/>
      <c r="G139" s="110"/>
      <c r="H139" s="111"/>
      <c r="I139" s="111"/>
      <c r="J139" s="110"/>
      <c r="K139" s="110"/>
      <c r="O139" s="2" t="str">
        <f t="shared" si="5"/>
        <v>Iceland</v>
      </c>
      <c r="P139" s="1" t="s">
        <v>116</v>
      </c>
      <c r="Q139" s="1"/>
      <c r="R139" s="110"/>
      <c r="S139" s="110"/>
      <c r="T139" s="111"/>
      <c r="U139" s="111"/>
      <c r="V139" s="110"/>
      <c r="W139" s="110"/>
    </row>
    <row r="140" spans="2:23" x14ac:dyDescent="0.3">
      <c r="B140" s="2" t="str">
        <f t="shared" si="4"/>
        <v/>
      </c>
      <c r="C140" s="1"/>
      <c r="D140" s="1"/>
      <c r="E140" s="1"/>
      <c r="F140" s="110"/>
      <c r="G140" s="110"/>
      <c r="H140" s="111"/>
      <c r="I140" s="111"/>
      <c r="J140" s="110"/>
      <c r="K140" s="110"/>
      <c r="O140" s="2" t="str">
        <f t="shared" si="5"/>
        <v>Iceland</v>
      </c>
      <c r="P140" s="1" t="s">
        <v>116</v>
      </c>
      <c r="Q140" s="1"/>
      <c r="R140" s="110"/>
      <c r="S140" s="110"/>
      <c r="T140" s="111"/>
      <c r="U140" s="111"/>
      <c r="V140" s="110"/>
      <c r="W140" s="110"/>
    </row>
    <row r="141" spans="2:23" x14ac:dyDescent="0.3">
      <c r="B141" s="2" t="str">
        <f t="shared" si="4"/>
        <v/>
      </c>
      <c r="C141" s="1"/>
      <c r="D141" s="1"/>
      <c r="E141" s="1"/>
      <c r="F141" s="110"/>
      <c r="G141" s="110"/>
      <c r="H141" s="111"/>
      <c r="I141" s="111"/>
      <c r="J141" s="110"/>
      <c r="K141" s="110"/>
      <c r="O141" s="2" t="str">
        <f t="shared" si="5"/>
        <v>Iceland</v>
      </c>
      <c r="P141" s="1" t="s">
        <v>116</v>
      </c>
      <c r="Q141" s="1"/>
      <c r="R141" s="110"/>
      <c r="S141" s="110"/>
      <c r="T141" s="111"/>
      <c r="U141" s="111"/>
      <c r="V141" s="110"/>
      <c r="W141" s="110"/>
    </row>
    <row r="142" spans="2:23" x14ac:dyDescent="0.3">
      <c r="B142" s="2" t="str">
        <f t="shared" si="4"/>
        <v/>
      </c>
      <c r="C142" s="1"/>
      <c r="D142" s="1"/>
      <c r="E142" s="1"/>
      <c r="F142" s="110"/>
      <c r="G142" s="110"/>
      <c r="H142" s="111"/>
      <c r="I142" s="111"/>
      <c r="J142" s="110"/>
      <c r="K142" s="110"/>
      <c r="O142" s="2" t="str">
        <f t="shared" si="5"/>
        <v>Iceland</v>
      </c>
      <c r="P142" s="1" t="s">
        <v>116</v>
      </c>
      <c r="Q142" s="1"/>
      <c r="R142" s="110"/>
      <c r="S142" s="110"/>
      <c r="T142" s="111"/>
      <c r="U142" s="111"/>
      <c r="V142" s="110"/>
      <c r="W142" s="110"/>
    </row>
    <row r="143" spans="2:23" x14ac:dyDescent="0.3">
      <c r="B143" s="2" t="str">
        <f t="shared" si="4"/>
        <v/>
      </c>
      <c r="C143" s="1"/>
      <c r="D143" s="1"/>
      <c r="E143" s="1"/>
      <c r="F143" s="110"/>
      <c r="G143" s="110"/>
      <c r="H143" s="111"/>
      <c r="I143" s="111"/>
      <c r="J143" s="110"/>
      <c r="K143" s="110"/>
      <c r="O143" s="2" t="str">
        <f t="shared" si="5"/>
        <v>Iceland</v>
      </c>
      <c r="P143" s="1" t="s">
        <v>116</v>
      </c>
      <c r="Q143" s="1"/>
      <c r="R143" s="110"/>
      <c r="S143" s="110"/>
      <c r="T143" s="111"/>
      <c r="U143" s="111"/>
      <c r="V143" s="110"/>
      <c r="W143" s="110"/>
    </row>
    <row r="144" spans="2:23" x14ac:dyDescent="0.3">
      <c r="B144" s="2" t="str">
        <f t="shared" si="4"/>
        <v/>
      </c>
      <c r="C144" s="1"/>
      <c r="D144" s="1"/>
      <c r="E144" s="1"/>
      <c r="F144" s="110"/>
      <c r="G144" s="110"/>
      <c r="H144" s="111"/>
      <c r="I144" s="111"/>
      <c r="J144" s="110"/>
      <c r="K144" s="110"/>
      <c r="O144" s="2" t="str">
        <f t="shared" si="5"/>
        <v>Iceland</v>
      </c>
      <c r="P144" s="1" t="s">
        <v>116</v>
      </c>
      <c r="Q144" s="1"/>
      <c r="R144" s="110"/>
      <c r="S144" s="110"/>
      <c r="T144" s="111"/>
      <c r="U144" s="111"/>
      <c r="V144" s="110"/>
      <c r="W144" s="110"/>
    </row>
    <row r="145" spans="2:23" x14ac:dyDescent="0.3">
      <c r="B145" s="2" t="str">
        <f t="shared" si="4"/>
        <v/>
      </c>
      <c r="C145" s="1"/>
      <c r="D145" s="1"/>
      <c r="E145" s="1"/>
      <c r="F145" s="110"/>
      <c r="G145" s="110"/>
      <c r="H145" s="111"/>
      <c r="I145" s="111"/>
      <c r="J145" s="110"/>
      <c r="K145" s="110"/>
      <c r="O145" s="2" t="str">
        <f t="shared" si="5"/>
        <v>Iceland</v>
      </c>
      <c r="P145" s="1" t="s">
        <v>116</v>
      </c>
      <c r="Q145" s="1"/>
      <c r="R145" s="110"/>
      <c r="S145" s="110"/>
      <c r="T145" s="111"/>
      <c r="U145" s="111"/>
      <c r="V145" s="110"/>
      <c r="W145" s="110"/>
    </row>
    <row r="146" spans="2:23" x14ac:dyDescent="0.3">
      <c r="B146" s="2" t="str">
        <f t="shared" si="4"/>
        <v/>
      </c>
      <c r="C146" s="1"/>
      <c r="D146" s="1"/>
      <c r="E146" s="1"/>
      <c r="F146" s="110"/>
      <c r="G146" s="110"/>
      <c r="H146" s="111"/>
      <c r="I146" s="111"/>
      <c r="J146" s="110"/>
      <c r="K146" s="110"/>
      <c r="O146" s="2" t="str">
        <f t="shared" si="5"/>
        <v>Iceland</v>
      </c>
      <c r="P146" s="1" t="s">
        <v>116</v>
      </c>
      <c r="Q146" s="1"/>
      <c r="R146" s="110"/>
      <c r="S146" s="110"/>
      <c r="T146" s="111"/>
      <c r="U146" s="111"/>
      <c r="V146" s="110"/>
      <c r="W146" s="110"/>
    </row>
    <row r="147" spans="2:23" x14ac:dyDescent="0.3">
      <c r="B147" s="2" t="str">
        <f t="shared" si="4"/>
        <v/>
      </c>
      <c r="C147" s="1"/>
      <c r="D147" s="1"/>
      <c r="E147" s="1"/>
      <c r="F147" s="110"/>
      <c r="G147" s="110"/>
      <c r="H147" s="111"/>
      <c r="I147" s="111"/>
      <c r="J147" s="110"/>
      <c r="K147" s="110"/>
      <c r="O147" s="2" t="str">
        <f t="shared" si="5"/>
        <v>Iceland</v>
      </c>
      <c r="P147" s="1" t="s">
        <v>116</v>
      </c>
      <c r="Q147" s="1"/>
      <c r="R147" s="110"/>
      <c r="S147" s="110"/>
      <c r="T147" s="111"/>
      <c r="U147" s="111"/>
      <c r="V147" s="110"/>
      <c r="W147" s="110"/>
    </row>
    <row r="148" spans="2:23" x14ac:dyDescent="0.3">
      <c r="B148" s="2" t="str">
        <f t="shared" si="4"/>
        <v/>
      </c>
      <c r="C148" s="1"/>
      <c r="D148" s="1"/>
      <c r="E148" s="1"/>
      <c r="F148" s="110"/>
      <c r="G148" s="110"/>
      <c r="H148" s="111"/>
      <c r="I148" s="111"/>
      <c r="J148" s="110"/>
      <c r="K148" s="110"/>
      <c r="O148" s="2" t="str">
        <f t="shared" si="5"/>
        <v>Iceland</v>
      </c>
      <c r="P148" s="1" t="s">
        <v>116</v>
      </c>
      <c r="Q148" s="1"/>
      <c r="R148" s="110"/>
      <c r="S148" s="110"/>
      <c r="T148" s="111"/>
      <c r="U148" s="111"/>
      <c r="V148" s="110"/>
      <c r="W148" s="110"/>
    </row>
    <row r="149" spans="2:23" x14ac:dyDescent="0.3">
      <c r="B149" s="2" t="str">
        <f t="shared" si="4"/>
        <v/>
      </c>
      <c r="C149" s="1"/>
      <c r="D149" s="1"/>
      <c r="E149" s="1"/>
      <c r="F149" s="110"/>
      <c r="G149" s="110"/>
      <c r="H149" s="111"/>
      <c r="I149" s="111"/>
      <c r="J149" s="110"/>
      <c r="K149" s="110"/>
      <c r="O149" s="2" t="str">
        <f t="shared" si="5"/>
        <v>Iceland</v>
      </c>
      <c r="P149" s="1" t="s">
        <v>116</v>
      </c>
      <c r="Q149" s="1"/>
      <c r="R149" s="110"/>
      <c r="S149" s="110"/>
      <c r="T149" s="111"/>
      <c r="U149" s="111"/>
      <c r="V149" s="110"/>
      <c r="W149" s="110"/>
    </row>
    <row r="150" spans="2:23" x14ac:dyDescent="0.3">
      <c r="B150" s="2" t="str">
        <f t="shared" si="4"/>
        <v/>
      </c>
      <c r="C150" s="1"/>
      <c r="D150" s="1"/>
      <c r="E150" s="1"/>
      <c r="F150" s="110"/>
      <c r="G150" s="110"/>
      <c r="H150" s="111"/>
      <c r="I150" s="111"/>
      <c r="J150" s="110"/>
      <c r="K150" s="110"/>
      <c r="O150" s="2" t="str">
        <f t="shared" si="5"/>
        <v>Iceland</v>
      </c>
      <c r="P150" s="1" t="s">
        <v>116</v>
      </c>
      <c r="Q150" s="1"/>
      <c r="R150" s="110"/>
      <c r="S150" s="110"/>
      <c r="T150" s="111"/>
      <c r="U150" s="111"/>
      <c r="V150" s="110"/>
      <c r="W150" s="110"/>
    </row>
    <row r="151" spans="2:23" x14ac:dyDescent="0.3">
      <c r="B151" s="2" t="str">
        <f t="shared" si="4"/>
        <v/>
      </c>
      <c r="C151" s="1"/>
      <c r="D151" s="1"/>
      <c r="E151" s="1"/>
      <c r="F151" s="110"/>
      <c r="G151" s="110"/>
      <c r="H151" s="111"/>
      <c r="I151" s="111"/>
      <c r="J151" s="110"/>
      <c r="K151" s="110"/>
      <c r="O151" s="2" t="str">
        <f t="shared" si="5"/>
        <v>Iceland</v>
      </c>
      <c r="P151" s="1" t="s">
        <v>116</v>
      </c>
      <c r="Q151" s="1"/>
      <c r="R151" s="110"/>
      <c r="S151" s="110"/>
      <c r="T151" s="111"/>
      <c r="U151" s="111"/>
      <c r="V151" s="110"/>
      <c r="W151" s="110"/>
    </row>
    <row r="152" spans="2:23" x14ac:dyDescent="0.3">
      <c r="B152" s="2" t="str">
        <f t="shared" si="4"/>
        <v/>
      </c>
      <c r="C152" s="1"/>
      <c r="D152" s="1"/>
      <c r="E152" s="1"/>
      <c r="F152" s="110"/>
      <c r="G152" s="110"/>
      <c r="H152" s="111"/>
      <c r="I152" s="111"/>
      <c r="J152" s="110"/>
      <c r="K152" s="110"/>
      <c r="O152" s="2" t="str">
        <f t="shared" si="5"/>
        <v>Iceland</v>
      </c>
      <c r="P152" s="1" t="s">
        <v>116</v>
      </c>
      <c r="Q152" s="1"/>
      <c r="R152" s="110"/>
      <c r="S152" s="110"/>
      <c r="T152" s="111"/>
      <c r="U152" s="111"/>
      <c r="V152" s="110"/>
      <c r="W152" s="110"/>
    </row>
    <row r="153" spans="2:23" x14ac:dyDescent="0.3">
      <c r="B153" s="2" t="str">
        <f t="shared" si="4"/>
        <v/>
      </c>
      <c r="C153" s="1"/>
      <c r="D153" s="1"/>
      <c r="E153" s="1"/>
      <c r="F153" s="110"/>
      <c r="G153" s="110"/>
      <c r="H153" s="111"/>
      <c r="I153" s="111"/>
      <c r="J153" s="110"/>
      <c r="K153" s="110"/>
      <c r="O153" s="2" t="str">
        <f t="shared" si="5"/>
        <v>Iceland</v>
      </c>
      <c r="P153" s="1" t="s">
        <v>116</v>
      </c>
      <c r="Q153" s="1"/>
      <c r="R153" s="110"/>
      <c r="S153" s="110"/>
      <c r="T153" s="111"/>
      <c r="U153" s="111"/>
      <c r="V153" s="110"/>
      <c r="W153" s="110"/>
    </row>
    <row r="154" spans="2:23" x14ac:dyDescent="0.3">
      <c r="B154" s="2" t="str">
        <f t="shared" si="4"/>
        <v/>
      </c>
      <c r="C154" s="1"/>
      <c r="D154" s="1"/>
      <c r="E154" s="1"/>
      <c r="F154" s="110"/>
      <c r="G154" s="110"/>
      <c r="H154" s="111"/>
      <c r="I154" s="111"/>
      <c r="J154" s="110"/>
      <c r="K154" s="110"/>
      <c r="O154" s="2" t="str">
        <f t="shared" si="5"/>
        <v>Iceland</v>
      </c>
      <c r="P154" s="1" t="s">
        <v>116</v>
      </c>
      <c r="Q154" s="1"/>
      <c r="R154" s="110"/>
      <c r="S154" s="110"/>
      <c r="T154" s="111"/>
      <c r="U154" s="111"/>
      <c r="V154" s="110"/>
      <c r="W154" s="110"/>
    </row>
    <row r="155" spans="2:23" x14ac:dyDescent="0.3">
      <c r="B155" s="2" t="str">
        <f t="shared" si="4"/>
        <v/>
      </c>
      <c r="C155" s="1"/>
      <c r="D155" s="1"/>
      <c r="E155" s="1"/>
      <c r="F155" s="110"/>
      <c r="G155" s="110"/>
      <c r="H155" s="111"/>
      <c r="I155" s="111"/>
      <c r="J155" s="110"/>
      <c r="K155" s="110"/>
      <c r="O155" s="2" t="str">
        <f t="shared" si="5"/>
        <v>Iceland</v>
      </c>
      <c r="P155" s="1" t="s">
        <v>116</v>
      </c>
      <c r="Q155" s="1"/>
      <c r="R155" s="110"/>
      <c r="S155" s="110"/>
      <c r="T155" s="111"/>
      <c r="U155" s="111"/>
      <c r="V155" s="110"/>
      <c r="W155" s="110"/>
    </row>
    <row r="156" spans="2:23" x14ac:dyDescent="0.3">
      <c r="B156" s="2" t="str">
        <f t="shared" si="4"/>
        <v/>
      </c>
      <c r="C156" s="1"/>
      <c r="D156" s="1"/>
      <c r="E156" s="1"/>
      <c r="F156" s="110"/>
      <c r="G156" s="110"/>
      <c r="H156" s="111"/>
      <c r="I156" s="111"/>
      <c r="J156" s="110"/>
      <c r="K156" s="110"/>
      <c r="O156" s="2" t="str">
        <f t="shared" si="5"/>
        <v>Iceland</v>
      </c>
      <c r="P156" s="1" t="s">
        <v>116</v>
      </c>
      <c r="Q156" s="1"/>
      <c r="R156" s="110"/>
      <c r="S156" s="110"/>
      <c r="T156" s="111"/>
      <c r="U156" s="111"/>
      <c r="V156" s="110"/>
      <c r="W156" s="110"/>
    </row>
    <row r="157" spans="2:23" x14ac:dyDescent="0.3">
      <c r="B157" s="2" t="str">
        <f t="shared" si="4"/>
        <v/>
      </c>
      <c r="C157" s="1"/>
      <c r="D157" s="1"/>
      <c r="E157" s="1"/>
      <c r="F157" s="110"/>
      <c r="G157" s="110"/>
      <c r="H157" s="111"/>
      <c r="I157" s="111"/>
      <c r="J157" s="110"/>
      <c r="K157" s="110"/>
      <c r="O157" s="2" t="str">
        <f t="shared" si="5"/>
        <v>Iceland</v>
      </c>
      <c r="P157" s="1" t="s">
        <v>116</v>
      </c>
      <c r="Q157" s="1"/>
      <c r="R157" s="110"/>
      <c r="S157" s="110"/>
      <c r="T157" s="111"/>
      <c r="U157" s="111"/>
      <c r="V157" s="110"/>
      <c r="W157" s="110"/>
    </row>
    <row r="158" spans="2:23" x14ac:dyDescent="0.3">
      <c r="B158" s="2" t="str">
        <f t="shared" si="4"/>
        <v/>
      </c>
      <c r="C158" s="1"/>
      <c r="D158" s="1"/>
      <c r="E158" s="1"/>
      <c r="F158" s="110"/>
      <c r="G158" s="110"/>
      <c r="H158" s="111"/>
      <c r="I158" s="111"/>
      <c r="J158" s="110"/>
      <c r="K158" s="110"/>
      <c r="O158" s="2" t="str">
        <f t="shared" si="5"/>
        <v>Iceland</v>
      </c>
      <c r="P158" s="1" t="s">
        <v>116</v>
      </c>
      <c r="Q158" s="1"/>
      <c r="R158" s="110"/>
      <c r="S158" s="110"/>
      <c r="T158" s="111"/>
      <c r="U158" s="111"/>
      <c r="V158" s="110"/>
      <c r="W158" s="110"/>
    </row>
    <row r="159" spans="2:23" x14ac:dyDescent="0.3">
      <c r="B159" s="2" t="str">
        <f t="shared" si="4"/>
        <v/>
      </c>
      <c r="C159" s="1"/>
      <c r="D159" s="1"/>
      <c r="E159" s="1"/>
      <c r="F159" s="110"/>
      <c r="G159" s="110"/>
      <c r="H159" s="111"/>
      <c r="I159" s="111"/>
      <c r="J159" s="110"/>
      <c r="K159" s="110"/>
      <c r="O159" s="2" t="str">
        <f t="shared" si="5"/>
        <v>Iceland</v>
      </c>
      <c r="P159" s="1" t="s">
        <v>116</v>
      </c>
      <c r="Q159" s="1"/>
      <c r="R159" s="110"/>
      <c r="S159" s="110"/>
      <c r="T159" s="111"/>
      <c r="U159" s="111"/>
      <c r="V159" s="110"/>
      <c r="W159" s="110"/>
    </row>
    <row r="160" spans="2:23" x14ac:dyDescent="0.3">
      <c r="B160" s="2" t="str">
        <f t="shared" si="4"/>
        <v/>
      </c>
      <c r="C160" s="1"/>
      <c r="D160" s="1"/>
      <c r="E160" s="1"/>
      <c r="F160" s="110"/>
      <c r="G160" s="110"/>
      <c r="H160" s="111"/>
      <c r="I160" s="111"/>
      <c r="J160" s="110"/>
      <c r="K160" s="110"/>
      <c r="O160" s="2" t="str">
        <f t="shared" si="5"/>
        <v>Iceland</v>
      </c>
      <c r="P160" s="1" t="s">
        <v>116</v>
      </c>
      <c r="Q160" s="1"/>
      <c r="R160" s="110"/>
      <c r="S160" s="110"/>
      <c r="T160" s="111"/>
      <c r="U160" s="111"/>
      <c r="V160" s="110"/>
      <c r="W160" s="110"/>
    </row>
    <row r="161" spans="2:23" x14ac:dyDescent="0.3">
      <c r="B161" s="2" t="str">
        <f t="shared" si="4"/>
        <v/>
      </c>
      <c r="C161" s="1"/>
      <c r="D161" s="1"/>
      <c r="E161" s="1"/>
      <c r="F161" s="110"/>
      <c r="G161" s="110"/>
      <c r="H161" s="111"/>
      <c r="I161" s="111"/>
      <c r="J161" s="110"/>
      <c r="K161" s="110"/>
      <c r="O161" s="2" t="str">
        <f t="shared" si="5"/>
        <v>Iceland</v>
      </c>
      <c r="P161" s="1" t="s">
        <v>116</v>
      </c>
      <c r="Q161" s="1"/>
      <c r="R161" s="110"/>
      <c r="S161" s="110"/>
      <c r="T161" s="111"/>
      <c r="U161" s="111"/>
      <c r="V161" s="110"/>
      <c r="W161" s="110"/>
    </row>
    <row r="162" spans="2:23" x14ac:dyDescent="0.3">
      <c r="B162" s="2" t="str">
        <f t="shared" si="4"/>
        <v/>
      </c>
      <c r="C162" s="1"/>
      <c r="D162" s="1"/>
      <c r="E162" s="1"/>
      <c r="F162" s="110"/>
      <c r="G162" s="110"/>
      <c r="H162" s="111"/>
      <c r="I162" s="111"/>
      <c r="J162" s="110"/>
      <c r="K162" s="110"/>
      <c r="O162" s="2" t="str">
        <f t="shared" si="5"/>
        <v>Iceland</v>
      </c>
      <c r="P162" s="1" t="s">
        <v>116</v>
      </c>
      <c r="Q162" s="1"/>
      <c r="R162" s="110"/>
      <c r="S162" s="110"/>
      <c r="T162" s="111"/>
      <c r="U162" s="111"/>
      <c r="V162" s="110"/>
      <c r="W162" s="110"/>
    </row>
    <row r="163" spans="2:23" x14ac:dyDescent="0.3">
      <c r="B163" s="2" t="str">
        <f t="shared" si="4"/>
        <v/>
      </c>
      <c r="C163" s="1"/>
      <c r="D163" s="1"/>
      <c r="E163" s="1"/>
      <c r="F163" s="110"/>
      <c r="G163" s="110"/>
      <c r="H163" s="111"/>
      <c r="I163" s="111"/>
      <c r="J163" s="110"/>
      <c r="K163" s="110"/>
      <c r="O163" s="2" t="str">
        <f t="shared" si="5"/>
        <v>Iceland</v>
      </c>
      <c r="P163" s="1" t="s">
        <v>116</v>
      </c>
      <c r="Q163" s="1"/>
      <c r="R163" s="110"/>
      <c r="S163" s="110"/>
      <c r="T163" s="111"/>
      <c r="U163" s="111"/>
      <c r="V163" s="110"/>
      <c r="W163" s="110"/>
    </row>
    <row r="164" spans="2:23" x14ac:dyDescent="0.3">
      <c r="B164" s="2" t="str">
        <f t="shared" si="4"/>
        <v/>
      </c>
      <c r="C164" s="1"/>
      <c r="D164" s="1"/>
      <c r="E164" s="1"/>
      <c r="F164" s="110"/>
      <c r="G164" s="110"/>
      <c r="H164" s="111"/>
      <c r="I164" s="111"/>
      <c r="J164" s="110"/>
      <c r="K164" s="110"/>
      <c r="O164" s="2" t="str">
        <f t="shared" si="5"/>
        <v>Iceland</v>
      </c>
      <c r="P164" s="1" t="s">
        <v>116</v>
      </c>
      <c r="Q164" s="1"/>
      <c r="R164" s="110"/>
      <c r="S164" s="110"/>
      <c r="T164" s="111"/>
      <c r="U164" s="111"/>
      <c r="V164" s="110"/>
      <c r="W164" s="110"/>
    </row>
    <row r="165" spans="2:23" x14ac:dyDescent="0.3">
      <c r="B165" s="2" t="str">
        <f t="shared" si="4"/>
        <v/>
      </c>
      <c r="C165" s="1"/>
      <c r="D165" s="1"/>
      <c r="E165" s="1"/>
      <c r="F165" s="110"/>
      <c r="G165" s="110"/>
      <c r="H165" s="111"/>
      <c r="I165" s="111"/>
      <c r="J165" s="110"/>
      <c r="K165" s="110"/>
      <c r="O165" s="2" t="str">
        <f t="shared" si="5"/>
        <v>Iceland</v>
      </c>
      <c r="P165" s="1" t="s">
        <v>116</v>
      </c>
      <c r="Q165" s="1"/>
      <c r="R165" s="110"/>
      <c r="S165" s="110"/>
      <c r="T165" s="111"/>
      <c r="U165" s="111"/>
      <c r="V165" s="110"/>
      <c r="W165" s="110"/>
    </row>
    <row r="166" spans="2:23" x14ac:dyDescent="0.3">
      <c r="B166" s="2" t="str">
        <f t="shared" si="4"/>
        <v/>
      </c>
      <c r="C166" s="1"/>
      <c r="D166" s="1"/>
      <c r="E166" s="1"/>
      <c r="F166" s="110"/>
      <c r="G166" s="110"/>
      <c r="H166" s="111"/>
      <c r="I166" s="111"/>
      <c r="J166" s="110"/>
      <c r="K166" s="110"/>
      <c r="O166" s="2" t="str">
        <f t="shared" si="5"/>
        <v>Iceland</v>
      </c>
      <c r="P166" s="1" t="s">
        <v>116</v>
      </c>
      <c r="Q166" s="1"/>
      <c r="R166" s="110"/>
      <c r="S166" s="110"/>
      <c r="T166" s="111"/>
      <c r="U166" s="111"/>
      <c r="V166" s="110"/>
      <c r="W166" s="110"/>
    </row>
    <row r="167" spans="2:23" x14ac:dyDescent="0.3">
      <c r="B167" s="2" t="str">
        <f t="shared" si="4"/>
        <v/>
      </c>
      <c r="C167" s="1"/>
      <c r="D167" s="1"/>
      <c r="E167" s="1"/>
      <c r="F167" s="110"/>
      <c r="G167" s="110"/>
      <c r="H167" s="111"/>
      <c r="I167" s="111"/>
      <c r="J167" s="110"/>
      <c r="K167" s="110"/>
      <c r="O167" s="2" t="str">
        <f t="shared" si="5"/>
        <v>Iceland</v>
      </c>
      <c r="P167" s="1" t="s">
        <v>116</v>
      </c>
      <c r="Q167" s="1"/>
      <c r="R167" s="110"/>
      <c r="S167" s="110"/>
      <c r="T167" s="111"/>
      <c r="U167" s="111"/>
      <c r="V167" s="110"/>
      <c r="W167" s="110"/>
    </row>
    <row r="168" spans="2:23" x14ac:dyDescent="0.3">
      <c r="B168" s="2" t="str">
        <f t="shared" si="4"/>
        <v/>
      </c>
      <c r="C168" s="1"/>
      <c r="D168" s="1"/>
      <c r="E168" s="1"/>
      <c r="F168" s="110"/>
      <c r="G168" s="110"/>
      <c r="H168" s="111"/>
      <c r="I168" s="111"/>
      <c r="J168" s="110"/>
      <c r="K168" s="110"/>
      <c r="O168" s="2" t="str">
        <f t="shared" si="5"/>
        <v>Iceland</v>
      </c>
      <c r="P168" s="1" t="s">
        <v>116</v>
      </c>
      <c r="Q168" s="1"/>
      <c r="R168" s="110"/>
      <c r="S168" s="110"/>
      <c r="T168" s="111"/>
      <c r="U168" s="111"/>
      <c r="V168" s="110"/>
      <c r="W168" s="110"/>
    </row>
    <row r="169" spans="2:23" x14ac:dyDescent="0.3">
      <c r="B169" s="2" t="str">
        <f t="shared" si="4"/>
        <v/>
      </c>
      <c r="C169" s="1"/>
      <c r="D169" s="1"/>
      <c r="E169" s="1"/>
      <c r="F169" s="110"/>
      <c r="G169" s="110"/>
      <c r="H169" s="111"/>
      <c r="I169" s="111"/>
      <c r="J169" s="110"/>
      <c r="K169" s="110"/>
      <c r="O169" s="2" t="str">
        <f t="shared" si="5"/>
        <v>Iceland</v>
      </c>
      <c r="P169" s="1" t="s">
        <v>116</v>
      </c>
      <c r="Q169" s="1"/>
      <c r="R169" s="110"/>
      <c r="S169" s="110"/>
      <c r="T169" s="111"/>
      <c r="U169" s="111"/>
      <c r="V169" s="110"/>
      <c r="W169" s="110"/>
    </row>
    <row r="170" spans="2:23" x14ac:dyDescent="0.3">
      <c r="B170" s="2" t="str">
        <f t="shared" si="4"/>
        <v/>
      </c>
      <c r="C170" s="1"/>
      <c r="D170" s="1"/>
      <c r="E170" s="1"/>
      <c r="F170" s="110"/>
      <c r="G170" s="110"/>
      <c r="H170" s="111"/>
      <c r="I170" s="111"/>
      <c r="J170" s="110"/>
      <c r="K170" s="110"/>
      <c r="O170" s="2" t="str">
        <f t="shared" si="5"/>
        <v>Iceland</v>
      </c>
      <c r="P170" s="1" t="s">
        <v>116</v>
      </c>
      <c r="Q170" s="1"/>
      <c r="R170" s="110"/>
      <c r="S170" s="110"/>
      <c r="T170" s="111"/>
      <c r="U170" s="111"/>
      <c r="V170" s="110"/>
      <c r="W170" s="110"/>
    </row>
    <row r="171" spans="2:23" x14ac:dyDescent="0.3">
      <c r="B171" s="2" t="str">
        <f t="shared" si="4"/>
        <v/>
      </c>
      <c r="C171" s="1"/>
      <c r="D171" s="1"/>
      <c r="E171" s="1"/>
      <c r="F171" s="110"/>
      <c r="G171" s="110"/>
      <c r="H171" s="111"/>
      <c r="I171" s="111"/>
      <c r="J171" s="110"/>
      <c r="K171" s="110"/>
      <c r="O171" s="2" t="str">
        <f t="shared" si="5"/>
        <v>Iceland</v>
      </c>
      <c r="P171" s="1" t="s">
        <v>116</v>
      </c>
      <c r="Q171" s="1"/>
      <c r="R171" s="110"/>
      <c r="S171" s="110"/>
      <c r="T171" s="111"/>
      <c r="U171" s="111"/>
      <c r="V171" s="110"/>
      <c r="W171" s="110"/>
    </row>
    <row r="172" spans="2:23" x14ac:dyDescent="0.3">
      <c r="B172" s="2" t="str">
        <f t="shared" si="4"/>
        <v/>
      </c>
      <c r="C172" s="1"/>
      <c r="D172" s="1"/>
      <c r="E172" s="1"/>
      <c r="F172" s="110"/>
      <c r="G172" s="110"/>
      <c r="H172" s="111"/>
      <c r="I172" s="111"/>
      <c r="J172" s="110"/>
      <c r="K172" s="110"/>
      <c r="O172" s="2" t="str">
        <f t="shared" si="5"/>
        <v>Iceland</v>
      </c>
      <c r="P172" s="1" t="s">
        <v>116</v>
      </c>
      <c r="Q172" s="1"/>
      <c r="R172" s="110"/>
      <c r="S172" s="110"/>
      <c r="T172" s="111"/>
      <c r="U172" s="111"/>
      <c r="V172" s="110"/>
      <c r="W172" s="110"/>
    </row>
    <row r="173" spans="2:23" x14ac:dyDescent="0.3">
      <c r="B173" s="2" t="str">
        <f t="shared" si="4"/>
        <v/>
      </c>
      <c r="C173" s="1"/>
      <c r="D173" s="1"/>
      <c r="E173" s="1"/>
      <c r="F173" s="110"/>
      <c r="G173" s="110"/>
      <c r="H173" s="111"/>
      <c r="I173" s="111"/>
      <c r="J173" s="110"/>
      <c r="K173" s="110"/>
      <c r="O173" s="2" t="str">
        <f t="shared" si="5"/>
        <v>Iceland</v>
      </c>
      <c r="P173" s="1" t="s">
        <v>116</v>
      </c>
      <c r="Q173" s="1"/>
      <c r="R173" s="110"/>
      <c r="S173" s="110"/>
      <c r="T173" s="111"/>
      <c r="U173" s="111"/>
      <c r="V173" s="110"/>
      <c r="W173" s="110"/>
    </row>
    <row r="174" spans="2:23" x14ac:dyDescent="0.3">
      <c r="B174" s="2" t="str">
        <f t="shared" si="4"/>
        <v/>
      </c>
      <c r="C174" s="1"/>
      <c r="D174" s="1"/>
      <c r="E174" s="1"/>
      <c r="F174" s="110"/>
      <c r="G174" s="110"/>
      <c r="H174" s="111"/>
      <c r="I174" s="111"/>
      <c r="J174" s="110"/>
      <c r="K174" s="110"/>
      <c r="O174" s="2" t="str">
        <f t="shared" si="5"/>
        <v>Iceland</v>
      </c>
      <c r="P174" s="1" t="s">
        <v>116</v>
      </c>
      <c r="Q174" s="1"/>
      <c r="R174" s="110"/>
      <c r="S174" s="110"/>
      <c r="T174" s="111"/>
      <c r="U174" s="111"/>
      <c r="V174" s="110"/>
      <c r="W174" s="110"/>
    </row>
    <row r="175" spans="2:23" x14ac:dyDescent="0.3">
      <c r="B175" s="2" t="str">
        <f t="shared" si="4"/>
        <v/>
      </c>
      <c r="C175" s="1"/>
      <c r="D175" s="1"/>
      <c r="E175" s="1"/>
      <c r="F175" s="110"/>
      <c r="G175" s="110"/>
      <c r="H175" s="111"/>
      <c r="I175" s="111"/>
      <c r="J175" s="110"/>
      <c r="K175" s="110"/>
      <c r="O175" s="2" t="str">
        <f t="shared" si="5"/>
        <v>Iceland</v>
      </c>
      <c r="P175" s="1" t="s">
        <v>116</v>
      </c>
      <c r="Q175" s="1"/>
      <c r="R175" s="110"/>
      <c r="S175" s="110"/>
      <c r="T175" s="111"/>
      <c r="U175" s="111"/>
      <c r="V175" s="110"/>
      <c r="W175" s="110"/>
    </row>
    <row r="176" spans="2:23" x14ac:dyDescent="0.3">
      <c r="B176" s="2" t="str">
        <f t="shared" si="4"/>
        <v/>
      </c>
      <c r="C176" s="1"/>
      <c r="D176" s="1"/>
      <c r="E176" s="1"/>
      <c r="F176" s="110"/>
      <c r="G176" s="110"/>
      <c r="H176" s="111"/>
      <c r="I176" s="111"/>
      <c r="J176" s="110"/>
      <c r="K176" s="110"/>
      <c r="O176" s="2" t="str">
        <f t="shared" si="5"/>
        <v>Iceland</v>
      </c>
      <c r="P176" s="1" t="s">
        <v>116</v>
      </c>
      <c r="Q176" s="1"/>
      <c r="R176" s="110"/>
      <c r="S176" s="110"/>
      <c r="T176" s="111"/>
      <c r="U176" s="111"/>
      <c r="V176" s="110"/>
      <c r="W176" s="110"/>
    </row>
    <row r="177" spans="2:23" x14ac:dyDescent="0.3">
      <c r="B177" s="2" t="str">
        <f t="shared" si="4"/>
        <v/>
      </c>
      <c r="C177" s="1"/>
      <c r="D177" s="1"/>
      <c r="E177" s="1"/>
      <c r="F177" s="110"/>
      <c r="G177" s="110"/>
      <c r="H177" s="111"/>
      <c r="I177" s="111"/>
      <c r="J177" s="110"/>
      <c r="K177" s="110"/>
      <c r="O177" s="2" t="str">
        <f t="shared" si="5"/>
        <v>Iceland</v>
      </c>
      <c r="P177" s="1" t="s">
        <v>116</v>
      </c>
      <c r="Q177" s="1"/>
      <c r="R177" s="110"/>
      <c r="S177" s="110"/>
      <c r="T177" s="111"/>
      <c r="U177" s="111"/>
      <c r="V177" s="110"/>
      <c r="W177" s="110"/>
    </row>
    <row r="178" spans="2:23" x14ac:dyDescent="0.3">
      <c r="B178" s="2" t="str">
        <f t="shared" si="4"/>
        <v/>
      </c>
      <c r="C178" s="1"/>
      <c r="D178" s="1"/>
      <c r="E178" s="1"/>
      <c r="F178" s="110"/>
      <c r="G178" s="110"/>
      <c r="H178" s="111"/>
      <c r="I178" s="111"/>
      <c r="J178" s="110"/>
      <c r="K178" s="110"/>
      <c r="O178" s="2" t="str">
        <f t="shared" si="5"/>
        <v>Iceland</v>
      </c>
      <c r="P178" s="1" t="s">
        <v>116</v>
      </c>
      <c r="Q178" s="1"/>
      <c r="R178" s="110"/>
      <c r="S178" s="110"/>
      <c r="T178" s="111"/>
      <c r="U178" s="111"/>
      <c r="V178" s="110"/>
      <c r="W178" s="110"/>
    </row>
    <row r="179" spans="2:23" x14ac:dyDescent="0.3">
      <c r="B179" s="2" t="str">
        <f t="shared" si="4"/>
        <v/>
      </c>
      <c r="C179" s="1"/>
      <c r="D179" s="1"/>
      <c r="E179" s="1"/>
      <c r="F179" s="110"/>
      <c r="G179" s="110"/>
      <c r="H179" s="111"/>
      <c r="I179" s="111"/>
      <c r="J179" s="110"/>
      <c r="K179" s="110"/>
      <c r="O179" s="2" t="str">
        <f t="shared" si="5"/>
        <v>Iceland</v>
      </c>
      <c r="P179" s="1" t="s">
        <v>116</v>
      </c>
      <c r="Q179" s="1"/>
      <c r="R179" s="110"/>
      <c r="S179" s="110"/>
      <c r="T179" s="111"/>
      <c r="U179" s="111"/>
      <c r="V179" s="110"/>
      <c r="W179" s="110"/>
    </row>
    <row r="180" spans="2:23" x14ac:dyDescent="0.3">
      <c r="B180" s="2" t="str">
        <f t="shared" si="4"/>
        <v/>
      </c>
      <c r="C180" s="1"/>
      <c r="D180" s="1"/>
      <c r="E180" s="1"/>
      <c r="F180" s="110"/>
      <c r="G180" s="110"/>
      <c r="H180" s="111"/>
      <c r="I180" s="111"/>
      <c r="J180" s="110"/>
      <c r="K180" s="110"/>
      <c r="O180" s="2" t="str">
        <f t="shared" si="5"/>
        <v>Iceland</v>
      </c>
      <c r="P180" s="1" t="s">
        <v>116</v>
      </c>
      <c r="Q180" s="1"/>
      <c r="R180" s="110"/>
      <c r="S180" s="110"/>
      <c r="T180" s="111"/>
      <c r="U180" s="111"/>
      <c r="V180" s="110"/>
      <c r="W180" s="110"/>
    </row>
    <row r="181" spans="2:23" x14ac:dyDescent="0.3">
      <c r="B181" s="2" t="str">
        <f t="shared" si="4"/>
        <v/>
      </c>
      <c r="C181" s="1"/>
      <c r="D181" s="1"/>
      <c r="E181" s="1"/>
      <c r="F181" s="110"/>
      <c r="G181" s="110"/>
      <c r="H181" s="111"/>
      <c r="I181" s="111"/>
      <c r="J181" s="110"/>
      <c r="K181" s="110"/>
      <c r="O181" s="2" t="str">
        <f t="shared" si="5"/>
        <v>Iceland</v>
      </c>
      <c r="P181" s="1" t="s">
        <v>116</v>
      </c>
      <c r="Q181" s="1"/>
      <c r="R181" s="110"/>
      <c r="S181" s="110"/>
      <c r="T181" s="111"/>
      <c r="U181" s="111"/>
      <c r="V181" s="110"/>
      <c r="W181" s="110"/>
    </row>
    <row r="182" spans="2:23" x14ac:dyDescent="0.3">
      <c r="B182" s="2" t="str">
        <f t="shared" si="4"/>
        <v/>
      </c>
      <c r="C182" s="1"/>
      <c r="D182" s="1"/>
      <c r="E182" s="1"/>
      <c r="F182" s="110"/>
      <c r="G182" s="110"/>
      <c r="H182" s="111"/>
      <c r="I182" s="111"/>
      <c r="J182" s="110"/>
      <c r="K182" s="110"/>
      <c r="O182" s="2" t="str">
        <f t="shared" si="5"/>
        <v>Iceland</v>
      </c>
      <c r="P182" s="1" t="s">
        <v>116</v>
      </c>
      <c r="Q182" s="1"/>
      <c r="R182" s="110"/>
      <c r="S182" s="110"/>
      <c r="T182" s="111"/>
      <c r="U182" s="111"/>
      <c r="V182" s="110"/>
      <c r="W182" s="110"/>
    </row>
    <row r="183" spans="2:23" x14ac:dyDescent="0.3">
      <c r="B183" s="2" t="str">
        <f t="shared" si="4"/>
        <v/>
      </c>
      <c r="C183" s="1"/>
      <c r="D183" s="1"/>
      <c r="E183" s="1"/>
      <c r="F183" s="110"/>
      <c r="G183" s="110"/>
      <c r="H183" s="111"/>
      <c r="I183" s="111"/>
      <c r="J183" s="110"/>
      <c r="K183" s="110"/>
      <c r="O183" s="2" t="str">
        <f t="shared" si="5"/>
        <v>Iceland</v>
      </c>
      <c r="P183" s="1" t="s">
        <v>116</v>
      </c>
      <c r="Q183" s="1"/>
      <c r="R183" s="110"/>
      <c r="S183" s="110"/>
      <c r="T183" s="111"/>
      <c r="U183" s="111"/>
      <c r="V183" s="110"/>
      <c r="W183" s="110"/>
    </row>
    <row r="184" spans="2:23" x14ac:dyDescent="0.3">
      <c r="B184" s="2" t="str">
        <f t="shared" si="4"/>
        <v/>
      </c>
      <c r="C184" s="1"/>
      <c r="D184" s="1"/>
      <c r="E184" s="1"/>
      <c r="F184" s="110"/>
      <c r="G184" s="110"/>
      <c r="H184" s="111"/>
      <c r="I184" s="111"/>
      <c r="J184" s="110"/>
      <c r="K184" s="110"/>
      <c r="O184" s="2" t="str">
        <f t="shared" si="5"/>
        <v>Iceland</v>
      </c>
      <c r="P184" s="1" t="s">
        <v>116</v>
      </c>
      <c r="Q184" s="1"/>
      <c r="R184" s="110"/>
      <c r="S184" s="110"/>
      <c r="T184" s="111"/>
      <c r="U184" s="111"/>
      <c r="V184" s="110"/>
      <c r="W184" s="110"/>
    </row>
    <row r="185" spans="2:23" x14ac:dyDescent="0.3">
      <c r="B185" s="2" t="str">
        <f t="shared" si="4"/>
        <v/>
      </c>
      <c r="C185" s="1"/>
      <c r="D185" s="1"/>
      <c r="E185" s="1"/>
      <c r="F185" s="110"/>
      <c r="G185" s="110"/>
      <c r="H185" s="111"/>
      <c r="I185" s="111"/>
      <c r="J185" s="110"/>
      <c r="K185" s="110"/>
      <c r="O185" s="2" t="str">
        <f t="shared" si="5"/>
        <v>Iceland</v>
      </c>
      <c r="P185" s="1" t="s">
        <v>116</v>
      </c>
      <c r="Q185" s="1"/>
      <c r="R185" s="110"/>
      <c r="S185" s="110"/>
      <c r="T185" s="111"/>
      <c r="U185" s="111"/>
      <c r="V185" s="110"/>
      <c r="W185" s="110"/>
    </row>
    <row r="186" spans="2:23" x14ac:dyDescent="0.3">
      <c r="B186" s="2" t="str">
        <f t="shared" si="4"/>
        <v/>
      </c>
      <c r="C186" s="1"/>
      <c r="D186" s="1"/>
      <c r="E186" s="1"/>
      <c r="F186" s="110"/>
      <c r="G186" s="110"/>
      <c r="H186" s="111"/>
      <c r="I186" s="111"/>
      <c r="J186" s="110"/>
      <c r="K186" s="110"/>
      <c r="O186" s="2" t="str">
        <f t="shared" si="5"/>
        <v>Iceland</v>
      </c>
      <c r="P186" s="1" t="s">
        <v>116</v>
      </c>
      <c r="Q186" s="1"/>
      <c r="R186" s="110"/>
      <c r="S186" s="110"/>
      <c r="T186" s="111"/>
      <c r="U186" s="111"/>
      <c r="V186" s="110"/>
      <c r="W186" s="110"/>
    </row>
    <row r="187" spans="2:23" x14ac:dyDescent="0.3">
      <c r="B187" s="2" t="str">
        <f t="shared" si="4"/>
        <v/>
      </c>
      <c r="C187" s="1"/>
      <c r="D187" s="1"/>
      <c r="E187" s="1"/>
      <c r="F187" s="110"/>
      <c r="G187" s="110"/>
      <c r="H187" s="111"/>
      <c r="I187" s="111"/>
      <c r="J187" s="110"/>
      <c r="K187" s="110"/>
      <c r="O187" s="2" t="str">
        <f t="shared" si="5"/>
        <v>Iceland</v>
      </c>
      <c r="P187" s="1" t="s">
        <v>116</v>
      </c>
      <c r="Q187" s="1"/>
      <c r="R187" s="110"/>
      <c r="S187" s="110"/>
      <c r="T187" s="111"/>
      <c r="U187" s="111"/>
      <c r="V187" s="110"/>
      <c r="W187" s="110"/>
    </row>
    <row r="188" spans="2:23" x14ac:dyDescent="0.3">
      <c r="B188" s="2" t="str">
        <f t="shared" si="4"/>
        <v/>
      </c>
      <c r="C188" s="1"/>
      <c r="D188" s="1"/>
      <c r="E188" s="1"/>
      <c r="F188" s="110"/>
      <c r="G188" s="110"/>
      <c r="H188" s="111"/>
      <c r="I188" s="111"/>
      <c r="J188" s="110"/>
      <c r="K188" s="110"/>
      <c r="O188" s="2" t="str">
        <f t="shared" si="5"/>
        <v>Iceland</v>
      </c>
      <c r="P188" s="1" t="s">
        <v>116</v>
      </c>
      <c r="Q188" s="1"/>
      <c r="R188" s="110"/>
      <c r="S188" s="110"/>
      <c r="T188" s="111"/>
      <c r="U188" s="111"/>
      <c r="V188" s="110"/>
      <c r="W188" s="110"/>
    </row>
    <row r="189" spans="2:23" x14ac:dyDescent="0.3">
      <c r="B189" s="2" t="str">
        <f t="shared" si="4"/>
        <v/>
      </c>
      <c r="C189" s="1"/>
      <c r="D189" s="1"/>
      <c r="E189" s="1"/>
      <c r="F189" s="110"/>
      <c r="G189" s="110"/>
      <c r="H189" s="111"/>
      <c r="I189" s="111"/>
      <c r="J189" s="110"/>
      <c r="K189" s="110"/>
      <c r="O189" s="2" t="str">
        <f t="shared" si="5"/>
        <v>Iceland</v>
      </c>
      <c r="P189" s="1" t="s">
        <v>116</v>
      </c>
      <c r="Q189" s="1"/>
      <c r="R189" s="110"/>
      <c r="S189" s="110"/>
      <c r="T189" s="111"/>
      <c r="U189" s="111"/>
      <c r="V189" s="110"/>
      <c r="W189" s="110"/>
    </row>
    <row r="190" spans="2:23" x14ac:dyDescent="0.3">
      <c r="B190" s="2" t="str">
        <f t="shared" si="4"/>
        <v/>
      </c>
      <c r="C190" s="1"/>
      <c r="D190" s="1"/>
      <c r="E190" s="1"/>
      <c r="F190" s="110"/>
      <c r="G190" s="110"/>
      <c r="H190" s="111"/>
      <c r="I190" s="111"/>
      <c r="J190" s="110"/>
      <c r="K190" s="110"/>
      <c r="O190" s="2" t="str">
        <f t="shared" si="5"/>
        <v>Iceland</v>
      </c>
      <c r="P190" s="1" t="s">
        <v>116</v>
      </c>
      <c r="Q190" s="1"/>
      <c r="R190" s="110"/>
      <c r="S190" s="110"/>
      <c r="T190" s="111"/>
      <c r="U190" s="111"/>
      <c r="V190" s="110"/>
      <c r="W190" s="110"/>
    </row>
    <row r="191" spans="2:23" x14ac:dyDescent="0.3">
      <c r="B191" s="2" t="str">
        <f t="shared" si="4"/>
        <v/>
      </c>
      <c r="C191" s="1"/>
      <c r="D191" s="1"/>
      <c r="E191" s="1"/>
      <c r="F191" s="110"/>
      <c r="G191" s="110"/>
      <c r="H191" s="111"/>
      <c r="I191" s="111"/>
      <c r="J191" s="110"/>
      <c r="K191" s="110"/>
      <c r="O191" s="2" t="str">
        <f t="shared" si="5"/>
        <v>Iceland</v>
      </c>
      <c r="P191" s="1" t="s">
        <v>116</v>
      </c>
      <c r="Q191" s="1"/>
      <c r="R191" s="110"/>
      <c r="S191" s="110"/>
      <c r="T191" s="111"/>
      <c r="U191" s="111"/>
      <c r="V191" s="110"/>
      <c r="W191" s="110"/>
    </row>
    <row r="192" spans="2:23" x14ac:dyDescent="0.3">
      <c r="B192" s="2" t="str">
        <f t="shared" si="4"/>
        <v/>
      </c>
      <c r="C192" s="1"/>
      <c r="D192" s="1"/>
      <c r="E192" s="1"/>
      <c r="F192" s="110"/>
      <c r="G192" s="110"/>
      <c r="H192" s="111"/>
      <c r="I192" s="111"/>
      <c r="J192" s="110"/>
      <c r="K192" s="110"/>
      <c r="O192" s="2" t="str">
        <f t="shared" si="5"/>
        <v>Iceland</v>
      </c>
      <c r="P192" s="1" t="s">
        <v>116</v>
      </c>
      <c r="Q192" s="1"/>
      <c r="R192" s="110"/>
      <c r="S192" s="110"/>
      <c r="T192" s="111"/>
      <c r="U192" s="111"/>
      <c r="V192" s="110"/>
      <c r="W192" s="110"/>
    </row>
    <row r="193" spans="2:23" x14ac:dyDescent="0.3">
      <c r="B193" s="2" t="str">
        <f t="shared" si="4"/>
        <v/>
      </c>
      <c r="C193" s="1"/>
      <c r="D193" s="1"/>
      <c r="E193" s="1"/>
      <c r="F193" s="110"/>
      <c r="G193" s="110"/>
      <c r="H193" s="111"/>
      <c r="I193" s="111"/>
      <c r="J193" s="110"/>
      <c r="K193" s="110"/>
      <c r="O193" s="2" t="str">
        <f t="shared" si="5"/>
        <v>Iceland</v>
      </c>
      <c r="P193" s="1" t="s">
        <v>116</v>
      </c>
      <c r="Q193" s="1"/>
      <c r="R193" s="110"/>
      <c r="S193" s="110"/>
      <c r="T193" s="111"/>
      <c r="U193" s="111"/>
      <c r="V193" s="110"/>
      <c r="W193" s="110"/>
    </row>
    <row r="194" spans="2:23" x14ac:dyDescent="0.3">
      <c r="B194" s="2" t="str">
        <f t="shared" si="4"/>
        <v/>
      </c>
      <c r="C194" s="1"/>
      <c r="D194" s="1"/>
      <c r="E194" s="1"/>
      <c r="F194" s="110"/>
      <c r="G194" s="110"/>
      <c r="H194" s="111"/>
      <c r="I194" s="111"/>
      <c r="J194" s="110"/>
      <c r="K194" s="110"/>
      <c r="O194" s="2" t="str">
        <f t="shared" si="5"/>
        <v>Iceland</v>
      </c>
      <c r="P194" s="1" t="s">
        <v>116</v>
      </c>
      <c r="Q194" s="1"/>
      <c r="R194" s="110"/>
      <c r="S194" s="110"/>
      <c r="T194" s="111"/>
      <c r="U194" s="111"/>
      <c r="V194" s="110"/>
      <c r="W194" s="110"/>
    </row>
    <row r="195" spans="2:23" x14ac:dyDescent="0.3">
      <c r="B195" s="2" t="str">
        <f t="shared" si="4"/>
        <v/>
      </c>
      <c r="C195" s="1"/>
      <c r="D195" s="1"/>
      <c r="E195" s="1"/>
      <c r="F195" s="110"/>
      <c r="G195" s="110"/>
      <c r="H195" s="111"/>
      <c r="I195" s="111"/>
      <c r="J195" s="110"/>
      <c r="K195" s="110"/>
      <c r="O195" s="2" t="str">
        <f t="shared" si="5"/>
        <v>Iceland</v>
      </c>
      <c r="P195" s="1" t="s">
        <v>116</v>
      </c>
      <c r="Q195" s="1"/>
      <c r="R195" s="110"/>
      <c r="S195" s="110"/>
      <c r="T195" s="111"/>
      <c r="U195" s="111"/>
      <c r="V195" s="110"/>
      <c r="W195" s="110"/>
    </row>
    <row r="196" spans="2:23" x14ac:dyDescent="0.3">
      <c r="B196" s="2" t="str">
        <f t="shared" ref="B196:B200" si="6">C196&amp;D196&amp;E196</f>
        <v/>
      </c>
      <c r="C196" s="1"/>
      <c r="D196" s="1"/>
      <c r="E196" s="1"/>
      <c r="F196" s="110"/>
      <c r="G196" s="110"/>
      <c r="H196" s="111"/>
      <c r="I196" s="111"/>
      <c r="J196" s="110"/>
      <c r="K196" s="110"/>
      <c r="O196" s="2" t="str">
        <f t="shared" ref="O196:O200" si="7">P196&amp;Q196</f>
        <v>Iceland</v>
      </c>
      <c r="P196" s="1" t="s">
        <v>116</v>
      </c>
      <c r="Q196" s="1"/>
      <c r="R196" s="110"/>
      <c r="S196" s="110"/>
      <c r="T196" s="111"/>
      <c r="U196" s="111"/>
      <c r="V196" s="110"/>
      <c r="W196" s="110"/>
    </row>
    <row r="197" spans="2:23" x14ac:dyDescent="0.3">
      <c r="B197" s="2" t="str">
        <f t="shared" si="6"/>
        <v/>
      </c>
      <c r="C197" s="1"/>
      <c r="D197" s="1"/>
      <c r="E197" s="1"/>
      <c r="F197" s="110"/>
      <c r="G197" s="110"/>
      <c r="H197" s="111"/>
      <c r="I197" s="111"/>
      <c r="J197" s="110"/>
      <c r="K197" s="110"/>
      <c r="O197" s="2" t="str">
        <f t="shared" si="7"/>
        <v>Iceland</v>
      </c>
      <c r="P197" s="1" t="s">
        <v>116</v>
      </c>
      <c r="Q197" s="1"/>
      <c r="R197" s="110"/>
      <c r="S197" s="110"/>
      <c r="T197" s="111"/>
      <c r="U197" s="111"/>
      <c r="V197" s="110"/>
      <c r="W197" s="110"/>
    </row>
    <row r="198" spans="2:23" x14ac:dyDescent="0.3">
      <c r="B198" s="2" t="str">
        <f t="shared" si="6"/>
        <v/>
      </c>
      <c r="C198" s="1"/>
      <c r="D198" s="1"/>
      <c r="E198" s="1"/>
      <c r="F198" s="110"/>
      <c r="G198" s="110"/>
      <c r="H198" s="111"/>
      <c r="I198" s="111"/>
      <c r="J198" s="110"/>
      <c r="K198" s="110"/>
      <c r="O198" s="2" t="str">
        <f t="shared" si="7"/>
        <v>Iceland</v>
      </c>
      <c r="P198" s="1" t="s">
        <v>116</v>
      </c>
      <c r="Q198" s="1"/>
      <c r="R198" s="110"/>
      <c r="S198" s="110"/>
      <c r="T198" s="111"/>
      <c r="U198" s="111"/>
      <c r="V198" s="110"/>
      <c r="W198" s="110"/>
    </row>
    <row r="199" spans="2:23" x14ac:dyDescent="0.3">
      <c r="B199" s="2" t="str">
        <f t="shared" si="6"/>
        <v/>
      </c>
      <c r="C199" s="1"/>
      <c r="D199" s="1"/>
      <c r="E199" s="1"/>
      <c r="F199" s="110"/>
      <c r="G199" s="110"/>
      <c r="H199" s="111"/>
      <c r="I199" s="111"/>
      <c r="J199" s="110"/>
      <c r="K199" s="110"/>
      <c r="O199" s="2" t="str">
        <f t="shared" si="7"/>
        <v>Iceland</v>
      </c>
      <c r="P199" s="1" t="s">
        <v>116</v>
      </c>
      <c r="Q199" s="1"/>
      <c r="R199" s="110"/>
      <c r="S199" s="110"/>
      <c r="T199" s="111"/>
      <c r="U199" s="111"/>
      <c r="V199" s="110"/>
      <c r="W199" s="110"/>
    </row>
    <row r="200" spans="2:23" x14ac:dyDescent="0.3">
      <c r="B200" s="2" t="str">
        <f t="shared" si="6"/>
        <v/>
      </c>
      <c r="C200" s="1"/>
      <c r="D200" s="1"/>
      <c r="E200" s="1"/>
      <c r="F200" s="110"/>
      <c r="G200" s="110"/>
      <c r="H200" s="111"/>
      <c r="I200" s="111"/>
      <c r="J200" s="110"/>
      <c r="K200" s="110"/>
      <c r="O200" s="2" t="str">
        <f t="shared" si="7"/>
        <v>Iceland</v>
      </c>
      <c r="P200" s="1" t="s">
        <v>116</v>
      </c>
      <c r="Q200" s="1"/>
      <c r="R200" s="110"/>
      <c r="S200" s="110"/>
      <c r="T200" s="111"/>
      <c r="U200" s="111"/>
      <c r="V200" s="110"/>
      <c r="W200" s="110"/>
    </row>
  </sheetData>
  <autoFilter ref="C2:I200" xr:uid="{129FCD4A-814E-4BA7-9734-FE417110CDC8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C4079-776C-4013-962E-1DA8493C6477}">
  <sheetPr codeName="Sheet8"/>
  <dimension ref="B1:BP229"/>
  <sheetViews>
    <sheetView workbookViewId="0"/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3.664062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4" width="15.21875" customWidth="1"/>
    <col min="55" max="72" width="12" bestFit="1" customWidth="1"/>
  </cols>
  <sheetData>
    <row r="1" spans="2:55" x14ac:dyDescent="0.3">
      <c r="B1" s="115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1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C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94" t="str">
        <f t="shared" si="1"/>
        <v>L0_Current RPI_1</v>
      </c>
      <c r="BA2" s="94" t="str">
        <f t="shared" si="1"/>
        <v>L0_Current RPI_2</v>
      </c>
      <c r="BB2" s="94" t="str">
        <f t="shared" si="1"/>
        <v>L0_Proposed RPI_1</v>
      </c>
      <c r="BC2" s="94" t="str">
        <f t="shared" si="1"/>
        <v>L0_Proposed RPI_2</v>
      </c>
    </row>
    <row r="3" spans="2:55" x14ac:dyDescent="0.3">
      <c r="B3" s="113" t="s">
        <v>87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5"/>
      <c r="AF3" s="5" t="s">
        <v>13</v>
      </c>
      <c r="AG3" s="30" t="s">
        <v>16</v>
      </c>
      <c r="AH3" s="30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101</v>
      </c>
      <c r="AZ3" s="94" t="s">
        <v>72</v>
      </c>
      <c r="BA3" s="94" t="s">
        <v>73</v>
      </c>
      <c r="BB3" s="94" t="s">
        <v>74</v>
      </c>
      <c r="BC3" s="94" t="s">
        <v>75</v>
      </c>
    </row>
    <row r="4" spans="2:55" ht="14.4" customHeight="1" x14ac:dyDescent="0.3">
      <c r="B4" s="114" t="s">
        <v>88</v>
      </c>
      <c r="C4" s="4">
        <v>1</v>
      </c>
      <c r="D4" s="108" t="str">
        <f>IFERROR(E4&amp;F4,"")</f>
        <v>IcelandHP</v>
      </c>
      <c r="E4" s="3" t="s">
        <v>116</v>
      </c>
      <c r="F4" s="109" t="str">
        <f>IFERROR(INDEX('Input - Iceland'!$Y$3:$Y$200,MATCH('Calculations - Iceland'!$C4,'Input - Iceland'!$Z$3:$Z$200,0)),"")</f>
        <v>HP</v>
      </c>
      <c r="G4" s="20">
        <f>IFERROR(INDEX('Input - Iceland'!R$2:R$200,MATCH('Calculations - Iceland'!$D4,'Input - Iceland'!$O$2:$O$200,0)),"")</f>
        <v>1276066.33</v>
      </c>
      <c r="H4" s="20">
        <f>IFERROR(INDEX('Input - Iceland'!S$2:S$200,MATCH('Calculations - Iceland'!$D4,'Input - Iceland'!$O$2:$O$200,0)),"")</f>
        <v>223584.97500000001</v>
      </c>
      <c r="I4" s="27">
        <f>IFERROR(INDEX('Input - Iceland'!T$2:T$200,MATCH('Calculations - Iceland'!$D4,'Input - Iceland'!$O$2:$O$200,0)),"")</f>
        <v>1.76227877249831</v>
      </c>
      <c r="J4" s="27">
        <f>IFERROR(INDEX('Input - Iceland'!U$2:U$200,MATCH('Calculations - Iceland'!$D4,'Input - Iceland'!$O$2:$O$200,0)),"")</f>
        <v>10.057852079098</v>
      </c>
      <c r="K4" s="20">
        <f>IFERROR(INDEX('Input - Iceland'!V$2:V$200,MATCH('Calculations - Iceland'!$D4,'Input - Iceland'!$O$2:$O$200,0)),"")</f>
        <v>4214588.22</v>
      </c>
      <c r="L4" s="20">
        <f>IFERROR(INDEX('Input - Iceland'!W$2:W$200,MATCH('Calculations - Iceland'!$D4,'Input - Iceland'!$O$2:$O$200,0)),"")</f>
        <v>762072.55</v>
      </c>
      <c r="M4" s="21">
        <f>IFERROR(G4/H4,"")</f>
        <v>5.707299115246899</v>
      </c>
      <c r="N4" s="21">
        <f t="shared" ref="N4:N24" si="2">IFERROR(K4/L4,"")</f>
        <v>5.5304291172802369</v>
      </c>
      <c r="O4" s="21">
        <f>IFERROR((M4/(M4-J4)*5),"")</f>
        <v>-6.559280122169584</v>
      </c>
      <c r="P4" s="9">
        <f t="shared" ref="P4:P23" si="3">IFERROR(G4/SUM(G$4:G$23),"")</f>
        <v>0.61448699722810951</v>
      </c>
      <c r="Q4" s="9">
        <f t="shared" ref="Q4:Q23" si="4">IFERROR(H4/SUM(H$4:H$23),"")</f>
        <v>0.46706857038866822</v>
      </c>
      <c r="R4" s="8">
        <f t="shared" ref="R4:R23" si="5">IFERROR(T4/G4,"-")</f>
        <v>0.79999999999999993</v>
      </c>
      <c r="S4" s="8">
        <f>IFERROR(U4/T4,"-")</f>
        <v>0.3</v>
      </c>
      <c r="T4">
        <f>IFERROR(SUMIFS(T$32:T$229,$B$32:$B$229,$D4),"-")</f>
        <v>1020853.064</v>
      </c>
      <c r="U4">
        <f>IFERROR(SUMIFS(U$32:U$229,$B$32:$B$229,$D4),"-")</f>
        <v>306255.9192</v>
      </c>
      <c r="V4">
        <f>IFERROR(T4-U4,"-")</f>
        <v>714597.14480000001</v>
      </c>
      <c r="W4">
        <f t="shared" ref="W4:W23" si="6">IFERROR(V4/H4,"-")</f>
        <v>3.1960875045382635</v>
      </c>
      <c r="X4" s="10">
        <f t="shared" ref="X4:X23" si="7">IFERROR((J4+M4)*H4*0.5,"-")</f>
        <v>1762425.4678294123</v>
      </c>
      <c r="Y4" s="7">
        <f>IFERROR(X4/$X$24,"")</f>
        <v>0.61720784629741499</v>
      </c>
      <c r="Z4" s="13">
        <f>IFERROR(Y4-P4,"-")</f>
        <v>2.7208490693054754E-3</v>
      </c>
      <c r="AA4">
        <f>IFERROR(Y4*$G$24,"-")</f>
        <v>1281716.5453861912</v>
      </c>
      <c r="AB4" s="16">
        <f t="shared" ref="AB4:AB23" si="8">IFERROR(AA4/M4,"-")</f>
        <v>224574.97311856659</v>
      </c>
      <c r="AC4" s="16">
        <f>IFERROR(R4*AA4,"-")</f>
        <v>1025373.2363089529</v>
      </c>
      <c r="AD4" s="16">
        <f>IFERROR(AC4-(W4)*AB4,"-")</f>
        <v>307611.97089268581</v>
      </c>
      <c r="AF4" s="27" cm="1">
        <f t="array" ref="AF4">IFERROR(SUM(_xlfn._xlws.FILTER($AF$32:$AF$229*$AJ$32:$AJ$229,$B$32:$B$229=D4))/SUM(_xlfn._xlws.FILTER($AJ$32:$AJ$229,$B$32:$B$229=D4)),"-")</f>
        <v>5.707299115246899</v>
      </c>
      <c r="AG4" s="123">
        <f>IFERROR(SUMIFS(AV$32:AV$229,$E$32:$E$229,$F4)/SUMIFS(AT$32:AT$229,$E$32:$E$229,$F4),"-")</f>
        <v>0.79999999999999993</v>
      </c>
      <c r="AH4" s="124">
        <f>IFERROR(SUMIFS(AW$32:AW$229,$E$32:$E$229,$F4)/SUMIFS(AV$32:AV$229,$E$32:$E$229,$F4),"-")</f>
        <v>0.3000000000000001</v>
      </c>
      <c r="AI4" s="9">
        <f t="shared" ref="AI4:AI23" si="9">IFERROR((AF4-M4)/M4,"")</f>
        <v>0</v>
      </c>
      <c r="AJ4" s="4">
        <f t="shared" ref="AJ4:AJ23" si="10">IFERROR(MAX((1+AI4*O4/5)*H4,0),"")</f>
        <v>223584.97500000001</v>
      </c>
      <c r="AK4" s="18">
        <f>SUMPRODUCT(AF$4:AF$23,AJ$4:AJ$23)/SUM(AJ$4:AJ$23)</f>
        <v>4.3380902290261494</v>
      </c>
      <c r="AL4" s="24">
        <f>$AK4/$M$24-1</f>
        <v>0</v>
      </c>
      <c r="AM4" s="24">
        <f>$AL4*$O$24/5</f>
        <v>0</v>
      </c>
      <c r="AN4" s="25">
        <f>(1+$AM4)*$H$24</f>
        <v>478698.39500000002</v>
      </c>
      <c r="AO4" s="25">
        <f>AN4*AK4</f>
        <v>2076636.8300000003</v>
      </c>
      <c r="AP4" s="20">
        <f t="shared" ref="AP4:AP23" si="11">IFERROR(0.5*(J4+AF4)*AJ4,"-")</f>
        <v>1762425.4678294123</v>
      </c>
      <c r="AQ4" s="13">
        <f>IFERROR(AP4/AP$24,"")</f>
        <v>0.61720784629741499</v>
      </c>
      <c r="AR4" s="9">
        <f>IFERROR(AQ4*$P$24,"")</f>
        <v>0.61720784629741499</v>
      </c>
      <c r="AS4" s="13">
        <f>IFERROR(AR4-P4,"")</f>
        <v>2.7208490693054754E-3</v>
      </c>
      <c r="AT4" s="16">
        <f>IFERROR(AR4*AO$4,"-")</f>
        <v>1281716.5453861912</v>
      </c>
      <c r="AU4" s="16">
        <f t="shared" ref="AU4:AU23" si="12">IFERROR(AT4/AF4,"-")</f>
        <v>224574.97311856659</v>
      </c>
      <c r="AV4" s="4">
        <f>IFERROR(AT4*AG4,"-")</f>
        <v>1025373.2363089529</v>
      </c>
      <c r="AW4" s="16">
        <f t="shared" ref="AW4:AW23" si="13">IFERROR(AV4-(W4*AU4),"-")</f>
        <v>307611.97089268581</v>
      </c>
      <c r="AX4">
        <f t="shared" ref="AX4:AX23" si="14">IFERROR(J4/AF4,"")</f>
        <v>1.7622787724983107</v>
      </c>
      <c r="AY4" s="9">
        <f t="shared" ref="AY4:AY23" si="15">IFERROR(AU4/$AU$24,"-")</f>
        <v>0.46787830697474858</v>
      </c>
      <c r="AZ4" s="20">
        <f>IFERROR(100*$M$4/$M4,"")</f>
        <v>100</v>
      </c>
      <c r="BA4" s="20">
        <f>IFERROR(100*$M$5/$M4,"")</f>
        <v>65.736640044405604</v>
      </c>
      <c r="BB4" s="20">
        <f>IFERROR(100*$AF$4/$AF4,"")</f>
        <v>100</v>
      </c>
      <c r="BC4" s="20">
        <f>IFERROR(100*$AF$5/$AF4,"")</f>
        <v>65.736640044405604</v>
      </c>
    </row>
    <row r="5" spans="2:55" ht="14.4" customHeight="1" x14ac:dyDescent="0.3">
      <c r="B5" s="114" t="s">
        <v>89</v>
      </c>
      <c r="C5" s="4">
        <v>2</v>
      </c>
      <c r="D5" s="108" t="str">
        <f t="shared" ref="D5:D24" si="16">IFERROR(E5&amp;F5,"")</f>
        <v>IcelandDADDIES</v>
      </c>
      <c r="E5" s="3" t="s">
        <v>116</v>
      </c>
      <c r="F5" s="109" t="str">
        <f>IFERROR(INDEX('Input - Iceland'!$Y$3:$Y$200,MATCH('Calculations - Iceland'!$C5,'Input - Iceland'!$Z$3:$Z$200,0)),"")</f>
        <v>DADDIES</v>
      </c>
      <c r="G5" s="20">
        <f>IFERROR(INDEX('Input - Iceland'!R$2:R$200,MATCH('Calculations - Iceland'!$D5,'Input - Iceland'!$O$2:$O$200,0)),"")</f>
        <v>592215.85</v>
      </c>
      <c r="H5" s="20">
        <f>IFERROR(INDEX('Input - Iceland'!S$2:S$200,MATCH('Calculations - Iceland'!$D5,'Input - Iceland'!$O$2:$O$200,0)),"")</f>
        <v>157849.01999999999</v>
      </c>
      <c r="I5" s="27">
        <f>IFERROR(INDEX('Input - Iceland'!T$2:T$200,MATCH('Calculations - Iceland'!$D5,'Input - Iceland'!$O$2:$O$200,0)),"")</f>
        <v>1.6755117826878201</v>
      </c>
      <c r="J5" s="27">
        <f>IFERROR(INDEX('Input - Iceland'!U$2:U$200,MATCH('Calculations - Iceland'!$D5,'Input - Iceland'!$O$2:$O$200,0)),"")</f>
        <v>6.28616278117837</v>
      </c>
      <c r="K5" s="20">
        <f>IFERROR(INDEX('Input - Iceland'!V$2:V$200,MATCH('Calculations - Iceland'!$D5,'Input - Iceland'!$O$2:$O$200,0)),"")</f>
        <v>1873245.08</v>
      </c>
      <c r="L5" s="20">
        <f>IFERROR(INDEX('Input - Iceland'!W$2:W$200,MATCH('Calculations - Iceland'!$D5,'Input - Iceland'!$O$2:$O$200,0)),"")</f>
        <v>633646.82499999995</v>
      </c>
      <c r="M5" s="21">
        <f t="shared" ref="M5:M24" si="17">IFERROR(G5/H5,"")</f>
        <v>3.7517866756474003</v>
      </c>
      <c r="N5" s="21">
        <f t="shared" si="2"/>
        <v>2.9562920638006829</v>
      </c>
      <c r="O5" s="21">
        <f t="shared" ref="O5:O24" si="18">IFERROR((M5/(M5-J5)*5),"")</f>
        <v>-7.4017953914961145</v>
      </c>
      <c r="P5" s="9">
        <f t="shared" si="3"/>
        <v>0.28518026909885824</v>
      </c>
      <c r="Q5" s="9">
        <f t="shared" si="4"/>
        <v>0.32974629045915221</v>
      </c>
      <c r="R5" s="8">
        <f t="shared" si="5"/>
        <v>0.8</v>
      </c>
      <c r="S5" s="8">
        <f t="shared" ref="S5:S23" si="19">IFERROR(U5/T5,"-")</f>
        <v>0.29999999999999993</v>
      </c>
      <c r="T5">
        <f t="shared" ref="T5:U23" si="20">IFERROR(SUMIFS(T$32:T$229,$B$32:$B$229,$D5),"-")</f>
        <v>473772.68</v>
      </c>
      <c r="U5">
        <f t="shared" si="20"/>
        <v>142131.80399999997</v>
      </c>
      <c r="V5">
        <f t="shared" ref="V5:V23" si="21">IFERROR(T5-U5,"-")</f>
        <v>331640.87600000005</v>
      </c>
      <c r="W5">
        <f t="shared" si="6"/>
        <v>2.1010005383625447</v>
      </c>
      <c r="X5" s="10">
        <f t="shared" si="7"/>
        <v>792240.24228474009</v>
      </c>
      <c r="Y5" s="7">
        <f t="shared" ref="Y5:Y23" si="22">IFERROR(X5/$X$24,"")</f>
        <v>0.27744543109271241</v>
      </c>
      <c r="Z5" s="13">
        <f t="shared" ref="Z5:Z23" si="23">IFERROR(Y5-P5,"-")</f>
        <v>-7.7348380061458277E-3</v>
      </c>
      <c r="AA5">
        <f t="shared" ref="AA5:AA23" si="24">IFERROR(Y5*$G$24,"-")</f>
        <v>576153.40052235371</v>
      </c>
      <c r="AB5" s="16">
        <f t="shared" si="8"/>
        <v>153567.73994164632</v>
      </c>
      <c r="AC5" s="16">
        <f t="shared" ref="AC5:AC23" si="25">IFERROR(R5*AA5,"-")</f>
        <v>460922.72041788301</v>
      </c>
      <c r="AD5" s="16">
        <f t="shared" ref="AD5:AD23" si="26">IFERROR(AC5-(W5)*AB5,"-")</f>
        <v>138276.81612536486</v>
      </c>
      <c r="AF5" s="27" cm="1">
        <f t="array" ref="AF5">IFERROR(SUM(_xlfn._xlws.FILTER($AF$32:$AF$229*$AJ$32:$AJ$229,$B$32:$B$229=D5))/SUM(_xlfn._xlws.FILTER($AJ$32:$AJ$229,$B$32:$B$229=D5)),"-")</f>
        <v>3.7517866756474003</v>
      </c>
      <c r="AG5" s="123">
        <f t="shared" ref="AG5:AG23" si="27">IFERROR(SUMIFS(AV$32:AV$229,$E$32:$E$229,$F5)/SUMIFS(AT$32:AT$229,$E$32:$E$229,$F5),"-")</f>
        <v>0.80000000000000016</v>
      </c>
      <c r="AH5" s="124">
        <f t="shared" ref="AH5:AH23" si="28">IFERROR(SUMIFS(AW$32:AW$229,$E$32:$E$229,$F5)/SUMIFS(AV$32:AV$229,$E$32:$E$229,$F5),"-")</f>
        <v>0.3000000000000001</v>
      </c>
      <c r="AI5" s="9">
        <f t="shared" si="9"/>
        <v>0</v>
      </c>
      <c r="AJ5" s="4">
        <f t="shared" si="10"/>
        <v>157849.01999999999</v>
      </c>
      <c r="AP5" s="20">
        <f t="shared" si="11"/>
        <v>792240.24228474009</v>
      </c>
      <c r="AQ5" s="13">
        <f t="shared" ref="AQ5:AQ24" si="29">IFERROR(AP5/AP$24,"")</f>
        <v>0.27744543109271241</v>
      </c>
      <c r="AR5" s="9">
        <f t="shared" ref="AR5:AR24" si="30">IFERROR(AQ5*$P$24,"")</f>
        <v>0.27744543109271241</v>
      </c>
      <c r="AS5" s="13">
        <f t="shared" ref="AS5:AS24" si="31">IFERROR(AR5-P5,"")</f>
        <v>-7.7348380061458277E-3</v>
      </c>
      <c r="AT5" s="16">
        <f t="shared" ref="AT5:AT23" si="32">IFERROR(AR5*AO$4,"-")</f>
        <v>576153.40052235383</v>
      </c>
      <c r="AU5" s="16">
        <f t="shared" si="12"/>
        <v>153567.73994164634</v>
      </c>
      <c r="AV5" s="4">
        <f t="shared" ref="AV5:AV23" si="33">IFERROR(AT5*AG5,"-")</f>
        <v>460922.72041788313</v>
      </c>
      <c r="AW5" s="16">
        <f t="shared" si="13"/>
        <v>138276.81612536492</v>
      </c>
      <c r="AX5">
        <f t="shared" si="14"/>
        <v>1.6755117826878159</v>
      </c>
      <c r="AY5" s="9">
        <f t="shared" si="15"/>
        <v>0.3199422142729213</v>
      </c>
      <c r="AZ5" s="20">
        <f t="shared" ref="AZ5:AZ24" si="34">IFERROR(100*$M$4/$M5,"")</f>
        <v>152.12216494857239</v>
      </c>
      <c r="BA5" s="20">
        <f t="shared" ref="BA5:BA24" si="35">IFERROR(100*$M$5/$M5,"")</f>
        <v>100</v>
      </c>
      <c r="BB5" s="20">
        <f t="shared" ref="BB5:BB24" si="36">IFERROR(100*$AF$4/$AF5,"")</f>
        <v>152.12216494857239</v>
      </c>
      <c r="BC5" s="20">
        <f t="shared" ref="BC5:BC24" si="37">IFERROR(100*$AF$5/$AF5,"")</f>
        <v>100</v>
      </c>
    </row>
    <row r="6" spans="2:55" ht="14.4" customHeight="1" x14ac:dyDescent="0.3">
      <c r="B6" s="114" t="s">
        <v>90</v>
      </c>
      <c r="C6" s="4">
        <v>3</v>
      </c>
      <c r="D6" s="108" t="str">
        <f t="shared" si="16"/>
        <v>IcelandGOLD STAR</v>
      </c>
      <c r="E6" s="3" t="s">
        <v>116</v>
      </c>
      <c r="F6" s="109" t="str">
        <f>IFERROR(INDEX('Input - Iceland'!$Y$3:$Y$200,MATCH('Calculations - Iceland'!$C6,'Input - Iceland'!$Z$3:$Z$200,0)),"")</f>
        <v>GOLD STAR</v>
      </c>
      <c r="G6" s="20">
        <f>IFERROR(INDEX('Input - Iceland'!R$2:R$200,MATCH('Calculations - Iceland'!$D6,'Input - Iceland'!$O$2:$O$200,0)),"")</f>
        <v>71835.78</v>
      </c>
      <c r="H6" s="20">
        <f>IFERROR(INDEX('Input - Iceland'!S$2:S$200,MATCH('Calculations - Iceland'!$D6,'Input - Iceland'!$O$2:$O$200,0)),"")</f>
        <v>38739.4</v>
      </c>
      <c r="I6" s="27">
        <f>IFERROR(INDEX('Input - Iceland'!T$2:T$200,MATCH('Calculations - Iceland'!$D6,'Input - Iceland'!$O$2:$O$200,0)),"")</f>
        <v>1.78994020332587</v>
      </c>
      <c r="J6" s="27">
        <f>IFERROR(INDEX('Input - Iceland'!U$2:U$200,MATCH('Calculations - Iceland'!$D6,'Input - Iceland'!$O$2:$O$200,0)),"")</f>
        <v>3.3191466739100801</v>
      </c>
      <c r="K6" s="20">
        <f>IFERROR(INDEX('Input - Iceland'!V$2:V$200,MATCH('Calculations - Iceland'!$D6,'Input - Iceland'!$O$2:$O$200,0)),"")</f>
        <v>211229.05</v>
      </c>
      <c r="L6" s="20">
        <f>IFERROR(INDEX('Input - Iceland'!W$2:W$200,MATCH('Calculations - Iceland'!$D6,'Input - Iceland'!$O$2:$O$200,0)),"")</f>
        <v>123993.55</v>
      </c>
      <c r="M6" s="21">
        <f t="shared" si="17"/>
        <v>1.854333830673681</v>
      </c>
      <c r="N6" s="21">
        <f t="shared" si="2"/>
        <v>1.7035486926537711</v>
      </c>
      <c r="O6" s="21">
        <f t="shared" si="18"/>
        <v>-6.3295930235587754</v>
      </c>
      <c r="P6" s="9">
        <f t="shared" si="3"/>
        <v>3.4592365387259356E-2</v>
      </c>
      <c r="Q6" s="9">
        <f t="shared" si="4"/>
        <v>8.0926529950032522E-2</v>
      </c>
      <c r="R6" s="8">
        <f t="shared" si="5"/>
        <v>0</v>
      </c>
      <c r="S6" s="8" t="str">
        <f t="shared" si="19"/>
        <v>-</v>
      </c>
      <c r="T6">
        <f t="shared" si="20"/>
        <v>0</v>
      </c>
      <c r="U6">
        <f t="shared" si="20"/>
        <v>0</v>
      </c>
      <c r="V6">
        <f t="shared" si="21"/>
        <v>0</v>
      </c>
      <c r="W6">
        <f t="shared" si="6"/>
        <v>0</v>
      </c>
      <c r="X6" s="10">
        <f t="shared" si="7"/>
        <v>100208.76532963608</v>
      </c>
      <c r="Y6" s="7">
        <f t="shared" si="22"/>
        <v>3.5093476211167797E-2</v>
      </c>
      <c r="Z6" s="13">
        <f t="shared" si="23"/>
        <v>5.0111082390844053E-4</v>
      </c>
      <c r="AA6">
        <f t="shared" si="24"/>
        <v>72876.405192839913</v>
      </c>
      <c r="AB6" s="16">
        <f t="shared" si="8"/>
        <v>39300.585464896503</v>
      </c>
      <c r="AC6" s="16">
        <f t="shared" si="25"/>
        <v>0</v>
      </c>
      <c r="AD6" s="16">
        <f t="shared" si="26"/>
        <v>0</v>
      </c>
      <c r="AF6" s="27" cm="1">
        <f t="array" ref="AF6">IFERROR(SUM(_xlfn._xlws.FILTER($AF$32:$AF$229*$AJ$32:$AJ$229,$B$32:$B$229=D6))/SUM(_xlfn._xlws.FILTER($AJ$32:$AJ$229,$B$32:$B$229=D6)),"-")</f>
        <v>1.854333830673681</v>
      </c>
      <c r="AG6" s="123">
        <f t="shared" si="27"/>
        <v>0</v>
      </c>
      <c r="AH6" s="124" t="str">
        <f t="shared" si="28"/>
        <v>-</v>
      </c>
      <c r="AI6" s="9">
        <f t="shared" si="9"/>
        <v>0</v>
      </c>
      <c r="AJ6" s="4">
        <f t="shared" si="10"/>
        <v>38739.4</v>
      </c>
      <c r="AP6" s="20">
        <f t="shared" si="11"/>
        <v>100208.76532963608</v>
      </c>
      <c r="AQ6" s="13">
        <f t="shared" si="29"/>
        <v>3.5093476211167797E-2</v>
      </c>
      <c r="AR6" s="9">
        <f t="shared" si="30"/>
        <v>3.5093476211167797E-2</v>
      </c>
      <c r="AS6" s="13">
        <f t="shared" si="31"/>
        <v>5.0111082390844053E-4</v>
      </c>
      <c r="AT6" s="16">
        <f t="shared" si="32"/>
        <v>72876.405192839913</v>
      </c>
      <c r="AU6" s="16">
        <f t="shared" si="12"/>
        <v>39300.585464896503</v>
      </c>
      <c r="AV6" s="4">
        <f t="shared" si="33"/>
        <v>0</v>
      </c>
      <c r="AW6" s="16">
        <f t="shared" si="13"/>
        <v>0</v>
      </c>
      <c r="AX6">
        <f t="shared" si="14"/>
        <v>1.7899402033258658</v>
      </c>
      <c r="AY6" s="9">
        <f t="shared" si="15"/>
        <v>8.1878631154167464E-2</v>
      </c>
      <c r="AZ6" s="20">
        <f t="shared" si="34"/>
        <v>307.78164216382942</v>
      </c>
      <c r="BA6" s="20">
        <f t="shared" si="35"/>
        <v>202.32531023199707</v>
      </c>
      <c r="BB6" s="20">
        <f t="shared" si="36"/>
        <v>307.78164216382942</v>
      </c>
      <c r="BC6" s="20">
        <f t="shared" si="37"/>
        <v>202.32531023199707</v>
      </c>
    </row>
    <row r="7" spans="2:55" ht="14.4" customHeight="1" x14ac:dyDescent="0.3">
      <c r="B7" s="114" t="s">
        <v>92</v>
      </c>
      <c r="C7" s="4">
        <v>4</v>
      </c>
      <c r="D7" s="108" t="str">
        <f t="shared" si="16"/>
        <v>IcelandRESTOFCATEGORY</v>
      </c>
      <c r="E7" s="3" t="s">
        <v>116</v>
      </c>
      <c r="F7" s="109" t="str">
        <f>IFERROR(INDEX('Input - Iceland'!$Y$3:$Y$200,MATCH('Calculations - Iceland'!$C7,'Input - Iceland'!$Z$3:$Z$200,0)),"")</f>
        <v>RESTOFCATEGORY</v>
      </c>
      <c r="G7" s="20">
        <f>IFERROR(INDEX('Input - Iceland'!R$2:R$200,MATCH('Calculations - Iceland'!$D7,'Input - Iceland'!$O$2:$O$200,0)),"")</f>
        <v>136518.87</v>
      </c>
      <c r="H7" s="20">
        <f>IFERROR(INDEX('Input - Iceland'!S$2:S$200,MATCH('Calculations - Iceland'!$D7,'Input - Iceland'!$O$2:$O$200,0)),"")</f>
        <v>58525</v>
      </c>
      <c r="I7" s="27">
        <f>IFERROR(INDEX('Input - Iceland'!T$2:T$200,MATCH('Calculations - Iceland'!$D7,'Input - Iceland'!$O$2:$O$200,0)),"")</f>
        <v>1.9388879628081099</v>
      </c>
      <c r="J7" s="27">
        <f>IFERROR(INDEX('Input - Iceland'!U$2:U$200,MATCH('Calculations - Iceland'!$D7,'Input - Iceland'!$O$2:$O$200,0)),"")</f>
        <v>4.5227645235226799</v>
      </c>
      <c r="K7" s="20">
        <f>IFERROR(INDEX('Input - Iceland'!V$2:V$200,MATCH('Calculations - Iceland'!$D7,'Input - Iceland'!$O$2:$O$200,0)),"")</f>
        <v>188599.57</v>
      </c>
      <c r="L7" s="20">
        <f>IFERROR(INDEX('Input - Iceland'!W$2:W$200,MATCH('Calculations - Iceland'!$D7,'Input - Iceland'!$O$2:$O$200,0)),"")</f>
        <v>77769.5</v>
      </c>
      <c r="M7" s="21">
        <f t="shared" si="17"/>
        <v>2.332659034600598</v>
      </c>
      <c r="N7" s="21">
        <f t="shared" si="2"/>
        <v>2.4251097152482659</v>
      </c>
      <c r="O7" s="21">
        <f t="shared" si="18"/>
        <v>-5.3254490397827317</v>
      </c>
      <c r="P7" s="9">
        <f t="shared" si="3"/>
        <v>6.5740368285772913E-2</v>
      </c>
      <c r="Q7" s="9">
        <f t="shared" si="4"/>
        <v>0.122258609202147</v>
      </c>
      <c r="R7" s="8">
        <f t="shared" si="5"/>
        <v>0</v>
      </c>
      <c r="S7" s="8" t="str">
        <f t="shared" si="19"/>
        <v>-</v>
      </c>
      <c r="T7">
        <f t="shared" si="20"/>
        <v>0</v>
      </c>
      <c r="U7">
        <f t="shared" si="20"/>
        <v>0</v>
      </c>
      <c r="V7">
        <f t="shared" si="21"/>
        <v>0</v>
      </c>
      <c r="W7">
        <f t="shared" si="6"/>
        <v>0</v>
      </c>
      <c r="X7" s="10">
        <f t="shared" si="7"/>
        <v>200606.83186958241</v>
      </c>
      <c r="Y7" s="7">
        <f t="shared" si="22"/>
        <v>7.0253246398704977E-2</v>
      </c>
      <c r="Z7" s="13">
        <f t="shared" si="23"/>
        <v>4.5128781129320644E-3</v>
      </c>
      <c r="AA7">
        <f t="shared" si="24"/>
        <v>145890.47889861563</v>
      </c>
      <c r="AB7" s="16">
        <f t="shared" si="8"/>
        <v>62542.56483035261</v>
      </c>
      <c r="AC7" s="16">
        <f t="shared" si="25"/>
        <v>0</v>
      </c>
      <c r="AD7" s="16">
        <f t="shared" si="26"/>
        <v>0</v>
      </c>
      <c r="AF7" s="27" cm="1">
        <f t="array" ref="AF7">IFERROR(SUM(_xlfn._xlws.FILTER($AF$32:$AF$229*$AJ$32:$AJ$229,$B$32:$B$229=D7))/SUM(_xlfn._xlws.FILTER($AJ$32:$AJ$229,$B$32:$B$229=D7)),"-")</f>
        <v>2.332659034600598</v>
      </c>
      <c r="AG7" s="123">
        <f t="shared" si="27"/>
        <v>0</v>
      </c>
      <c r="AH7" s="124" t="str">
        <f t="shared" si="28"/>
        <v>-</v>
      </c>
      <c r="AI7" s="9">
        <f t="shared" si="9"/>
        <v>0</v>
      </c>
      <c r="AJ7" s="4">
        <f t="shared" si="10"/>
        <v>58525</v>
      </c>
      <c r="AP7" s="20">
        <f t="shared" si="11"/>
        <v>200606.83186958241</v>
      </c>
      <c r="AQ7" s="13">
        <f t="shared" si="29"/>
        <v>7.0253246398704977E-2</v>
      </c>
      <c r="AR7" s="9">
        <f t="shared" si="30"/>
        <v>7.0253246398704977E-2</v>
      </c>
      <c r="AS7" s="13">
        <f t="shared" si="31"/>
        <v>4.5128781129320644E-3</v>
      </c>
      <c r="AT7" s="16">
        <f t="shared" si="32"/>
        <v>145890.47889861563</v>
      </c>
      <c r="AU7" s="16">
        <f t="shared" si="12"/>
        <v>62542.56483035261</v>
      </c>
      <c r="AV7" s="4">
        <f t="shared" si="33"/>
        <v>0</v>
      </c>
      <c r="AW7" s="16">
        <f t="shared" si="13"/>
        <v>0</v>
      </c>
      <c r="AX7">
        <f t="shared" si="14"/>
        <v>1.9388879628081073</v>
      </c>
      <c r="AY7" s="9">
        <f t="shared" si="15"/>
        <v>0.13030084759816271</v>
      </c>
      <c r="AZ7" s="20">
        <f t="shared" si="34"/>
        <v>244.66923929257894</v>
      </c>
      <c r="BA7" s="20">
        <f t="shared" si="35"/>
        <v>160.83733713314803</v>
      </c>
      <c r="BB7" s="20">
        <f t="shared" si="36"/>
        <v>244.66923929257894</v>
      </c>
      <c r="BC7" s="20">
        <f t="shared" si="37"/>
        <v>160.83733713314803</v>
      </c>
    </row>
    <row r="8" spans="2:55" ht="14.4" customHeight="1" x14ac:dyDescent="0.3">
      <c r="B8" s="114" t="str">
        <f>""</f>
        <v/>
      </c>
      <c r="C8" s="4">
        <v>5</v>
      </c>
      <c r="D8" s="108" t="str">
        <f t="shared" si="16"/>
        <v/>
      </c>
      <c r="E8" s="3"/>
      <c r="F8" s="109" t="str">
        <f>IFERROR(INDEX('Input - Iceland'!$Y$3:$Y$200,MATCH('Calculations - Iceland'!$C8,'Input - Iceland'!$Z$3:$Z$200,0)),"")</f>
        <v/>
      </c>
      <c r="G8" s="20" t="str">
        <f>IFERROR(INDEX('Input - Iceland'!R$2:R$200,MATCH('Calculations - Iceland'!$D8,'Input - Iceland'!$O$2:$O$200,0)),"")</f>
        <v/>
      </c>
      <c r="H8" s="20" t="str">
        <f>IFERROR(INDEX('Input - Iceland'!S$2:S$200,MATCH('Calculations - Iceland'!$D8,'Input - Iceland'!$O$2:$O$200,0)),"")</f>
        <v/>
      </c>
      <c r="I8" s="27" t="str">
        <f>IFERROR(INDEX('Input - Iceland'!T$2:T$200,MATCH('Calculations - Iceland'!$D8,'Input - Iceland'!$O$2:$O$200,0)),"")</f>
        <v/>
      </c>
      <c r="J8" s="27" t="str">
        <f>IFERROR(INDEX('Input - Iceland'!U$2:U$200,MATCH('Calculations - Iceland'!$D8,'Input - Iceland'!$O$2:$O$200,0)),"")</f>
        <v/>
      </c>
      <c r="K8" s="20" t="str">
        <f>IFERROR(INDEX('Input - Iceland'!V$2:V$200,MATCH('Calculations - Iceland'!$D8,'Input - Iceland'!$O$2:$O$200,0)),"")</f>
        <v/>
      </c>
      <c r="L8" s="20" t="str">
        <f>IFERROR(INDEX('Input - Iceland'!W$2:W$200,MATCH('Calculations - Iceland'!$D8,'Input - Iceland'!$O$2:$O$200,0)),"")</f>
        <v/>
      </c>
      <c r="M8" s="21" t="str">
        <f t="shared" si="17"/>
        <v/>
      </c>
      <c r="N8" s="21" t="str">
        <f t="shared" si="2"/>
        <v/>
      </c>
      <c r="O8" s="21" t="str">
        <f t="shared" si="18"/>
        <v/>
      </c>
      <c r="P8" s="9" t="str">
        <f t="shared" si="3"/>
        <v/>
      </c>
      <c r="Q8" s="9" t="str">
        <f t="shared" si="4"/>
        <v/>
      </c>
      <c r="R8" s="8" t="str">
        <f t="shared" si="5"/>
        <v>-</v>
      </c>
      <c r="S8" s="8" t="str">
        <f t="shared" si="19"/>
        <v>-</v>
      </c>
      <c r="T8" t="str">
        <f t="shared" si="20"/>
        <v>-</v>
      </c>
      <c r="U8" t="str">
        <f t="shared" si="20"/>
        <v>-</v>
      </c>
      <c r="V8" t="str">
        <f t="shared" si="21"/>
        <v>-</v>
      </c>
      <c r="W8" t="str">
        <f t="shared" si="6"/>
        <v>-</v>
      </c>
      <c r="X8" s="10" t="str">
        <f t="shared" si="7"/>
        <v>-</v>
      </c>
      <c r="Y8" s="7" t="str">
        <f t="shared" si="22"/>
        <v/>
      </c>
      <c r="Z8" s="13" t="str">
        <f t="shared" si="23"/>
        <v>-</v>
      </c>
      <c r="AA8" t="str">
        <f t="shared" si="24"/>
        <v>-</v>
      </c>
      <c r="AB8" s="16" t="str">
        <f t="shared" si="8"/>
        <v>-</v>
      </c>
      <c r="AC8" s="16" t="str">
        <f t="shared" si="25"/>
        <v>-</v>
      </c>
      <c r="AD8" s="16" t="str">
        <f t="shared" si="26"/>
        <v>-</v>
      </c>
      <c r="AF8" s="27" t="str" cm="1">
        <f t="array" ref="AF8">IFERROR(SUM(_xlfn._xlws.FILTER($AF$32:$AF$229*$AJ$32:$AJ$229,$B$32:$B$229=D8))/SUM(_xlfn._xlws.FILTER($AJ$32:$AJ$229,$B$32:$B$229=D8)),"-")</f>
        <v>-</v>
      </c>
      <c r="AG8" s="123" t="str">
        <f t="shared" si="27"/>
        <v>-</v>
      </c>
      <c r="AH8" s="124" t="str">
        <f t="shared" si="28"/>
        <v>-</v>
      </c>
      <c r="AI8" s="9" t="str">
        <f t="shared" si="9"/>
        <v/>
      </c>
      <c r="AJ8" s="4" t="str">
        <f t="shared" si="10"/>
        <v/>
      </c>
      <c r="AP8" s="20" t="str">
        <f t="shared" si="11"/>
        <v>-</v>
      </c>
      <c r="AQ8" s="13" t="str">
        <f t="shared" si="29"/>
        <v/>
      </c>
      <c r="AR8" s="9" t="str">
        <f t="shared" si="30"/>
        <v/>
      </c>
      <c r="AS8" s="13" t="str">
        <f t="shared" si="31"/>
        <v/>
      </c>
      <c r="AT8" s="16" t="str">
        <f t="shared" si="32"/>
        <v>-</v>
      </c>
      <c r="AU8" s="16" t="str">
        <f t="shared" si="12"/>
        <v>-</v>
      </c>
      <c r="AV8" s="4" t="str">
        <f t="shared" si="33"/>
        <v>-</v>
      </c>
      <c r="AW8" s="16" t="str">
        <f t="shared" si="13"/>
        <v>-</v>
      </c>
      <c r="AX8" t="str">
        <f t="shared" si="14"/>
        <v/>
      </c>
      <c r="AY8" s="9" t="str">
        <f t="shared" si="15"/>
        <v>-</v>
      </c>
      <c r="AZ8" s="20" t="str">
        <f t="shared" si="34"/>
        <v/>
      </c>
      <c r="BA8" s="20" t="str">
        <f t="shared" si="35"/>
        <v/>
      </c>
      <c r="BB8" s="20" t="str">
        <f t="shared" si="36"/>
        <v/>
      </c>
      <c r="BC8" s="20" t="str">
        <f t="shared" si="37"/>
        <v/>
      </c>
    </row>
    <row r="9" spans="2:55" ht="14.4" customHeight="1" x14ac:dyDescent="0.3">
      <c r="B9" s="114" t="str">
        <f>""</f>
        <v/>
      </c>
      <c r="C9" s="4">
        <v>6</v>
      </c>
      <c r="D9" s="108" t="str">
        <f t="shared" si="16"/>
        <v/>
      </c>
      <c r="E9" s="3"/>
      <c r="F9" s="109" t="str">
        <f>IFERROR(INDEX('Input - Iceland'!$Y$3:$Y$200,MATCH('Calculations - Iceland'!$C9,'Input - Iceland'!$Z$3:$Z$200,0)),"")</f>
        <v/>
      </c>
      <c r="G9" s="20" t="str">
        <f>IFERROR(INDEX('Input - Iceland'!R$2:R$200,MATCH('Calculations - Iceland'!$D9,'Input - Iceland'!$O$2:$O$200,0)),"")</f>
        <v/>
      </c>
      <c r="H9" s="20" t="str">
        <f>IFERROR(INDEX('Input - Iceland'!S$2:S$200,MATCH('Calculations - Iceland'!$D9,'Input - Iceland'!$O$2:$O$200,0)),"")</f>
        <v/>
      </c>
      <c r="I9" s="27" t="str">
        <f>IFERROR(INDEX('Input - Iceland'!T$2:T$200,MATCH('Calculations - Iceland'!$D9,'Input - Iceland'!$O$2:$O$200,0)),"")</f>
        <v/>
      </c>
      <c r="J9" s="27" t="str">
        <f>IFERROR(INDEX('Input - Iceland'!U$2:U$200,MATCH('Calculations - Iceland'!$D9,'Input - Iceland'!$O$2:$O$200,0)),"")</f>
        <v/>
      </c>
      <c r="K9" s="20" t="str">
        <f>IFERROR(INDEX('Input - Iceland'!V$2:V$200,MATCH('Calculations - Iceland'!$D9,'Input - Iceland'!$O$2:$O$200,0)),"")</f>
        <v/>
      </c>
      <c r="L9" s="20" t="str">
        <f>IFERROR(INDEX('Input - Iceland'!W$2:W$200,MATCH('Calculations - Iceland'!$D9,'Input - Iceland'!$O$2:$O$200,0)),"")</f>
        <v/>
      </c>
      <c r="M9" s="21" t="str">
        <f t="shared" si="17"/>
        <v/>
      </c>
      <c r="N9" s="21" t="str">
        <f t="shared" si="2"/>
        <v/>
      </c>
      <c r="O9" s="21" t="str">
        <f t="shared" si="18"/>
        <v/>
      </c>
      <c r="P9" s="9" t="str">
        <f t="shared" si="3"/>
        <v/>
      </c>
      <c r="Q9" s="9" t="str">
        <f t="shared" si="4"/>
        <v/>
      </c>
      <c r="R9" s="8" t="str">
        <f t="shared" si="5"/>
        <v>-</v>
      </c>
      <c r="S9" s="8" t="str">
        <f t="shared" si="19"/>
        <v>-</v>
      </c>
      <c r="T9" t="str">
        <f t="shared" si="20"/>
        <v>-</v>
      </c>
      <c r="U9" t="str">
        <f t="shared" si="20"/>
        <v>-</v>
      </c>
      <c r="V9" t="str">
        <f t="shared" si="21"/>
        <v>-</v>
      </c>
      <c r="W9" t="str">
        <f t="shared" si="6"/>
        <v>-</v>
      </c>
      <c r="X9" s="10" t="str">
        <f t="shared" si="7"/>
        <v>-</v>
      </c>
      <c r="Y9" s="7" t="str">
        <f t="shared" si="22"/>
        <v/>
      </c>
      <c r="Z9" s="13" t="str">
        <f t="shared" si="23"/>
        <v>-</v>
      </c>
      <c r="AA9" t="str">
        <f t="shared" si="24"/>
        <v>-</v>
      </c>
      <c r="AB9" s="16" t="str">
        <f t="shared" si="8"/>
        <v>-</v>
      </c>
      <c r="AC9" s="16" t="str">
        <f t="shared" si="25"/>
        <v>-</v>
      </c>
      <c r="AD9" s="16" t="str">
        <f t="shared" si="26"/>
        <v>-</v>
      </c>
      <c r="AF9" s="27" t="str" cm="1">
        <f t="array" ref="AF9">IFERROR(SUM(_xlfn._xlws.FILTER($AF$32:$AF$229*$AJ$32:$AJ$229,$B$32:$B$229=D9))/SUM(_xlfn._xlws.FILTER($AJ$32:$AJ$229,$B$32:$B$229=D9)),"-")</f>
        <v>-</v>
      </c>
      <c r="AG9" s="123" t="str">
        <f t="shared" si="27"/>
        <v>-</v>
      </c>
      <c r="AH9" s="124" t="str">
        <f t="shared" si="28"/>
        <v>-</v>
      </c>
      <c r="AI9" s="9" t="str">
        <f t="shared" si="9"/>
        <v/>
      </c>
      <c r="AJ9" s="4" t="str">
        <f t="shared" si="10"/>
        <v/>
      </c>
      <c r="AP9" s="20" t="str">
        <f t="shared" si="11"/>
        <v>-</v>
      </c>
      <c r="AQ9" s="13" t="str">
        <f t="shared" si="29"/>
        <v/>
      </c>
      <c r="AR9" s="9" t="str">
        <f t="shared" si="30"/>
        <v/>
      </c>
      <c r="AS9" s="13" t="str">
        <f t="shared" si="31"/>
        <v/>
      </c>
      <c r="AT9" s="16" t="str">
        <f t="shared" si="32"/>
        <v>-</v>
      </c>
      <c r="AU9" s="16" t="str">
        <f t="shared" si="12"/>
        <v>-</v>
      </c>
      <c r="AV9" s="4" t="str">
        <f t="shared" si="33"/>
        <v>-</v>
      </c>
      <c r="AW9" s="16" t="str">
        <f t="shared" si="13"/>
        <v>-</v>
      </c>
      <c r="AX9" t="str">
        <f t="shared" si="14"/>
        <v/>
      </c>
      <c r="AY9" s="9" t="str">
        <f t="shared" si="15"/>
        <v>-</v>
      </c>
      <c r="AZ9" s="20" t="str">
        <f t="shared" si="34"/>
        <v/>
      </c>
      <c r="BA9" s="20" t="str">
        <f t="shared" si="35"/>
        <v/>
      </c>
      <c r="BB9" s="20" t="str">
        <f t="shared" si="36"/>
        <v/>
      </c>
      <c r="BC9" s="20" t="str">
        <f t="shared" si="37"/>
        <v/>
      </c>
    </row>
    <row r="10" spans="2:55" x14ac:dyDescent="0.3">
      <c r="B10" s="114" t="str">
        <f>""</f>
        <v/>
      </c>
      <c r="C10" s="4">
        <v>7</v>
      </c>
      <c r="D10" s="108" t="str">
        <f t="shared" si="16"/>
        <v/>
      </c>
      <c r="E10" s="3"/>
      <c r="F10" s="109" t="str">
        <f>IFERROR(INDEX('Input - Iceland'!$Y$3:$Y$200,MATCH('Calculations - Iceland'!$C10,'Input - Iceland'!$Z$3:$Z$200,0)),"")</f>
        <v/>
      </c>
      <c r="G10" s="20" t="str">
        <f>IFERROR(INDEX('Input - Iceland'!R$2:R$200,MATCH('Calculations - Iceland'!$D10,'Input - Iceland'!$O$2:$O$200,0)),"")</f>
        <v/>
      </c>
      <c r="H10" s="20" t="str">
        <f>IFERROR(INDEX('Input - Iceland'!S$2:S$200,MATCH('Calculations - Iceland'!$D10,'Input - Iceland'!$O$2:$O$200,0)),"")</f>
        <v/>
      </c>
      <c r="I10" s="27" t="str">
        <f>IFERROR(INDEX('Input - Iceland'!T$2:T$200,MATCH('Calculations - Iceland'!$D10,'Input - Iceland'!$O$2:$O$200,0)),"")</f>
        <v/>
      </c>
      <c r="J10" s="27" t="str">
        <f>IFERROR(INDEX('Input - Iceland'!U$2:U$200,MATCH('Calculations - Iceland'!$D10,'Input - Iceland'!$O$2:$O$200,0)),"")</f>
        <v/>
      </c>
      <c r="K10" s="20" t="str">
        <f>IFERROR(INDEX('Input - Iceland'!V$2:V$200,MATCH('Calculations - Iceland'!$D10,'Input - Iceland'!$O$2:$O$200,0)),"")</f>
        <v/>
      </c>
      <c r="L10" s="20" t="str">
        <f>IFERROR(INDEX('Input - Iceland'!W$2:W$200,MATCH('Calculations - Iceland'!$D10,'Input - Iceland'!$O$2:$O$200,0)),"")</f>
        <v/>
      </c>
      <c r="M10" s="21" t="str">
        <f t="shared" si="17"/>
        <v/>
      </c>
      <c r="N10" s="21" t="str">
        <f t="shared" si="2"/>
        <v/>
      </c>
      <c r="O10" s="21" t="str">
        <f t="shared" si="18"/>
        <v/>
      </c>
      <c r="P10" s="9" t="str">
        <f t="shared" si="3"/>
        <v/>
      </c>
      <c r="Q10" s="9" t="str">
        <f t="shared" si="4"/>
        <v/>
      </c>
      <c r="R10" s="8" t="str">
        <f t="shared" si="5"/>
        <v>-</v>
      </c>
      <c r="S10" s="8" t="str">
        <f t="shared" si="19"/>
        <v>-</v>
      </c>
      <c r="T10" t="str">
        <f t="shared" si="20"/>
        <v>-</v>
      </c>
      <c r="U10" t="str">
        <f t="shared" si="20"/>
        <v>-</v>
      </c>
      <c r="V10" t="str">
        <f t="shared" si="21"/>
        <v>-</v>
      </c>
      <c r="W10" t="str">
        <f t="shared" si="6"/>
        <v>-</v>
      </c>
      <c r="X10" s="10" t="str">
        <f t="shared" si="7"/>
        <v>-</v>
      </c>
      <c r="Y10" s="7" t="str">
        <f t="shared" si="22"/>
        <v/>
      </c>
      <c r="Z10" s="13" t="str">
        <f t="shared" si="23"/>
        <v>-</v>
      </c>
      <c r="AA10" t="str">
        <f t="shared" si="24"/>
        <v>-</v>
      </c>
      <c r="AB10" s="16" t="str">
        <f t="shared" si="8"/>
        <v>-</v>
      </c>
      <c r="AC10" s="16" t="str">
        <f t="shared" si="25"/>
        <v>-</v>
      </c>
      <c r="AD10" s="16" t="str">
        <f t="shared" si="26"/>
        <v>-</v>
      </c>
      <c r="AF10" s="27" t="str" cm="1">
        <f t="array" ref="AF10">IFERROR(SUM(_xlfn._xlws.FILTER($AF$32:$AF$229*$AJ$32:$AJ$229,$B$32:$B$229=D10))/SUM(_xlfn._xlws.FILTER($AJ$32:$AJ$229,$B$32:$B$229=D10)),"-")</f>
        <v>-</v>
      </c>
      <c r="AG10" s="123" t="str">
        <f t="shared" si="27"/>
        <v>-</v>
      </c>
      <c r="AH10" s="124" t="str">
        <f t="shared" si="28"/>
        <v>-</v>
      </c>
      <c r="AI10" s="9" t="str">
        <f t="shared" si="9"/>
        <v/>
      </c>
      <c r="AJ10" s="4" t="str">
        <f t="shared" si="10"/>
        <v/>
      </c>
      <c r="AP10" s="20" t="str">
        <f t="shared" si="11"/>
        <v>-</v>
      </c>
      <c r="AQ10" s="13" t="str">
        <f t="shared" si="29"/>
        <v/>
      </c>
      <c r="AR10" s="9" t="str">
        <f t="shared" si="30"/>
        <v/>
      </c>
      <c r="AS10" s="13" t="str">
        <f t="shared" si="31"/>
        <v/>
      </c>
      <c r="AT10" s="16" t="str">
        <f t="shared" si="32"/>
        <v>-</v>
      </c>
      <c r="AU10" s="16" t="str">
        <f t="shared" si="12"/>
        <v>-</v>
      </c>
      <c r="AV10" s="4" t="str">
        <f t="shared" si="33"/>
        <v>-</v>
      </c>
      <c r="AW10" s="16" t="str">
        <f t="shared" si="13"/>
        <v>-</v>
      </c>
      <c r="AX10" t="str">
        <f t="shared" si="14"/>
        <v/>
      </c>
      <c r="AY10" s="9" t="str">
        <f t="shared" si="15"/>
        <v>-</v>
      </c>
      <c r="AZ10" s="20" t="str">
        <f t="shared" si="34"/>
        <v/>
      </c>
      <c r="BA10" s="20" t="str">
        <f t="shared" si="35"/>
        <v/>
      </c>
      <c r="BB10" s="20" t="str">
        <f t="shared" si="36"/>
        <v/>
      </c>
      <c r="BC10" s="20" t="str">
        <f t="shared" si="37"/>
        <v/>
      </c>
    </row>
    <row r="11" spans="2:55" x14ac:dyDescent="0.3">
      <c r="B11" s="114" t="str">
        <f>""</f>
        <v/>
      </c>
      <c r="C11" s="4">
        <v>8</v>
      </c>
      <c r="D11" s="108" t="str">
        <f t="shared" si="16"/>
        <v/>
      </c>
      <c r="E11" s="3"/>
      <c r="F11" s="109" t="str">
        <f>IFERROR(INDEX('Input - Iceland'!$Y$3:$Y$200,MATCH('Calculations - Iceland'!$C11,'Input - Iceland'!$Z$3:$Z$200,0)),"")</f>
        <v/>
      </c>
      <c r="G11" s="20" t="str">
        <f>IFERROR(INDEX('Input - Iceland'!R$2:R$200,MATCH('Calculations - Iceland'!$D11,'Input - Iceland'!$O$2:$O$200,0)),"")</f>
        <v/>
      </c>
      <c r="H11" s="20" t="str">
        <f>IFERROR(INDEX('Input - Iceland'!S$2:S$200,MATCH('Calculations - Iceland'!$D11,'Input - Iceland'!$O$2:$O$200,0)),"")</f>
        <v/>
      </c>
      <c r="I11" s="27" t="str">
        <f>IFERROR(INDEX('Input - Iceland'!T$2:T$200,MATCH('Calculations - Iceland'!$D11,'Input - Iceland'!$O$2:$O$200,0)),"")</f>
        <v/>
      </c>
      <c r="J11" s="27" t="str">
        <f>IFERROR(INDEX('Input - Iceland'!U$2:U$200,MATCH('Calculations - Iceland'!$D11,'Input - Iceland'!$O$2:$O$200,0)),"")</f>
        <v/>
      </c>
      <c r="K11" s="20" t="str">
        <f>IFERROR(INDEX('Input - Iceland'!V$2:V$200,MATCH('Calculations - Iceland'!$D11,'Input - Iceland'!$O$2:$O$200,0)),"")</f>
        <v/>
      </c>
      <c r="L11" s="20" t="str">
        <f>IFERROR(INDEX('Input - Iceland'!W$2:W$200,MATCH('Calculations - Iceland'!$D11,'Input - Iceland'!$O$2:$O$200,0)),"")</f>
        <v/>
      </c>
      <c r="M11" s="21" t="str">
        <f t="shared" si="17"/>
        <v/>
      </c>
      <c r="N11" s="21" t="str">
        <f t="shared" si="2"/>
        <v/>
      </c>
      <c r="O11" s="21" t="str">
        <f t="shared" si="18"/>
        <v/>
      </c>
      <c r="P11" s="9" t="str">
        <f t="shared" si="3"/>
        <v/>
      </c>
      <c r="Q11" s="9" t="str">
        <f t="shared" si="4"/>
        <v/>
      </c>
      <c r="R11" s="8" t="str">
        <f t="shared" si="5"/>
        <v>-</v>
      </c>
      <c r="S11" s="8" t="str">
        <f t="shared" si="19"/>
        <v>-</v>
      </c>
      <c r="T11" t="str">
        <f t="shared" si="20"/>
        <v>-</v>
      </c>
      <c r="U11" t="str">
        <f t="shared" si="20"/>
        <v>-</v>
      </c>
      <c r="V11" t="str">
        <f t="shared" si="21"/>
        <v>-</v>
      </c>
      <c r="W11" t="str">
        <f t="shared" si="6"/>
        <v>-</v>
      </c>
      <c r="X11" s="10" t="str">
        <f t="shared" si="7"/>
        <v>-</v>
      </c>
      <c r="Y11" s="7" t="str">
        <f t="shared" si="22"/>
        <v/>
      </c>
      <c r="Z11" s="13" t="str">
        <f t="shared" si="23"/>
        <v>-</v>
      </c>
      <c r="AA11" t="str">
        <f t="shared" si="24"/>
        <v>-</v>
      </c>
      <c r="AB11" s="16" t="str">
        <f t="shared" si="8"/>
        <v>-</v>
      </c>
      <c r="AC11" s="16" t="str">
        <f t="shared" si="25"/>
        <v>-</v>
      </c>
      <c r="AD11" s="16" t="str">
        <f t="shared" si="26"/>
        <v>-</v>
      </c>
      <c r="AF11" s="27" t="str" cm="1">
        <f t="array" ref="AF11">IFERROR(SUM(_xlfn._xlws.FILTER($AF$32:$AF$229*$AJ$32:$AJ$229,$B$32:$B$229=D11))/SUM(_xlfn._xlws.FILTER($AJ$32:$AJ$229,$B$32:$B$229=D11)),"-")</f>
        <v>-</v>
      </c>
      <c r="AG11" s="123" t="str">
        <f t="shared" si="27"/>
        <v>-</v>
      </c>
      <c r="AH11" s="124" t="str">
        <f t="shared" si="28"/>
        <v>-</v>
      </c>
      <c r="AI11" s="9" t="str">
        <f t="shared" si="9"/>
        <v/>
      </c>
      <c r="AJ11" s="4" t="str">
        <f t="shared" si="10"/>
        <v/>
      </c>
      <c r="AP11" s="20" t="str">
        <f t="shared" si="11"/>
        <v>-</v>
      </c>
      <c r="AQ11" s="13" t="str">
        <f t="shared" si="29"/>
        <v/>
      </c>
      <c r="AR11" s="9" t="str">
        <f t="shared" si="30"/>
        <v/>
      </c>
      <c r="AS11" s="13" t="str">
        <f t="shared" si="31"/>
        <v/>
      </c>
      <c r="AT11" s="16" t="str">
        <f t="shared" si="32"/>
        <v>-</v>
      </c>
      <c r="AU11" s="16" t="str">
        <f t="shared" si="12"/>
        <v>-</v>
      </c>
      <c r="AV11" s="4" t="str">
        <f t="shared" si="33"/>
        <v>-</v>
      </c>
      <c r="AW11" s="16" t="str">
        <f t="shared" si="13"/>
        <v>-</v>
      </c>
      <c r="AX11" t="str">
        <f t="shared" si="14"/>
        <v/>
      </c>
      <c r="AY11" s="9" t="str">
        <f t="shared" si="15"/>
        <v>-</v>
      </c>
      <c r="AZ11" s="20" t="str">
        <f t="shared" si="34"/>
        <v/>
      </c>
      <c r="BA11" s="20" t="str">
        <f t="shared" si="35"/>
        <v/>
      </c>
      <c r="BB11" s="20" t="str">
        <f t="shared" si="36"/>
        <v/>
      </c>
      <c r="BC11" s="20" t="str">
        <f t="shared" si="37"/>
        <v/>
      </c>
    </row>
    <row r="12" spans="2:55" x14ac:dyDescent="0.3">
      <c r="B12" s="114" t="str">
        <f>""</f>
        <v/>
      </c>
      <c r="C12" s="4">
        <v>9</v>
      </c>
      <c r="D12" s="108" t="str">
        <f t="shared" si="16"/>
        <v/>
      </c>
      <c r="E12" s="3"/>
      <c r="F12" s="109" t="str">
        <f>IFERROR(INDEX('Input - Iceland'!$Y$3:$Y$200,MATCH('Calculations - Iceland'!$C12,'Input - Iceland'!$Z$3:$Z$200,0)),"")</f>
        <v/>
      </c>
      <c r="G12" s="20" t="str">
        <f>IFERROR(INDEX('Input - Iceland'!R$2:R$200,MATCH('Calculations - Iceland'!$D12,'Input - Iceland'!$O$2:$O$200,0)),"")</f>
        <v/>
      </c>
      <c r="H12" s="20" t="str">
        <f>IFERROR(INDEX('Input - Iceland'!S$2:S$200,MATCH('Calculations - Iceland'!$D12,'Input - Iceland'!$O$2:$O$200,0)),"")</f>
        <v/>
      </c>
      <c r="I12" s="27" t="str">
        <f>IFERROR(INDEX('Input - Iceland'!T$2:T$200,MATCH('Calculations - Iceland'!$D12,'Input - Iceland'!$O$2:$O$200,0)),"")</f>
        <v/>
      </c>
      <c r="J12" s="27" t="str">
        <f>IFERROR(INDEX('Input - Iceland'!U$2:U$200,MATCH('Calculations - Iceland'!$D12,'Input - Iceland'!$O$2:$O$200,0)),"")</f>
        <v/>
      </c>
      <c r="K12" s="20" t="str">
        <f>IFERROR(INDEX('Input - Iceland'!V$2:V$200,MATCH('Calculations - Iceland'!$D12,'Input - Iceland'!$O$2:$O$200,0)),"")</f>
        <v/>
      </c>
      <c r="L12" s="20" t="str">
        <f>IFERROR(INDEX('Input - Iceland'!W$2:W$200,MATCH('Calculations - Iceland'!$D12,'Input - Iceland'!$O$2:$O$200,0)),"")</f>
        <v/>
      </c>
      <c r="M12" s="21" t="str">
        <f t="shared" si="17"/>
        <v/>
      </c>
      <c r="N12" s="21" t="str">
        <f t="shared" si="2"/>
        <v/>
      </c>
      <c r="O12" s="21" t="str">
        <f t="shared" si="18"/>
        <v/>
      </c>
      <c r="P12" s="9" t="str">
        <f t="shared" si="3"/>
        <v/>
      </c>
      <c r="Q12" s="9" t="str">
        <f t="shared" si="4"/>
        <v/>
      </c>
      <c r="R12" s="8" t="str">
        <f t="shared" si="5"/>
        <v>-</v>
      </c>
      <c r="S12" s="8" t="str">
        <f t="shared" si="19"/>
        <v>-</v>
      </c>
      <c r="T12" t="str">
        <f t="shared" si="20"/>
        <v>-</v>
      </c>
      <c r="U12" t="str">
        <f t="shared" si="20"/>
        <v>-</v>
      </c>
      <c r="V12" t="str">
        <f t="shared" si="21"/>
        <v>-</v>
      </c>
      <c r="W12" t="str">
        <f t="shared" si="6"/>
        <v>-</v>
      </c>
      <c r="X12" s="10" t="str">
        <f t="shared" si="7"/>
        <v>-</v>
      </c>
      <c r="Y12" s="7" t="str">
        <f t="shared" si="22"/>
        <v/>
      </c>
      <c r="Z12" s="13" t="str">
        <f t="shared" si="23"/>
        <v>-</v>
      </c>
      <c r="AA12" t="str">
        <f t="shared" si="24"/>
        <v>-</v>
      </c>
      <c r="AB12" s="16" t="str">
        <f t="shared" si="8"/>
        <v>-</v>
      </c>
      <c r="AC12" s="16" t="str">
        <f t="shared" si="25"/>
        <v>-</v>
      </c>
      <c r="AD12" s="16" t="str">
        <f t="shared" si="26"/>
        <v>-</v>
      </c>
      <c r="AF12" s="27" t="str" cm="1">
        <f t="array" ref="AF12">IFERROR(SUM(_xlfn._xlws.FILTER($AF$32:$AF$229*$AJ$32:$AJ$229,$B$32:$B$229=D12))/SUM(_xlfn._xlws.FILTER($AJ$32:$AJ$229,$B$32:$B$229=D12)),"-")</f>
        <v>-</v>
      </c>
      <c r="AG12" s="123" t="str">
        <f t="shared" si="27"/>
        <v>-</v>
      </c>
      <c r="AH12" s="124" t="str">
        <f t="shared" si="28"/>
        <v>-</v>
      </c>
      <c r="AI12" s="9" t="str">
        <f t="shared" si="9"/>
        <v/>
      </c>
      <c r="AJ12" s="4" t="str">
        <f t="shared" si="10"/>
        <v/>
      </c>
      <c r="AP12" s="20" t="str">
        <f t="shared" si="11"/>
        <v>-</v>
      </c>
      <c r="AQ12" s="13" t="str">
        <f t="shared" si="29"/>
        <v/>
      </c>
      <c r="AR12" s="9" t="str">
        <f t="shared" si="30"/>
        <v/>
      </c>
      <c r="AS12" s="13" t="str">
        <f t="shared" si="31"/>
        <v/>
      </c>
      <c r="AT12" s="16" t="str">
        <f t="shared" si="32"/>
        <v>-</v>
      </c>
      <c r="AU12" s="16" t="str">
        <f t="shared" si="12"/>
        <v>-</v>
      </c>
      <c r="AV12" s="4" t="str">
        <f t="shared" si="33"/>
        <v>-</v>
      </c>
      <c r="AW12" s="16" t="str">
        <f t="shared" si="13"/>
        <v>-</v>
      </c>
      <c r="AX12" t="str">
        <f t="shared" si="14"/>
        <v/>
      </c>
      <c r="AY12" s="9" t="str">
        <f t="shared" si="15"/>
        <v>-</v>
      </c>
      <c r="AZ12" s="20" t="str">
        <f t="shared" si="34"/>
        <v/>
      </c>
      <c r="BA12" s="20" t="str">
        <f t="shared" si="35"/>
        <v/>
      </c>
      <c r="BB12" s="20" t="str">
        <f t="shared" si="36"/>
        <v/>
      </c>
      <c r="BC12" s="20" t="str">
        <f t="shared" si="37"/>
        <v/>
      </c>
    </row>
    <row r="13" spans="2:55" x14ac:dyDescent="0.3">
      <c r="B13" s="114" t="str">
        <f>""</f>
        <v/>
      </c>
      <c r="C13" s="4">
        <v>10</v>
      </c>
      <c r="D13" s="108" t="str">
        <f t="shared" si="16"/>
        <v/>
      </c>
      <c r="E13" s="3"/>
      <c r="F13" s="109" t="str">
        <f>IFERROR(INDEX('Input - Iceland'!$Y$3:$Y$200,MATCH('Calculations - Iceland'!$C13,'Input - Iceland'!$Z$3:$Z$200,0)),"")</f>
        <v/>
      </c>
      <c r="G13" s="20" t="str">
        <f>IFERROR(INDEX('Input - Iceland'!R$2:R$200,MATCH('Calculations - Iceland'!$D13,'Input - Iceland'!$O$2:$O$200,0)),"")</f>
        <v/>
      </c>
      <c r="H13" s="20" t="str">
        <f>IFERROR(INDEX('Input - Iceland'!S$2:S$200,MATCH('Calculations - Iceland'!$D13,'Input - Iceland'!$O$2:$O$200,0)),"")</f>
        <v/>
      </c>
      <c r="I13" s="27" t="str">
        <f>IFERROR(INDEX('Input - Iceland'!T$2:T$200,MATCH('Calculations - Iceland'!$D13,'Input - Iceland'!$O$2:$O$200,0)),"")</f>
        <v/>
      </c>
      <c r="J13" s="27" t="str">
        <f>IFERROR(INDEX('Input - Iceland'!U$2:U$200,MATCH('Calculations - Iceland'!$D13,'Input - Iceland'!$O$2:$O$200,0)),"")</f>
        <v/>
      </c>
      <c r="K13" s="20" t="str">
        <f>IFERROR(INDEX('Input - Iceland'!V$2:V$200,MATCH('Calculations - Iceland'!$D13,'Input - Iceland'!$O$2:$O$200,0)),"")</f>
        <v/>
      </c>
      <c r="L13" s="20" t="str">
        <f>IFERROR(INDEX('Input - Iceland'!W$2:W$200,MATCH('Calculations - Iceland'!$D13,'Input - Iceland'!$O$2:$O$200,0)),"")</f>
        <v/>
      </c>
      <c r="M13" s="21" t="str">
        <f t="shared" si="17"/>
        <v/>
      </c>
      <c r="N13" s="21" t="str">
        <f t="shared" si="2"/>
        <v/>
      </c>
      <c r="O13" s="21" t="str">
        <f t="shared" si="18"/>
        <v/>
      </c>
      <c r="P13" s="9" t="str">
        <f t="shared" si="3"/>
        <v/>
      </c>
      <c r="Q13" s="9" t="str">
        <f t="shared" si="4"/>
        <v/>
      </c>
      <c r="R13" s="8" t="str">
        <f t="shared" si="5"/>
        <v>-</v>
      </c>
      <c r="S13" s="8" t="str">
        <f t="shared" si="19"/>
        <v>-</v>
      </c>
      <c r="T13" t="str">
        <f t="shared" si="20"/>
        <v>-</v>
      </c>
      <c r="U13" t="str">
        <f t="shared" si="20"/>
        <v>-</v>
      </c>
      <c r="V13" t="str">
        <f t="shared" si="21"/>
        <v>-</v>
      </c>
      <c r="W13" t="str">
        <f t="shared" si="6"/>
        <v>-</v>
      </c>
      <c r="X13" s="10" t="str">
        <f t="shared" si="7"/>
        <v>-</v>
      </c>
      <c r="Y13" s="7" t="str">
        <f t="shared" si="22"/>
        <v/>
      </c>
      <c r="Z13" s="13" t="str">
        <f t="shared" si="23"/>
        <v>-</v>
      </c>
      <c r="AA13" t="str">
        <f t="shared" si="24"/>
        <v>-</v>
      </c>
      <c r="AB13" s="16" t="str">
        <f t="shared" si="8"/>
        <v>-</v>
      </c>
      <c r="AC13" s="16" t="str">
        <f t="shared" si="25"/>
        <v>-</v>
      </c>
      <c r="AD13" s="16" t="str">
        <f t="shared" si="26"/>
        <v>-</v>
      </c>
      <c r="AF13" s="27" t="str" cm="1">
        <f t="array" ref="AF13">IFERROR(SUM(_xlfn._xlws.FILTER($AF$32:$AF$229*$AJ$32:$AJ$229,$B$32:$B$229=D13))/SUM(_xlfn._xlws.FILTER($AJ$32:$AJ$229,$B$32:$B$229=D13)),"-")</f>
        <v>-</v>
      </c>
      <c r="AG13" s="123" t="str">
        <f t="shared" si="27"/>
        <v>-</v>
      </c>
      <c r="AH13" s="124" t="str">
        <f t="shared" si="28"/>
        <v>-</v>
      </c>
      <c r="AI13" s="9" t="str">
        <f t="shared" si="9"/>
        <v/>
      </c>
      <c r="AJ13" s="4" t="str">
        <f t="shared" si="10"/>
        <v/>
      </c>
      <c r="AP13" s="20" t="str">
        <f t="shared" si="11"/>
        <v>-</v>
      </c>
      <c r="AQ13" s="13" t="str">
        <f t="shared" si="29"/>
        <v/>
      </c>
      <c r="AR13" s="9" t="str">
        <f t="shared" si="30"/>
        <v/>
      </c>
      <c r="AS13" s="13" t="str">
        <f t="shared" si="31"/>
        <v/>
      </c>
      <c r="AT13" s="16" t="str">
        <f t="shared" si="32"/>
        <v>-</v>
      </c>
      <c r="AU13" s="16" t="str">
        <f t="shared" si="12"/>
        <v>-</v>
      </c>
      <c r="AV13" s="4" t="str">
        <f t="shared" si="33"/>
        <v>-</v>
      </c>
      <c r="AW13" s="16" t="str">
        <f t="shared" si="13"/>
        <v>-</v>
      </c>
      <c r="AX13" t="str">
        <f t="shared" si="14"/>
        <v/>
      </c>
      <c r="AY13" s="9" t="str">
        <f t="shared" si="15"/>
        <v>-</v>
      </c>
      <c r="AZ13" s="20" t="str">
        <f t="shared" si="34"/>
        <v/>
      </c>
      <c r="BA13" s="20" t="str">
        <f t="shared" si="35"/>
        <v/>
      </c>
      <c r="BB13" s="20" t="str">
        <f t="shared" si="36"/>
        <v/>
      </c>
      <c r="BC13" s="20" t="str">
        <f t="shared" si="37"/>
        <v/>
      </c>
    </row>
    <row r="14" spans="2:55" x14ac:dyDescent="0.3">
      <c r="B14" s="114" t="str">
        <f>""</f>
        <v/>
      </c>
      <c r="C14" s="4">
        <v>11</v>
      </c>
      <c r="D14" s="108" t="str">
        <f t="shared" si="16"/>
        <v/>
      </c>
      <c r="E14" s="3"/>
      <c r="F14" s="109" t="str">
        <f>IFERROR(INDEX('Input - Iceland'!$Y$3:$Y$200,MATCH('Calculations - Iceland'!$C14,'Input - Iceland'!$Z$3:$Z$200,0)),"")</f>
        <v/>
      </c>
      <c r="G14" s="20" t="str">
        <f>IFERROR(INDEX('Input - Iceland'!R$2:R$200,MATCH('Calculations - Iceland'!$D14,'Input - Iceland'!$O$2:$O$200,0)),"")</f>
        <v/>
      </c>
      <c r="H14" s="20" t="str">
        <f>IFERROR(INDEX('Input - Iceland'!S$2:S$200,MATCH('Calculations - Iceland'!$D14,'Input - Iceland'!$O$2:$O$200,0)),"")</f>
        <v/>
      </c>
      <c r="I14" s="27" t="str">
        <f>IFERROR(INDEX('Input - Iceland'!T$2:T$200,MATCH('Calculations - Iceland'!$D14,'Input - Iceland'!$O$2:$O$200,0)),"")</f>
        <v/>
      </c>
      <c r="J14" s="27" t="str">
        <f>IFERROR(INDEX('Input - Iceland'!U$2:U$200,MATCH('Calculations - Iceland'!$D14,'Input - Iceland'!$O$2:$O$200,0)),"")</f>
        <v/>
      </c>
      <c r="K14" s="20" t="str">
        <f>IFERROR(INDEX('Input - Iceland'!V$2:V$200,MATCH('Calculations - Iceland'!$D14,'Input - Iceland'!$O$2:$O$200,0)),"")</f>
        <v/>
      </c>
      <c r="L14" s="20" t="str">
        <f>IFERROR(INDEX('Input - Iceland'!W$2:W$200,MATCH('Calculations - Iceland'!$D14,'Input - Iceland'!$O$2:$O$200,0)),"")</f>
        <v/>
      </c>
      <c r="M14" s="21" t="str">
        <f t="shared" si="17"/>
        <v/>
      </c>
      <c r="N14" s="21" t="str">
        <f t="shared" si="2"/>
        <v/>
      </c>
      <c r="O14" s="21" t="str">
        <f t="shared" si="18"/>
        <v/>
      </c>
      <c r="P14" s="9" t="str">
        <f t="shared" si="3"/>
        <v/>
      </c>
      <c r="Q14" s="9" t="str">
        <f t="shared" si="4"/>
        <v/>
      </c>
      <c r="R14" s="8" t="str">
        <f t="shared" si="5"/>
        <v>-</v>
      </c>
      <c r="S14" s="8" t="str">
        <f t="shared" si="19"/>
        <v>-</v>
      </c>
      <c r="T14" t="str">
        <f t="shared" si="20"/>
        <v>-</v>
      </c>
      <c r="U14" t="str">
        <f t="shared" si="20"/>
        <v>-</v>
      </c>
      <c r="V14" t="str">
        <f t="shared" si="21"/>
        <v>-</v>
      </c>
      <c r="W14" t="str">
        <f t="shared" si="6"/>
        <v>-</v>
      </c>
      <c r="X14" s="10" t="str">
        <f t="shared" si="7"/>
        <v>-</v>
      </c>
      <c r="Y14" s="7" t="str">
        <f t="shared" si="22"/>
        <v/>
      </c>
      <c r="Z14" s="13" t="str">
        <f t="shared" si="23"/>
        <v>-</v>
      </c>
      <c r="AA14" t="str">
        <f t="shared" si="24"/>
        <v>-</v>
      </c>
      <c r="AB14" s="16" t="str">
        <f t="shared" si="8"/>
        <v>-</v>
      </c>
      <c r="AC14" s="16" t="str">
        <f t="shared" si="25"/>
        <v>-</v>
      </c>
      <c r="AD14" s="16" t="str">
        <f t="shared" si="26"/>
        <v>-</v>
      </c>
      <c r="AF14" s="27" t="str" cm="1">
        <f t="array" ref="AF14">IFERROR(SUM(_xlfn._xlws.FILTER($AF$32:$AF$229*$AJ$32:$AJ$229,$B$32:$B$229=D14))/SUM(_xlfn._xlws.FILTER($AJ$32:$AJ$229,$B$32:$B$229=D14)),"-")</f>
        <v>-</v>
      </c>
      <c r="AG14" s="123" t="str">
        <f t="shared" si="27"/>
        <v>-</v>
      </c>
      <c r="AH14" s="124" t="str">
        <f t="shared" si="28"/>
        <v>-</v>
      </c>
      <c r="AI14" s="9" t="str">
        <f t="shared" si="9"/>
        <v/>
      </c>
      <c r="AJ14" s="4" t="str">
        <f t="shared" si="10"/>
        <v/>
      </c>
      <c r="AP14" s="20" t="str">
        <f t="shared" si="11"/>
        <v>-</v>
      </c>
      <c r="AQ14" s="13" t="str">
        <f t="shared" si="29"/>
        <v/>
      </c>
      <c r="AR14" s="9" t="str">
        <f t="shared" si="30"/>
        <v/>
      </c>
      <c r="AS14" s="13" t="str">
        <f t="shared" si="31"/>
        <v/>
      </c>
      <c r="AT14" s="16" t="str">
        <f t="shared" si="32"/>
        <v>-</v>
      </c>
      <c r="AU14" s="16" t="str">
        <f t="shared" si="12"/>
        <v>-</v>
      </c>
      <c r="AV14" s="4" t="str">
        <f t="shared" si="33"/>
        <v>-</v>
      </c>
      <c r="AW14" s="16" t="str">
        <f t="shared" si="13"/>
        <v>-</v>
      </c>
      <c r="AX14" t="str">
        <f t="shared" si="14"/>
        <v/>
      </c>
      <c r="AY14" s="9" t="str">
        <f t="shared" si="15"/>
        <v>-</v>
      </c>
      <c r="AZ14" s="20" t="str">
        <f t="shared" si="34"/>
        <v/>
      </c>
      <c r="BA14" s="20" t="str">
        <f t="shared" si="35"/>
        <v/>
      </c>
      <c r="BB14" s="20" t="str">
        <f t="shared" si="36"/>
        <v/>
      </c>
      <c r="BC14" s="20" t="str">
        <f t="shared" si="37"/>
        <v/>
      </c>
    </row>
    <row r="15" spans="2:55" x14ac:dyDescent="0.3">
      <c r="B15" s="114" t="str">
        <f>""</f>
        <v/>
      </c>
      <c r="C15" s="4">
        <v>12</v>
      </c>
      <c r="D15" s="108" t="str">
        <f t="shared" si="16"/>
        <v/>
      </c>
      <c r="E15" s="3"/>
      <c r="F15" s="109" t="str">
        <f>IFERROR(INDEX('Input - Iceland'!$Y$3:$Y$200,MATCH('Calculations - Iceland'!$C15,'Input - Iceland'!$Z$3:$Z$200,0)),"")</f>
        <v/>
      </c>
      <c r="G15" s="20" t="str">
        <f>IFERROR(INDEX('Input - Iceland'!R$2:R$200,MATCH('Calculations - Iceland'!$D15,'Input - Iceland'!$O$2:$O$200,0)),"")</f>
        <v/>
      </c>
      <c r="H15" s="20" t="str">
        <f>IFERROR(INDEX('Input - Iceland'!S$2:S$200,MATCH('Calculations - Iceland'!$D15,'Input - Iceland'!$O$2:$O$200,0)),"")</f>
        <v/>
      </c>
      <c r="I15" s="27" t="str">
        <f>IFERROR(INDEX('Input - Iceland'!T$2:T$200,MATCH('Calculations - Iceland'!$D15,'Input - Iceland'!$O$2:$O$200,0)),"")</f>
        <v/>
      </c>
      <c r="J15" s="27" t="str">
        <f>IFERROR(INDEX('Input - Iceland'!U$2:U$200,MATCH('Calculations - Iceland'!$D15,'Input - Iceland'!$O$2:$O$200,0)),"")</f>
        <v/>
      </c>
      <c r="K15" s="20" t="str">
        <f>IFERROR(INDEX('Input - Iceland'!V$2:V$200,MATCH('Calculations - Iceland'!$D15,'Input - Iceland'!$O$2:$O$200,0)),"")</f>
        <v/>
      </c>
      <c r="L15" s="20" t="str">
        <f>IFERROR(INDEX('Input - Iceland'!W$2:W$200,MATCH('Calculations - Iceland'!$D15,'Input - Iceland'!$O$2:$O$200,0)),"")</f>
        <v/>
      </c>
      <c r="M15" s="21" t="str">
        <f t="shared" si="17"/>
        <v/>
      </c>
      <c r="N15" s="21" t="str">
        <f t="shared" si="2"/>
        <v/>
      </c>
      <c r="O15" s="21" t="str">
        <f t="shared" si="18"/>
        <v/>
      </c>
      <c r="P15" s="9" t="str">
        <f t="shared" si="3"/>
        <v/>
      </c>
      <c r="Q15" s="9" t="str">
        <f t="shared" si="4"/>
        <v/>
      </c>
      <c r="R15" s="8" t="str">
        <f t="shared" si="5"/>
        <v>-</v>
      </c>
      <c r="S15" s="8" t="str">
        <f t="shared" si="19"/>
        <v>-</v>
      </c>
      <c r="T15" t="str">
        <f t="shared" si="20"/>
        <v>-</v>
      </c>
      <c r="U15" t="str">
        <f t="shared" si="20"/>
        <v>-</v>
      </c>
      <c r="V15" t="str">
        <f t="shared" si="21"/>
        <v>-</v>
      </c>
      <c r="W15" t="str">
        <f t="shared" si="6"/>
        <v>-</v>
      </c>
      <c r="X15" s="10" t="str">
        <f t="shared" si="7"/>
        <v>-</v>
      </c>
      <c r="Y15" s="7" t="str">
        <f t="shared" si="22"/>
        <v/>
      </c>
      <c r="Z15" s="13" t="str">
        <f t="shared" si="23"/>
        <v>-</v>
      </c>
      <c r="AA15" t="str">
        <f t="shared" si="24"/>
        <v>-</v>
      </c>
      <c r="AB15" s="16" t="str">
        <f t="shared" si="8"/>
        <v>-</v>
      </c>
      <c r="AC15" s="16" t="str">
        <f t="shared" si="25"/>
        <v>-</v>
      </c>
      <c r="AD15" s="16" t="str">
        <f t="shared" si="26"/>
        <v>-</v>
      </c>
      <c r="AF15" s="27" t="str" cm="1">
        <f t="array" ref="AF15">IFERROR(SUM(_xlfn._xlws.FILTER($AF$32:$AF$229*$AJ$32:$AJ$229,$B$32:$B$229=D15))/SUM(_xlfn._xlws.FILTER($AJ$32:$AJ$229,$B$32:$B$229=D15)),"-")</f>
        <v>-</v>
      </c>
      <c r="AG15" s="123" t="str">
        <f t="shared" si="27"/>
        <v>-</v>
      </c>
      <c r="AH15" s="124" t="str">
        <f t="shared" si="28"/>
        <v>-</v>
      </c>
      <c r="AI15" s="9" t="str">
        <f t="shared" si="9"/>
        <v/>
      </c>
      <c r="AJ15" s="4" t="str">
        <f t="shared" si="10"/>
        <v/>
      </c>
      <c r="AP15" s="20" t="str">
        <f t="shared" si="11"/>
        <v>-</v>
      </c>
      <c r="AQ15" s="13" t="str">
        <f t="shared" si="29"/>
        <v/>
      </c>
      <c r="AR15" s="9" t="str">
        <f t="shared" si="30"/>
        <v/>
      </c>
      <c r="AS15" s="13" t="str">
        <f t="shared" si="31"/>
        <v/>
      </c>
      <c r="AT15" s="16" t="str">
        <f t="shared" si="32"/>
        <v>-</v>
      </c>
      <c r="AU15" s="16" t="str">
        <f t="shared" si="12"/>
        <v>-</v>
      </c>
      <c r="AV15" s="4" t="str">
        <f t="shared" si="33"/>
        <v>-</v>
      </c>
      <c r="AW15" s="16" t="str">
        <f t="shared" si="13"/>
        <v>-</v>
      </c>
      <c r="AX15" t="str">
        <f t="shared" si="14"/>
        <v/>
      </c>
      <c r="AY15" s="9" t="str">
        <f t="shared" si="15"/>
        <v>-</v>
      </c>
      <c r="AZ15" s="20" t="str">
        <f t="shared" si="34"/>
        <v/>
      </c>
      <c r="BA15" s="20" t="str">
        <f t="shared" si="35"/>
        <v/>
      </c>
      <c r="BB15" s="20" t="str">
        <f t="shared" si="36"/>
        <v/>
      </c>
      <c r="BC15" s="20" t="str">
        <f t="shared" si="37"/>
        <v/>
      </c>
    </row>
    <row r="16" spans="2:55" x14ac:dyDescent="0.3">
      <c r="B16" s="114" t="str">
        <f>""</f>
        <v/>
      </c>
      <c r="C16" s="4">
        <v>13</v>
      </c>
      <c r="D16" s="108" t="str">
        <f t="shared" si="16"/>
        <v/>
      </c>
      <c r="E16" s="3"/>
      <c r="F16" s="109" t="str">
        <f>IFERROR(INDEX('Input - Iceland'!$Y$3:$Y$200,MATCH('Calculations - Iceland'!$C16,'Input - Iceland'!$Z$3:$Z$200,0)),"")</f>
        <v/>
      </c>
      <c r="G16" s="20" t="str">
        <f>IFERROR(INDEX('Input - Iceland'!R$2:R$200,MATCH('Calculations - Iceland'!$D16,'Input - Iceland'!$O$2:$O$200,0)),"")</f>
        <v/>
      </c>
      <c r="H16" s="20" t="str">
        <f>IFERROR(INDEX('Input - Iceland'!S$2:S$200,MATCH('Calculations - Iceland'!$D16,'Input - Iceland'!$O$2:$O$200,0)),"")</f>
        <v/>
      </c>
      <c r="I16" s="27" t="str">
        <f>IFERROR(INDEX('Input - Iceland'!T$2:T$200,MATCH('Calculations - Iceland'!$D16,'Input - Iceland'!$O$2:$O$200,0)),"")</f>
        <v/>
      </c>
      <c r="J16" s="27" t="str">
        <f>IFERROR(INDEX('Input - Iceland'!U$2:U$200,MATCH('Calculations - Iceland'!$D16,'Input - Iceland'!$O$2:$O$200,0)),"")</f>
        <v/>
      </c>
      <c r="K16" s="20" t="str">
        <f>IFERROR(INDEX('Input - Iceland'!V$2:V$200,MATCH('Calculations - Iceland'!$D16,'Input - Iceland'!$O$2:$O$200,0)),"")</f>
        <v/>
      </c>
      <c r="L16" s="20" t="str">
        <f>IFERROR(INDEX('Input - Iceland'!W$2:W$200,MATCH('Calculations - Iceland'!$D16,'Input - Iceland'!$O$2:$O$200,0)),"")</f>
        <v/>
      </c>
      <c r="M16" s="21" t="str">
        <f t="shared" si="17"/>
        <v/>
      </c>
      <c r="N16" s="21" t="str">
        <f t="shared" si="2"/>
        <v/>
      </c>
      <c r="O16" s="21" t="str">
        <f t="shared" si="18"/>
        <v/>
      </c>
      <c r="P16" s="9" t="str">
        <f t="shared" si="3"/>
        <v/>
      </c>
      <c r="Q16" s="9" t="str">
        <f t="shared" si="4"/>
        <v/>
      </c>
      <c r="R16" s="8" t="str">
        <f t="shared" si="5"/>
        <v>-</v>
      </c>
      <c r="S16" s="8" t="str">
        <f t="shared" si="19"/>
        <v>-</v>
      </c>
      <c r="T16" t="str">
        <f t="shared" si="20"/>
        <v>-</v>
      </c>
      <c r="U16" t="str">
        <f t="shared" si="20"/>
        <v>-</v>
      </c>
      <c r="V16" t="str">
        <f t="shared" si="21"/>
        <v>-</v>
      </c>
      <c r="W16" t="str">
        <f t="shared" si="6"/>
        <v>-</v>
      </c>
      <c r="X16" s="10" t="str">
        <f t="shared" si="7"/>
        <v>-</v>
      </c>
      <c r="Y16" s="7" t="str">
        <f t="shared" si="22"/>
        <v/>
      </c>
      <c r="Z16" s="13" t="str">
        <f t="shared" si="23"/>
        <v>-</v>
      </c>
      <c r="AA16" t="str">
        <f t="shared" si="24"/>
        <v>-</v>
      </c>
      <c r="AB16" s="16" t="str">
        <f t="shared" si="8"/>
        <v>-</v>
      </c>
      <c r="AC16" s="16" t="str">
        <f t="shared" si="25"/>
        <v>-</v>
      </c>
      <c r="AD16" s="16" t="str">
        <f t="shared" si="26"/>
        <v>-</v>
      </c>
      <c r="AF16" s="27" t="str" cm="1">
        <f t="array" ref="AF16">IFERROR(SUM(_xlfn._xlws.FILTER($AF$32:$AF$229*$AJ$32:$AJ$229,$B$32:$B$229=D16))/SUM(_xlfn._xlws.FILTER($AJ$32:$AJ$229,$B$32:$B$229=D16)),"-")</f>
        <v>-</v>
      </c>
      <c r="AG16" s="123" t="str">
        <f t="shared" si="27"/>
        <v>-</v>
      </c>
      <c r="AH16" s="124" t="str">
        <f t="shared" si="28"/>
        <v>-</v>
      </c>
      <c r="AI16" s="9" t="str">
        <f t="shared" si="9"/>
        <v/>
      </c>
      <c r="AJ16" s="4" t="str">
        <f t="shared" si="10"/>
        <v/>
      </c>
      <c r="AP16" s="20" t="str">
        <f t="shared" si="11"/>
        <v>-</v>
      </c>
      <c r="AQ16" s="13" t="str">
        <f t="shared" si="29"/>
        <v/>
      </c>
      <c r="AR16" s="9" t="str">
        <f t="shared" si="30"/>
        <v/>
      </c>
      <c r="AS16" s="13" t="str">
        <f t="shared" si="31"/>
        <v/>
      </c>
      <c r="AT16" s="16" t="str">
        <f t="shared" si="32"/>
        <v>-</v>
      </c>
      <c r="AU16" s="16" t="str">
        <f t="shared" si="12"/>
        <v>-</v>
      </c>
      <c r="AV16" s="4" t="str">
        <f t="shared" si="33"/>
        <v>-</v>
      </c>
      <c r="AW16" s="16" t="str">
        <f t="shared" si="13"/>
        <v>-</v>
      </c>
      <c r="AX16" t="str">
        <f t="shared" si="14"/>
        <v/>
      </c>
      <c r="AY16" s="9" t="str">
        <f t="shared" si="15"/>
        <v>-</v>
      </c>
      <c r="AZ16" s="20" t="str">
        <f t="shared" si="34"/>
        <v/>
      </c>
      <c r="BA16" s="20" t="str">
        <f t="shared" si="35"/>
        <v/>
      </c>
      <c r="BB16" s="20" t="str">
        <f t="shared" si="36"/>
        <v/>
      </c>
      <c r="BC16" s="20" t="str">
        <f t="shared" si="37"/>
        <v/>
      </c>
    </row>
    <row r="17" spans="2:68" x14ac:dyDescent="0.3">
      <c r="B17" s="114" t="str">
        <f>""</f>
        <v/>
      </c>
      <c r="C17" s="4">
        <v>14</v>
      </c>
      <c r="D17" s="108" t="str">
        <f t="shared" si="16"/>
        <v/>
      </c>
      <c r="E17" s="3"/>
      <c r="F17" s="109" t="str">
        <f>IFERROR(INDEX('Input - Iceland'!$Y$3:$Y$200,MATCH('Calculations - Iceland'!$C17,'Input - Iceland'!$Z$3:$Z$200,0)),"")</f>
        <v/>
      </c>
      <c r="G17" s="20" t="str">
        <f>IFERROR(INDEX('Input - Iceland'!R$2:R$200,MATCH('Calculations - Iceland'!$D17,'Input - Iceland'!$O$2:$O$200,0)),"")</f>
        <v/>
      </c>
      <c r="H17" s="20" t="str">
        <f>IFERROR(INDEX('Input - Iceland'!S$2:S$200,MATCH('Calculations - Iceland'!$D17,'Input - Iceland'!$O$2:$O$200,0)),"")</f>
        <v/>
      </c>
      <c r="I17" s="27" t="str">
        <f>IFERROR(INDEX('Input - Iceland'!T$2:T$200,MATCH('Calculations - Iceland'!$D17,'Input - Iceland'!$O$2:$O$200,0)),"")</f>
        <v/>
      </c>
      <c r="J17" s="27" t="str">
        <f>IFERROR(INDEX('Input - Iceland'!U$2:U$200,MATCH('Calculations - Iceland'!$D17,'Input - Iceland'!$O$2:$O$200,0)),"")</f>
        <v/>
      </c>
      <c r="K17" s="20" t="str">
        <f>IFERROR(INDEX('Input - Iceland'!V$2:V$200,MATCH('Calculations - Iceland'!$D17,'Input - Iceland'!$O$2:$O$200,0)),"")</f>
        <v/>
      </c>
      <c r="L17" s="20" t="str">
        <f>IFERROR(INDEX('Input - Iceland'!W$2:W$200,MATCH('Calculations - Iceland'!$D17,'Input - Iceland'!$O$2:$O$200,0)),"")</f>
        <v/>
      </c>
      <c r="M17" s="21" t="str">
        <f t="shared" si="17"/>
        <v/>
      </c>
      <c r="N17" s="21" t="str">
        <f t="shared" si="2"/>
        <v/>
      </c>
      <c r="O17" s="21" t="str">
        <f t="shared" si="18"/>
        <v/>
      </c>
      <c r="P17" s="9" t="str">
        <f t="shared" si="3"/>
        <v/>
      </c>
      <c r="Q17" s="9" t="str">
        <f t="shared" si="4"/>
        <v/>
      </c>
      <c r="R17" s="8" t="str">
        <f t="shared" si="5"/>
        <v>-</v>
      </c>
      <c r="S17" s="8" t="str">
        <f t="shared" si="19"/>
        <v>-</v>
      </c>
      <c r="T17" t="str">
        <f t="shared" si="20"/>
        <v>-</v>
      </c>
      <c r="U17" t="str">
        <f t="shared" si="20"/>
        <v>-</v>
      </c>
      <c r="V17" t="str">
        <f t="shared" si="21"/>
        <v>-</v>
      </c>
      <c r="W17" t="str">
        <f t="shared" si="6"/>
        <v>-</v>
      </c>
      <c r="X17" s="10" t="str">
        <f t="shared" si="7"/>
        <v>-</v>
      </c>
      <c r="Y17" s="7" t="str">
        <f t="shared" si="22"/>
        <v/>
      </c>
      <c r="Z17" s="13" t="str">
        <f t="shared" si="23"/>
        <v>-</v>
      </c>
      <c r="AA17" t="str">
        <f t="shared" si="24"/>
        <v>-</v>
      </c>
      <c r="AB17" s="16" t="str">
        <f t="shared" si="8"/>
        <v>-</v>
      </c>
      <c r="AC17" s="16" t="str">
        <f t="shared" si="25"/>
        <v>-</v>
      </c>
      <c r="AD17" s="16" t="str">
        <f t="shared" si="26"/>
        <v>-</v>
      </c>
      <c r="AF17" s="27" t="str" cm="1">
        <f t="array" ref="AF17">IFERROR(SUM(_xlfn._xlws.FILTER($AF$32:$AF$229*$AJ$32:$AJ$229,$B$32:$B$229=D17))/SUM(_xlfn._xlws.FILTER($AJ$32:$AJ$229,$B$32:$B$229=D17)),"-")</f>
        <v>-</v>
      </c>
      <c r="AG17" s="123" t="str">
        <f t="shared" si="27"/>
        <v>-</v>
      </c>
      <c r="AH17" s="124" t="str">
        <f t="shared" si="28"/>
        <v>-</v>
      </c>
      <c r="AI17" s="9" t="str">
        <f t="shared" si="9"/>
        <v/>
      </c>
      <c r="AJ17" s="4" t="str">
        <f t="shared" si="10"/>
        <v/>
      </c>
      <c r="AP17" s="20" t="str">
        <f t="shared" si="11"/>
        <v>-</v>
      </c>
      <c r="AQ17" s="13" t="str">
        <f t="shared" si="29"/>
        <v/>
      </c>
      <c r="AR17" s="9" t="str">
        <f t="shared" si="30"/>
        <v/>
      </c>
      <c r="AS17" s="13" t="str">
        <f t="shared" si="31"/>
        <v/>
      </c>
      <c r="AT17" s="16" t="str">
        <f t="shared" si="32"/>
        <v>-</v>
      </c>
      <c r="AU17" s="16" t="str">
        <f t="shared" si="12"/>
        <v>-</v>
      </c>
      <c r="AV17" s="4" t="str">
        <f t="shared" si="33"/>
        <v>-</v>
      </c>
      <c r="AW17" s="16" t="str">
        <f t="shared" si="13"/>
        <v>-</v>
      </c>
      <c r="AX17" t="str">
        <f t="shared" si="14"/>
        <v/>
      </c>
      <c r="AY17" s="9" t="str">
        <f t="shared" si="15"/>
        <v>-</v>
      </c>
      <c r="AZ17" s="20" t="str">
        <f t="shared" si="34"/>
        <v/>
      </c>
      <c r="BA17" s="20" t="str">
        <f t="shared" si="35"/>
        <v/>
      </c>
      <c r="BB17" s="20" t="str">
        <f t="shared" si="36"/>
        <v/>
      </c>
      <c r="BC17" s="20" t="str">
        <f t="shared" si="37"/>
        <v/>
      </c>
    </row>
    <row r="18" spans="2:68" x14ac:dyDescent="0.3">
      <c r="B18" s="114" t="str">
        <f>""</f>
        <v/>
      </c>
      <c r="C18" s="4">
        <v>15</v>
      </c>
      <c r="D18" s="108" t="str">
        <f t="shared" si="16"/>
        <v/>
      </c>
      <c r="E18" s="3"/>
      <c r="F18" s="109" t="str">
        <f>IFERROR(INDEX('Input - Iceland'!$Y$3:$Y$200,MATCH('Calculations - Iceland'!$C18,'Input - Iceland'!$Z$3:$Z$200,0)),"")</f>
        <v/>
      </c>
      <c r="G18" s="20" t="str">
        <f>IFERROR(INDEX('Input - Iceland'!R$2:R$200,MATCH('Calculations - Iceland'!$D18,'Input - Iceland'!$O$2:$O$200,0)),"")</f>
        <v/>
      </c>
      <c r="H18" s="20" t="str">
        <f>IFERROR(INDEX('Input - Iceland'!S$2:S$200,MATCH('Calculations - Iceland'!$D18,'Input - Iceland'!$O$2:$O$200,0)),"")</f>
        <v/>
      </c>
      <c r="I18" s="27" t="str">
        <f>IFERROR(INDEX('Input - Iceland'!T$2:T$200,MATCH('Calculations - Iceland'!$D18,'Input - Iceland'!$O$2:$O$200,0)),"")</f>
        <v/>
      </c>
      <c r="J18" s="27" t="str">
        <f>IFERROR(INDEX('Input - Iceland'!U$2:U$200,MATCH('Calculations - Iceland'!$D18,'Input - Iceland'!$O$2:$O$200,0)),"")</f>
        <v/>
      </c>
      <c r="K18" s="20" t="str">
        <f>IFERROR(INDEX('Input - Iceland'!V$2:V$200,MATCH('Calculations - Iceland'!$D18,'Input - Iceland'!$O$2:$O$200,0)),"")</f>
        <v/>
      </c>
      <c r="L18" s="20" t="str">
        <f>IFERROR(INDEX('Input - Iceland'!W$2:W$200,MATCH('Calculations - Iceland'!$D18,'Input - Iceland'!$O$2:$O$200,0)),"")</f>
        <v/>
      </c>
      <c r="M18" s="21" t="str">
        <f t="shared" si="17"/>
        <v/>
      </c>
      <c r="N18" s="21" t="str">
        <f t="shared" si="2"/>
        <v/>
      </c>
      <c r="O18" s="21" t="str">
        <f t="shared" si="18"/>
        <v/>
      </c>
      <c r="P18" s="9" t="str">
        <f t="shared" si="3"/>
        <v/>
      </c>
      <c r="Q18" s="9" t="str">
        <f t="shared" si="4"/>
        <v/>
      </c>
      <c r="R18" s="8" t="str">
        <f t="shared" si="5"/>
        <v>-</v>
      </c>
      <c r="S18" s="8" t="str">
        <f t="shared" si="19"/>
        <v>-</v>
      </c>
      <c r="T18" t="str">
        <f t="shared" si="20"/>
        <v>-</v>
      </c>
      <c r="U18" t="str">
        <f t="shared" si="20"/>
        <v>-</v>
      </c>
      <c r="V18" t="str">
        <f t="shared" si="21"/>
        <v>-</v>
      </c>
      <c r="W18" t="str">
        <f t="shared" si="6"/>
        <v>-</v>
      </c>
      <c r="X18" s="10" t="str">
        <f t="shared" si="7"/>
        <v>-</v>
      </c>
      <c r="Y18" s="7" t="str">
        <f t="shared" si="22"/>
        <v/>
      </c>
      <c r="Z18" s="13" t="str">
        <f t="shared" si="23"/>
        <v>-</v>
      </c>
      <c r="AA18" t="str">
        <f t="shared" si="24"/>
        <v>-</v>
      </c>
      <c r="AB18" s="16" t="str">
        <f t="shared" si="8"/>
        <v>-</v>
      </c>
      <c r="AC18" s="16" t="str">
        <f t="shared" si="25"/>
        <v>-</v>
      </c>
      <c r="AD18" s="16" t="str">
        <f t="shared" si="26"/>
        <v>-</v>
      </c>
      <c r="AF18" s="27" t="str" cm="1">
        <f t="array" ref="AF18">IFERROR(SUM(_xlfn._xlws.FILTER($AF$32:$AF$229*$AJ$32:$AJ$229,$B$32:$B$229=D18))/SUM(_xlfn._xlws.FILTER($AJ$32:$AJ$229,$B$32:$B$229=D18)),"-")</f>
        <v>-</v>
      </c>
      <c r="AG18" s="123" t="str">
        <f t="shared" si="27"/>
        <v>-</v>
      </c>
      <c r="AH18" s="124" t="str">
        <f t="shared" si="28"/>
        <v>-</v>
      </c>
      <c r="AI18" s="9" t="str">
        <f t="shared" si="9"/>
        <v/>
      </c>
      <c r="AJ18" s="4" t="str">
        <f t="shared" si="10"/>
        <v/>
      </c>
      <c r="AP18" s="20" t="str">
        <f t="shared" si="11"/>
        <v>-</v>
      </c>
      <c r="AQ18" s="13" t="str">
        <f t="shared" si="29"/>
        <v/>
      </c>
      <c r="AR18" s="9" t="str">
        <f t="shared" si="30"/>
        <v/>
      </c>
      <c r="AS18" s="13" t="str">
        <f t="shared" si="31"/>
        <v/>
      </c>
      <c r="AT18" s="16" t="str">
        <f t="shared" si="32"/>
        <v>-</v>
      </c>
      <c r="AU18" s="16" t="str">
        <f t="shared" si="12"/>
        <v>-</v>
      </c>
      <c r="AV18" s="4" t="str">
        <f t="shared" si="33"/>
        <v>-</v>
      </c>
      <c r="AW18" s="16" t="str">
        <f t="shared" si="13"/>
        <v>-</v>
      </c>
      <c r="AX18" t="str">
        <f t="shared" si="14"/>
        <v/>
      </c>
      <c r="AY18" s="9" t="str">
        <f t="shared" si="15"/>
        <v>-</v>
      </c>
      <c r="AZ18" s="20" t="str">
        <f t="shared" si="34"/>
        <v/>
      </c>
      <c r="BA18" s="20" t="str">
        <f t="shared" si="35"/>
        <v/>
      </c>
      <c r="BB18" s="20" t="str">
        <f t="shared" si="36"/>
        <v/>
      </c>
      <c r="BC18" s="20" t="str">
        <f t="shared" si="37"/>
        <v/>
      </c>
    </row>
    <row r="19" spans="2:68" x14ac:dyDescent="0.3">
      <c r="B19" s="114" t="str">
        <f>""</f>
        <v/>
      </c>
      <c r="C19" s="4">
        <v>16</v>
      </c>
      <c r="D19" s="108" t="str">
        <f t="shared" si="16"/>
        <v/>
      </c>
      <c r="E19" s="3"/>
      <c r="F19" s="109" t="str">
        <f>IFERROR(INDEX('Input - Iceland'!$Y$3:$Y$200,MATCH('Calculations - Iceland'!$C19,'Input - Iceland'!$Z$3:$Z$200,0)),"")</f>
        <v/>
      </c>
      <c r="G19" s="20" t="str">
        <f>IFERROR(INDEX('Input - Iceland'!R$2:R$200,MATCH('Calculations - Iceland'!$D19,'Input - Iceland'!$O$2:$O$200,0)),"")</f>
        <v/>
      </c>
      <c r="H19" s="20" t="str">
        <f>IFERROR(INDEX('Input - Iceland'!S$2:S$200,MATCH('Calculations - Iceland'!$D19,'Input - Iceland'!$O$2:$O$200,0)),"")</f>
        <v/>
      </c>
      <c r="I19" s="27" t="str">
        <f>IFERROR(INDEX('Input - Iceland'!T$2:T$200,MATCH('Calculations - Iceland'!$D19,'Input - Iceland'!$O$2:$O$200,0)),"")</f>
        <v/>
      </c>
      <c r="J19" s="27" t="str">
        <f>IFERROR(INDEX('Input - Iceland'!U$2:U$200,MATCH('Calculations - Iceland'!$D19,'Input - Iceland'!$O$2:$O$200,0)),"")</f>
        <v/>
      </c>
      <c r="K19" s="20" t="str">
        <f>IFERROR(INDEX('Input - Iceland'!V$2:V$200,MATCH('Calculations - Iceland'!$D19,'Input - Iceland'!$O$2:$O$200,0)),"")</f>
        <v/>
      </c>
      <c r="L19" s="20" t="str">
        <f>IFERROR(INDEX('Input - Iceland'!W$2:W$200,MATCH('Calculations - Iceland'!$D19,'Input - Iceland'!$O$2:$O$200,0)),"")</f>
        <v/>
      </c>
      <c r="M19" s="21" t="str">
        <f t="shared" si="17"/>
        <v/>
      </c>
      <c r="N19" s="21" t="str">
        <f t="shared" si="2"/>
        <v/>
      </c>
      <c r="O19" s="21" t="str">
        <f t="shared" si="18"/>
        <v/>
      </c>
      <c r="P19" s="9" t="str">
        <f t="shared" si="3"/>
        <v/>
      </c>
      <c r="Q19" s="9" t="str">
        <f t="shared" si="4"/>
        <v/>
      </c>
      <c r="R19" s="8" t="str">
        <f t="shared" si="5"/>
        <v>-</v>
      </c>
      <c r="S19" s="8" t="str">
        <f t="shared" si="19"/>
        <v>-</v>
      </c>
      <c r="T19" t="str">
        <f t="shared" si="20"/>
        <v>-</v>
      </c>
      <c r="U19" t="str">
        <f t="shared" si="20"/>
        <v>-</v>
      </c>
      <c r="V19" t="str">
        <f t="shared" si="21"/>
        <v>-</v>
      </c>
      <c r="W19" t="str">
        <f t="shared" si="6"/>
        <v>-</v>
      </c>
      <c r="X19" s="10" t="str">
        <f t="shared" si="7"/>
        <v>-</v>
      </c>
      <c r="Y19" s="7" t="str">
        <f t="shared" si="22"/>
        <v/>
      </c>
      <c r="Z19" s="13" t="str">
        <f t="shared" si="23"/>
        <v>-</v>
      </c>
      <c r="AA19" t="str">
        <f t="shared" si="24"/>
        <v>-</v>
      </c>
      <c r="AB19" s="16" t="str">
        <f t="shared" si="8"/>
        <v>-</v>
      </c>
      <c r="AC19" s="16" t="str">
        <f t="shared" si="25"/>
        <v>-</v>
      </c>
      <c r="AD19" s="16" t="str">
        <f t="shared" si="26"/>
        <v>-</v>
      </c>
      <c r="AF19" s="27" t="str" cm="1">
        <f t="array" ref="AF19">IFERROR(SUM(_xlfn._xlws.FILTER($AF$32:$AF$229*$AJ$32:$AJ$229,$B$32:$B$229=D19))/SUM(_xlfn._xlws.FILTER($AJ$32:$AJ$229,$B$32:$B$229=D19)),"-")</f>
        <v>-</v>
      </c>
      <c r="AG19" s="123" t="str">
        <f t="shared" si="27"/>
        <v>-</v>
      </c>
      <c r="AH19" s="124" t="str">
        <f t="shared" si="28"/>
        <v>-</v>
      </c>
      <c r="AI19" s="9" t="str">
        <f t="shared" si="9"/>
        <v/>
      </c>
      <c r="AJ19" s="4" t="str">
        <f t="shared" si="10"/>
        <v/>
      </c>
      <c r="AP19" s="20" t="str">
        <f t="shared" si="11"/>
        <v>-</v>
      </c>
      <c r="AQ19" s="13" t="str">
        <f t="shared" si="29"/>
        <v/>
      </c>
      <c r="AR19" s="9" t="str">
        <f t="shared" si="30"/>
        <v/>
      </c>
      <c r="AS19" s="13" t="str">
        <f t="shared" si="31"/>
        <v/>
      </c>
      <c r="AT19" s="16" t="str">
        <f t="shared" si="32"/>
        <v>-</v>
      </c>
      <c r="AU19" s="16" t="str">
        <f t="shared" si="12"/>
        <v>-</v>
      </c>
      <c r="AV19" s="4" t="str">
        <f t="shared" si="33"/>
        <v>-</v>
      </c>
      <c r="AW19" s="16" t="str">
        <f t="shared" si="13"/>
        <v>-</v>
      </c>
      <c r="AX19" t="str">
        <f t="shared" si="14"/>
        <v/>
      </c>
      <c r="AY19" s="9" t="str">
        <f t="shared" si="15"/>
        <v>-</v>
      </c>
      <c r="AZ19" s="20" t="str">
        <f t="shared" si="34"/>
        <v/>
      </c>
      <c r="BA19" s="20" t="str">
        <f t="shared" si="35"/>
        <v/>
      </c>
      <c r="BB19" s="20" t="str">
        <f t="shared" si="36"/>
        <v/>
      </c>
      <c r="BC19" s="20" t="str">
        <f t="shared" si="37"/>
        <v/>
      </c>
    </row>
    <row r="20" spans="2:68" x14ac:dyDescent="0.3">
      <c r="B20" s="114" t="str">
        <f>""</f>
        <v/>
      </c>
      <c r="C20" s="4">
        <v>17</v>
      </c>
      <c r="D20" s="108" t="str">
        <f t="shared" si="16"/>
        <v/>
      </c>
      <c r="E20" s="3"/>
      <c r="F20" s="109" t="str">
        <f>IFERROR(INDEX('Input - Iceland'!$Y$3:$Y$200,MATCH('Calculations - Iceland'!$C20,'Input - Iceland'!$Z$3:$Z$200,0)),"")</f>
        <v/>
      </c>
      <c r="G20" s="20" t="str">
        <f>IFERROR(INDEX('Input - Iceland'!R$2:R$200,MATCH('Calculations - Iceland'!$D20,'Input - Iceland'!$O$2:$O$200,0)),"")</f>
        <v/>
      </c>
      <c r="H20" s="20" t="str">
        <f>IFERROR(INDEX('Input - Iceland'!S$2:S$200,MATCH('Calculations - Iceland'!$D20,'Input - Iceland'!$O$2:$O$200,0)),"")</f>
        <v/>
      </c>
      <c r="I20" s="27" t="str">
        <f>IFERROR(INDEX('Input - Iceland'!T$2:T$200,MATCH('Calculations - Iceland'!$D20,'Input - Iceland'!$O$2:$O$200,0)),"")</f>
        <v/>
      </c>
      <c r="J20" s="27" t="str">
        <f>IFERROR(INDEX('Input - Iceland'!U$2:U$200,MATCH('Calculations - Iceland'!$D20,'Input - Iceland'!$O$2:$O$200,0)),"")</f>
        <v/>
      </c>
      <c r="K20" s="20" t="str">
        <f>IFERROR(INDEX('Input - Iceland'!V$2:V$200,MATCH('Calculations - Iceland'!$D20,'Input - Iceland'!$O$2:$O$200,0)),"")</f>
        <v/>
      </c>
      <c r="L20" s="20" t="str">
        <f>IFERROR(INDEX('Input - Iceland'!W$2:W$200,MATCH('Calculations - Iceland'!$D20,'Input - Iceland'!$O$2:$O$200,0)),"")</f>
        <v/>
      </c>
      <c r="M20" s="21" t="str">
        <f t="shared" si="17"/>
        <v/>
      </c>
      <c r="N20" s="21" t="str">
        <f t="shared" si="2"/>
        <v/>
      </c>
      <c r="O20" s="21" t="str">
        <f t="shared" si="18"/>
        <v/>
      </c>
      <c r="P20" s="9" t="str">
        <f t="shared" si="3"/>
        <v/>
      </c>
      <c r="Q20" s="9" t="str">
        <f t="shared" si="4"/>
        <v/>
      </c>
      <c r="R20" s="8" t="str">
        <f t="shared" si="5"/>
        <v>-</v>
      </c>
      <c r="S20" s="8" t="str">
        <f t="shared" si="19"/>
        <v>-</v>
      </c>
      <c r="T20" t="str">
        <f t="shared" si="20"/>
        <v>-</v>
      </c>
      <c r="U20" t="str">
        <f t="shared" si="20"/>
        <v>-</v>
      </c>
      <c r="V20" t="str">
        <f t="shared" si="21"/>
        <v>-</v>
      </c>
      <c r="W20" t="str">
        <f t="shared" si="6"/>
        <v>-</v>
      </c>
      <c r="X20" s="10" t="str">
        <f t="shared" si="7"/>
        <v>-</v>
      </c>
      <c r="Y20" s="7" t="str">
        <f t="shared" si="22"/>
        <v/>
      </c>
      <c r="Z20" s="13" t="str">
        <f t="shared" si="23"/>
        <v>-</v>
      </c>
      <c r="AA20" t="str">
        <f t="shared" si="24"/>
        <v>-</v>
      </c>
      <c r="AB20" s="16" t="str">
        <f t="shared" si="8"/>
        <v>-</v>
      </c>
      <c r="AC20" s="16" t="str">
        <f t="shared" si="25"/>
        <v>-</v>
      </c>
      <c r="AD20" s="16" t="str">
        <f t="shared" si="26"/>
        <v>-</v>
      </c>
      <c r="AF20" s="27" t="str" cm="1">
        <f t="array" ref="AF20">IFERROR(SUM(_xlfn._xlws.FILTER($AF$32:$AF$229*$AJ$32:$AJ$229,$B$32:$B$229=D20))/SUM(_xlfn._xlws.FILTER($AJ$32:$AJ$229,$B$32:$B$229=D20)),"-")</f>
        <v>-</v>
      </c>
      <c r="AG20" s="123" t="str">
        <f t="shared" si="27"/>
        <v>-</v>
      </c>
      <c r="AH20" s="124" t="str">
        <f t="shared" si="28"/>
        <v>-</v>
      </c>
      <c r="AI20" s="9" t="str">
        <f t="shared" si="9"/>
        <v/>
      </c>
      <c r="AJ20" s="4" t="str">
        <f t="shared" si="10"/>
        <v/>
      </c>
      <c r="AP20" s="20" t="str">
        <f t="shared" si="11"/>
        <v>-</v>
      </c>
      <c r="AQ20" s="13" t="str">
        <f t="shared" si="29"/>
        <v/>
      </c>
      <c r="AR20" s="9" t="str">
        <f t="shared" si="30"/>
        <v/>
      </c>
      <c r="AS20" s="13" t="str">
        <f t="shared" si="31"/>
        <v/>
      </c>
      <c r="AT20" s="16" t="str">
        <f t="shared" si="32"/>
        <v>-</v>
      </c>
      <c r="AU20" s="16" t="str">
        <f t="shared" si="12"/>
        <v>-</v>
      </c>
      <c r="AV20" s="4" t="str">
        <f t="shared" si="33"/>
        <v>-</v>
      </c>
      <c r="AW20" s="16" t="str">
        <f t="shared" si="13"/>
        <v>-</v>
      </c>
      <c r="AX20" t="str">
        <f t="shared" si="14"/>
        <v/>
      </c>
      <c r="AY20" s="9" t="str">
        <f t="shared" si="15"/>
        <v>-</v>
      </c>
      <c r="AZ20" s="20" t="str">
        <f t="shared" si="34"/>
        <v/>
      </c>
      <c r="BA20" s="20" t="str">
        <f t="shared" si="35"/>
        <v/>
      </c>
      <c r="BB20" s="20" t="str">
        <f t="shared" si="36"/>
        <v/>
      </c>
      <c r="BC20" s="20" t="str">
        <f t="shared" si="37"/>
        <v/>
      </c>
    </row>
    <row r="21" spans="2:68" x14ac:dyDescent="0.3">
      <c r="B21" s="114" t="str">
        <f>""</f>
        <v/>
      </c>
      <c r="C21" s="4">
        <v>18</v>
      </c>
      <c r="D21" s="108" t="str">
        <f t="shared" si="16"/>
        <v/>
      </c>
      <c r="E21" s="3"/>
      <c r="F21" s="109" t="str">
        <f>IFERROR(INDEX('Input - Iceland'!$Y$3:$Y$200,MATCH('Calculations - Iceland'!$C21,'Input - Iceland'!$Z$3:$Z$200,0)),"")</f>
        <v/>
      </c>
      <c r="G21" s="20" t="str">
        <f>IFERROR(INDEX('Input - Iceland'!R$2:R$200,MATCH('Calculations - Iceland'!$D21,'Input - Iceland'!$O$2:$O$200,0)),"")</f>
        <v/>
      </c>
      <c r="H21" s="20" t="str">
        <f>IFERROR(INDEX('Input - Iceland'!S$2:S$200,MATCH('Calculations - Iceland'!$D21,'Input - Iceland'!$O$2:$O$200,0)),"")</f>
        <v/>
      </c>
      <c r="I21" s="27" t="str">
        <f>IFERROR(INDEX('Input - Iceland'!T$2:T$200,MATCH('Calculations - Iceland'!$D21,'Input - Iceland'!$O$2:$O$200,0)),"")</f>
        <v/>
      </c>
      <c r="J21" s="27" t="str">
        <f>IFERROR(INDEX('Input - Iceland'!U$2:U$200,MATCH('Calculations - Iceland'!$D21,'Input - Iceland'!$O$2:$O$200,0)),"")</f>
        <v/>
      </c>
      <c r="K21" s="20" t="str">
        <f>IFERROR(INDEX('Input - Iceland'!V$2:V$200,MATCH('Calculations - Iceland'!$D21,'Input - Iceland'!$O$2:$O$200,0)),"")</f>
        <v/>
      </c>
      <c r="L21" s="20" t="str">
        <f>IFERROR(INDEX('Input - Iceland'!W$2:W$200,MATCH('Calculations - Iceland'!$D21,'Input - Iceland'!$O$2:$O$200,0)),"")</f>
        <v/>
      </c>
      <c r="M21" s="21" t="str">
        <f t="shared" si="17"/>
        <v/>
      </c>
      <c r="N21" s="21" t="str">
        <f t="shared" si="2"/>
        <v/>
      </c>
      <c r="O21" s="21" t="str">
        <f t="shared" si="18"/>
        <v/>
      </c>
      <c r="P21" s="9" t="str">
        <f t="shared" si="3"/>
        <v/>
      </c>
      <c r="Q21" s="9" t="str">
        <f t="shared" si="4"/>
        <v/>
      </c>
      <c r="R21" s="8" t="str">
        <f t="shared" si="5"/>
        <v>-</v>
      </c>
      <c r="S21" s="8" t="str">
        <f t="shared" si="19"/>
        <v>-</v>
      </c>
      <c r="T21" t="str">
        <f t="shared" si="20"/>
        <v>-</v>
      </c>
      <c r="U21" t="str">
        <f t="shared" si="20"/>
        <v>-</v>
      </c>
      <c r="V21" t="str">
        <f t="shared" si="21"/>
        <v>-</v>
      </c>
      <c r="W21" t="str">
        <f t="shared" si="6"/>
        <v>-</v>
      </c>
      <c r="X21" s="10" t="str">
        <f t="shared" si="7"/>
        <v>-</v>
      </c>
      <c r="Y21" s="7" t="str">
        <f t="shared" si="22"/>
        <v/>
      </c>
      <c r="Z21" s="13" t="str">
        <f t="shared" si="23"/>
        <v>-</v>
      </c>
      <c r="AA21" t="str">
        <f t="shared" si="24"/>
        <v>-</v>
      </c>
      <c r="AB21" s="16" t="str">
        <f t="shared" si="8"/>
        <v>-</v>
      </c>
      <c r="AC21" s="16" t="str">
        <f t="shared" si="25"/>
        <v>-</v>
      </c>
      <c r="AD21" s="16" t="str">
        <f t="shared" si="26"/>
        <v>-</v>
      </c>
      <c r="AF21" s="27" t="str" cm="1">
        <f t="array" ref="AF21">IFERROR(SUM(_xlfn._xlws.FILTER($AF$32:$AF$229*$AJ$32:$AJ$229,$B$32:$B$229=D21))/SUM(_xlfn._xlws.FILTER($AJ$32:$AJ$229,$B$32:$B$229=D21)),"-")</f>
        <v>-</v>
      </c>
      <c r="AG21" s="123" t="str">
        <f t="shared" si="27"/>
        <v>-</v>
      </c>
      <c r="AH21" s="124" t="str">
        <f t="shared" si="28"/>
        <v>-</v>
      </c>
      <c r="AI21" s="9" t="str">
        <f t="shared" si="9"/>
        <v/>
      </c>
      <c r="AJ21" s="4" t="str">
        <f t="shared" si="10"/>
        <v/>
      </c>
      <c r="AP21" s="20" t="str">
        <f t="shared" si="11"/>
        <v>-</v>
      </c>
      <c r="AQ21" s="13" t="str">
        <f t="shared" si="29"/>
        <v/>
      </c>
      <c r="AR21" s="9" t="str">
        <f t="shared" si="30"/>
        <v/>
      </c>
      <c r="AS21" s="13" t="str">
        <f t="shared" si="31"/>
        <v/>
      </c>
      <c r="AT21" s="16" t="str">
        <f t="shared" si="32"/>
        <v>-</v>
      </c>
      <c r="AU21" s="16" t="str">
        <f t="shared" si="12"/>
        <v>-</v>
      </c>
      <c r="AV21" s="4" t="str">
        <f t="shared" si="33"/>
        <v>-</v>
      </c>
      <c r="AW21" s="16" t="str">
        <f t="shared" si="13"/>
        <v>-</v>
      </c>
      <c r="AX21" t="str">
        <f t="shared" si="14"/>
        <v/>
      </c>
      <c r="AY21" s="9" t="str">
        <f t="shared" si="15"/>
        <v>-</v>
      </c>
      <c r="AZ21" s="20" t="str">
        <f t="shared" si="34"/>
        <v/>
      </c>
      <c r="BA21" s="20" t="str">
        <f t="shared" si="35"/>
        <v/>
      </c>
      <c r="BB21" s="20" t="str">
        <f t="shared" si="36"/>
        <v/>
      </c>
      <c r="BC21" s="20" t="str">
        <f t="shared" si="37"/>
        <v/>
      </c>
    </row>
    <row r="22" spans="2:68" x14ac:dyDescent="0.3">
      <c r="B22" s="114" t="str">
        <f>""</f>
        <v/>
      </c>
      <c r="C22" s="4">
        <v>19</v>
      </c>
      <c r="D22" s="108" t="str">
        <f t="shared" si="16"/>
        <v/>
      </c>
      <c r="E22" s="3"/>
      <c r="F22" s="109" t="str">
        <f>IFERROR(INDEX('Input - Iceland'!$Y$3:$Y$200,MATCH('Calculations - Iceland'!$C22,'Input - Iceland'!$Z$3:$Z$200,0)),"")</f>
        <v/>
      </c>
      <c r="G22" s="20" t="str">
        <f>IFERROR(INDEX('Input - Iceland'!R$2:R$200,MATCH('Calculations - Iceland'!$D22,'Input - Iceland'!$O$2:$O$200,0)),"")</f>
        <v/>
      </c>
      <c r="H22" s="20" t="str">
        <f>IFERROR(INDEX('Input - Iceland'!S$2:S$200,MATCH('Calculations - Iceland'!$D22,'Input - Iceland'!$O$2:$O$200,0)),"")</f>
        <v/>
      </c>
      <c r="I22" s="27" t="str">
        <f>IFERROR(INDEX('Input - Iceland'!T$2:T$200,MATCH('Calculations - Iceland'!$D22,'Input - Iceland'!$O$2:$O$200,0)),"")</f>
        <v/>
      </c>
      <c r="J22" s="27" t="str">
        <f>IFERROR(INDEX('Input - Iceland'!U$2:U$200,MATCH('Calculations - Iceland'!$D22,'Input - Iceland'!$O$2:$O$200,0)),"")</f>
        <v/>
      </c>
      <c r="K22" s="20" t="str">
        <f>IFERROR(INDEX('Input - Iceland'!V$2:V$200,MATCH('Calculations - Iceland'!$D22,'Input - Iceland'!$O$2:$O$200,0)),"")</f>
        <v/>
      </c>
      <c r="L22" s="20" t="str">
        <f>IFERROR(INDEX('Input - Iceland'!W$2:W$200,MATCH('Calculations - Iceland'!$D22,'Input - Iceland'!$O$2:$O$200,0)),"")</f>
        <v/>
      </c>
      <c r="M22" s="21" t="str">
        <f t="shared" si="17"/>
        <v/>
      </c>
      <c r="N22" s="21" t="str">
        <f t="shared" si="2"/>
        <v/>
      </c>
      <c r="O22" s="21" t="str">
        <f t="shared" si="18"/>
        <v/>
      </c>
      <c r="P22" s="9" t="str">
        <f t="shared" si="3"/>
        <v/>
      </c>
      <c r="Q22" s="9" t="str">
        <f t="shared" si="4"/>
        <v/>
      </c>
      <c r="R22" s="8" t="str">
        <f t="shared" si="5"/>
        <v>-</v>
      </c>
      <c r="S22" s="8" t="str">
        <f t="shared" si="19"/>
        <v>-</v>
      </c>
      <c r="T22" t="str">
        <f t="shared" si="20"/>
        <v>-</v>
      </c>
      <c r="U22" t="str">
        <f t="shared" si="20"/>
        <v>-</v>
      </c>
      <c r="V22" t="str">
        <f t="shared" si="21"/>
        <v>-</v>
      </c>
      <c r="W22" t="str">
        <f t="shared" si="6"/>
        <v>-</v>
      </c>
      <c r="X22" s="10" t="str">
        <f t="shared" si="7"/>
        <v>-</v>
      </c>
      <c r="Y22" s="7" t="str">
        <f t="shared" si="22"/>
        <v/>
      </c>
      <c r="Z22" s="13" t="str">
        <f t="shared" si="23"/>
        <v>-</v>
      </c>
      <c r="AA22" t="str">
        <f t="shared" si="24"/>
        <v>-</v>
      </c>
      <c r="AB22" s="16" t="str">
        <f t="shared" si="8"/>
        <v>-</v>
      </c>
      <c r="AC22" s="16" t="str">
        <f t="shared" si="25"/>
        <v>-</v>
      </c>
      <c r="AD22" s="16" t="str">
        <f t="shared" si="26"/>
        <v>-</v>
      </c>
      <c r="AF22" s="27" t="str" cm="1">
        <f t="array" ref="AF22">IFERROR(SUM(_xlfn._xlws.FILTER($AF$32:$AF$229*$AJ$32:$AJ$229,$B$32:$B$229=D22))/SUM(_xlfn._xlws.FILTER($AJ$32:$AJ$229,$B$32:$B$229=D22)),"-")</f>
        <v>-</v>
      </c>
      <c r="AG22" s="123" t="str">
        <f t="shared" si="27"/>
        <v>-</v>
      </c>
      <c r="AH22" s="124" t="str">
        <f t="shared" si="28"/>
        <v>-</v>
      </c>
      <c r="AI22" s="9" t="str">
        <f t="shared" si="9"/>
        <v/>
      </c>
      <c r="AJ22" s="4" t="str">
        <f t="shared" si="10"/>
        <v/>
      </c>
      <c r="AP22" s="20" t="str">
        <f t="shared" si="11"/>
        <v>-</v>
      </c>
      <c r="AQ22" s="13" t="str">
        <f t="shared" si="29"/>
        <v/>
      </c>
      <c r="AR22" s="9" t="str">
        <f t="shared" si="30"/>
        <v/>
      </c>
      <c r="AS22" s="13" t="str">
        <f t="shared" si="31"/>
        <v/>
      </c>
      <c r="AT22" s="16" t="str">
        <f t="shared" si="32"/>
        <v>-</v>
      </c>
      <c r="AU22" s="16" t="str">
        <f t="shared" si="12"/>
        <v>-</v>
      </c>
      <c r="AV22" s="4" t="str">
        <f t="shared" si="33"/>
        <v>-</v>
      </c>
      <c r="AW22" s="16" t="str">
        <f t="shared" si="13"/>
        <v>-</v>
      </c>
      <c r="AX22" t="str">
        <f t="shared" si="14"/>
        <v/>
      </c>
      <c r="AY22" s="9" t="str">
        <f t="shared" si="15"/>
        <v>-</v>
      </c>
      <c r="AZ22" s="20" t="str">
        <f t="shared" si="34"/>
        <v/>
      </c>
      <c r="BA22" s="20" t="str">
        <f t="shared" si="35"/>
        <v/>
      </c>
      <c r="BB22" s="20" t="str">
        <f t="shared" si="36"/>
        <v/>
      </c>
      <c r="BC22" s="20" t="str">
        <f t="shared" si="37"/>
        <v/>
      </c>
    </row>
    <row r="23" spans="2:68" x14ac:dyDescent="0.3">
      <c r="B23" s="114" t="str">
        <f>""</f>
        <v/>
      </c>
      <c r="C23" s="4">
        <v>20</v>
      </c>
      <c r="D23" s="108" t="str">
        <f t="shared" si="16"/>
        <v/>
      </c>
      <c r="E23" s="3"/>
      <c r="F23" s="109" t="str">
        <f>IFERROR(INDEX('Input - Iceland'!$Y$3:$Y$200,MATCH('Calculations - Iceland'!$C23,'Input - Iceland'!$Z$3:$Z$200,0)),"")</f>
        <v/>
      </c>
      <c r="G23" s="20" t="str">
        <f>IFERROR(INDEX('Input - Iceland'!R$2:R$200,MATCH('Calculations - Iceland'!$D23,'Input - Iceland'!$O$2:$O$200,0)),"")</f>
        <v/>
      </c>
      <c r="H23" s="20" t="str">
        <f>IFERROR(INDEX('Input - Iceland'!S$2:S$200,MATCH('Calculations - Iceland'!$D23,'Input - Iceland'!$O$2:$O$200,0)),"")</f>
        <v/>
      </c>
      <c r="I23" s="27" t="str">
        <f>IFERROR(INDEX('Input - Iceland'!T$2:T$200,MATCH('Calculations - Iceland'!$D23,'Input - Iceland'!$O$2:$O$200,0)),"")</f>
        <v/>
      </c>
      <c r="J23" s="27" t="str">
        <f>IFERROR(INDEX('Input - Iceland'!U$2:U$200,MATCH('Calculations - Iceland'!$D23,'Input - Iceland'!$O$2:$O$200,0)),"")</f>
        <v/>
      </c>
      <c r="K23" s="20" t="str">
        <f>IFERROR(INDEX('Input - Iceland'!V$2:V$200,MATCH('Calculations - Iceland'!$D23,'Input - Iceland'!$O$2:$O$200,0)),"")</f>
        <v/>
      </c>
      <c r="L23" s="20" t="str">
        <f>IFERROR(INDEX('Input - Iceland'!W$2:W$200,MATCH('Calculations - Iceland'!$D23,'Input - Iceland'!$O$2:$O$200,0)),"")</f>
        <v/>
      </c>
      <c r="M23" s="21" t="str">
        <f t="shared" si="17"/>
        <v/>
      </c>
      <c r="N23" s="21" t="str">
        <f t="shared" si="2"/>
        <v/>
      </c>
      <c r="O23" s="21" t="str">
        <f t="shared" si="18"/>
        <v/>
      </c>
      <c r="P23" s="9" t="str">
        <f t="shared" si="3"/>
        <v/>
      </c>
      <c r="Q23" s="9" t="str">
        <f t="shared" si="4"/>
        <v/>
      </c>
      <c r="R23" s="8" t="str">
        <f t="shared" si="5"/>
        <v>-</v>
      </c>
      <c r="S23" s="8" t="str">
        <f t="shared" si="19"/>
        <v>-</v>
      </c>
      <c r="T23" t="str">
        <f t="shared" si="20"/>
        <v>-</v>
      </c>
      <c r="U23" t="str">
        <f t="shared" si="20"/>
        <v>-</v>
      </c>
      <c r="V23" t="str">
        <f t="shared" si="21"/>
        <v>-</v>
      </c>
      <c r="W23" t="str">
        <f t="shared" si="6"/>
        <v>-</v>
      </c>
      <c r="X23" s="10" t="str">
        <f t="shared" si="7"/>
        <v>-</v>
      </c>
      <c r="Y23" s="7" t="str">
        <f t="shared" si="22"/>
        <v/>
      </c>
      <c r="Z23" s="13" t="str">
        <f t="shared" si="23"/>
        <v>-</v>
      </c>
      <c r="AA23" t="str">
        <f t="shared" si="24"/>
        <v>-</v>
      </c>
      <c r="AB23" s="16" t="str">
        <f t="shared" si="8"/>
        <v>-</v>
      </c>
      <c r="AC23" s="16" t="str">
        <f t="shared" si="25"/>
        <v>-</v>
      </c>
      <c r="AD23" s="16" t="str">
        <f t="shared" si="26"/>
        <v>-</v>
      </c>
      <c r="AF23" s="27" t="str" cm="1">
        <f t="array" ref="AF23">IFERROR(SUM(_xlfn._xlws.FILTER($AF$32:$AF$229*$AJ$32:$AJ$229,$B$32:$B$229=D23))/SUM(_xlfn._xlws.FILTER($AJ$32:$AJ$229,$B$32:$B$229=D23)),"-")</f>
        <v>-</v>
      </c>
      <c r="AG23" s="123" t="str">
        <f t="shared" si="27"/>
        <v>-</v>
      </c>
      <c r="AH23" s="124" t="str">
        <f t="shared" si="28"/>
        <v>-</v>
      </c>
      <c r="AI23" s="9" t="str">
        <f t="shared" si="9"/>
        <v/>
      </c>
      <c r="AJ23" s="4" t="str">
        <f t="shared" si="10"/>
        <v/>
      </c>
      <c r="AP23" s="20" t="str">
        <f t="shared" si="11"/>
        <v>-</v>
      </c>
      <c r="AQ23" s="13" t="str">
        <f t="shared" si="29"/>
        <v/>
      </c>
      <c r="AR23" s="9" t="str">
        <f t="shared" si="30"/>
        <v/>
      </c>
      <c r="AS23" s="13" t="str">
        <f t="shared" si="31"/>
        <v/>
      </c>
      <c r="AT23" s="16" t="str">
        <f t="shared" si="32"/>
        <v>-</v>
      </c>
      <c r="AU23" s="16" t="str">
        <f t="shared" si="12"/>
        <v>-</v>
      </c>
      <c r="AV23" s="4" t="str">
        <f t="shared" si="33"/>
        <v>-</v>
      </c>
      <c r="AW23" s="16" t="str">
        <f t="shared" si="13"/>
        <v>-</v>
      </c>
      <c r="AX23" t="str">
        <f t="shared" si="14"/>
        <v/>
      </c>
      <c r="AY23" s="9" t="str">
        <f t="shared" si="15"/>
        <v>-</v>
      </c>
      <c r="AZ23" s="20" t="str">
        <f t="shared" si="34"/>
        <v/>
      </c>
      <c r="BA23" s="20" t="str">
        <f t="shared" si="35"/>
        <v/>
      </c>
      <c r="BB23" s="20" t="str">
        <f t="shared" si="36"/>
        <v/>
      </c>
      <c r="BC23" s="20" t="str">
        <f t="shared" si="37"/>
        <v/>
      </c>
    </row>
    <row r="24" spans="2:68" x14ac:dyDescent="0.3">
      <c r="D24" s="108" t="str">
        <f t="shared" si="16"/>
        <v>IcelandTOTAL CATEGORY</v>
      </c>
      <c r="E24" s="109" t="str">
        <f>E4</f>
        <v>Iceland</v>
      </c>
      <c r="F24" s="3" t="s">
        <v>43</v>
      </c>
      <c r="G24" s="20">
        <f>SUM(G4:G23)</f>
        <v>2076636.83</v>
      </c>
      <c r="H24" s="20">
        <f>SUM(H4:H23)</f>
        <v>478698.39500000002</v>
      </c>
      <c r="I24" s="27" t="str">
        <f>IFERROR(INDEX('Input - Iceland'!T$2:T$200,MATCH('Calculations - Iceland'!$D24,'Input - Iceland'!$O$2:$O$200,0)),"")</f>
        <v/>
      </c>
      <c r="J24" s="27">
        <f>'Input - Iceland'!M3</f>
        <v>8.7281851479999997</v>
      </c>
      <c r="K24" s="20">
        <f t="shared" ref="K24:L24" si="38">SUM(K4:K23)</f>
        <v>6487661.9199999999</v>
      </c>
      <c r="L24" s="20">
        <f t="shared" si="38"/>
        <v>1597482.425</v>
      </c>
      <c r="M24" s="21">
        <f t="shared" si="17"/>
        <v>4.3380902290261494</v>
      </c>
      <c r="N24" s="21">
        <f t="shared" si="2"/>
        <v>4.0611789015456612</v>
      </c>
      <c r="O24" s="21">
        <f t="shared" si="18"/>
        <v>-4.9407704264856118</v>
      </c>
      <c r="P24" s="9">
        <f>IFERROR(G24/SUM(G$4:G$23),"")</f>
        <v>1</v>
      </c>
      <c r="Q24" s="8">
        <f t="shared" ref="Q24" si="39">SUM(Q4:Q23)</f>
        <v>1</v>
      </c>
      <c r="R24" s="20"/>
      <c r="S24" s="20"/>
      <c r="T24" s="20">
        <f t="shared" ref="T24:X24" si="40">SUM(T4:T23)</f>
        <v>1494625.7439999999</v>
      </c>
      <c r="U24" s="20">
        <f t="shared" si="40"/>
        <v>448387.72320000001</v>
      </c>
      <c r="V24" s="8"/>
      <c r="W24" s="20"/>
      <c r="X24" s="20">
        <f t="shared" si="40"/>
        <v>2855481.3073133705</v>
      </c>
      <c r="Y24" s="20"/>
      <c r="AA24" s="20">
        <f t="shared" ref="AA24:AB24" si="41">SUM(AA4:AA23)</f>
        <v>2076636.8300000005</v>
      </c>
      <c r="AB24" s="20">
        <f t="shared" si="41"/>
        <v>479985.86335546203</v>
      </c>
      <c r="AC24" s="20"/>
      <c r="AD24" s="20"/>
      <c r="AF24" s="27">
        <f>AT24/AU24</f>
        <v>4.3264541490508659</v>
      </c>
      <c r="AJ24" s="20">
        <f t="shared" ref="AJ24" si="42">SUM(AJ4:AJ23)</f>
        <v>478698.39500000002</v>
      </c>
      <c r="AP24" s="15">
        <f>SUM(AP4:AP23)</f>
        <v>2855481.3073133705</v>
      </c>
      <c r="AQ24" s="13">
        <f t="shared" si="29"/>
        <v>1</v>
      </c>
      <c r="AR24" s="9">
        <f t="shared" si="30"/>
        <v>1</v>
      </c>
      <c r="AS24" s="13">
        <f t="shared" si="31"/>
        <v>0</v>
      </c>
      <c r="AT24" s="15">
        <f t="shared" ref="AT24" si="43">SUM(AT4:AT23)</f>
        <v>2076636.8300000005</v>
      </c>
      <c r="AU24" s="15">
        <f>SUM(AU4:AU23)</f>
        <v>479985.86335546203</v>
      </c>
      <c r="AZ24" s="20">
        <f t="shared" si="34"/>
        <v>131.56248058326165</v>
      </c>
      <c r="BA24" s="20">
        <f t="shared" si="35"/>
        <v>86.484754294509742</v>
      </c>
      <c r="BB24" s="20">
        <f t="shared" si="36"/>
        <v>131.91632035437061</v>
      </c>
      <c r="BC24" s="20">
        <f t="shared" si="37"/>
        <v>86.717356671177583</v>
      </c>
    </row>
    <row r="29" spans="2:68" x14ac:dyDescent="0.3">
      <c r="B29" t="str">
        <f>"L2_"&amp;B31</f>
        <v>L2_Key_Brand</v>
      </c>
      <c r="C29" t="str">
        <f t="shared" ref="C29:AW29" si="44">"L2_"&amp;C31</f>
        <v>L2_Key_Input</v>
      </c>
      <c r="D29" t="str">
        <f t="shared" si="44"/>
        <v>L2_Channel</v>
      </c>
      <c r="E29" t="str">
        <f t="shared" si="44"/>
        <v>L2_Brand</v>
      </c>
      <c r="F29" t="str">
        <f t="shared" si="44"/>
        <v>L2_PPG</v>
      </c>
      <c r="G29" t="str">
        <f t="shared" si="44"/>
        <v>L2_RSV</v>
      </c>
      <c r="H29" t="str">
        <f t="shared" si="44"/>
        <v>L2_Vol</v>
      </c>
      <c r="I29" t="str">
        <f t="shared" si="44"/>
        <v>L2_CSF</v>
      </c>
      <c r="J29" t="str">
        <f t="shared" si="44"/>
        <v>L2_MCV</v>
      </c>
      <c r="K29" t="str">
        <f t="shared" si="44"/>
        <v>L2_RSV_Total</v>
      </c>
      <c r="L29" t="str">
        <f t="shared" si="44"/>
        <v>L2_Volume_Total</v>
      </c>
      <c r="M29" t="str">
        <f t="shared" si="44"/>
        <v>L2_Current Price</v>
      </c>
      <c r="N29" t="str">
        <f t="shared" si="44"/>
        <v>L2_Price_FP</v>
      </c>
      <c r="O29" t="str">
        <f t="shared" si="44"/>
        <v>L2_Elasticity</v>
      </c>
      <c r="P29" t="str">
        <f t="shared" si="44"/>
        <v>L2_Val Share</v>
      </c>
      <c r="Q29" t="str">
        <f t="shared" si="44"/>
        <v>L2_Vol. Share</v>
      </c>
      <c r="R29" t="str">
        <f t="shared" si="44"/>
        <v>L2_NSV_to_RSV_o</v>
      </c>
      <c r="S29" t="str">
        <f t="shared" si="44"/>
        <v>L2_NSV_to_GM_o</v>
      </c>
      <c r="T29" t="str">
        <f t="shared" si="44"/>
        <v>L2_NSV_o</v>
      </c>
      <c r="U29" t="str">
        <f t="shared" si="44"/>
        <v>L2_GM_o</v>
      </c>
      <c r="V29" t="str">
        <f t="shared" si="44"/>
        <v>L2_Fixed Cost</v>
      </c>
      <c r="W29" t="str">
        <f t="shared" si="44"/>
        <v>L2_Fixed Cost per Unit</v>
      </c>
      <c r="X29" t="str">
        <f t="shared" si="44"/>
        <v>L2_TPV</v>
      </c>
      <c r="Y29" t="str">
        <f t="shared" si="44"/>
        <v>L2_PVS</v>
      </c>
      <c r="Z29" t="str">
        <f t="shared" si="44"/>
        <v>L2_MS Headroom</v>
      </c>
      <c r="AA29" t="str">
        <f t="shared" si="44"/>
        <v>L2_New RSV</v>
      </c>
      <c r="AB29" t="str">
        <f t="shared" si="44"/>
        <v>L2_Vol_i</v>
      </c>
      <c r="AC29" t="str">
        <f t="shared" si="44"/>
        <v>L2_NSV_i</v>
      </c>
      <c r="AD29" t="str">
        <f t="shared" si="44"/>
        <v>L2_GM</v>
      </c>
      <c r="AF29" t="str">
        <f t="shared" si="44"/>
        <v>L2_New Price</v>
      </c>
      <c r="AG29" t="str">
        <f t="shared" si="44"/>
        <v>L2_NSV_to_RSV</v>
      </c>
      <c r="AH29" t="str">
        <f t="shared" si="44"/>
        <v>L2_NSV_to_GM</v>
      </c>
      <c r="AI29" t="str">
        <f t="shared" si="44"/>
        <v>L2_Price_Chng</v>
      </c>
      <c r="AJ29" t="str">
        <f t="shared" si="44"/>
        <v>L2_Revised_New_Vol</v>
      </c>
      <c r="AK29" t="str">
        <f t="shared" si="44"/>
        <v>L2_New Category Price</v>
      </c>
      <c r="AL29" t="str">
        <f t="shared" si="44"/>
        <v>L2_Chg Category Price</v>
      </c>
      <c r="AM29" t="str">
        <f t="shared" si="44"/>
        <v>L2_Chng in Cat Vol.</v>
      </c>
      <c r="AN29" t="str">
        <f t="shared" si="44"/>
        <v>L2_New Cat Vol</v>
      </c>
      <c r="AO29" t="str">
        <f t="shared" si="44"/>
        <v>L2_New Cat Val</v>
      </c>
      <c r="AP29" t="str">
        <f t="shared" si="44"/>
        <v>L2_TPV_n</v>
      </c>
      <c r="AQ29" t="str">
        <f t="shared" si="44"/>
        <v>L2_TPV_Share</v>
      </c>
      <c r="AR29" t="str">
        <f t="shared" si="44"/>
        <v>L2_PVS_N</v>
      </c>
      <c r="AS29" t="str">
        <f t="shared" si="44"/>
        <v>L2_MSP_N</v>
      </c>
      <c r="AT29" t="str">
        <f t="shared" si="44"/>
        <v>L2_RSV_N</v>
      </c>
      <c r="AU29" t="str">
        <f t="shared" si="44"/>
        <v>L2_New Vol</v>
      </c>
      <c r="AV29" t="str">
        <f t="shared" si="44"/>
        <v>L2_New NSV</v>
      </c>
      <c r="AW29" t="str">
        <f t="shared" si="44"/>
        <v>L2_New GP</v>
      </c>
      <c r="AX29" s="108" t="str">
        <f t="shared" ref="AX29:AZ29" si="45">"L3_"&amp;AX31</f>
        <v>L3_Vol_Contri</v>
      </c>
      <c r="AY29" s="108" t="str">
        <f t="shared" si="45"/>
        <v>L3_Updated_Vol</v>
      </c>
      <c r="AZ29" s="108" t="str">
        <f t="shared" si="45"/>
        <v>L3_Sim. Vol Share</v>
      </c>
    </row>
    <row r="30" spans="2:68" x14ac:dyDescent="0.3">
      <c r="B30" s="26" t="str">
        <f>IFERROR(D30&amp;E30,"")</f>
        <v>IcelandTOTAL CATEGORY</v>
      </c>
      <c r="D30" s="109" t="str">
        <f>D32</f>
        <v>Iceland</v>
      </c>
      <c r="E30" s="3" t="s">
        <v>43</v>
      </c>
      <c r="G30" s="15">
        <f>SUM(G32:G229)</f>
        <v>2076636.8300000003</v>
      </c>
      <c r="H30" s="15">
        <f>SUM(H32:H229)</f>
        <v>478698.39500000002</v>
      </c>
      <c r="J30" s="29">
        <f>'Input - Iceland'!M3</f>
        <v>8.7281851479999997</v>
      </c>
      <c r="K30" s="15">
        <f t="shared" ref="K30:L30" si="46">SUM(K32:K229)</f>
        <v>6487661.9199999999</v>
      </c>
      <c r="L30" s="15">
        <f t="shared" si="46"/>
        <v>1597482.425</v>
      </c>
      <c r="M30" s="14">
        <f>IFERROR(G30/H30,"")</f>
        <v>4.3380902290261494</v>
      </c>
      <c r="N30" s="14">
        <f>IFERROR(K30/L30,"")</f>
        <v>4.0611789015456612</v>
      </c>
      <c r="O30" s="14">
        <f>IFERROR((M30/(M30-J30)*5),0)</f>
        <v>-4.9407704264856118</v>
      </c>
      <c r="P30" s="19">
        <f>SUM(P32:P229)</f>
        <v>0.99999999999999989</v>
      </c>
      <c r="X30" s="12">
        <f>SUM(X32:X229)</f>
        <v>2855481.307313371</v>
      </c>
      <c r="AP30" s="15">
        <f>SUM(AP32:AP229)</f>
        <v>2855481.307313371</v>
      </c>
      <c r="AX30" s="108"/>
      <c r="AY30" s="108"/>
      <c r="AZ30" s="108"/>
      <c r="BE30" s="4"/>
    </row>
    <row r="31" spans="2:68" x14ac:dyDescent="0.3">
      <c r="B31" s="4" t="s">
        <v>42</v>
      </c>
      <c r="C31" s="4" t="s">
        <v>41</v>
      </c>
      <c r="D31" s="4" t="s">
        <v>0</v>
      </c>
      <c r="E31" s="4" t="s">
        <v>1</v>
      </c>
      <c r="F31" s="4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5" t="s">
        <v>10</v>
      </c>
      <c r="N31" s="5" t="s">
        <v>12</v>
      </c>
      <c r="O31" s="5" t="s">
        <v>11</v>
      </c>
      <c r="P31" s="5" t="s">
        <v>20</v>
      </c>
      <c r="Q31" s="5" t="s">
        <v>19</v>
      </c>
      <c r="R31" s="5" t="s">
        <v>27</v>
      </c>
      <c r="S31" s="5" t="s">
        <v>28</v>
      </c>
      <c r="T31" s="9" t="s">
        <v>29</v>
      </c>
      <c r="U31" s="9" t="s">
        <v>30</v>
      </c>
      <c r="V31" s="9" t="s">
        <v>47</v>
      </c>
      <c r="W31" s="9" t="s">
        <v>48</v>
      </c>
      <c r="X31" s="5" t="s">
        <v>22</v>
      </c>
      <c r="Y31" s="5" t="s">
        <v>23</v>
      </c>
      <c r="Z31" s="5" t="s">
        <v>24</v>
      </c>
      <c r="AA31" s="5" t="s">
        <v>25</v>
      </c>
      <c r="AB31" s="5" t="s">
        <v>26</v>
      </c>
      <c r="AC31" s="5" t="s">
        <v>21</v>
      </c>
      <c r="AD31" s="5" t="s">
        <v>18</v>
      </c>
      <c r="AE31" s="5"/>
      <c r="AF31" s="5" t="s">
        <v>13</v>
      </c>
      <c r="AG31" s="5" t="s">
        <v>16</v>
      </c>
      <c r="AH31" s="5" t="s">
        <v>17</v>
      </c>
      <c r="AI31" s="5" t="s">
        <v>14</v>
      </c>
      <c r="AJ31" s="5" t="s">
        <v>15</v>
      </c>
      <c r="AK31" s="17" t="s">
        <v>31</v>
      </c>
      <c r="AL31" s="17" t="s">
        <v>83</v>
      </c>
      <c r="AM31" s="18" t="s">
        <v>32</v>
      </c>
      <c r="AN31" s="18" t="s">
        <v>34</v>
      </c>
      <c r="AO31" s="18" t="s">
        <v>35</v>
      </c>
      <c r="AP31" s="4" t="s">
        <v>36</v>
      </c>
      <c r="AQ31" s="4" t="s">
        <v>37</v>
      </c>
      <c r="AR31" s="4" t="s">
        <v>44</v>
      </c>
      <c r="AS31" s="4" t="s">
        <v>45</v>
      </c>
      <c r="AT31" s="4" t="s">
        <v>46</v>
      </c>
      <c r="AU31" s="4" t="s">
        <v>38</v>
      </c>
      <c r="AV31" s="4" t="s">
        <v>39</v>
      </c>
      <c r="AW31" s="4" t="s">
        <v>40</v>
      </c>
      <c r="AX31" s="119" t="s">
        <v>102</v>
      </c>
      <c r="AY31" s="120" t="s">
        <v>103</v>
      </c>
      <c r="AZ31" s="120" t="s">
        <v>104</v>
      </c>
    </row>
    <row r="32" spans="2:68" x14ac:dyDescent="0.3">
      <c r="B32" s="108" t="str">
        <f>IFERROR(D32&amp;E32,"")</f>
        <v>IcelandDADDIES</v>
      </c>
      <c r="C32" s="108" t="str">
        <f t="shared" ref="C32:C95" si="47">IFERROR(D32&amp;E32&amp;F32,"")</f>
        <v>IcelandDADDIESMedium</v>
      </c>
      <c r="D32" s="3" t="s">
        <v>116</v>
      </c>
      <c r="E32" s="3" t="s">
        <v>106</v>
      </c>
      <c r="F32" s="3" t="s">
        <v>111</v>
      </c>
      <c r="G32" s="20">
        <f>IFERROR(INDEX('Input - Iceland'!F$2:F$200,MATCH('Calculations - Iceland'!$C32,'Input - Iceland'!$B$2:$B$200,0)),"")</f>
        <v>592202.35</v>
      </c>
      <c r="H32" s="20">
        <f>IFERROR(INDEX('Input - Iceland'!G$2:G$200,MATCH('Calculations - Iceland'!$C32,'Input - Iceland'!$B$2:$B$200,0)),"")</f>
        <v>157840.79999999999</v>
      </c>
      <c r="I32" s="21">
        <f>IFERROR(INDEX('Input - Iceland'!H$2:H$200,MATCH('Calculations - Iceland'!$C32,'Input - Iceland'!$B$2:$B$200,0)),"")</f>
        <v>1.67546455415247</v>
      </c>
      <c r="J32" s="21">
        <f>IFERROR(INDEX('Input - Iceland'!I$2:I$200,MATCH('Calculations - Iceland'!$C32,'Input - Iceland'!$B$2:$B$200,0)),"")</f>
        <v>6.2861696488537699</v>
      </c>
      <c r="K32" s="20">
        <f>IFERROR(INDEX('Input - Iceland'!J$2:J$200,MATCH('Calculations - Iceland'!$C32,'Input - Iceland'!$B$2:$B$200,0)),"")</f>
        <v>1193331.08</v>
      </c>
      <c r="L32" s="20">
        <f>IFERROR(INDEX('Input - Iceland'!K$2:K$200,MATCH('Calculations - Iceland'!$C32,'Input - Iceland'!$B$2:$B$200,0)),"")</f>
        <v>342244.4</v>
      </c>
      <c r="M32" s="21">
        <f>IFERROR(G32/H32,"")</f>
        <v>3.7518965311883874</v>
      </c>
      <c r="N32" s="21">
        <f t="shared" ref="N32:N95" si="48">IFERROR(K32/L32,"")</f>
        <v>3.4867804411116734</v>
      </c>
      <c r="O32" s="21">
        <f>IFERROR((M32/(M32-J32)*5),0)</f>
        <v>-7.4023129256184923</v>
      </c>
      <c r="P32" s="9">
        <f t="shared" ref="P32:P63" si="49">G32/SUM(G$32:G$229)</f>
        <v>0.28517376820288787</v>
      </c>
      <c r="Q32" s="9">
        <f t="shared" ref="Q32:Q63" si="50">H32/SUM(H$32:H$229)</f>
        <v>0.32972911889541634</v>
      </c>
      <c r="R32" s="22">
        <f>IFERROR(INDEX(Iceland!$Q$11:$Q$165,MATCH('Calculations - Iceland'!$C32,Iceland!$M$11:$M$165,0)),"")</f>
        <v>0.8</v>
      </c>
      <c r="S32" s="22">
        <f>IFERROR(INDEX(Iceland!$R$11:$R$165,MATCH('Calculations - Iceland'!$C32,Iceland!$M$11:$M$165,0)),"")</f>
        <v>0.3</v>
      </c>
      <c r="T32" s="16">
        <f t="shared" ref="T32:T95" si="51">R32*G32</f>
        <v>473761.88</v>
      </c>
      <c r="U32" s="16">
        <f>S32*T32</f>
        <v>142128.56399999998</v>
      </c>
      <c r="V32" s="16">
        <f>T32-U32</f>
        <v>331633.31599999999</v>
      </c>
      <c r="W32" s="10">
        <f t="shared" ref="W32:W95" si="52">IFERROR(V32/H32,"-")</f>
        <v>2.101062057465497</v>
      </c>
      <c r="X32" s="10">
        <f t="shared" ref="X32:X95" si="53">IFERROR((J32+M32)*H32*0.5,"-")</f>
        <v>792208.19815539906</v>
      </c>
      <c r="Y32" s="13">
        <f>IFERROR(X32/$X$30,"-")</f>
        <v>0.27743420912139044</v>
      </c>
      <c r="Z32" s="9">
        <f t="shared" ref="Z32:Z95" si="54">IFERROR(Y32-P32,"-")</f>
        <v>-7.7395590814974269E-3</v>
      </c>
      <c r="AA32" s="16">
        <f>IFERROR(Y32*$G$30,"-")</f>
        <v>576130.0965634014</v>
      </c>
      <c r="AB32" s="16">
        <f t="shared" ref="AB32:AB95" si="55">IFERROR(AA32/M32,"-")</f>
        <v>153557.03223002158</v>
      </c>
      <c r="AC32" s="16">
        <f t="shared" ref="AC32:AC95" si="56">IFERROR(R32*AA32,"-")</f>
        <v>460904.07725072117</v>
      </c>
      <c r="AD32" s="16">
        <f>IFERROR(AC32-(W32)*AB32,"-")</f>
        <v>138271.22317521641</v>
      </c>
      <c r="AE32" s="16"/>
      <c r="AF32" s="31">
        <f>IFERROR(INDEX(Iceland!$P$11:$P$165,MATCH('Calculations - Iceland'!C32,Iceland!$M$11:$M$165,0)),"")</f>
        <v>3.7518965311883874</v>
      </c>
      <c r="AG32" s="23">
        <f>R32</f>
        <v>0.8</v>
      </c>
      <c r="AH32" s="23">
        <f>S32</f>
        <v>0.3</v>
      </c>
      <c r="AI32" s="9">
        <f t="shared" ref="AI32:AI95" si="57">IFERROR((AF32-M32)/M32,"")</f>
        <v>0</v>
      </c>
      <c r="AJ32" s="4">
        <f t="shared" ref="AJ32:AJ95" si="58">IFERROR(MAX((1+AI32*O32/5)*H32,0),"")</f>
        <v>157840.79999999999</v>
      </c>
      <c r="AK32" s="18">
        <f>SUMPRODUCT(AF$32:AF$229,AJ$32:AJ$229)/SUM(AJ$32:AJ$229)</f>
        <v>4.3380902290261494</v>
      </c>
      <c r="AL32" s="24">
        <f>$AK32/$M$30-1</f>
        <v>0</v>
      </c>
      <c r="AM32" s="24">
        <f>$AL32*$O$30/5</f>
        <v>0</v>
      </c>
      <c r="AN32" s="25">
        <f>(1+$AM32)*$H$30</f>
        <v>478698.39500000002</v>
      </c>
      <c r="AO32" s="25">
        <f>AN32*AK32</f>
        <v>2076636.8300000003</v>
      </c>
      <c r="AP32" s="20">
        <f t="shared" ref="AP32:AP95" si="59">IFERROR(0.5*(J32+AF32)*AJ32,"-")</f>
        <v>792208.19815539906</v>
      </c>
      <c r="AQ32" s="13">
        <f>IFERROR(AP32/AP$30,"-")</f>
        <v>0.27743420912139044</v>
      </c>
      <c r="AR32" s="13">
        <f>IFERROR(AQ32*$P$30,"-")</f>
        <v>0.27743420912139038</v>
      </c>
      <c r="AS32" s="13">
        <f t="shared" ref="AS32:AS95" si="60">IFERROR(AR32-P32,"-")</f>
        <v>-7.7395590814974824E-3</v>
      </c>
      <c r="AT32" s="16">
        <f>IFERROR(AR32*AO$32,"-")</f>
        <v>576130.09656340128</v>
      </c>
      <c r="AU32" s="16">
        <f t="shared" ref="AU32:AU95" si="61">IFERROR(AT32/AF32,"-")</f>
        <v>153557.03223002155</v>
      </c>
      <c r="AV32" s="16">
        <f t="shared" ref="AV32:AV95" si="62">IFERROR(AG32*AT32,"-")</f>
        <v>460904.07725072105</v>
      </c>
      <c r="AW32" s="16">
        <f>IFERROR(AV32-(W32*AU32),"-")</f>
        <v>138271.22317521635</v>
      </c>
      <c r="AX32" s="13">
        <f>IFERROR(AU32/SUMIFS($AU$32:$AU$229,$B$32:$B$229,$B32),"-")</f>
        <v>0.99990760299025117</v>
      </c>
      <c r="AY32" s="10">
        <f>IFERROR(AX32*INDEX($AU$4:$AU$24,MATCH($B32,$D$4:$D$24,0)),"-")</f>
        <v>153553.55074168186</v>
      </c>
      <c r="AZ32" s="9">
        <f>IFERROR(AY32/SUM($AY$32:$AY$229),"-")</f>
        <v>0.31991265256903001</v>
      </c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</row>
    <row r="33" spans="2:68" x14ac:dyDescent="0.3">
      <c r="B33" s="108" t="str">
        <f t="shared" ref="B33:B96" si="63">IFERROR(D33&amp;E33,"")</f>
        <v>IcelandDADDIES</v>
      </c>
      <c r="C33" s="108" t="str">
        <f t="shared" si="47"/>
        <v>IcelandDADDIESLarge</v>
      </c>
      <c r="D33" s="3" t="s">
        <v>116</v>
      </c>
      <c r="E33" s="3" t="s">
        <v>106</v>
      </c>
      <c r="F33" s="3" t="s">
        <v>112</v>
      </c>
      <c r="G33" s="20">
        <f>IFERROR(INDEX('Input - Iceland'!F$2:F$200,MATCH('Calculations - Iceland'!$C33,'Input - Iceland'!$B$2:$B$200,0)),"")</f>
        <v>13.5</v>
      </c>
      <c r="H33" s="20">
        <f>IFERROR(INDEX('Input - Iceland'!G$2:G$200,MATCH('Calculations - Iceland'!$C33,'Input - Iceland'!$B$2:$B$200,0)),"")</f>
        <v>8.2200000000000006</v>
      </c>
      <c r="I33" s="21">
        <f>IFERROR(INDEX('Input - Iceland'!H$2:H$200,MATCH('Calculations - Iceland'!$C33,'Input - Iceland'!$B$2:$B$200,0)),"")</f>
        <v>3.74727842093563</v>
      </c>
      <c r="J33" s="21">
        <f>IFERROR(INDEX('Input - Iceland'!I$2:I$200,MATCH('Calculations - Iceland'!$C33,'Input - Iceland'!$B$2:$B$200,0)),"")</f>
        <v>6.1542893774490297</v>
      </c>
      <c r="K33" s="20">
        <f>IFERROR(INDEX('Input - Iceland'!J$2:J$200,MATCH('Calculations - Iceland'!$C33,'Input - Iceland'!$B$2:$B$200,0)),"")</f>
        <v>679914</v>
      </c>
      <c r="L33" s="20">
        <f>IFERROR(INDEX('Input - Iceland'!K$2:K$200,MATCH('Calculations - Iceland'!$C33,'Input - Iceland'!$B$2:$B$200,0)),"")</f>
        <v>291402.42499999999</v>
      </c>
      <c r="M33" s="21">
        <f t="shared" ref="M33:M96" si="64">IFERROR(G33/H33,"")</f>
        <v>1.6423357664233575</v>
      </c>
      <c r="N33" s="21">
        <f t="shared" si="48"/>
        <v>2.3332475699198456</v>
      </c>
      <c r="O33" s="21">
        <f t="shared" ref="O33:O96" si="65">IFERROR((M33/(M33-J33)*5),0)</f>
        <v>-1.8199829918575077</v>
      </c>
      <c r="P33" s="9">
        <f t="shared" si="49"/>
        <v>6.500895970336806E-6</v>
      </c>
      <c r="Q33" s="9">
        <f t="shared" si="50"/>
        <v>1.7171563735867549E-5</v>
      </c>
      <c r="R33" s="22">
        <f>IFERROR(INDEX(Iceland!$Q$11:$Q$165,MATCH('Calculations - Iceland'!$C33,Iceland!$M$11:$M$165,0)),"")</f>
        <v>0.8</v>
      </c>
      <c r="S33" s="22">
        <f>IFERROR(INDEX(Iceland!$R$11:$R$165,MATCH('Calculations - Iceland'!$C33,Iceland!$M$11:$M$165,0)),"")</f>
        <v>0.3</v>
      </c>
      <c r="T33" s="16">
        <f t="shared" si="51"/>
        <v>10.8</v>
      </c>
      <c r="U33" s="16">
        <f t="shared" ref="U33:U96" si="66">S33*T33</f>
        <v>3.24</v>
      </c>
      <c r="V33" s="16">
        <f t="shared" ref="V33:V96" si="67">T33-U33</f>
        <v>7.5600000000000005</v>
      </c>
      <c r="W33" s="10">
        <f t="shared" si="52"/>
        <v>0.91970802919708028</v>
      </c>
      <c r="X33" s="10">
        <f t="shared" si="53"/>
        <v>32.044129341315518</v>
      </c>
      <c r="Y33" s="13">
        <f t="shared" ref="Y33:Y96" si="68">IFERROR(X33/$X$30,"-")</f>
        <v>1.1221971322048258E-5</v>
      </c>
      <c r="Z33" s="9">
        <f t="shared" si="54"/>
        <v>4.7210753517114522E-6</v>
      </c>
      <c r="AA33" s="16">
        <f t="shared" ref="AA33:AA96" si="69">IFERROR(Y33*$G$30,"-")</f>
        <v>23.303958952569207</v>
      </c>
      <c r="AB33" s="16">
        <f t="shared" si="55"/>
        <v>14.18952167334214</v>
      </c>
      <c r="AC33" s="16">
        <f t="shared" si="56"/>
        <v>18.643167162055367</v>
      </c>
      <c r="AD33" s="16">
        <f t="shared" ref="AD33:AD96" si="70">IFERROR(AC33-(W33)*AB33,"-")</f>
        <v>5.5929501486166107</v>
      </c>
      <c r="AE33" s="16"/>
      <c r="AF33" s="31">
        <f>IFERROR(INDEX(Iceland!$P$11:$P$165,MATCH('Calculations - Iceland'!C33,Iceland!$M$11:$M$165,0)),"")</f>
        <v>1.6423357664233575</v>
      </c>
      <c r="AG33" s="23">
        <f t="shared" ref="AG33:AH96" si="71">R33</f>
        <v>0.8</v>
      </c>
      <c r="AH33" s="23">
        <f t="shared" si="71"/>
        <v>0.3</v>
      </c>
      <c r="AI33" s="9">
        <f t="shared" si="57"/>
        <v>0</v>
      </c>
      <c r="AJ33" s="4">
        <f t="shared" si="58"/>
        <v>8.2200000000000006</v>
      </c>
      <c r="AK33" s="4"/>
      <c r="AL33" s="4"/>
      <c r="AM33" s="4"/>
      <c r="AN33" s="4"/>
      <c r="AO33" s="4"/>
      <c r="AP33" s="20">
        <f t="shared" si="59"/>
        <v>32.044129341315518</v>
      </c>
      <c r="AQ33" s="13">
        <f t="shared" ref="AQ33:AQ96" si="72">IFERROR(AP33/AP$30,"-")</f>
        <v>1.1221971322048258E-5</v>
      </c>
      <c r="AR33" s="13">
        <f t="shared" ref="AR33:AR96" si="73">IFERROR(AQ33*$P$30,"-")</f>
        <v>1.1221971322048257E-5</v>
      </c>
      <c r="AS33" s="13">
        <f t="shared" si="60"/>
        <v>4.7210753517114506E-6</v>
      </c>
      <c r="AT33" s="16">
        <f t="shared" ref="AT33:AT96" si="74">IFERROR(AR33*AO$32,"-")</f>
        <v>23.303958952569204</v>
      </c>
      <c r="AU33" s="16">
        <f t="shared" si="61"/>
        <v>14.189521673342139</v>
      </c>
      <c r="AV33" s="16">
        <f t="shared" si="62"/>
        <v>18.643167162055363</v>
      </c>
      <c r="AW33" s="16">
        <f t="shared" ref="AW33:AW96" si="75">IFERROR(AV33-(W33*AU33),"-")</f>
        <v>5.5929501486166071</v>
      </c>
      <c r="AX33" s="13">
        <f t="shared" ref="AX33:AX96" si="76">IFERROR(AU33/SUMIFS($AU$32:$AU$229,$B$32:$B$229,$B33),"-")</f>
        <v>9.2397009748901966E-5</v>
      </c>
      <c r="AY33" s="10">
        <f t="shared" ref="AY33:AY96" si="77">IFERROR(AX33*INDEX($AU$4:$AU$24,MATCH($B33,$D$4:$D$24,0)),"-")</f>
        <v>14.189199964505139</v>
      </c>
      <c r="AZ33" s="9">
        <f t="shared" ref="AZ33:AZ96" si="78">IFERROR(AY33/SUM($AY$32:$AY$229),"-")</f>
        <v>2.9561703891260386E-5</v>
      </c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</row>
    <row r="34" spans="2:68" x14ac:dyDescent="0.3">
      <c r="B34" s="108" t="str">
        <f t="shared" si="63"/>
        <v>IcelandHP</v>
      </c>
      <c r="C34" s="108" t="str">
        <f t="shared" si="47"/>
        <v>IcelandHPMedium</v>
      </c>
      <c r="D34" s="3" t="s">
        <v>116</v>
      </c>
      <c r="E34" s="3" t="s">
        <v>107</v>
      </c>
      <c r="F34" s="3" t="s">
        <v>111</v>
      </c>
      <c r="G34" s="20">
        <f>IFERROR(INDEX('Input - Iceland'!F$2:F$200,MATCH('Calculations - Iceland'!$C34,'Input - Iceland'!$B$2:$B$200,0)),"")</f>
        <v>383204.27</v>
      </c>
      <c r="H34" s="20">
        <f>IFERROR(INDEX('Input - Iceland'!G$2:G$200,MATCH('Calculations - Iceland'!$C34,'Input - Iceland'!$B$2:$B$200,0)),"")</f>
        <v>65823.975000000006</v>
      </c>
      <c r="I34" s="21">
        <f>IFERROR(INDEX('Input - Iceland'!H$2:H$200,MATCH('Calculations - Iceland'!$C34,'Input - Iceland'!$B$2:$B$200,0)),"")</f>
        <v>1.7536218345171899</v>
      </c>
      <c r="J34" s="21">
        <f>IFERROR(INDEX('Input - Iceland'!I$2:I$200,MATCH('Calculations - Iceland'!$C34,'Input - Iceland'!$B$2:$B$200,0)),"")</f>
        <v>10.208975908128</v>
      </c>
      <c r="K34" s="20">
        <f>IFERROR(INDEX('Input - Iceland'!J$2:J$200,MATCH('Calculations - Iceland'!$C34,'Input - Iceland'!$B$2:$B$200,0)),"")</f>
        <v>2096703.47</v>
      </c>
      <c r="L34" s="20">
        <f>IFERROR(INDEX('Input - Iceland'!K$2:K$200,MATCH('Calculations - Iceland'!$C34,'Input - Iceland'!$B$2:$B$200,0)),"")</f>
        <v>371712.55</v>
      </c>
      <c r="M34" s="21">
        <f t="shared" si="64"/>
        <v>5.8216519133036249</v>
      </c>
      <c r="N34" s="21">
        <f t="shared" si="48"/>
        <v>5.6406582720976193</v>
      </c>
      <c r="O34" s="21">
        <f t="shared" si="65"/>
        <v>-6.6346273037634029</v>
      </c>
      <c r="P34" s="9">
        <f t="shared" si="49"/>
        <v>0.18453119219695241</v>
      </c>
      <c r="Q34" s="9">
        <f t="shared" si="50"/>
        <v>0.13750615353535917</v>
      </c>
      <c r="R34" s="22">
        <f>IFERROR(INDEX(Iceland!$Q$11:$Q$165,MATCH('Calculations - Iceland'!$C34,Iceland!$M$11:$M$165,0)),"")</f>
        <v>0.8</v>
      </c>
      <c r="S34" s="22">
        <f>IFERROR(INDEX(Iceland!$R$11:$R$165,MATCH('Calculations - Iceland'!$C34,Iceland!$M$11:$M$165,0)),"")</f>
        <v>0.3</v>
      </c>
      <c r="T34" s="16">
        <f t="shared" si="51"/>
        <v>306563.41600000003</v>
      </c>
      <c r="U34" s="16">
        <f t="shared" si="66"/>
        <v>91969.024799999999</v>
      </c>
      <c r="V34" s="16">
        <f t="shared" si="67"/>
        <v>214594.39120000001</v>
      </c>
      <c r="W34" s="10">
        <f t="shared" si="52"/>
        <v>3.2601250714500303</v>
      </c>
      <c r="X34" s="10">
        <f t="shared" si="53"/>
        <v>527599.82247610996</v>
      </c>
      <c r="Y34" s="13">
        <f t="shared" si="68"/>
        <v>0.18476738794431521</v>
      </c>
      <c r="Z34" s="9">
        <f t="shared" si="54"/>
        <v>2.3619574736280513E-4</v>
      </c>
      <c r="AA34" s="16">
        <f t="shared" si="69"/>
        <v>383694.76278806303</v>
      </c>
      <c r="AB34" s="16">
        <f t="shared" si="55"/>
        <v>65908.228197437347</v>
      </c>
      <c r="AC34" s="16">
        <f t="shared" si="56"/>
        <v>306955.81023045041</v>
      </c>
      <c r="AD34" s="16">
        <f t="shared" si="70"/>
        <v>92086.743069135089</v>
      </c>
      <c r="AE34" s="16"/>
      <c r="AF34" s="31">
        <f>IFERROR(INDEX(Iceland!$P$11:$P$165,MATCH('Calculations - Iceland'!C34,Iceland!$M$11:$M$165,0)),"")</f>
        <v>5.8216519133036249</v>
      </c>
      <c r="AG34" s="23">
        <f t="shared" si="71"/>
        <v>0.8</v>
      </c>
      <c r="AH34" s="23">
        <f t="shared" si="71"/>
        <v>0.3</v>
      </c>
      <c r="AI34" s="9">
        <f t="shared" si="57"/>
        <v>0</v>
      </c>
      <c r="AJ34" s="4">
        <f t="shared" si="58"/>
        <v>65823.975000000006</v>
      </c>
      <c r="AK34" s="4"/>
      <c r="AL34" s="4"/>
      <c r="AM34" s="4"/>
      <c r="AN34" s="4"/>
      <c r="AO34" s="4"/>
      <c r="AP34" s="20">
        <f t="shared" si="59"/>
        <v>527599.82247610996</v>
      </c>
      <c r="AQ34" s="13">
        <f t="shared" si="72"/>
        <v>0.18476738794431521</v>
      </c>
      <c r="AR34" s="13">
        <f t="shared" si="73"/>
        <v>0.18476738794431519</v>
      </c>
      <c r="AS34" s="13">
        <f t="shared" si="60"/>
        <v>2.3619574736277738E-4</v>
      </c>
      <c r="AT34" s="16">
        <f t="shared" si="74"/>
        <v>383694.76278806297</v>
      </c>
      <c r="AU34" s="16">
        <f t="shared" si="61"/>
        <v>65908.228197437333</v>
      </c>
      <c r="AV34" s="16">
        <f t="shared" si="62"/>
        <v>306955.81023045041</v>
      </c>
      <c r="AW34" s="16">
        <f t="shared" si="75"/>
        <v>92086.743069135118</v>
      </c>
      <c r="AX34" s="13">
        <f t="shared" si="76"/>
        <v>0.29347209081522946</v>
      </c>
      <c r="AY34" s="10">
        <f t="shared" si="77"/>
        <v>65906.48690587969</v>
      </c>
      <c r="AZ34" s="9">
        <f t="shared" si="78"/>
        <v>0.1373092249949692</v>
      </c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</row>
    <row r="35" spans="2:68" x14ac:dyDescent="0.3">
      <c r="B35" s="108" t="str">
        <f t="shared" si="63"/>
        <v>IcelandHP</v>
      </c>
      <c r="C35" s="108" t="str">
        <f t="shared" si="47"/>
        <v>IcelandHPLarge</v>
      </c>
      <c r="D35" s="3" t="s">
        <v>116</v>
      </c>
      <c r="E35" s="3" t="s">
        <v>107</v>
      </c>
      <c r="F35" s="3" t="s">
        <v>112</v>
      </c>
      <c r="G35" s="20">
        <f>IFERROR(INDEX('Input - Iceland'!F$2:F$200,MATCH('Calculations - Iceland'!$C35,'Input - Iceland'!$B$2:$B$200,0)),"")</f>
        <v>892862.06</v>
      </c>
      <c r="H35" s="20">
        <f>IFERROR(INDEX('Input - Iceland'!G$2:G$200,MATCH('Calculations - Iceland'!$C35,'Input - Iceland'!$B$2:$B$200,0)),"")</f>
        <v>157761</v>
      </c>
      <c r="I35" s="21">
        <f>IFERROR(INDEX('Input - Iceland'!H$2:H$200,MATCH('Calculations - Iceland'!$C35,'Input - Iceland'!$B$2:$B$200,0)),"")</f>
        <v>1.7659942127080701</v>
      </c>
      <c r="J35" s="21">
        <f>IFERROR(INDEX('Input - Iceland'!I$2:I$200,MATCH('Calculations - Iceland'!$C35,'Input - Iceland'!$B$2:$B$200,0)),"")</f>
        <v>9.9947973878626808</v>
      </c>
      <c r="K35" s="20">
        <f>IFERROR(INDEX('Input - Iceland'!J$2:J$200,MATCH('Calculations - Iceland'!$C35,'Input - Iceland'!$B$2:$B$200,0)),"")</f>
        <v>2117884.75</v>
      </c>
      <c r="L35" s="20">
        <f>IFERROR(INDEX('Input - Iceland'!K$2:K$200,MATCH('Calculations - Iceland'!$C35,'Input - Iceland'!$B$2:$B$200,0)),"")</f>
        <v>390360</v>
      </c>
      <c r="M35" s="21">
        <f t="shared" si="64"/>
        <v>5.6595867166156406</v>
      </c>
      <c r="N35" s="21">
        <f t="shared" si="48"/>
        <v>5.4254655958602314</v>
      </c>
      <c r="O35" s="21">
        <f t="shared" si="65"/>
        <v>-6.5274644599770255</v>
      </c>
      <c r="P35" s="9">
        <f t="shared" si="49"/>
        <v>0.42995580503115699</v>
      </c>
      <c r="Q35" s="9">
        <f t="shared" si="50"/>
        <v>0.32956241685330906</v>
      </c>
      <c r="R35" s="22">
        <f>IFERROR(INDEX(Iceland!$Q$11:$Q$165,MATCH('Calculations - Iceland'!$C35,Iceland!$M$11:$M$165,0)),"")</f>
        <v>0.8</v>
      </c>
      <c r="S35" s="22">
        <f>IFERROR(INDEX(Iceland!$R$11:$R$165,MATCH('Calculations - Iceland'!$C35,Iceland!$M$11:$M$165,0)),"")</f>
        <v>0.3</v>
      </c>
      <c r="T35" s="16">
        <f t="shared" si="51"/>
        <v>714289.64800000004</v>
      </c>
      <c r="U35" s="16">
        <f t="shared" si="66"/>
        <v>214286.89440000002</v>
      </c>
      <c r="V35" s="16">
        <f t="shared" si="67"/>
        <v>500002.75360000005</v>
      </c>
      <c r="W35" s="10">
        <f t="shared" si="52"/>
        <v>3.1693685613047586</v>
      </c>
      <c r="X35" s="10">
        <f t="shared" si="53"/>
        <v>1234825.6453533021</v>
      </c>
      <c r="Y35" s="13">
        <f t="shared" si="68"/>
        <v>0.43244045835309958</v>
      </c>
      <c r="Z35" s="9">
        <f t="shared" si="54"/>
        <v>2.484653321942587E-3</v>
      </c>
      <c r="AA35" s="16">
        <f t="shared" si="69"/>
        <v>898021.78259812784</v>
      </c>
      <c r="AB35" s="16">
        <f t="shared" si="55"/>
        <v>158672.67833562469</v>
      </c>
      <c r="AC35" s="16">
        <f t="shared" si="56"/>
        <v>718417.42607850232</v>
      </c>
      <c r="AD35" s="16">
        <f t="shared" si="70"/>
        <v>215525.22782355075</v>
      </c>
      <c r="AE35" s="16"/>
      <c r="AF35" s="31">
        <f>IFERROR(INDEX(Iceland!$P$11:$P$165,MATCH('Calculations - Iceland'!C35,Iceland!$M$11:$M$165,0)),"")</f>
        <v>5.6595867166156406</v>
      </c>
      <c r="AG35" s="23">
        <f t="shared" si="71"/>
        <v>0.8</v>
      </c>
      <c r="AH35" s="23">
        <f t="shared" si="71"/>
        <v>0.3</v>
      </c>
      <c r="AI35" s="9">
        <f t="shared" si="57"/>
        <v>0</v>
      </c>
      <c r="AJ35" s="4">
        <f t="shared" si="58"/>
        <v>157761</v>
      </c>
      <c r="AK35" s="4"/>
      <c r="AL35" s="4"/>
      <c r="AM35" s="4"/>
      <c r="AN35" s="4"/>
      <c r="AO35" s="4"/>
      <c r="AP35" s="20">
        <f t="shared" si="59"/>
        <v>1234825.6453533021</v>
      </c>
      <c r="AQ35" s="13">
        <f t="shared" si="72"/>
        <v>0.43244045835309958</v>
      </c>
      <c r="AR35" s="13">
        <f t="shared" si="73"/>
        <v>0.43244045835309952</v>
      </c>
      <c r="AS35" s="13">
        <f t="shared" si="60"/>
        <v>2.4846533219425315E-3</v>
      </c>
      <c r="AT35" s="16">
        <f t="shared" si="74"/>
        <v>898021.78259812773</v>
      </c>
      <c r="AU35" s="16">
        <f t="shared" si="61"/>
        <v>158672.67833562466</v>
      </c>
      <c r="AV35" s="16">
        <f t="shared" si="62"/>
        <v>718417.42607850221</v>
      </c>
      <c r="AW35" s="16">
        <f t="shared" si="75"/>
        <v>215525.22782355075</v>
      </c>
      <c r="AX35" s="13">
        <f t="shared" si="76"/>
        <v>0.70652790918477049</v>
      </c>
      <c r="AY35" s="10">
        <f t="shared" si="77"/>
        <v>158668.4862126869</v>
      </c>
      <c r="AZ35" s="9">
        <f t="shared" si="78"/>
        <v>0.3305690819797793</v>
      </c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</row>
    <row r="36" spans="2:68" x14ac:dyDescent="0.3">
      <c r="B36" s="108" t="str">
        <f t="shared" si="63"/>
        <v>IcelandRESTOFCATEGORY</v>
      </c>
      <c r="C36" s="108" t="str">
        <f t="shared" si="47"/>
        <v>IcelandRESTOFCATEGORYMedium</v>
      </c>
      <c r="D36" s="3" t="s">
        <v>116</v>
      </c>
      <c r="E36" s="3" t="s">
        <v>109</v>
      </c>
      <c r="F36" s="3" t="s">
        <v>111</v>
      </c>
      <c r="G36" s="20">
        <f>IFERROR(INDEX('Input - Iceland'!F$2:F$200,MATCH('Calculations - Iceland'!$C36,'Input - Iceland'!$B$2:$B$200,0)),"")</f>
        <v>136518.87</v>
      </c>
      <c r="H36" s="20">
        <f>IFERROR(INDEX('Input - Iceland'!G$2:G$200,MATCH('Calculations - Iceland'!$C36,'Input - Iceland'!$B$2:$B$200,0)),"")</f>
        <v>58525</v>
      </c>
      <c r="I36" s="21">
        <f>IFERROR(INDEX('Input - Iceland'!H$2:H$200,MATCH('Calculations - Iceland'!$C36,'Input - Iceland'!$B$2:$B$200,0)),"")</f>
        <v>1.9388879628081099</v>
      </c>
      <c r="J36" s="21">
        <f>IFERROR(INDEX('Input - Iceland'!I$2:I$200,MATCH('Calculations - Iceland'!$C36,'Input - Iceland'!$B$2:$B$200,0)),"")</f>
        <v>4.5227645235226799</v>
      </c>
      <c r="K36" s="20">
        <f>IFERROR(INDEX('Input - Iceland'!J$2:J$200,MATCH('Calculations - Iceland'!$C36,'Input - Iceland'!$B$2:$B$200,0)),"")</f>
        <v>188599.57</v>
      </c>
      <c r="L36" s="20">
        <f>IFERROR(INDEX('Input - Iceland'!K$2:K$200,MATCH('Calculations - Iceland'!$C36,'Input - Iceland'!$B$2:$B$200,0)),"")</f>
        <v>77769.5</v>
      </c>
      <c r="M36" s="21">
        <f t="shared" si="64"/>
        <v>2.332659034600598</v>
      </c>
      <c r="N36" s="21">
        <f t="shared" si="48"/>
        <v>2.4251097152482659</v>
      </c>
      <c r="O36" s="21">
        <f t="shared" si="65"/>
        <v>-5.3254490397827317</v>
      </c>
      <c r="P36" s="9">
        <f t="shared" si="49"/>
        <v>6.5740368285772899E-2</v>
      </c>
      <c r="Q36" s="9">
        <f t="shared" si="50"/>
        <v>0.122258609202147</v>
      </c>
      <c r="R36" s="22">
        <f>IFERROR(INDEX(Iceland!$Q$11:$Q$165,MATCH('Calculations - Iceland'!$C36,Iceland!$M$11:$M$165,0)),"")</f>
        <v>0</v>
      </c>
      <c r="S36" s="22">
        <f>IFERROR(INDEX(Iceland!$R$11:$R$165,MATCH('Calculations - Iceland'!$C36,Iceland!$M$11:$M$165,0)),"")</f>
        <v>0</v>
      </c>
      <c r="T36" s="16">
        <f t="shared" si="51"/>
        <v>0</v>
      </c>
      <c r="U36" s="16">
        <f t="shared" si="66"/>
        <v>0</v>
      </c>
      <c r="V36" s="16">
        <f t="shared" si="67"/>
        <v>0</v>
      </c>
      <c r="W36" s="10">
        <f t="shared" si="52"/>
        <v>0</v>
      </c>
      <c r="X36" s="10">
        <f t="shared" si="53"/>
        <v>200606.83186958241</v>
      </c>
      <c r="Y36" s="13">
        <f t="shared" si="68"/>
        <v>7.0253246398704963E-2</v>
      </c>
      <c r="Z36" s="9">
        <f t="shared" si="54"/>
        <v>4.5128781129320644E-3</v>
      </c>
      <c r="AA36" s="16">
        <f t="shared" si="69"/>
        <v>145890.47889861561</v>
      </c>
      <c r="AB36" s="16">
        <f t="shared" si="55"/>
        <v>62542.564830352596</v>
      </c>
      <c r="AC36" s="16">
        <f t="shared" si="56"/>
        <v>0</v>
      </c>
      <c r="AD36" s="16">
        <f t="shared" si="70"/>
        <v>0</v>
      </c>
      <c r="AE36" s="16"/>
      <c r="AF36" s="31">
        <f>IFERROR(INDEX(Iceland!$P$11:$P$165,MATCH('Calculations - Iceland'!C36,Iceland!$M$11:$M$165,0)),"")</f>
        <v>2.332659034600598</v>
      </c>
      <c r="AG36" s="23">
        <f t="shared" si="71"/>
        <v>0</v>
      </c>
      <c r="AH36" s="23">
        <f t="shared" si="71"/>
        <v>0</v>
      </c>
      <c r="AI36" s="9">
        <f t="shared" si="57"/>
        <v>0</v>
      </c>
      <c r="AJ36" s="4">
        <f t="shared" si="58"/>
        <v>58525</v>
      </c>
      <c r="AK36" s="4"/>
      <c r="AL36" s="4"/>
      <c r="AM36" s="4"/>
      <c r="AN36" s="4"/>
      <c r="AO36" s="4"/>
      <c r="AP36" s="20">
        <f t="shared" si="59"/>
        <v>200606.83186958241</v>
      </c>
      <c r="AQ36" s="13">
        <f t="shared" si="72"/>
        <v>7.0253246398704963E-2</v>
      </c>
      <c r="AR36" s="13">
        <f t="shared" si="73"/>
        <v>7.0253246398704949E-2</v>
      </c>
      <c r="AS36" s="13">
        <f t="shared" si="60"/>
        <v>4.5128781129320505E-3</v>
      </c>
      <c r="AT36" s="16">
        <f t="shared" si="74"/>
        <v>145890.47889861558</v>
      </c>
      <c r="AU36" s="16">
        <f t="shared" si="61"/>
        <v>62542.564830352589</v>
      </c>
      <c r="AV36" s="16">
        <f t="shared" si="62"/>
        <v>0</v>
      </c>
      <c r="AW36" s="16">
        <f t="shared" si="75"/>
        <v>0</v>
      </c>
      <c r="AX36" s="13">
        <f t="shared" si="76"/>
        <v>1</v>
      </c>
      <c r="AY36" s="10">
        <f t="shared" si="77"/>
        <v>62542.56483035261</v>
      </c>
      <c r="AZ36" s="9">
        <f t="shared" si="78"/>
        <v>0.13030084759816268</v>
      </c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</row>
    <row r="37" spans="2:68" x14ac:dyDescent="0.3">
      <c r="B37" s="108" t="str">
        <f t="shared" si="63"/>
        <v>IcelandGOLD STAR</v>
      </c>
      <c r="C37" s="108" t="str">
        <f t="shared" si="47"/>
        <v>IcelandGOLD STARLarge</v>
      </c>
      <c r="D37" s="3" t="s">
        <v>116</v>
      </c>
      <c r="E37" s="3" t="s">
        <v>117</v>
      </c>
      <c r="F37" s="3" t="s">
        <v>112</v>
      </c>
      <c r="G37" s="20">
        <f>IFERROR(INDEX('Input - Iceland'!F$2:F$200,MATCH('Calculations - Iceland'!$C37,'Input - Iceland'!$B$2:$B$200,0)),"")</f>
        <v>71835.78</v>
      </c>
      <c r="H37" s="20">
        <f>IFERROR(INDEX('Input - Iceland'!G$2:G$200,MATCH('Calculations - Iceland'!$C37,'Input - Iceland'!$B$2:$B$200,0)),"")</f>
        <v>38739.4</v>
      </c>
      <c r="I37" s="21">
        <f>IFERROR(INDEX('Input - Iceland'!H$2:H$200,MATCH('Calculations - Iceland'!$C37,'Input - Iceland'!$B$2:$B$200,0)),"")</f>
        <v>1.78994020332587</v>
      </c>
      <c r="J37" s="21">
        <f>IFERROR(INDEX('Input - Iceland'!I$2:I$200,MATCH('Calculations - Iceland'!$C37,'Input - Iceland'!$B$2:$B$200,0)),"")</f>
        <v>3.3191466739100801</v>
      </c>
      <c r="K37" s="20">
        <f>IFERROR(INDEX('Input - Iceland'!J$2:J$200,MATCH('Calculations - Iceland'!$C37,'Input - Iceland'!$B$2:$B$200,0)),"")</f>
        <v>211229.05</v>
      </c>
      <c r="L37" s="20">
        <f>IFERROR(INDEX('Input - Iceland'!K$2:K$200,MATCH('Calculations - Iceland'!$C37,'Input - Iceland'!$B$2:$B$200,0)),"")</f>
        <v>123993.55</v>
      </c>
      <c r="M37" s="21">
        <f t="shared" si="64"/>
        <v>1.854333830673681</v>
      </c>
      <c r="N37" s="21">
        <f t="shared" si="48"/>
        <v>1.7035486926537711</v>
      </c>
      <c r="O37" s="21">
        <f t="shared" si="65"/>
        <v>-6.3295930235587754</v>
      </c>
      <c r="P37" s="9">
        <f t="shared" si="49"/>
        <v>3.4592365387259356E-2</v>
      </c>
      <c r="Q37" s="9">
        <f t="shared" si="50"/>
        <v>8.0926529950032522E-2</v>
      </c>
      <c r="R37" s="22">
        <f>IFERROR(INDEX(Iceland!$Q$11:$Q$165,MATCH('Calculations - Iceland'!$C37,Iceland!$M$11:$M$165,0)),"")</f>
        <v>0</v>
      </c>
      <c r="S37" s="22">
        <f>IFERROR(INDEX(Iceland!$R$11:$R$165,MATCH('Calculations - Iceland'!$C37,Iceland!$M$11:$M$165,0)),"")</f>
        <v>0</v>
      </c>
      <c r="T37" s="16">
        <f t="shared" si="51"/>
        <v>0</v>
      </c>
      <c r="U37" s="16">
        <f t="shared" si="66"/>
        <v>0</v>
      </c>
      <c r="V37" s="16">
        <f t="shared" si="67"/>
        <v>0</v>
      </c>
      <c r="W37" s="10">
        <f t="shared" si="52"/>
        <v>0</v>
      </c>
      <c r="X37" s="10">
        <f t="shared" si="53"/>
        <v>100208.76532963608</v>
      </c>
      <c r="Y37" s="13">
        <f t="shared" si="68"/>
        <v>3.509347621116779E-2</v>
      </c>
      <c r="Z37" s="9">
        <f t="shared" si="54"/>
        <v>5.0111082390843359E-4</v>
      </c>
      <c r="AA37" s="16">
        <f t="shared" si="69"/>
        <v>72876.405192839899</v>
      </c>
      <c r="AB37" s="16">
        <f t="shared" si="55"/>
        <v>39300.585464896489</v>
      </c>
      <c r="AC37" s="16">
        <f t="shared" si="56"/>
        <v>0</v>
      </c>
      <c r="AD37" s="16">
        <f t="shared" si="70"/>
        <v>0</v>
      </c>
      <c r="AE37" s="16"/>
      <c r="AF37" s="31">
        <f>IFERROR(INDEX(Iceland!$P$11:$P$165,MATCH('Calculations - Iceland'!C37,Iceland!$M$11:$M$165,0)),"")</f>
        <v>1.854333830673681</v>
      </c>
      <c r="AG37" s="23">
        <f t="shared" si="71"/>
        <v>0</v>
      </c>
      <c r="AH37" s="23">
        <f t="shared" si="71"/>
        <v>0</v>
      </c>
      <c r="AI37" s="9">
        <f t="shared" si="57"/>
        <v>0</v>
      </c>
      <c r="AJ37" s="4">
        <f t="shared" si="58"/>
        <v>38739.4</v>
      </c>
      <c r="AK37" s="4"/>
      <c r="AL37" s="4"/>
      <c r="AM37" s="4"/>
      <c r="AN37" s="4"/>
      <c r="AO37" s="4"/>
      <c r="AP37" s="20">
        <f t="shared" si="59"/>
        <v>100208.76532963608</v>
      </c>
      <c r="AQ37" s="13">
        <f t="shared" si="72"/>
        <v>3.509347621116779E-2</v>
      </c>
      <c r="AR37" s="13">
        <f t="shared" si="73"/>
        <v>3.5093476211167783E-2</v>
      </c>
      <c r="AS37" s="13">
        <f t="shared" si="60"/>
        <v>5.0111082390842665E-4</v>
      </c>
      <c r="AT37" s="16">
        <f t="shared" si="74"/>
        <v>72876.405192839884</v>
      </c>
      <c r="AU37" s="16">
        <f t="shared" si="61"/>
        <v>39300.585464896481</v>
      </c>
      <c r="AV37" s="16">
        <f t="shared" si="62"/>
        <v>0</v>
      </c>
      <c r="AW37" s="16">
        <f t="shared" si="75"/>
        <v>0</v>
      </c>
      <c r="AX37" s="13">
        <f t="shared" si="76"/>
        <v>1</v>
      </c>
      <c r="AY37" s="10">
        <f t="shared" si="77"/>
        <v>39300.585464896503</v>
      </c>
      <c r="AZ37" s="9">
        <f t="shared" si="78"/>
        <v>8.1878631154167464E-2</v>
      </c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</row>
    <row r="38" spans="2:68" x14ac:dyDescent="0.3">
      <c r="B38" s="108" t="str">
        <f t="shared" si="63"/>
        <v/>
      </c>
      <c r="C38" s="108" t="str">
        <f t="shared" si="47"/>
        <v/>
      </c>
      <c r="D38" s="3"/>
      <c r="E38" s="3"/>
      <c r="F38" s="3"/>
      <c r="G38" s="20">
        <f>IFERROR(INDEX('Input - Iceland'!F$2:F$200,MATCH('Calculations - Iceland'!$C38,'Input - Iceland'!$B$2:$B$200,0)),"")</f>
        <v>0</v>
      </c>
      <c r="H38" s="20">
        <f>IFERROR(INDEX('Input - Iceland'!G$2:G$200,MATCH('Calculations - Iceland'!$C38,'Input - Iceland'!$B$2:$B$200,0)),"")</f>
        <v>0</v>
      </c>
      <c r="I38" s="21">
        <f>IFERROR(INDEX('Input - Iceland'!H$2:H$200,MATCH('Calculations - Iceland'!$C38,'Input - Iceland'!$B$2:$B$200,0)),"")</f>
        <v>0</v>
      </c>
      <c r="J38" s="21">
        <f>IFERROR(INDEX('Input - Iceland'!I$2:I$200,MATCH('Calculations - Iceland'!$C38,'Input - Iceland'!$B$2:$B$200,0)),"")</f>
        <v>0</v>
      </c>
      <c r="K38" s="20">
        <f>IFERROR(INDEX('Input - Iceland'!J$2:J$200,MATCH('Calculations - Iceland'!$C38,'Input - Iceland'!$B$2:$B$200,0)),"")</f>
        <v>0</v>
      </c>
      <c r="L38" s="20">
        <f>IFERROR(INDEX('Input - Iceland'!K$2:K$200,MATCH('Calculations - Iceland'!$C38,'Input - Iceland'!$B$2:$B$200,0)),"")</f>
        <v>0</v>
      </c>
      <c r="M38" s="21" t="str">
        <f t="shared" si="64"/>
        <v/>
      </c>
      <c r="N38" s="21" t="str">
        <f t="shared" si="48"/>
        <v/>
      </c>
      <c r="O38" s="21">
        <f t="shared" si="65"/>
        <v>0</v>
      </c>
      <c r="P38" s="9">
        <f t="shared" si="49"/>
        <v>0</v>
      </c>
      <c r="Q38" s="9">
        <f t="shared" si="50"/>
        <v>0</v>
      </c>
      <c r="R38" s="22" t="str">
        <f>IFERROR(INDEX(Iceland!$Q$11:$Q$165,MATCH('Calculations - Iceland'!$C38,Iceland!$M$11:$M$165,0)),"")</f>
        <v/>
      </c>
      <c r="S38" s="22" t="str">
        <f>IFERROR(INDEX(Iceland!$R$11:$R$165,MATCH('Calculations - Iceland'!$C38,Iceland!$M$11:$M$165,0)),"")</f>
        <v/>
      </c>
      <c r="T38" s="16" t="e">
        <f t="shared" si="51"/>
        <v>#VALUE!</v>
      </c>
      <c r="U38" s="16" t="e">
        <f t="shared" si="66"/>
        <v>#VALUE!</v>
      </c>
      <c r="V38" s="16" t="e">
        <f t="shared" si="67"/>
        <v>#VALUE!</v>
      </c>
      <c r="W38" s="10" t="str">
        <f t="shared" si="52"/>
        <v>-</v>
      </c>
      <c r="X38" s="10" t="str">
        <f t="shared" si="53"/>
        <v>-</v>
      </c>
      <c r="Y38" s="13" t="str">
        <f t="shared" si="68"/>
        <v>-</v>
      </c>
      <c r="Z38" s="9" t="str">
        <f t="shared" si="54"/>
        <v>-</v>
      </c>
      <c r="AA38" s="16" t="str">
        <f t="shared" si="69"/>
        <v>-</v>
      </c>
      <c r="AB38" s="16" t="str">
        <f t="shared" si="55"/>
        <v>-</v>
      </c>
      <c r="AC38" s="16" t="str">
        <f t="shared" si="56"/>
        <v>-</v>
      </c>
      <c r="AD38" s="16" t="str">
        <f t="shared" si="70"/>
        <v>-</v>
      </c>
      <c r="AE38" s="16"/>
      <c r="AF38" s="31" t="str">
        <f>IFERROR(INDEX(Iceland!$P$11:$P$165,MATCH('Calculations - Iceland'!C38,Iceland!$M$11:$M$165,0)),"")</f>
        <v/>
      </c>
      <c r="AG38" s="23" t="str">
        <f t="shared" si="71"/>
        <v/>
      </c>
      <c r="AH38" s="23" t="str">
        <f t="shared" si="71"/>
        <v/>
      </c>
      <c r="AI38" s="9" t="str">
        <f t="shared" si="57"/>
        <v/>
      </c>
      <c r="AJ38" s="4" t="str">
        <f t="shared" si="58"/>
        <v/>
      </c>
      <c r="AK38" s="4"/>
      <c r="AL38" s="4"/>
      <c r="AM38" s="4"/>
      <c r="AN38" s="4"/>
      <c r="AO38" s="4"/>
      <c r="AP38" s="20" t="str">
        <f t="shared" si="59"/>
        <v>-</v>
      </c>
      <c r="AQ38" s="13" t="str">
        <f t="shared" si="72"/>
        <v>-</v>
      </c>
      <c r="AR38" s="13" t="str">
        <f t="shared" si="73"/>
        <v>-</v>
      </c>
      <c r="AS38" s="13" t="str">
        <f t="shared" si="60"/>
        <v>-</v>
      </c>
      <c r="AT38" s="16" t="str">
        <f t="shared" si="74"/>
        <v>-</v>
      </c>
      <c r="AU38" s="16" t="str">
        <f t="shared" si="61"/>
        <v>-</v>
      </c>
      <c r="AV38" s="16" t="str">
        <f t="shared" si="62"/>
        <v>-</v>
      </c>
      <c r="AW38" s="16" t="str">
        <f t="shared" si="75"/>
        <v>-</v>
      </c>
      <c r="AX38" s="13" t="str">
        <f t="shared" si="76"/>
        <v>-</v>
      </c>
      <c r="AY38" s="10" t="str">
        <f t="shared" si="77"/>
        <v>-</v>
      </c>
      <c r="AZ38" s="9" t="str">
        <f t="shared" si="78"/>
        <v>-</v>
      </c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</row>
    <row r="39" spans="2:68" x14ac:dyDescent="0.3">
      <c r="B39" s="108" t="str">
        <f t="shared" si="63"/>
        <v/>
      </c>
      <c r="C39" s="108" t="str">
        <f t="shared" si="47"/>
        <v/>
      </c>
      <c r="D39" s="3"/>
      <c r="E39" s="3"/>
      <c r="F39" s="3"/>
      <c r="G39" s="20">
        <f>IFERROR(INDEX('Input - Iceland'!F$2:F$200,MATCH('Calculations - Iceland'!$C39,'Input - Iceland'!$B$2:$B$200,0)),"")</f>
        <v>0</v>
      </c>
      <c r="H39" s="20">
        <f>IFERROR(INDEX('Input - Iceland'!G$2:G$200,MATCH('Calculations - Iceland'!$C39,'Input - Iceland'!$B$2:$B$200,0)),"")</f>
        <v>0</v>
      </c>
      <c r="I39" s="21">
        <f>IFERROR(INDEX('Input - Iceland'!H$2:H$200,MATCH('Calculations - Iceland'!$C39,'Input - Iceland'!$B$2:$B$200,0)),"")</f>
        <v>0</v>
      </c>
      <c r="J39" s="21">
        <f>IFERROR(INDEX('Input - Iceland'!I$2:I$200,MATCH('Calculations - Iceland'!$C39,'Input - Iceland'!$B$2:$B$200,0)),"")</f>
        <v>0</v>
      </c>
      <c r="K39" s="20">
        <f>IFERROR(INDEX('Input - Iceland'!J$2:J$200,MATCH('Calculations - Iceland'!$C39,'Input - Iceland'!$B$2:$B$200,0)),"")</f>
        <v>0</v>
      </c>
      <c r="L39" s="20">
        <f>IFERROR(INDEX('Input - Iceland'!K$2:K$200,MATCH('Calculations - Iceland'!$C39,'Input - Iceland'!$B$2:$B$200,0)),"")</f>
        <v>0</v>
      </c>
      <c r="M39" s="21" t="str">
        <f t="shared" si="64"/>
        <v/>
      </c>
      <c r="N39" s="21" t="str">
        <f t="shared" si="48"/>
        <v/>
      </c>
      <c r="O39" s="21">
        <f t="shared" si="65"/>
        <v>0</v>
      </c>
      <c r="P39" s="9">
        <f t="shared" si="49"/>
        <v>0</v>
      </c>
      <c r="Q39" s="9">
        <f t="shared" si="50"/>
        <v>0</v>
      </c>
      <c r="R39" s="22" t="str">
        <f>IFERROR(INDEX(Iceland!$Q$11:$Q$165,MATCH('Calculations - Iceland'!$C39,Iceland!$M$11:$M$165,0)),"")</f>
        <v/>
      </c>
      <c r="S39" s="22" t="str">
        <f>IFERROR(INDEX(Iceland!$R$11:$R$165,MATCH('Calculations - Iceland'!$C39,Iceland!$M$11:$M$165,0)),"")</f>
        <v/>
      </c>
      <c r="T39" s="16" t="e">
        <f t="shared" si="51"/>
        <v>#VALUE!</v>
      </c>
      <c r="U39" s="16" t="e">
        <f t="shared" si="66"/>
        <v>#VALUE!</v>
      </c>
      <c r="V39" s="16" t="e">
        <f t="shared" si="67"/>
        <v>#VALUE!</v>
      </c>
      <c r="W39" s="10" t="str">
        <f t="shared" si="52"/>
        <v>-</v>
      </c>
      <c r="X39" s="10" t="str">
        <f t="shared" si="53"/>
        <v>-</v>
      </c>
      <c r="Y39" s="13" t="str">
        <f t="shared" si="68"/>
        <v>-</v>
      </c>
      <c r="Z39" s="9" t="str">
        <f t="shared" si="54"/>
        <v>-</v>
      </c>
      <c r="AA39" s="16" t="str">
        <f t="shared" si="69"/>
        <v>-</v>
      </c>
      <c r="AB39" s="16" t="str">
        <f t="shared" si="55"/>
        <v>-</v>
      </c>
      <c r="AC39" s="16" t="str">
        <f t="shared" si="56"/>
        <v>-</v>
      </c>
      <c r="AD39" s="16" t="str">
        <f t="shared" si="70"/>
        <v>-</v>
      </c>
      <c r="AE39" s="16"/>
      <c r="AF39" s="31" t="str">
        <f>IFERROR(INDEX(Iceland!$P$11:$P$165,MATCH('Calculations - Iceland'!C39,Iceland!$M$11:$M$165,0)),"")</f>
        <v/>
      </c>
      <c r="AG39" s="23" t="str">
        <f t="shared" si="71"/>
        <v/>
      </c>
      <c r="AH39" s="23" t="str">
        <f t="shared" si="71"/>
        <v/>
      </c>
      <c r="AI39" s="9" t="str">
        <f t="shared" si="57"/>
        <v/>
      </c>
      <c r="AJ39" s="4" t="str">
        <f t="shared" si="58"/>
        <v/>
      </c>
      <c r="AK39" s="4"/>
      <c r="AL39" s="4"/>
      <c r="AM39" s="4"/>
      <c r="AN39" s="4"/>
      <c r="AO39" s="4"/>
      <c r="AP39" s="20" t="str">
        <f t="shared" si="59"/>
        <v>-</v>
      </c>
      <c r="AQ39" s="13" t="str">
        <f t="shared" si="72"/>
        <v>-</v>
      </c>
      <c r="AR39" s="13" t="str">
        <f t="shared" si="73"/>
        <v>-</v>
      </c>
      <c r="AS39" s="13" t="str">
        <f t="shared" si="60"/>
        <v>-</v>
      </c>
      <c r="AT39" s="16" t="str">
        <f t="shared" si="74"/>
        <v>-</v>
      </c>
      <c r="AU39" s="16" t="str">
        <f t="shared" si="61"/>
        <v>-</v>
      </c>
      <c r="AV39" s="16" t="str">
        <f t="shared" si="62"/>
        <v>-</v>
      </c>
      <c r="AW39" s="16" t="str">
        <f t="shared" si="75"/>
        <v>-</v>
      </c>
      <c r="AX39" s="13" t="str">
        <f t="shared" si="76"/>
        <v>-</v>
      </c>
      <c r="AY39" s="10" t="str">
        <f t="shared" si="77"/>
        <v>-</v>
      </c>
      <c r="AZ39" s="9" t="str">
        <f t="shared" si="78"/>
        <v>-</v>
      </c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</row>
    <row r="40" spans="2:68" x14ac:dyDescent="0.3">
      <c r="B40" s="108" t="str">
        <f t="shared" si="63"/>
        <v/>
      </c>
      <c r="C40" s="108" t="str">
        <f t="shared" si="47"/>
        <v/>
      </c>
      <c r="D40" s="3"/>
      <c r="E40" s="3"/>
      <c r="F40" s="3"/>
      <c r="G40" s="20">
        <f>IFERROR(INDEX('Input - Iceland'!F$2:F$200,MATCH('Calculations - Iceland'!$C40,'Input - Iceland'!$B$2:$B$200,0)),"")</f>
        <v>0</v>
      </c>
      <c r="H40" s="20">
        <f>IFERROR(INDEX('Input - Iceland'!G$2:G$200,MATCH('Calculations - Iceland'!$C40,'Input - Iceland'!$B$2:$B$200,0)),"")</f>
        <v>0</v>
      </c>
      <c r="I40" s="21">
        <f>IFERROR(INDEX('Input - Iceland'!H$2:H$200,MATCH('Calculations - Iceland'!$C40,'Input - Iceland'!$B$2:$B$200,0)),"")</f>
        <v>0</v>
      </c>
      <c r="J40" s="21">
        <f>IFERROR(INDEX('Input - Iceland'!I$2:I$200,MATCH('Calculations - Iceland'!$C40,'Input - Iceland'!$B$2:$B$200,0)),"")</f>
        <v>0</v>
      </c>
      <c r="K40" s="20">
        <f>IFERROR(INDEX('Input - Iceland'!J$2:J$200,MATCH('Calculations - Iceland'!$C40,'Input - Iceland'!$B$2:$B$200,0)),"")</f>
        <v>0</v>
      </c>
      <c r="L40" s="20">
        <f>IFERROR(INDEX('Input - Iceland'!K$2:K$200,MATCH('Calculations - Iceland'!$C40,'Input - Iceland'!$B$2:$B$200,0)),"")</f>
        <v>0</v>
      </c>
      <c r="M40" s="21" t="str">
        <f t="shared" si="64"/>
        <v/>
      </c>
      <c r="N40" s="21" t="str">
        <f t="shared" si="48"/>
        <v/>
      </c>
      <c r="O40" s="21">
        <f t="shared" si="65"/>
        <v>0</v>
      </c>
      <c r="P40" s="9">
        <f t="shared" si="49"/>
        <v>0</v>
      </c>
      <c r="Q40" s="9">
        <f t="shared" si="50"/>
        <v>0</v>
      </c>
      <c r="R40" s="22" t="str">
        <f>IFERROR(INDEX(Iceland!$Q$11:$Q$165,MATCH('Calculations - Iceland'!$C40,Iceland!$M$11:$M$165,0)),"")</f>
        <v/>
      </c>
      <c r="S40" s="22" t="str">
        <f>IFERROR(INDEX(Iceland!$R$11:$R$165,MATCH('Calculations - Iceland'!$C40,Iceland!$M$11:$M$165,0)),"")</f>
        <v/>
      </c>
      <c r="T40" s="16" t="e">
        <f t="shared" si="51"/>
        <v>#VALUE!</v>
      </c>
      <c r="U40" s="16" t="e">
        <f t="shared" si="66"/>
        <v>#VALUE!</v>
      </c>
      <c r="V40" s="16" t="e">
        <f t="shared" si="67"/>
        <v>#VALUE!</v>
      </c>
      <c r="W40" s="10" t="str">
        <f t="shared" si="52"/>
        <v>-</v>
      </c>
      <c r="X40" s="10" t="str">
        <f t="shared" si="53"/>
        <v>-</v>
      </c>
      <c r="Y40" s="13" t="str">
        <f t="shared" si="68"/>
        <v>-</v>
      </c>
      <c r="Z40" s="9" t="str">
        <f t="shared" si="54"/>
        <v>-</v>
      </c>
      <c r="AA40" s="16" t="str">
        <f t="shared" si="69"/>
        <v>-</v>
      </c>
      <c r="AB40" s="16" t="str">
        <f t="shared" si="55"/>
        <v>-</v>
      </c>
      <c r="AC40" s="16" t="str">
        <f t="shared" si="56"/>
        <v>-</v>
      </c>
      <c r="AD40" s="16" t="str">
        <f t="shared" si="70"/>
        <v>-</v>
      </c>
      <c r="AE40" s="16"/>
      <c r="AF40" s="31" t="str">
        <f>IFERROR(INDEX(Iceland!$P$11:$P$165,MATCH('Calculations - Iceland'!C40,Iceland!$M$11:$M$165,0)),"")</f>
        <v/>
      </c>
      <c r="AG40" s="23" t="str">
        <f t="shared" si="71"/>
        <v/>
      </c>
      <c r="AH40" s="23" t="str">
        <f t="shared" si="71"/>
        <v/>
      </c>
      <c r="AI40" s="9" t="str">
        <f t="shared" si="57"/>
        <v/>
      </c>
      <c r="AJ40" s="4" t="str">
        <f t="shared" si="58"/>
        <v/>
      </c>
      <c r="AK40" s="4"/>
      <c r="AL40" s="4"/>
      <c r="AM40" s="4"/>
      <c r="AN40" s="4"/>
      <c r="AO40" s="4"/>
      <c r="AP40" s="20" t="str">
        <f t="shared" si="59"/>
        <v>-</v>
      </c>
      <c r="AQ40" s="13" t="str">
        <f t="shared" si="72"/>
        <v>-</v>
      </c>
      <c r="AR40" s="13" t="str">
        <f t="shared" si="73"/>
        <v>-</v>
      </c>
      <c r="AS40" s="13" t="str">
        <f t="shared" si="60"/>
        <v>-</v>
      </c>
      <c r="AT40" s="16" t="str">
        <f t="shared" si="74"/>
        <v>-</v>
      </c>
      <c r="AU40" s="16" t="str">
        <f t="shared" si="61"/>
        <v>-</v>
      </c>
      <c r="AV40" s="16" t="str">
        <f t="shared" si="62"/>
        <v>-</v>
      </c>
      <c r="AW40" s="16" t="str">
        <f t="shared" si="75"/>
        <v>-</v>
      </c>
      <c r="AX40" s="13" t="str">
        <f t="shared" si="76"/>
        <v>-</v>
      </c>
      <c r="AY40" s="10" t="str">
        <f t="shared" si="77"/>
        <v>-</v>
      </c>
      <c r="AZ40" s="9" t="str">
        <f t="shared" si="78"/>
        <v>-</v>
      </c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</row>
    <row r="41" spans="2:68" x14ac:dyDescent="0.3">
      <c r="B41" s="108" t="str">
        <f t="shared" si="63"/>
        <v/>
      </c>
      <c r="C41" s="108" t="str">
        <f t="shared" si="47"/>
        <v/>
      </c>
      <c r="D41" s="3"/>
      <c r="E41" s="3"/>
      <c r="F41" s="3"/>
      <c r="G41" s="20">
        <f>IFERROR(INDEX('Input - Iceland'!F$2:F$200,MATCH('Calculations - Iceland'!$C41,'Input - Iceland'!$B$2:$B$200,0)),"")</f>
        <v>0</v>
      </c>
      <c r="H41" s="20">
        <f>IFERROR(INDEX('Input - Iceland'!G$2:G$200,MATCH('Calculations - Iceland'!$C41,'Input - Iceland'!$B$2:$B$200,0)),"")</f>
        <v>0</v>
      </c>
      <c r="I41" s="21">
        <f>IFERROR(INDEX('Input - Iceland'!H$2:H$200,MATCH('Calculations - Iceland'!$C41,'Input - Iceland'!$B$2:$B$200,0)),"")</f>
        <v>0</v>
      </c>
      <c r="J41" s="21">
        <f>IFERROR(INDEX('Input - Iceland'!I$2:I$200,MATCH('Calculations - Iceland'!$C41,'Input - Iceland'!$B$2:$B$200,0)),"")</f>
        <v>0</v>
      </c>
      <c r="K41" s="20">
        <f>IFERROR(INDEX('Input - Iceland'!J$2:J$200,MATCH('Calculations - Iceland'!$C41,'Input - Iceland'!$B$2:$B$200,0)),"")</f>
        <v>0</v>
      </c>
      <c r="L41" s="20">
        <f>IFERROR(INDEX('Input - Iceland'!K$2:K$200,MATCH('Calculations - Iceland'!$C41,'Input - Iceland'!$B$2:$B$200,0)),"")</f>
        <v>0</v>
      </c>
      <c r="M41" s="21" t="str">
        <f t="shared" si="64"/>
        <v/>
      </c>
      <c r="N41" s="21" t="str">
        <f t="shared" si="48"/>
        <v/>
      </c>
      <c r="O41" s="21">
        <f t="shared" si="65"/>
        <v>0</v>
      </c>
      <c r="P41" s="9">
        <f t="shared" si="49"/>
        <v>0</v>
      </c>
      <c r="Q41" s="9">
        <f t="shared" si="50"/>
        <v>0</v>
      </c>
      <c r="R41" s="22" t="str">
        <f>IFERROR(INDEX(Iceland!$Q$11:$Q$165,MATCH('Calculations - Iceland'!$C41,Iceland!$M$11:$M$165,0)),"")</f>
        <v/>
      </c>
      <c r="S41" s="22" t="str">
        <f>IFERROR(INDEX(Iceland!$R$11:$R$165,MATCH('Calculations - Iceland'!$C41,Iceland!$M$11:$M$165,0)),"")</f>
        <v/>
      </c>
      <c r="T41" s="16" t="e">
        <f t="shared" si="51"/>
        <v>#VALUE!</v>
      </c>
      <c r="U41" s="16" t="e">
        <f t="shared" si="66"/>
        <v>#VALUE!</v>
      </c>
      <c r="V41" s="16" t="e">
        <f t="shared" si="67"/>
        <v>#VALUE!</v>
      </c>
      <c r="W41" s="10" t="str">
        <f t="shared" si="52"/>
        <v>-</v>
      </c>
      <c r="X41" s="10" t="str">
        <f t="shared" si="53"/>
        <v>-</v>
      </c>
      <c r="Y41" s="13" t="str">
        <f t="shared" si="68"/>
        <v>-</v>
      </c>
      <c r="Z41" s="9" t="str">
        <f t="shared" si="54"/>
        <v>-</v>
      </c>
      <c r="AA41" s="16" t="str">
        <f t="shared" si="69"/>
        <v>-</v>
      </c>
      <c r="AB41" s="16" t="str">
        <f t="shared" si="55"/>
        <v>-</v>
      </c>
      <c r="AC41" s="16" t="str">
        <f t="shared" si="56"/>
        <v>-</v>
      </c>
      <c r="AD41" s="16" t="str">
        <f t="shared" si="70"/>
        <v>-</v>
      </c>
      <c r="AE41" s="16"/>
      <c r="AF41" s="31" t="str">
        <f>IFERROR(INDEX(Iceland!$P$11:$P$165,MATCH('Calculations - Iceland'!C41,Iceland!$M$11:$M$165,0)),"")</f>
        <v/>
      </c>
      <c r="AG41" s="23" t="str">
        <f t="shared" si="71"/>
        <v/>
      </c>
      <c r="AH41" s="23" t="str">
        <f t="shared" si="71"/>
        <v/>
      </c>
      <c r="AI41" s="9" t="str">
        <f t="shared" si="57"/>
        <v/>
      </c>
      <c r="AJ41" s="4" t="str">
        <f t="shared" si="58"/>
        <v/>
      </c>
      <c r="AK41" s="4"/>
      <c r="AL41" s="4"/>
      <c r="AM41" s="4"/>
      <c r="AN41" s="4"/>
      <c r="AO41" s="4"/>
      <c r="AP41" s="20" t="str">
        <f t="shared" si="59"/>
        <v>-</v>
      </c>
      <c r="AQ41" s="13" t="str">
        <f t="shared" si="72"/>
        <v>-</v>
      </c>
      <c r="AR41" s="13" t="str">
        <f t="shared" si="73"/>
        <v>-</v>
      </c>
      <c r="AS41" s="13" t="str">
        <f t="shared" si="60"/>
        <v>-</v>
      </c>
      <c r="AT41" s="16" t="str">
        <f t="shared" si="74"/>
        <v>-</v>
      </c>
      <c r="AU41" s="16" t="str">
        <f t="shared" si="61"/>
        <v>-</v>
      </c>
      <c r="AV41" s="16" t="str">
        <f t="shared" si="62"/>
        <v>-</v>
      </c>
      <c r="AW41" s="16" t="str">
        <f t="shared" si="75"/>
        <v>-</v>
      </c>
      <c r="AX41" s="13" t="str">
        <f t="shared" si="76"/>
        <v>-</v>
      </c>
      <c r="AY41" s="10" t="str">
        <f t="shared" si="77"/>
        <v>-</v>
      </c>
      <c r="AZ41" s="9" t="str">
        <f t="shared" si="78"/>
        <v>-</v>
      </c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</row>
    <row r="42" spans="2:68" x14ac:dyDescent="0.3">
      <c r="B42" s="108" t="str">
        <f t="shared" si="63"/>
        <v/>
      </c>
      <c r="C42" s="108" t="str">
        <f t="shared" si="47"/>
        <v/>
      </c>
      <c r="D42" s="3"/>
      <c r="E42" s="3"/>
      <c r="F42" s="3"/>
      <c r="G42" s="20">
        <f>IFERROR(INDEX('Input - Iceland'!F$2:F$200,MATCH('Calculations - Iceland'!$C42,'Input - Iceland'!$B$2:$B$200,0)),"")</f>
        <v>0</v>
      </c>
      <c r="H42" s="20">
        <f>IFERROR(INDEX('Input - Iceland'!G$2:G$200,MATCH('Calculations - Iceland'!$C42,'Input - Iceland'!$B$2:$B$200,0)),"")</f>
        <v>0</v>
      </c>
      <c r="I42" s="21">
        <f>IFERROR(INDEX('Input - Iceland'!H$2:H$200,MATCH('Calculations - Iceland'!$C42,'Input - Iceland'!$B$2:$B$200,0)),"")</f>
        <v>0</v>
      </c>
      <c r="J42" s="21">
        <f>IFERROR(INDEX('Input - Iceland'!I$2:I$200,MATCH('Calculations - Iceland'!$C42,'Input - Iceland'!$B$2:$B$200,0)),"")</f>
        <v>0</v>
      </c>
      <c r="K42" s="20">
        <f>IFERROR(INDEX('Input - Iceland'!J$2:J$200,MATCH('Calculations - Iceland'!$C42,'Input - Iceland'!$B$2:$B$200,0)),"")</f>
        <v>0</v>
      </c>
      <c r="L42" s="20">
        <f>IFERROR(INDEX('Input - Iceland'!K$2:K$200,MATCH('Calculations - Iceland'!$C42,'Input - Iceland'!$B$2:$B$200,0)),"")</f>
        <v>0</v>
      </c>
      <c r="M42" s="21" t="str">
        <f t="shared" si="64"/>
        <v/>
      </c>
      <c r="N42" s="21" t="str">
        <f t="shared" si="48"/>
        <v/>
      </c>
      <c r="O42" s="21">
        <f t="shared" si="65"/>
        <v>0</v>
      </c>
      <c r="P42" s="9">
        <f t="shared" si="49"/>
        <v>0</v>
      </c>
      <c r="Q42" s="9">
        <f t="shared" si="50"/>
        <v>0</v>
      </c>
      <c r="R42" s="22" t="str">
        <f>IFERROR(INDEX(Iceland!$Q$11:$Q$165,MATCH('Calculations - Iceland'!$C42,Iceland!$M$11:$M$165,0)),"")</f>
        <v/>
      </c>
      <c r="S42" s="22" t="str">
        <f>IFERROR(INDEX(Iceland!$R$11:$R$165,MATCH('Calculations - Iceland'!$C42,Iceland!$M$11:$M$165,0)),"")</f>
        <v/>
      </c>
      <c r="T42" s="16" t="e">
        <f t="shared" si="51"/>
        <v>#VALUE!</v>
      </c>
      <c r="U42" s="16" t="e">
        <f t="shared" si="66"/>
        <v>#VALUE!</v>
      </c>
      <c r="V42" s="16" t="e">
        <f t="shared" si="67"/>
        <v>#VALUE!</v>
      </c>
      <c r="W42" s="10" t="str">
        <f t="shared" si="52"/>
        <v>-</v>
      </c>
      <c r="X42" s="10" t="str">
        <f t="shared" si="53"/>
        <v>-</v>
      </c>
      <c r="Y42" s="13" t="str">
        <f t="shared" si="68"/>
        <v>-</v>
      </c>
      <c r="Z42" s="9" t="str">
        <f t="shared" si="54"/>
        <v>-</v>
      </c>
      <c r="AA42" s="16" t="str">
        <f t="shared" si="69"/>
        <v>-</v>
      </c>
      <c r="AB42" s="16" t="str">
        <f t="shared" si="55"/>
        <v>-</v>
      </c>
      <c r="AC42" s="16" t="str">
        <f t="shared" si="56"/>
        <v>-</v>
      </c>
      <c r="AD42" s="16" t="str">
        <f t="shared" si="70"/>
        <v>-</v>
      </c>
      <c r="AE42" s="16"/>
      <c r="AF42" s="31" t="str">
        <f>IFERROR(INDEX(Iceland!$P$11:$P$165,MATCH('Calculations - Iceland'!C42,Iceland!$M$11:$M$165,0)),"")</f>
        <v/>
      </c>
      <c r="AG42" s="23" t="str">
        <f t="shared" si="71"/>
        <v/>
      </c>
      <c r="AH42" s="23" t="str">
        <f t="shared" si="71"/>
        <v/>
      </c>
      <c r="AI42" s="9" t="str">
        <f t="shared" si="57"/>
        <v/>
      </c>
      <c r="AJ42" s="4" t="str">
        <f t="shared" si="58"/>
        <v/>
      </c>
      <c r="AK42" s="4"/>
      <c r="AL42" s="4"/>
      <c r="AM42" s="4"/>
      <c r="AN42" s="4"/>
      <c r="AO42" s="4"/>
      <c r="AP42" s="20" t="str">
        <f t="shared" si="59"/>
        <v>-</v>
      </c>
      <c r="AQ42" s="13" t="str">
        <f t="shared" si="72"/>
        <v>-</v>
      </c>
      <c r="AR42" s="13" t="str">
        <f t="shared" si="73"/>
        <v>-</v>
      </c>
      <c r="AS42" s="13" t="str">
        <f t="shared" si="60"/>
        <v>-</v>
      </c>
      <c r="AT42" s="16" t="str">
        <f t="shared" si="74"/>
        <v>-</v>
      </c>
      <c r="AU42" s="16" t="str">
        <f t="shared" si="61"/>
        <v>-</v>
      </c>
      <c r="AV42" s="16" t="str">
        <f t="shared" si="62"/>
        <v>-</v>
      </c>
      <c r="AW42" s="16" t="str">
        <f t="shared" si="75"/>
        <v>-</v>
      </c>
      <c r="AX42" s="13" t="str">
        <f t="shared" si="76"/>
        <v>-</v>
      </c>
      <c r="AY42" s="10" t="str">
        <f t="shared" si="77"/>
        <v>-</v>
      </c>
      <c r="AZ42" s="9" t="str">
        <f t="shared" si="78"/>
        <v>-</v>
      </c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</row>
    <row r="43" spans="2:68" x14ac:dyDescent="0.3">
      <c r="B43" s="108" t="str">
        <f t="shared" si="63"/>
        <v/>
      </c>
      <c r="C43" s="108" t="str">
        <f t="shared" si="47"/>
        <v/>
      </c>
      <c r="D43" s="3"/>
      <c r="E43" s="3"/>
      <c r="F43" s="3"/>
      <c r="G43" s="20">
        <f>IFERROR(INDEX('Input - Iceland'!F$2:F$200,MATCH('Calculations - Iceland'!$C43,'Input - Iceland'!$B$2:$B$200,0)),"")</f>
        <v>0</v>
      </c>
      <c r="H43" s="20">
        <f>IFERROR(INDEX('Input - Iceland'!G$2:G$200,MATCH('Calculations - Iceland'!$C43,'Input - Iceland'!$B$2:$B$200,0)),"")</f>
        <v>0</v>
      </c>
      <c r="I43" s="21">
        <f>IFERROR(INDEX('Input - Iceland'!H$2:H$200,MATCH('Calculations - Iceland'!$C43,'Input - Iceland'!$B$2:$B$200,0)),"")</f>
        <v>0</v>
      </c>
      <c r="J43" s="21">
        <f>IFERROR(INDEX('Input - Iceland'!I$2:I$200,MATCH('Calculations - Iceland'!$C43,'Input - Iceland'!$B$2:$B$200,0)),"")</f>
        <v>0</v>
      </c>
      <c r="K43" s="20">
        <f>IFERROR(INDEX('Input - Iceland'!J$2:J$200,MATCH('Calculations - Iceland'!$C43,'Input - Iceland'!$B$2:$B$200,0)),"")</f>
        <v>0</v>
      </c>
      <c r="L43" s="20">
        <f>IFERROR(INDEX('Input - Iceland'!K$2:K$200,MATCH('Calculations - Iceland'!$C43,'Input - Iceland'!$B$2:$B$200,0)),"")</f>
        <v>0</v>
      </c>
      <c r="M43" s="21" t="str">
        <f t="shared" si="64"/>
        <v/>
      </c>
      <c r="N43" s="21" t="str">
        <f t="shared" si="48"/>
        <v/>
      </c>
      <c r="O43" s="21">
        <f t="shared" si="65"/>
        <v>0</v>
      </c>
      <c r="P43" s="9">
        <f t="shared" si="49"/>
        <v>0</v>
      </c>
      <c r="Q43" s="9">
        <f t="shared" si="50"/>
        <v>0</v>
      </c>
      <c r="R43" s="22" t="str">
        <f>IFERROR(INDEX(Iceland!$Q$11:$Q$165,MATCH('Calculations - Iceland'!$C43,Iceland!$M$11:$M$165,0)),"")</f>
        <v/>
      </c>
      <c r="S43" s="22" t="str">
        <f>IFERROR(INDEX(Iceland!$R$11:$R$165,MATCH('Calculations - Iceland'!$C43,Iceland!$M$11:$M$165,0)),"")</f>
        <v/>
      </c>
      <c r="T43" s="16" t="e">
        <f t="shared" si="51"/>
        <v>#VALUE!</v>
      </c>
      <c r="U43" s="16" t="e">
        <f t="shared" si="66"/>
        <v>#VALUE!</v>
      </c>
      <c r="V43" s="16" t="e">
        <f t="shared" si="67"/>
        <v>#VALUE!</v>
      </c>
      <c r="W43" s="10" t="str">
        <f t="shared" si="52"/>
        <v>-</v>
      </c>
      <c r="X43" s="10" t="str">
        <f t="shared" si="53"/>
        <v>-</v>
      </c>
      <c r="Y43" s="13" t="str">
        <f t="shared" si="68"/>
        <v>-</v>
      </c>
      <c r="Z43" s="9" t="str">
        <f t="shared" si="54"/>
        <v>-</v>
      </c>
      <c r="AA43" s="16" t="str">
        <f t="shared" si="69"/>
        <v>-</v>
      </c>
      <c r="AB43" s="16" t="str">
        <f t="shared" si="55"/>
        <v>-</v>
      </c>
      <c r="AC43" s="16" t="str">
        <f t="shared" si="56"/>
        <v>-</v>
      </c>
      <c r="AD43" s="16" t="str">
        <f t="shared" si="70"/>
        <v>-</v>
      </c>
      <c r="AE43" s="16"/>
      <c r="AF43" s="31" t="str">
        <f>IFERROR(INDEX(Iceland!$P$11:$P$165,MATCH('Calculations - Iceland'!C43,Iceland!$M$11:$M$165,0)),"")</f>
        <v/>
      </c>
      <c r="AG43" s="23" t="str">
        <f t="shared" si="71"/>
        <v/>
      </c>
      <c r="AH43" s="23" t="str">
        <f t="shared" si="71"/>
        <v/>
      </c>
      <c r="AI43" s="9" t="str">
        <f t="shared" si="57"/>
        <v/>
      </c>
      <c r="AJ43" s="4" t="str">
        <f t="shared" si="58"/>
        <v/>
      </c>
      <c r="AK43" s="4"/>
      <c r="AL43" s="4"/>
      <c r="AM43" s="4"/>
      <c r="AN43" s="4"/>
      <c r="AO43" s="4"/>
      <c r="AP43" s="20" t="str">
        <f t="shared" si="59"/>
        <v>-</v>
      </c>
      <c r="AQ43" s="13" t="str">
        <f t="shared" si="72"/>
        <v>-</v>
      </c>
      <c r="AR43" s="13" t="str">
        <f t="shared" si="73"/>
        <v>-</v>
      </c>
      <c r="AS43" s="13" t="str">
        <f t="shared" si="60"/>
        <v>-</v>
      </c>
      <c r="AT43" s="16" t="str">
        <f t="shared" si="74"/>
        <v>-</v>
      </c>
      <c r="AU43" s="16" t="str">
        <f t="shared" si="61"/>
        <v>-</v>
      </c>
      <c r="AV43" s="16" t="str">
        <f t="shared" si="62"/>
        <v>-</v>
      </c>
      <c r="AW43" s="16" t="str">
        <f t="shared" si="75"/>
        <v>-</v>
      </c>
      <c r="AX43" s="13" t="str">
        <f t="shared" si="76"/>
        <v>-</v>
      </c>
      <c r="AY43" s="10" t="str">
        <f t="shared" si="77"/>
        <v>-</v>
      </c>
      <c r="AZ43" s="9" t="str">
        <f t="shared" si="78"/>
        <v>-</v>
      </c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</row>
    <row r="44" spans="2:68" x14ac:dyDescent="0.3">
      <c r="B44" s="108" t="str">
        <f t="shared" si="63"/>
        <v/>
      </c>
      <c r="C44" s="108" t="str">
        <f t="shared" si="47"/>
        <v/>
      </c>
      <c r="D44" s="3"/>
      <c r="E44" s="3"/>
      <c r="F44" s="3"/>
      <c r="G44" s="20">
        <f>IFERROR(INDEX('Input - Iceland'!F$2:F$200,MATCH('Calculations - Iceland'!$C44,'Input - Iceland'!$B$2:$B$200,0)),"")</f>
        <v>0</v>
      </c>
      <c r="H44" s="20">
        <f>IFERROR(INDEX('Input - Iceland'!G$2:G$200,MATCH('Calculations - Iceland'!$C44,'Input - Iceland'!$B$2:$B$200,0)),"")</f>
        <v>0</v>
      </c>
      <c r="I44" s="21">
        <f>IFERROR(INDEX('Input - Iceland'!H$2:H$200,MATCH('Calculations - Iceland'!$C44,'Input - Iceland'!$B$2:$B$200,0)),"")</f>
        <v>0</v>
      </c>
      <c r="J44" s="21">
        <f>IFERROR(INDEX('Input - Iceland'!I$2:I$200,MATCH('Calculations - Iceland'!$C44,'Input - Iceland'!$B$2:$B$200,0)),"")</f>
        <v>0</v>
      </c>
      <c r="K44" s="20">
        <f>IFERROR(INDEX('Input - Iceland'!J$2:J$200,MATCH('Calculations - Iceland'!$C44,'Input - Iceland'!$B$2:$B$200,0)),"")</f>
        <v>0</v>
      </c>
      <c r="L44" s="20">
        <f>IFERROR(INDEX('Input - Iceland'!K$2:K$200,MATCH('Calculations - Iceland'!$C44,'Input - Iceland'!$B$2:$B$200,0)),"")</f>
        <v>0</v>
      </c>
      <c r="M44" s="21" t="str">
        <f t="shared" si="64"/>
        <v/>
      </c>
      <c r="N44" s="21" t="str">
        <f t="shared" si="48"/>
        <v/>
      </c>
      <c r="O44" s="21">
        <f t="shared" si="65"/>
        <v>0</v>
      </c>
      <c r="P44" s="9">
        <f t="shared" si="49"/>
        <v>0</v>
      </c>
      <c r="Q44" s="9">
        <f t="shared" si="50"/>
        <v>0</v>
      </c>
      <c r="R44" s="22" t="str">
        <f>IFERROR(INDEX(Iceland!$Q$11:$Q$165,MATCH('Calculations - Iceland'!$C44,Iceland!$M$11:$M$165,0)),"")</f>
        <v/>
      </c>
      <c r="S44" s="22" t="str">
        <f>IFERROR(INDEX(Iceland!$R$11:$R$165,MATCH('Calculations - Iceland'!$C44,Iceland!$M$11:$M$165,0)),"")</f>
        <v/>
      </c>
      <c r="T44" s="16" t="e">
        <f t="shared" si="51"/>
        <v>#VALUE!</v>
      </c>
      <c r="U44" s="16" t="e">
        <f t="shared" si="66"/>
        <v>#VALUE!</v>
      </c>
      <c r="V44" s="16" t="e">
        <f t="shared" si="67"/>
        <v>#VALUE!</v>
      </c>
      <c r="W44" s="10" t="str">
        <f t="shared" si="52"/>
        <v>-</v>
      </c>
      <c r="X44" s="10" t="str">
        <f t="shared" si="53"/>
        <v>-</v>
      </c>
      <c r="Y44" s="13" t="str">
        <f t="shared" si="68"/>
        <v>-</v>
      </c>
      <c r="Z44" s="9" t="str">
        <f t="shared" si="54"/>
        <v>-</v>
      </c>
      <c r="AA44" s="16" t="str">
        <f t="shared" si="69"/>
        <v>-</v>
      </c>
      <c r="AB44" s="16" t="str">
        <f t="shared" si="55"/>
        <v>-</v>
      </c>
      <c r="AC44" s="16" t="str">
        <f t="shared" si="56"/>
        <v>-</v>
      </c>
      <c r="AD44" s="16" t="str">
        <f t="shared" si="70"/>
        <v>-</v>
      </c>
      <c r="AE44" s="16"/>
      <c r="AF44" s="31" t="str">
        <f>IFERROR(INDEX(Iceland!$P$11:$P$165,MATCH('Calculations - Iceland'!C44,Iceland!$M$11:$M$165,0)),"")</f>
        <v/>
      </c>
      <c r="AG44" s="23" t="str">
        <f t="shared" si="71"/>
        <v/>
      </c>
      <c r="AH44" s="23" t="str">
        <f t="shared" si="71"/>
        <v/>
      </c>
      <c r="AI44" s="9" t="str">
        <f t="shared" si="57"/>
        <v/>
      </c>
      <c r="AJ44" s="4" t="str">
        <f t="shared" si="58"/>
        <v/>
      </c>
      <c r="AK44" s="4"/>
      <c r="AL44" s="4"/>
      <c r="AM44" s="4"/>
      <c r="AN44" s="4"/>
      <c r="AO44" s="4"/>
      <c r="AP44" s="20" t="str">
        <f t="shared" si="59"/>
        <v>-</v>
      </c>
      <c r="AQ44" s="13" t="str">
        <f t="shared" si="72"/>
        <v>-</v>
      </c>
      <c r="AR44" s="13" t="str">
        <f t="shared" si="73"/>
        <v>-</v>
      </c>
      <c r="AS44" s="13" t="str">
        <f t="shared" si="60"/>
        <v>-</v>
      </c>
      <c r="AT44" s="16" t="str">
        <f t="shared" si="74"/>
        <v>-</v>
      </c>
      <c r="AU44" s="16" t="str">
        <f t="shared" si="61"/>
        <v>-</v>
      </c>
      <c r="AV44" s="16" t="str">
        <f t="shared" si="62"/>
        <v>-</v>
      </c>
      <c r="AW44" s="16" t="str">
        <f t="shared" si="75"/>
        <v>-</v>
      </c>
      <c r="AX44" s="13" t="str">
        <f t="shared" si="76"/>
        <v>-</v>
      </c>
      <c r="AY44" s="10" t="str">
        <f t="shared" si="77"/>
        <v>-</v>
      </c>
      <c r="AZ44" s="9" t="str">
        <f t="shared" si="78"/>
        <v>-</v>
      </c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</row>
    <row r="45" spans="2:68" x14ac:dyDescent="0.3">
      <c r="B45" s="108" t="str">
        <f t="shared" si="63"/>
        <v/>
      </c>
      <c r="C45" s="108" t="str">
        <f t="shared" si="47"/>
        <v/>
      </c>
      <c r="D45" s="3"/>
      <c r="E45" s="3"/>
      <c r="F45" s="3"/>
      <c r="G45" s="20">
        <f>IFERROR(INDEX('Input - Iceland'!F$2:F$200,MATCH('Calculations - Iceland'!$C45,'Input - Iceland'!$B$2:$B$200,0)),"")</f>
        <v>0</v>
      </c>
      <c r="H45" s="20">
        <f>IFERROR(INDEX('Input - Iceland'!G$2:G$200,MATCH('Calculations - Iceland'!$C45,'Input - Iceland'!$B$2:$B$200,0)),"")</f>
        <v>0</v>
      </c>
      <c r="I45" s="21">
        <f>IFERROR(INDEX('Input - Iceland'!H$2:H$200,MATCH('Calculations - Iceland'!$C45,'Input - Iceland'!$B$2:$B$200,0)),"")</f>
        <v>0</v>
      </c>
      <c r="J45" s="21">
        <f>IFERROR(INDEX('Input - Iceland'!I$2:I$200,MATCH('Calculations - Iceland'!$C45,'Input - Iceland'!$B$2:$B$200,0)),"")</f>
        <v>0</v>
      </c>
      <c r="K45" s="20">
        <f>IFERROR(INDEX('Input - Iceland'!J$2:J$200,MATCH('Calculations - Iceland'!$C45,'Input - Iceland'!$B$2:$B$200,0)),"")</f>
        <v>0</v>
      </c>
      <c r="L45" s="20">
        <f>IFERROR(INDEX('Input - Iceland'!K$2:K$200,MATCH('Calculations - Iceland'!$C45,'Input - Iceland'!$B$2:$B$200,0)),"")</f>
        <v>0</v>
      </c>
      <c r="M45" s="21" t="str">
        <f t="shared" si="64"/>
        <v/>
      </c>
      <c r="N45" s="21" t="str">
        <f t="shared" si="48"/>
        <v/>
      </c>
      <c r="O45" s="21">
        <f t="shared" si="65"/>
        <v>0</v>
      </c>
      <c r="P45" s="9">
        <f t="shared" si="49"/>
        <v>0</v>
      </c>
      <c r="Q45" s="9">
        <f t="shared" si="50"/>
        <v>0</v>
      </c>
      <c r="R45" s="22" t="str">
        <f>IFERROR(INDEX(Iceland!$Q$11:$Q$165,MATCH('Calculations - Iceland'!$C45,Iceland!$M$11:$M$165,0)),"")</f>
        <v/>
      </c>
      <c r="S45" s="22" t="str">
        <f>IFERROR(INDEX(Iceland!$R$11:$R$165,MATCH('Calculations - Iceland'!$C45,Iceland!$M$11:$M$165,0)),"")</f>
        <v/>
      </c>
      <c r="T45" s="16" t="e">
        <f t="shared" si="51"/>
        <v>#VALUE!</v>
      </c>
      <c r="U45" s="16" t="e">
        <f t="shared" si="66"/>
        <v>#VALUE!</v>
      </c>
      <c r="V45" s="16" t="e">
        <f t="shared" si="67"/>
        <v>#VALUE!</v>
      </c>
      <c r="W45" s="10" t="str">
        <f t="shared" si="52"/>
        <v>-</v>
      </c>
      <c r="X45" s="10" t="str">
        <f t="shared" si="53"/>
        <v>-</v>
      </c>
      <c r="Y45" s="13" t="str">
        <f t="shared" si="68"/>
        <v>-</v>
      </c>
      <c r="Z45" s="9" t="str">
        <f t="shared" si="54"/>
        <v>-</v>
      </c>
      <c r="AA45" s="16" t="str">
        <f t="shared" si="69"/>
        <v>-</v>
      </c>
      <c r="AB45" s="16" t="str">
        <f t="shared" si="55"/>
        <v>-</v>
      </c>
      <c r="AC45" s="16" t="str">
        <f t="shared" si="56"/>
        <v>-</v>
      </c>
      <c r="AD45" s="16" t="str">
        <f t="shared" si="70"/>
        <v>-</v>
      </c>
      <c r="AE45" s="16"/>
      <c r="AF45" s="31" t="str">
        <f>IFERROR(INDEX(Iceland!$P$11:$P$165,MATCH('Calculations - Iceland'!C45,Iceland!$M$11:$M$165,0)),"")</f>
        <v/>
      </c>
      <c r="AG45" s="23" t="str">
        <f t="shared" si="71"/>
        <v/>
      </c>
      <c r="AH45" s="23" t="str">
        <f t="shared" si="71"/>
        <v/>
      </c>
      <c r="AI45" s="9" t="str">
        <f t="shared" si="57"/>
        <v/>
      </c>
      <c r="AJ45" s="4" t="str">
        <f t="shared" si="58"/>
        <v/>
      </c>
      <c r="AK45" s="4"/>
      <c r="AL45" s="4"/>
      <c r="AM45" s="4"/>
      <c r="AN45" s="4"/>
      <c r="AO45" s="4"/>
      <c r="AP45" s="20" t="str">
        <f t="shared" si="59"/>
        <v>-</v>
      </c>
      <c r="AQ45" s="13" t="str">
        <f t="shared" si="72"/>
        <v>-</v>
      </c>
      <c r="AR45" s="13" t="str">
        <f t="shared" si="73"/>
        <v>-</v>
      </c>
      <c r="AS45" s="13" t="str">
        <f t="shared" si="60"/>
        <v>-</v>
      </c>
      <c r="AT45" s="16" t="str">
        <f t="shared" si="74"/>
        <v>-</v>
      </c>
      <c r="AU45" s="16" t="str">
        <f t="shared" si="61"/>
        <v>-</v>
      </c>
      <c r="AV45" s="16" t="str">
        <f t="shared" si="62"/>
        <v>-</v>
      </c>
      <c r="AW45" s="16" t="str">
        <f t="shared" si="75"/>
        <v>-</v>
      </c>
      <c r="AX45" s="13" t="str">
        <f t="shared" si="76"/>
        <v>-</v>
      </c>
      <c r="AY45" s="10" t="str">
        <f t="shared" si="77"/>
        <v>-</v>
      </c>
      <c r="AZ45" s="9" t="str">
        <f t="shared" si="78"/>
        <v>-</v>
      </c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</row>
    <row r="46" spans="2:68" x14ac:dyDescent="0.3">
      <c r="B46" s="108" t="str">
        <f t="shared" si="63"/>
        <v/>
      </c>
      <c r="C46" s="108" t="str">
        <f t="shared" si="47"/>
        <v/>
      </c>
      <c r="D46" s="3"/>
      <c r="E46" s="3"/>
      <c r="F46" s="3"/>
      <c r="G46" s="20">
        <f>IFERROR(INDEX('Input - Iceland'!F$2:F$200,MATCH('Calculations - Iceland'!$C46,'Input - Iceland'!$B$2:$B$200,0)),"")</f>
        <v>0</v>
      </c>
      <c r="H46" s="20">
        <f>IFERROR(INDEX('Input - Iceland'!G$2:G$200,MATCH('Calculations - Iceland'!$C46,'Input - Iceland'!$B$2:$B$200,0)),"")</f>
        <v>0</v>
      </c>
      <c r="I46" s="21">
        <f>IFERROR(INDEX('Input - Iceland'!H$2:H$200,MATCH('Calculations - Iceland'!$C46,'Input - Iceland'!$B$2:$B$200,0)),"")</f>
        <v>0</v>
      </c>
      <c r="J46" s="21">
        <f>IFERROR(INDEX('Input - Iceland'!I$2:I$200,MATCH('Calculations - Iceland'!$C46,'Input - Iceland'!$B$2:$B$200,0)),"")</f>
        <v>0</v>
      </c>
      <c r="K46" s="20">
        <f>IFERROR(INDEX('Input - Iceland'!J$2:J$200,MATCH('Calculations - Iceland'!$C46,'Input - Iceland'!$B$2:$B$200,0)),"")</f>
        <v>0</v>
      </c>
      <c r="L46" s="20">
        <f>IFERROR(INDEX('Input - Iceland'!K$2:K$200,MATCH('Calculations - Iceland'!$C46,'Input - Iceland'!$B$2:$B$200,0)),"")</f>
        <v>0</v>
      </c>
      <c r="M46" s="21" t="str">
        <f t="shared" si="64"/>
        <v/>
      </c>
      <c r="N46" s="21" t="str">
        <f t="shared" si="48"/>
        <v/>
      </c>
      <c r="O46" s="21">
        <f t="shared" si="65"/>
        <v>0</v>
      </c>
      <c r="P46" s="9">
        <f t="shared" si="49"/>
        <v>0</v>
      </c>
      <c r="Q46" s="9">
        <f t="shared" si="50"/>
        <v>0</v>
      </c>
      <c r="R46" s="22" t="str">
        <f>IFERROR(INDEX(Iceland!$Q$11:$Q$165,MATCH('Calculations - Iceland'!$C46,Iceland!$M$11:$M$165,0)),"")</f>
        <v/>
      </c>
      <c r="S46" s="22" t="str">
        <f>IFERROR(INDEX(Iceland!$R$11:$R$165,MATCH('Calculations - Iceland'!$C46,Iceland!$M$11:$M$165,0)),"")</f>
        <v/>
      </c>
      <c r="T46" s="16" t="e">
        <f t="shared" si="51"/>
        <v>#VALUE!</v>
      </c>
      <c r="U46" s="16" t="e">
        <f t="shared" si="66"/>
        <v>#VALUE!</v>
      </c>
      <c r="V46" s="16" t="e">
        <f t="shared" si="67"/>
        <v>#VALUE!</v>
      </c>
      <c r="W46" s="10" t="str">
        <f t="shared" si="52"/>
        <v>-</v>
      </c>
      <c r="X46" s="10" t="str">
        <f t="shared" si="53"/>
        <v>-</v>
      </c>
      <c r="Y46" s="13" t="str">
        <f t="shared" si="68"/>
        <v>-</v>
      </c>
      <c r="Z46" s="9" t="str">
        <f t="shared" si="54"/>
        <v>-</v>
      </c>
      <c r="AA46" s="16" t="str">
        <f t="shared" si="69"/>
        <v>-</v>
      </c>
      <c r="AB46" s="16" t="str">
        <f t="shared" si="55"/>
        <v>-</v>
      </c>
      <c r="AC46" s="16" t="str">
        <f t="shared" si="56"/>
        <v>-</v>
      </c>
      <c r="AD46" s="16" t="str">
        <f t="shared" si="70"/>
        <v>-</v>
      </c>
      <c r="AE46" s="16"/>
      <c r="AF46" s="31" t="str">
        <f>IFERROR(INDEX(Iceland!$P$11:$P$165,MATCH('Calculations - Iceland'!C46,Iceland!$M$11:$M$165,0)),"")</f>
        <v/>
      </c>
      <c r="AG46" s="23" t="str">
        <f t="shared" si="71"/>
        <v/>
      </c>
      <c r="AH46" s="23" t="str">
        <f t="shared" si="71"/>
        <v/>
      </c>
      <c r="AI46" s="9" t="str">
        <f t="shared" si="57"/>
        <v/>
      </c>
      <c r="AJ46" s="4" t="str">
        <f t="shared" si="58"/>
        <v/>
      </c>
      <c r="AK46" s="4"/>
      <c r="AL46" s="4"/>
      <c r="AM46" s="4"/>
      <c r="AN46" s="4"/>
      <c r="AO46" s="4"/>
      <c r="AP46" s="20" t="str">
        <f t="shared" si="59"/>
        <v>-</v>
      </c>
      <c r="AQ46" s="13" t="str">
        <f t="shared" si="72"/>
        <v>-</v>
      </c>
      <c r="AR46" s="13" t="str">
        <f t="shared" si="73"/>
        <v>-</v>
      </c>
      <c r="AS46" s="13" t="str">
        <f t="shared" si="60"/>
        <v>-</v>
      </c>
      <c r="AT46" s="16" t="str">
        <f t="shared" si="74"/>
        <v>-</v>
      </c>
      <c r="AU46" s="16" t="str">
        <f t="shared" si="61"/>
        <v>-</v>
      </c>
      <c r="AV46" s="16" t="str">
        <f t="shared" si="62"/>
        <v>-</v>
      </c>
      <c r="AW46" s="16" t="str">
        <f t="shared" si="75"/>
        <v>-</v>
      </c>
      <c r="AX46" s="13" t="str">
        <f t="shared" si="76"/>
        <v>-</v>
      </c>
      <c r="AY46" s="10" t="str">
        <f t="shared" si="77"/>
        <v>-</v>
      </c>
      <c r="AZ46" s="9" t="str">
        <f t="shared" si="78"/>
        <v>-</v>
      </c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</row>
    <row r="47" spans="2:68" x14ac:dyDescent="0.3">
      <c r="B47" s="108" t="str">
        <f t="shared" si="63"/>
        <v/>
      </c>
      <c r="C47" s="108" t="str">
        <f t="shared" si="47"/>
        <v/>
      </c>
      <c r="D47" s="3"/>
      <c r="E47" s="3"/>
      <c r="F47" s="3"/>
      <c r="G47" s="20">
        <f>IFERROR(INDEX('Input - Iceland'!F$2:F$200,MATCH('Calculations - Iceland'!$C47,'Input - Iceland'!$B$2:$B$200,0)),"")</f>
        <v>0</v>
      </c>
      <c r="H47" s="20">
        <f>IFERROR(INDEX('Input - Iceland'!G$2:G$200,MATCH('Calculations - Iceland'!$C47,'Input - Iceland'!$B$2:$B$200,0)),"")</f>
        <v>0</v>
      </c>
      <c r="I47" s="21">
        <f>IFERROR(INDEX('Input - Iceland'!H$2:H$200,MATCH('Calculations - Iceland'!$C47,'Input - Iceland'!$B$2:$B$200,0)),"")</f>
        <v>0</v>
      </c>
      <c r="J47" s="21">
        <f>IFERROR(INDEX('Input - Iceland'!I$2:I$200,MATCH('Calculations - Iceland'!$C47,'Input - Iceland'!$B$2:$B$200,0)),"")</f>
        <v>0</v>
      </c>
      <c r="K47" s="20">
        <f>IFERROR(INDEX('Input - Iceland'!J$2:J$200,MATCH('Calculations - Iceland'!$C47,'Input - Iceland'!$B$2:$B$200,0)),"")</f>
        <v>0</v>
      </c>
      <c r="L47" s="20">
        <f>IFERROR(INDEX('Input - Iceland'!K$2:K$200,MATCH('Calculations - Iceland'!$C47,'Input - Iceland'!$B$2:$B$200,0)),"")</f>
        <v>0</v>
      </c>
      <c r="M47" s="21" t="str">
        <f t="shared" si="64"/>
        <v/>
      </c>
      <c r="N47" s="21" t="str">
        <f t="shared" si="48"/>
        <v/>
      </c>
      <c r="O47" s="21">
        <f t="shared" si="65"/>
        <v>0</v>
      </c>
      <c r="P47" s="9">
        <f t="shared" si="49"/>
        <v>0</v>
      </c>
      <c r="Q47" s="9">
        <f t="shared" si="50"/>
        <v>0</v>
      </c>
      <c r="R47" s="22" t="str">
        <f>IFERROR(INDEX(Iceland!$Q$11:$Q$165,MATCH('Calculations - Iceland'!$C47,Iceland!$M$11:$M$165,0)),"")</f>
        <v/>
      </c>
      <c r="S47" s="22" t="str">
        <f>IFERROR(INDEX(Iceland!$R$11:$R$165,MATCH('Calculations - Iceland'!$C47,Iceland!$M$11:$M$165,0)),"")</f>
        <v/>
      </c>
      <c r="T47" s="16" t="e">
        <f t="shared" si="51"/>
        <v>#VALUE!</v>
      </c>
      <c r="U47" s="16" t="e">
        <f t="shared" si="66"/>
        <v>#VALUE!</v>
      </c>
      <c r="V47" s="16" t="e">
        <f t="shared" si="67"/>
        <v>#VALUE!</v>
      </c>
      <c r="W47" s="10" t="str">
        <f t="shared" si="52"/>
        <v>-</v>
      </c>
      <c r="X47" s="10" t="str">
        <f t="shared" si="53"/>
        <v>-</v>
      </c>
      <c r="Y47" s="13" t="str">
        <f t="shared" si="68"/>
        <v>-</v>
      </c>
      <c r="Z47" s="9" t="str">
        <f t="shared" si="54"/>
        <v>-</v>
      </c>
      <c r="AA47" s="16" t="str">
        <f t="shared" si="69"/>
        <v>-</v>
      </c>
      <c r="AB47" s="16" t="str">
        <f t="shared" si="55"/>
        <v>-</v>
      </c>
      <c r="AC47" s="16" t="str">
        <f t="shared" si="56"/>
        <v>-</v>
      </c>
      <c r="AD47" s="16" t="str">
        <f t="shared" si="70"/>
        <v>-</v>
      </c>
      <c r="AE47" s="16"/>
      <c r="AF47" s="31" t="str">
        <f>IFERROR(INDEX(Iceland!$P$11:$P$165,MATCH('Calculations - Iceland'!C47,Iceland!$M$11:$M$165,0)),"")</f>
        <v/>
      </c>
      <c r="AG47" s="23" t="str">
        <f t="shared" si="71"/>
        <v/>
      </c>
      <c r="AH47" s="23" t="str">
        <f t="shared" si="71"/>
        <v/>
      </c>
      <c r="AI47" s="9" t="str">
        <f t="shared" si="57"/>
        <v/>
      </c>
      <c r="AJ47" s="4" t="str">
        <f t="shared" si="58"/>
        <v/>
      </c>
      <c r="AK47" s="4"/>
      <c r="AL47" s="4"/>
      <c r="AM47" s="4"/>
      <c r="AN47" s="4"/>
      <c r="AO47" s="4"/>
      <c r="AP47" s="20" t="str">
        <f t="shared" si="59"/>
        <v>-</v>
      </c>
      <c r="AQ47" s="13" t="str">
        <f t="shared" si="72"/>
        <v>-</v>
      </c>
      <c r="AR47" s="13" t="str">
        <f t="shared" si="73"/>
        <v>-</v>
      </c>
      <c r="AS47" s="13" t="str">
        <f t="shared" si="60"/>
        <v>-</v>
      </c>
      <c r="AT47" s="16" t="str">
        <f t="shared" si="74"/>
        <v>-</v>
      </c>
      <c r="AU47" s="16" t="str">
        <f t="shared" si="61"/>
        <v>-</v>
      </c>
      <c r="AV47" s="16" t="str">
        <f t="shared" si="62"/>
        <v>-</v>
      </c>
      <c r="AW47" s="16" t="str">
        <f t="shared" si="75"/>
        <v>-</v>
      </c>
      <c r="AX47" s="13" t="str">
        <f t="shared" si="76"/>
        <v>-</v>
      </c>
      <c r="AY47" s="10" t="str">
        <f t="shared" si="77"/>
        <v>-</v>
      </c>
      <c r="AZ47" s="9" t="str">
        <f t="shared" si="78"/>
        <v>-</v>
      </c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</row>
    <row r="48" spans="2:68" x14ac:dyDescent="0.3">
      <c r="B48" s="108" t="str">
        <f t="shared" si="63"/>
        <v/>
      </c>
      <c r="C48" s="108" t="str">
        <f t="shared" si="47"/>
        <v/>
      </c>
      <c r="D48" s="3"/>
      <c r="E48" s="3"/>
      <c r="F48" s="3"/>
      <c r="G48" s="20">
        <f>IFERROR(INDEX('Input - Iceland'!F$2:F$200,MATCH('Calculations - Iceland'!$C48,'Input - Iceland'!$B$2:$B$200,0)),"")</f>
        <v>0</v>
      </c>
      <c r="H48" s="20">
        <f>IFERROR(INDEX('Input - Iceland'!G$2:G$200,MATCH('Calculations - Iceland'!$C48,'Input - Iceland'!$B$2:$B$200,0)),"")</f>
        <v>0</v>
      </c>
      <c r="I48" s="21">
        <f>IFERROR(INDEX('Input - Iceland'!H$2:H$200,MATCH('Calculations - Iceland'!$C48,'Input - Iceland'!$B$2:$B$200,0)),"")</f>
        <v>0</v>
      </c>
      <c r="J48" s="21">
        <f>IFERROR(INDEX('Input - Iceland'!I$2:I$200,MATCH('Calculations - Iceland'!$C48,'Input - Iceland'!$B$2:$B$200,0)),"")</f>
        <v>0</v>
      </c>
      <c r="K48" s="20">
        <f>IFERROR(INDEX('Input - Iceland'!J$2:J$200,MATCH('Calculations - Iceland'!$C48,'Input - Iceland'!$B$2:$B$200,0)),"")</f>
        <v>0</v>
      </c>
      <c r="L48" s="20">
        <f>IFERROR(INDEX('Input - Iceland'!K$2:K$200,MATCH('Calculations - Iceland'!$C48,'Input - Iceland'!$B$2:$B$200,0)),"")</f>
        <v>0</v>
      </c>
      <c r="M48" s="21" t="str">
        <f t="shared" si="64"/>
        <v/>
      </c>
      <c r="N48" s="21" t="str">
        <f t="shared" si="48"/>
        <v/>
      </c>
      <c r="O48" s="21">
        <f t="shared" si="65"/>
        <v>0</v>
      </c>
      <c r="P48" s="9">
        <f t="shared" si="49"/>
        <v>0</v>
      </c>
      <c r="Q48" s="9">
        <f t="shared" si="50"/>
        <v>0</v>
      </c>
      <c r="R48" s="22" t="str">
        <f>IFERROR(INDEX(Iceland!$Q$11:$Q$165,MATCH('Calculations - Iceland'!$C48,Iceland!$M$11:$M$165,0)),"")</f>
        <v/>
      </c>
      <c r="S48" s="22" t="str">
        <f>IFERROR(INDEX(Iceland!$R$11:$R$165,MATCH('Calculations - Iceland'!$C48,Iceland!$M$11:$M$165,0)),"")</f>
        <v/>
      </c>
      <c r="T48" s="16" t="e">
        <f t="shared" si="51"/>
        <v>#VALUE!</v>
      </c>
      <c r="U48" s="16" t="e">
        <f t="shared" si="66"/>
        <v>#VALUE!</v>
      </c>
      <c r="V48" s="16" t="e">
        <f t="shared" si="67"/>
        <v>#VALUE!</v>
      </c>
      <c r="W48" s="10" t="str">
        <f t="shared" si="52"/>
        <v>-</v>
      </c>
      <c r="X48" s="10" t="str">
        <f t="shared" si="53"/>
        <v>-</v>
      </c>
      <c r="Y48" s="13" t="str">
        <f t="shared" si="68"/>
        <v>-</v>
      </c>
      <c r="Z48" s="9" t="str">
        <f t="shared" si="54"/>
        <v>-</v>
      </c>
      <c r="AA48" s="16" t="str">
        <f t="shared" si="69"/>
        <v>-</v>
      </c>
      <c r="AB48" s="16" t="str">
        <f t="shared" si="55"/>
        <v>-</v>
      </c>
      <c r="AC48" s="16" t="str">
        <f t="shared" si="56"/>
        <v>-</v>
      </c>
      <c r="AD48" s="16" t="str">
        <f t="shared" si="70"/>
        <v>-</v>
      </c>
      <c r="AE48" s="16"/>
      <c r="AF48" s="31" t="str">
        <f>IFERROR(INDEX(Iceland!$P$11:$P$165,MATCH('Calculations - Iceland'!C48,Iceland!$M$11:$M$165,0)),"")</f>
        <v/>
      </c>
      <c r="AG48" s="23" t="str">
        <f t="shared" si="71"/>
        <v/>
      </c>
      <c r="AH48" s="23" t="str">
        <f t="shared" si="71"/>
        <v/>
      </c>
      <c r="AI48" s="9" t="str">
        <f t="shared" si="57"/>
        <v/>
      </c>
      <c r="AJ48" s="4" t="str">
        <f t="shared" si="58"/>
        <v/>
      </c>
      <c r="AK48" s="4"/>
      <c r="AL48" s="4"/>
      <c r="AM48" s="4"/>
      <c r="AN48" s="4"/>
      <c r="AO48" s="4"/>
      <c r="AP48" s="20" t="str">
        <f t="shared" si="59"/>
        <v>-</v>
      </c>
      <c r="AQ48" s="13" t="str">
        <f t="shared" si="72"/>
        <v>-</v>
      </c>
      <c r="AR48" s="13" t="str">
        <f t="shared" si="73"/>
        <v>-</v>
      </c>
      <c r="AS48" s="13" t="str">
        <f t="shared" si="60"/>
        <v>-</v>
      </c>
      <c r="AT48" s="16" t="str">
        <f t="shared" si="74"/>
        <v>-</v>
      </c>
      <c r="AU48" s="16" t="str">
        <f t="shared" si="61"/>
        <v>-</v>
      </c>
      <c r="AV48" s="16" t="str">
        <f t="shared" si="62"/>
        <v>-</v>
      </c>
      <c r="AW48" s="16" t="str">
        <f t="shared" si="75"/>
        <v>-</v>
      </c>
      <c r="AX48" s="13" t="str">
        <f t="shared" si="76"/>
        <v>-</v>
      </c>
      <c r="AY48" s="10" t="str">
        <f t="shared" si="77"/>
        <v>-</v>
      </c>
      <c r="AZ48" s="9" t="str">
        <f t="shared" si="78"/>
        <v>-</v>
      </c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</row>
    <row r="49" spans="2:68" x14ac:dyDescent="0.3">
      <c r="B49" s="108" t="str">
        <f t="shared" si="63"/>
        <v/>
      </c>
      <c r="C49" s="108" t="str">
        <f t="shared" si="47"/>
        <v/>
      </c>
      <c r="D49" s="3"/>
      <c r="E49" s="3"/>
      <c r="F49" s="3"/>
      <c r="G49" s="20">
        <f>IFERROR(INDEX('Input - Iceland'!F$2:F$200,MATCH('Calculations - Iceland'!$C49,'Input - Iceland'!$B$2:$B$200,0)),"")</f>
        <v>0</v>
      </c>
      <c r="H49" s="20">
        <f>IFERROR(INDEX('Input - Iceland'!G$2:G$200,MATCH('Calculations - Iceland'!$C49,'Input - Iceland'!$B$2:$B$200,0)),"")</f>
        <v>0</v>
      </c>
      <c r="I49" s="21">
        <f>IFERROR(INDEX('Input - Iceland'!H$2:H$200,MATCH('Calculations - Iceland'!$C49,'Input - Iceland'!$B$2:$B$200,0)),"")</f>
        <v>0</v>
      </c>
      <c r="J49" s="21">
        <f>IFERROR(INDEX('Input - Iceland'!I$2:I$200,MATCH('Calculations - Iceland'!$C49,'Input - Iceland'!$B$2:$B$200,0)),"")</f>
        <v>0</v>
      </c>
      <c r="K49" s="20">
        <f>IFERROR(INDEX('Input - Iceland'!J$2:J$200,MATCH('Calculations - Iceland'!$C49,'Input - Iceland'!$B$2:$B$200,0)),"")</f>
        <v>0</v>
      </c>
      <c r="L49" s="20">
        <f>IFERROR(INDEX('Input - Iceland'!K$2:K$200,MATCH('Calculations - Iceland'!$C49,'Input - Iceland'!$B$2:$B$200,0)),"")</f>
        <v>0</v>
      </c>
      <c r="M49" s="21" t="str">
        <f t="shared" si="64"/>
        <v/>
      </c>
      <c r="N49" s="21" t="str">
        <f t="shared" si="48"/>
        <v/>
      </c>
      <c r="O49" s="21">
        <f t="shared" si="65"/>
        <v>0</v>
      </c>
      <c r="P49" s="9">
        <f t="shared" si="49"/>
        <v>0</v>
      </c>
      <c r="Q49" s="9">
        <f t="shared" si="50"/>
        <v>0</v>
      </c>
      <c r="R49" s="22" t="str">
        <f>IFERROR(INDEX(Iceland!$Q$11:$Q$165,MATCH('Calculations - Iceland'!$C49,Iceland!$M$11:$M$165,0)),"")</f>
        <v/>
      </c>
      <c r="S49" s="22" t="str">
        <f>IFERROR(INDEX(Iceland!$R$11:$R$165,MATCH('Calculations - Iceland'!$C49,Iceland!$M$11:$M$165,0)),"")</f>
        <v/>
      </c>
      <c r="T49" s="16" t="e">
        <f t="shared" si="51"/>
        <v>#VALUE!</v>
      </c>
      <c r="U49" s="16" t="e">
        <f t="shared" si="66"/>
        <v>#VALUE!</v>
      </c>
      <c r="V49" s="16" t="e">
        <f t="shared" si="67"/>
        <v>#VALUE!</v>
      </c>
      <c r="W49" s="10" t="str">
        <f t="shared" si="52"/>
        <v>-</v>
      </c>
      <c r="X49" s="10" t="str">
        <f t="shared" si="53"/>
        <v>-</v>
      </c>
      <c r="Y49" s="13" t="str">
        <f t="shared" si="68"/>
        <v>-</v>
      </c>
      <c r="Z49" s="9" t="str">
        <f t="shared" si="54"/>
        <v>-</v>
      </c>
      <c r="AA49" s="16" t="str">
        <f t="shared" si="69"/>
        <v>-</v>
      </c>
      <c r="AB49" s="16" t="str">
        <f t="shared" si="55"/>
        <v>-</v>
      </c>
      <c r="AC49" s="16" t="str">
        <f t="shared" si="56"/>
        <v>-</v>
      </c>
      <c r="AD49" s="16" t="str">
        <f t="shared" si="70"/>
        <v>-</v>
      </c>
      <c r="AE49" s="16"/>
      <c r="AF49" s="31" t="str">
        <f>IFERROR(INDEX(Iceland!$P$11:$P$165,MATCH('Calculations - Iceland'!C49,Iceland!$M$11:$M$165,0)),"")</f>
        <v/>
      </c>
      <c r="AG49" s="23" t="str">
        <f t="shared" si="71"/>
        <v/>
      </c>
      <c r="AH49" s="23" t="str">
        <f t="shared" si="71"/>
        <v/>
      </c>
      <c r="AI49" s="9" t="str">
        <f t="shared" si="57"/>
        <v/>
      </c>
      <c r="AJ49" s="4" t="str">
        <f t="shared" si="58"/>
        <v/>
      </c>
      <c r="AK49" s="4"/>
      <c r="AL49" s="4"/>
      <c r="AM49" s="4"/>
      <c r="AN49" s="4"/>
      <c r="AO49" s="4"/>
      <c r="AP49" s="20" t="str">
        <f t="shared" si="59"/>
        <v>-</v>
      </c>
      <c r="AQ49" s="13" t="str">
        <f t="shared" si="72"/>
        <v>-</v>
      </c>
      <c r="AR49" s="13" t="str">
        <f t="shared" si="73"/>
        <v>-</v>
      </c>
      <c r="AS49" s="13" t="str">
        <f t="shared" si="60"/>
        <v>-</v>
      </c>
      <c r="AT49" s="16" t="str">
        <f t="shared" si="74"/>
        <v>-</v>
      </c>
      <c r="AU49" s="16" t="str">
        <f t="shared" si="61"/>
        <v>-</v>
      </c>
      <c r="AV49" s="16" t="str">
        <f t="shared" si="62"/>
        <v>-</v>
      </c>
      <c r="AW49" s="16" t="str">
        <f t="shared" si="75"/>
        <v>-</v>
      </c>
      <c r="AX49" s="13" t="str">
        <f t="shared" si="76"/>
        <v>-</v>
      </c>
      <c r="AY49" s="10" t="str">
        <f t="shared" si="77"/>
        <v>-</v>
      </c>
      <c r="AZ49" s="9" t="str">
        <f t="shared" si="78"/>
        <v>-</v>
      </c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</row>
    <row r="50" spans="2:68" x14ac:dyDescent="0.3">
      <c r="B50" s="108" t="str">
        <f t="shared" si="63"/>
        <v/>
      </c>
      <c r="C50" s="108" t="str">
        <f t="shared" si="47"/>
        <v/>
      </c>
      <c r="D50" s="3"/>
      <c r="E50" s="3"/>
      <c r="F50" s="3"/>
      <c r="G50" s="20">
        <f>IFERROR(INDEX('Input - Iceland'!F$2:F$200,MATCH('Calculations - Iceland'!$C50,'Input - Iceland'!$B$2:$B$200,0)),"")</f>
        <v>0</v>
      </c>
      <c r="H50" s="20">
        <f>IFERROR(INDEX('Input - Iceland'!G$2:G$200,MATCH('Calculations - Iceland'!$C50,'Input - Iceland'!$B$2:$B$200,0)),"")</f>
        <v>0</v>
      </c>
      <c r="I50" s="21">
        <f>IFERROR(INDEX('Input - Iceland'!H$2:H$200,MATCH('Calculations - Iceland'!$C50,'Input - Iceland'!$B$2:$B$200,0)),"")</f>
        <v>0</v>
      </c>
      <c r="J50" s="21">
        <f>IFERROR(INDEX('Input - Iceland'!I$2:I$200,MATCH('Calculations - Iceland'!$C50,'Input - Iceland'!$B$2:$B$200,0)),"")</f>
        <v>0</v>
      </c>
      <c r="K50" s="20">
        <f>IFERROR(INDEX('Input - Iceland'!J$2:J$200,MATCH('Calculations - Iceland'!$C50,'Input - Iceland'!$B$2:$B$200,0)),"")</f>
        <v>0</v>
      </c>
      <c r="L50" s="20">
        <f>IFERROR(INDEX('Input - Iceland'!K$2:K$200,MATCH('Calculations - Iceland'!$C50,'Input - Iceland'!$B$2:$B$200,0)),"")</f>
        <v>0</v>
      </c>
      <c r="M50" s="21" t="str">
        <f t="shared" si="64"/>
        <v/>
      </c>
      <c r="N50" s="21" t="str">
        <f t="shared" si="48"/>
        <v/>
      </c>
      <c r="O50" s="21">
        <f t="shared" si="65"/>
        <v>0</v>
      </c>
      <c r="P50" s="9">
        <f t="shared" si="49"/>
        <v>0</v>
      </c>
      <c r="Q50" s="9">
        <f t="shared" si="50"/>
        <v>0</v>
      </c>
      <c r="R50" s="22" t="str">
        <f>IFERROR(INDEX(Iceland!$Q$11:$Q$165,MATCH('Calculations - Iceland'!$C50,Iceland!$M$11:$M$165,0)),"")</f>
        <v/>
      </c>
      <c r="S50" s="22" t="str">
        <f>IFERROR(INDEX(Iceland!$R$11:$R$165,MATCH('Calculations - Iceland'!$C50,Iceland!$M$11:$M$165,0)),"")</f>
        <v/>
      </c>
      <c r="T50" s="16" t="e">
        <f t="shared" si="51"/>
        <v>#VALUE!</v>
      </c>
      <c r="U50" s="16" t="e">
        <f t="shared" si="66"/>
        <v>#VALUE!</v>
      </c>
      <c r="V50" s="16" t="e">
        <f t="shared" si="67"/>
        <v>#VALUE!</v>
      </c>
      <c r="W50" s="10" t="str">
        <f t="shared" si="52"/>
        <v>-</v>
      </c>
      <c r="X50" s="10" t="str">
        <f t="shared" si="53"/>
        <v>-</v>
      </c>
      <c r="Y50" s="13" t="str">
        <f t="shared" si="68"/>
        <v>-</v>
      </c>
      <c r="Z50" s="9" t="str">
        <f t="shared" si="54"/>
        <v>-</v>
      </c>
      <c r="AA50" s="16" t="str">
        <f t="shared" si="69"/>
        <v>-</v>
      </c>
      <c r="AB50" s="16" t="str">
        <f t="shared" si="55"/>
        <v>-</v>
      </c>
      <c r="AC50" s="16" t="str">
        <f t="shared" si="56"/>
        <v>-</v>
      </c>
      <c r="AD50" s="16" t="str">
        <f t="shared" si="70"/>
        <v>-</v>
      </c>
      <c r="AE50" s="16"/>
      <c r="AF50" s="31" t="str">
        <f>IFERROR(INDEX(Iceland!$P$11:$P$165,MATCH('Calculations - Iceland'!C50,Iceland!$M$11:$M$165,0)),"")</f>
        <v/>
      </c>
      <c r="AG50" s="23" t="str">
        <f t="shared" si="71"/>
        <v/>
      </c>
      <c r="AH50" s="23" t="str">
        <f t="shared" si="71"/>
        <v/>
      </c>
      <c r="AI50" s="9" t="str">
        <f t="shared" si="57"/>
        <v/>
      </c>
      <c r="AJ50" s="4" t="str">
        <f t="shared" si="58"/>
        <v/>
      </c>
      <c r="AK50" s="4"/>
      <c r="AL50" s="4"/>
      <c r="AM50" s="4"/>
      <c r="AN50" s="4"/>
      <c r="AO50" s="4"/>
      <c r="AP50" s="20" t="str">
        <f t="shared" si="59"/>
        <v>-</v>
      </c>
      <c r="AQ50" s="13" t="str">
        <f t="shared" si="72"/>
        <v>-</v>
      </c>
      <c r="AR50" s="13" t="str">
        <f t="shared" si="73"/>
        <v>-</v>
      </c>
      <c r="AS50" s="13" t="str">
        <f t="shared" si="60"/>
        <v>-</v>
      </c>
      <c r="AT50" s="16" t="str">
        <f t="shared" si="74"/>
        <v>-</v>
      </c>
      <c r="AU50" s="16" t="str">
        <f t="shared" si="61"/>
        <v>-</v>
      </c>
      <c r="AV50" s="16" t="str">
        <f t="shared" si="62"/>
        <v>-</v>
      </c>
      <c r="AW50" s="16" t="str">
        <f t="shared" si="75"/>
        <v>-</v>
      </c>
      <c r="AX50" s="13" t="str">
        <f t="shared" si="76"/>
        <v>-</v>
      </c>
      <c r="AY50" s="10" t="str">
        <f t="shared" si="77"/>
        <v>-</v>
      </c>
      <c r="AZ50" s="9" t="str">
        <f t="shared" si="78"/>
        <v>-</v>
      </c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</row>
    <row r="51" spans="2:68" x14ac:dyDescent="0.3">
      <c r="B51" s="108" t="str">
        <f t="shared" si="63"/>
        <v/>
      </c>
      <c r="C51" s="108" t="str">
        <f t="shared" si="47"/>
        <v/>
      </c>
      <c r="D51" s="3"/>
      <c r="E51" s="3"/>
      <c r="F51" s="3"/>
      <c r="G51" s="20">
        <f>IFERROR(INDEX('Input - Iceland'!F$2:F$200,MATCH('Calculations - Iceland'!$C51,'Input - Iceland'!$B$2:$B$200,0)),"")</f>
        <v>0</v>
      </c>
      <c r="H51" s="20">
        <f>IFERROR(INDEX('Input - Iceland'!G$2:G$200,MATCH('Calculations - Iceland'!$C51,'Input - Iceland'!$B$2:$B$200,0)),"")</f>
        <v>0</v>
      </c>
      <c r="I51" s="21">
        <f>IFERROR(INDEX('Input - Iceland'!H$2:H$200,MATCH('Calculations - Iceland'!$C51,'Input - Iceland'!$B$2:$B$200,0)),"")</f>
        <v>0</v>
      </c>
      <c r="J51" s="21">
        <f>IFERROR(INDEX('Input - Iceland'!I$2:I$200,MATCH('Calculations - Iceland'!$C51,'Input - Iceland'!$B$2:$B$200,0)),"")</f>
        <v>0</v>
      </c>
      <c r="K51" s="20">
        <f>IFERROR(INDEX('Input - Iceland'!J$2:J$200,MATCH('Calculations - Iceland'!$C51,'Input - Iceland'!$B$2:$B$200,0)),"")</f>
        <v>0</v>
      </c>
      <c r="L51" s="20">
        <f>IFERROR(INDEX('Input - Iceland'!K$2:K$200,MATCH('Calculations - Iceland'!$C51,'Input - Iceland'!$B$2:$B$200,0)),"")</f>
        <v>0</v>
      </c>
      <c r="M51" s="21" t="str">
        <f t="shared" si="64"/>
        <v/>
      </c>
      <c r="N51" s="21" t="str">
        <f t="shared" si="48"/>
        <v/>
      </c>
      <c r="O51" s="21">
        <f t="shared" si="65"/>
        <v>0</v>
      </c>
      <c r="P51" s="9">
        <f t="shared" si="49"/>
        <v>0</v>
      </c>
      <c r="Q51" s="9">
        <f t="shared" si="50"/>
        <v>0</v>
      </c>
      <c r="R51" s="22" t="str">
        <f>IFERROR(INDEX(Iceland!$Q$11:$Q$165,MATCH('Calculations - Iceland'!$C51,Iceland!$M$11:$M$165,0)),"")</f>
        <v/>
      </c>
      <c r="S51" s="22" t="str">
        <f>IFERROR(INDEX(Iceland!$R$11:$R$165,MATCH('Calculations - Iceland'!$C51,Iceland!$M$11:$M$165,0)),"")</f>
        <v/>
      </c>
      <c r="T51" s="16" t="e">
        <f t="shared" si="51"/>
        <v>#VALUE!</v>
      </c>
      <c r="U51" s="16" t="e">
        <f t="shared" si="66"/>
        <v>#VALUE!</v>
      </c>
      <c r="V51" s="16" t="e">
        <f t="shared" si="67"/>
        <v>#VALUE!</v>
      </c>
      <c r="W51" s="10" t="str">
        <f t="shared" si="52"/>
        <v>-</v>
      </c>
      <c r="X51" s="10" t="str">
        <f t="shared" si="53"/>
        <v>-</v>
      </c>
      <c r="Y51" s="13" t="str">
        <f t="shared" si="68"/>
        <v>-</v>
      </c>
      <c r="Z51" s="9" t="str">
        <f t="shared" si="54"/>
        <v>-</v>
      </c>
      <c r="AA51" s="16" t="str">
        <f t="shared" si="69"/>
        <v>-</v>
      </c>
      <c r="AB51" s="16" t="str">
        <f t="shared" si="55"/>
        <v>-</v>
      </c>
      <c r="AC51" s="16" t="str">
        <f t="shared" si="56"/>
        <v>-</v>
      </c>
      <c r="AD51" s="16" t="str">
        <f t="shared" si="70"/>
        <v>-</v>
      </c>
      <c r="AE51" s="16"/>
      <c r="AF51" s="31" t="str">
        <f>IFERROR(INDEX(Iceland!$P$11:$P$165,MATCH('Calculations - Iceland'!C51,Iceland!$M$11:$M$165,0)),"")</f>
        <v/>
      </c>
      <c r="AG51" s="23" t="str">
        <f t="shared" si="71"/>
        <v/>
      </c>
      <c r="AH51" s="23" t="str">
        <f t="shared" si="71"/>
        <v/>
      </c>
      <c r="AI51" s="9" t="str">
        <f t="shared" si="57"/>
        <v/>
      </c>
      <c r="AJ51" s="4" t="str">
        <f t="shared" si="58"/>
        <v/>
      </c>
      <c r="AK51" s="4"/>
      <c r="AL51" s="4"/>
      <c r="AM51" s="4"/>
      <c r="AN51" s="4"/>
      <c r="AO51" s="4"/>
      <c r="AP51" s="20" t="str">
        <f t="shared" si="59"/>
        <v>-</v>
      </c>
      <c r="AQ51" s="13" t="str">
        <f t="shared" si="72"/>
        <v>-</v>
      </c>
      <c r="AR51" s="13" t="str">
        <f t="shared" si="73"/>
        <v>-</v>
      </c>
      <c r="AS51" s="13" t="str">
        <f t="shared" si="60"/>
        <v>-</v>
      </c>
      <c r="AT51" s="16" t="str">
        <f t="shared" si="74"/>
        <v>-</v>
      </c>
      <c r="AU51" s="16" t="str">
        <f t="shared" si="61"/>
        <v>-</v>
      </c>
      <c r="AV51" s="16" t="str">
        <f t="shared" si="62"/>
        <v>-</v>
      </c>
      <c r="AW51" s="16" t="str">
        <f t="shared" si="75"/>
        <v>-</v>
      </c>
      <c r="AX51" s="13" t="str">
        <f t="shared" si="76"/>
        <v>-</v>
      </c>
      <c r="AY51" s="10" t="str">
        <f t="shared" si="77"/>
        <v>-</v>
      </c>
      <c r="AZ51" s="9" t="str">
        <f t="shared" si="78"/>
        <v>-</v>
      </c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2:68" x14ac:dyDescent="0.3">
      <c r="B52" s="108" t="str">
        <f t="shared" si="63"/>
        <v/>
      </c>
      <c r="C52" s="108" t="str">
        <f t="shared" si="47"/>
        <v/>
      </c>
      <c r="D52" s="3"/>
      <c r="E52" s="3"/>
      <c r="F52" s="3"/>
      <c r="G52" s="20">
        <f>IFERROR(INDEX('Input - Iceland'!F$2:F$200,MATCH('Calculations - Iceland'!$C52,'Input - Iceland'!$B$2:$B$200,0)),"")</f>
        <v>0</v>
      </c>
      <c r="H52" s="20">
        <f>IFERROR(INDEX('Input - Iceland'!G$2:G$200,MATCH('Calculations - Iceland'!$C52,'Input - Iceland'!$B$2:$B$200,0)),"")</f>
        <v>0</v>
      </c>
      <c r="I52" s="21">
        <f>IFERROR(INDEX('Input - Iceland'!H$2:H$200,MATCH('Calculations - Iceland'!$C52,'Input - Iceland'!$B$2:$B$200,0)),"")</f>
        <v>0</v>
      </c>
      <c r="J52" s="21">
        <f>IFERROR(INDEX('Input - Iceland'!I$2:I$200,MATCH('Calculations - Iceland'!$C52,'Input - Iceland'!$B$2:$B$200,0)),"")</f>
        <v>0</v>
      </c>
      <c r="K52" s="20">
        <f>IFERROR(INDEX('Input - Iceland'!J$2:J$200,MATCH('Calculations - Iceland'!$C52,'Input - Iceland'!$B$2:$B$200,0)),"")</f>
        <v>0</v>
      </c>
      <c r="L52" s="20">
        <f>IFERROR(INDEX('Input - Iceland'!K$2:K$200,MATCH('Calculations - Iceland'!$C52,'Input - Iceland'!$B$2:$B$200,0)),"")</f>
        <v>0</v>
      </c>
      <c r="M52" s="21" t="str">
        <f t="shared" si="64"/>
        <v/>
      </c>
      <c r="N52" s="21" t="str">
        <f t="shared" si="48"/>
        <v/>
      </c>
      <c r="O52" s="21">
        <f t="shared" si="65"/>
        <v>0</v>
      </c>
      <c r="P52" s="9">
        <f t="shared" si="49"/>
        <v>0</v>
      </c>
      <c r="Q52" s="9">
        <f t="shared" si="50"/>
        <v>0</v>
      </c>
      <c r="R52" s="22" t="str">
        <f>IFERROR(INDEX(Iceland!$Q$11:$Q$165,MATCH('Calculations - Iceland'!$C52,Iceland!$M$11:$M$165,0)),"")</f>
        <v/>
      </c>
      <c r="S52" s="22" t="str">
        <f>IFERROR(INDEX(Iceland!$R$11:$R$165,MATCH('Calculations - Iceland'!$C52,Iceland!$M$11:$M$165,0)),"")</f>
        <v/>
      </c>
      <c r="T52" s="16" t="e">
        <f t="shared" si="51"/>
        <v>#VALUE!</v>
      </c>
      <c r="U52" s="16" t="e">
        <f t="shared" si="66"/>
        <v>#VALUE!</v>
      </c>
      <c r="V52" s="16" t="e">
        <f t="shared" si="67"/>
        <v>#VALUE!</v>
      </c>
      <c r="W52" s="10" t="str">
        <f t="shared" si="52"/>
        <v>-</v>
      </c>
      <c r="X52" s="10" t="str">
        <f t="shared" si="53"/>
        <v>-</v>
      </c>
      <c r="Y52" s="13" t="str">
        <f t="shared" si="68"/>
        <v>-</v>
      </c>
      <c r="Z52" s="9" t="str">
        <f t="shared" si="54"/>
        <v>-</v>
      </c>
      <c r="AA52" s="16" t="str">
        <f t="shared" si="69"/>
        <v>-</v>
      </c>
      <c r="AB52" s="16" t="str">
        <f t="shared" si="55"/>
        <v>-</v>
      </c>
      <c r="AC52" s="16" t="str">
        <f t="shared" si="56"/>
        <v>-</v>
      </c>
      <c r="AD52" s="16" t="str">
        <f t="shared" si="70"/>
        <v>-</v>
      </c>
      <c r="AE52" s="16"/>
      <c r="AF52" s="31" t="str">
        <f>IFERROR(INDEX(Iceland!$P$11:$P$165,MATCH('Calculations - Iceland'!C52,Iceland!$M$11:$M$165,0)),"")</f>
        <v/>
      </c>
      <c r="AG52" s="23" t="str">
        <f t="shared" si="71"/>
        <v/>
      </c>
      <c r="AH52" s="23" t="str">
        <f t="shared" si="71"/>
        <v/>
      </c>
      <c r="AI52" s="9" t="str">
        <f t="shared" si="57"/>
        <v/>
      </c>
      <c r="AJ52" s="4" t="str">
        <f t="shared" si="58"/>
        <v/>
      </c>
      <c r="AK52" s="4"/>
      <c r="AL52" s="4"/>
      <c r="AM52" s="4"/>
      <c r="AN52" s="4"/>
      <c r="AO52" s="4"/>
      <c r="AP52" s="20" t="str">
        <f t="shared" si="59"/>
        <v>-</v>
      </c>
      <c r="AQ52" s="13" t="str">
        <f t="shared" si="72"/>
        <v>-</v>
      </c>
      <c r="AR52" s="13" t="str">
        <f t="shared" si="73"/>
        <v>-</v>
      </c>
      <c r="AS52" s="13" t="str">
        <f t="shared" si="60"/>
        <v>-</v>
      </c>
      <c r="AT52" s="16" t="str">
        <f t="shared" si="74"/>
        <v>-</v>
      </c>
      <c r="AU52" s="16" t="str">
        <f t="shared" si="61"/>
        <v>-</v>
      </c>
      <c r="AV52" s="16" t="str">
        <f t="shared" si="62"/>
        <v>-</v>
      </c>
      <c r="AW52" s="16" t="str">
        <f t="shared" si="75"/>
        <v>-</v>
      </c>
      <c r="AX52" s="13" t="str">
        <f t="shared" si="76"/>
        <v>-</v>
      </c>
      <c r="AY52" s="10" t="str">
        <f t="shared" si="77"/>
        <v>-</v>
      </c>
      <c r="AZ52" s="9" t="str">
        <f t="shared" si="78"/>
        <v>-</v>
      </c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2:68" x14ac:dyDescent="0.3">
      <c r="B53" s="108" t="str">
        <f t="shared" si="63"/>
        <v/>
      </c>
      <c r="C53" s="108" t="str">
        <f t="shared" si="47"/>
        <v/>
      </c>
      <c r="D53" s="3"/>
      <c r="E53" s="3"/>
      <c r="F53" s="3"/>
      <c r="G53" s="20">
        <f>IFERROR(INDEX('Input - Iceland'!F$2:F$200,MATCH('Calculations - Iceland'!$C53,'Input - Iceland'!$B$2:$B$200,0)),"")</f>
        <v>0</v>
      </c>
      <c r="H53" s="20">
        <f>IFERROR(INDEX('Input - Iceland'!G$2:G$200,MATCH('Calculations - Iceland'!$C53,'Input - Iceland'!$B$2:$B$200,0)),"")</f>
        <v>0</v>
      </c>
      <c r="I53" s="21">
        <f>IFERROR(INDEX('Input - Iceland'!H$2:H$200,MATCH('Calculations - Iceland'!$C53,'Input - Iceland'!$B$2:$B$200,0)),"")</f>
        <v>0</v>
      </c>
      <c r="J53" s="21">
        <f>IFERROR(INDEX('Input - Iceland'!I$2:I$200,MATCH('Calculations - Iceland'!$C53,'Input - Iceland'!$B$2:$B$200,0)),"")</f>
        <v>0</v>
      </c>
      <c r="K53" s="20">
        <f>IFERROR(INDEX('Input - Iceland'!J$2:J$200,MATCH('Calculations - Iceland'!$C53,'Input - Iceland'!$B$2:$B$200,0)),"")</f>
        <v>0</v>
      </c>
      <c r="L53" s="20">
        <f>IFERROR(INDEX('Input - Iceland'!K$2:K$200,MATCH('Calculations - Iceland'!$C53,'Input - Iceland'!$B$2:$B$200,0)),"")</f>
        <v>0</v>
      </c>
      <c r="M53" s="21" t="str">
        <f t="shared" si="64"/>
        <v/>
      </c>
      <c r="N53" s="21" t="str">
        <f t="shared" si="48"/>
        <v/>
      </c>
      <c r="O53" s="21">
        <f t="shared" si="65"/>
        <v>0</v>
      </c>
      <c r="P53" s="9">
        <f t="shared" si="49"/>
        <v>0</v>
      </c>
      <c r="Q53" s="9">
        <f t="shared" si="50"/>
        <v>0</v>
      </c>
      <c r="R53" s="22" t="str">
        <f>IFERROR(INDEX(Iceland!$Q$11:$Q$165,MATCH('Calculations - Iceland'!$C53,Iceland!$M$11:$M$165,0)),"")</f>
        <v/>
      </c>
      <c r="S53" s="22" t="str">
        <f>IFERROR(INDEX(Iceland!$R$11:$R$165,MATCH('Calculations - Iceland'!$C53,Iceland!$M$11:$M$165,0)),"")</f>
        <v/>
      </c>
      <c r="T53" s="16" t="e">
        <f t="shared" si="51"/>
        <v>#VALUE!</v>
      </c>
      <c r="U53" s="16" t="e">
        <f t="shared" si="66"/>
        <v>#VALUE!</v>
      </c>
      <c r="V53" s="16" t="e">
        <f t="shared" si="67"/>
        <v>#VALUE!</v>
      </c>
      <c r="W53" s="10" t="str">
        <f t="shared" si="52"/>
        <v>-</v>
      </c>
      <c r="X53" s="10" t="str">
        <f t="shared" si="53"/>
        <v>-</v>
      </c>
      <c r="Y53" s="13" t="str">
        <f t="shared" si="68"/>
        <v>-</v>
      </c>
      <c r="Z53" s="9" t="str">
        <f t="shared" si="54"/>
        <v>-</v>
      </c>
      <c r="AA53" s="16" t="str">
        <f t="shared" si="69"/>
        <v>-</v>
      </c>
      <c r="AB53" s="16" t="str">
        <f t="shared" si="55"/>
        <v>-</v>
      </c>
      <c r="AC53" s="16" t="str">
        <f t="shared" si="56"/>
        <v>-</v>
      </c>
      <c r="AD53" s="16" t="str">
        <f t="shared" si="70"/>
        <v>-</v>
      </c>
      <c r="AE53" s="16"/>
      <c r="AF53" s="31" t="str">
        <f>IFERROR(INDEX(Iceland!$P$11:$P$165,MATCH('Calculations - Iceland'!C53,Iceland!$M$11:$M$165,0)),"")</f>
        <v/>
      </c>
      <c r="AG53" s="23" t="str">
        <f t="shared" si="71"/>
        <v/>
      </c>
      <c r="AH53" s="23" t="str">
        <f t="shared" si="71"/>
        <v/>
      </c>
      <c r="AI53" s="9" t="str">
        <f t="shared" si="57"/>
        <v/>
      </c>
      <c r="AJ53" s="4" t="str">
        <f t="shared" si="58"/>
        <v/>
      </c>
      <c r="AK53" s="4"/>
      <c r="AL53" s="4"/>
      <c r="AM53" s="4"/>
      <c r="AN53" s="4"/>
      <c r="AO53" s="4"/>
      <c r="AP53" s="20" t="str">
        <f t="shared" si="59"/>
        <v>-</v>
      </c>
      <c r="AQ53" s="13" t="str">
        <f t="shared" si="72"/>
        <v>-</v>
      </c>
      <c r="AR53" s="13" t="str">
        <f t="shared" si="73"/>
        <v>-</v>
      </c>
      <c r="AS53" s="13" t="str">
        <f t="shared" si="60"/>
        <v>-</v>
      </c>
      <c r="AT53" s="16" t="str">
        <f t="shared" si="74"/>
        <v>-</v>
      </c>
      <c r="AU53" s="16" t="str">
        <f t="shared" si="61"/>
        <v>-</v>
      </c>
      <c r="AV53" s="16" t="str">
        <f t="shared" si="62"/>
        <v>-</v>
      </c>
      <c r="AW53" s="16" t="str">
        <f t="shared" si="75"/>
        <v>-</v>
      </c>
      <c r="AX53" s="13" t="str">
        <f t="shared" si="76"/>
        <v>-</v>
      </c>
      <c r="AY53" s="10" t="str">
        <f t="shared" si="77"/>
        <v>-</v>
      </c>
      <c r="AZ53" s="9" t="str">
        <f t="shared" si="78"/>
        <v>-</v>
      </c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2:68" x14ac:dyDescent="0.3">
      <c r="B54" s="108" t="str">
        <f t="shared" si="63"/>
        <v/>
      </c>
      <c r="C54" s="108" t="str">
        <f t="shared" si="47"/>
        <v/>
      </c>
      <c r="D54" s="3"/>
      <c r="E54" s="3"/>
      <c r="F54" s="3"/>
      <c r="G54" s="20">
        <f>IFERROR(INDEX('Input - Iceland'!F$2:F$200,MATCH('Calculations - Iceland'!$C54,'Input - Iceland'!$B$2:$B$200,0)),"")</f>
        <v>0</v>
      </c>
      <c r="H54" s="20">
        <f>IFERROR(INDEX('Input - Iceland'!G$2:G$200,MATCH('Calculations - Iceland'!$C54,'Input - Iceland'!$B$2:$B$200,0)),"")</f>
        <v>0</v>
      </c>
      <c r="I54" s="21">
        <f>IFERROR(INDEX('Input - Iceland'!H$2:H$200,MATCH('Calculations - Iceland'!$C54,'Input - Iceland'!$B$2:$B$200,0)),"")</f>
        <v>0</v>
      </c>
      <c r="J54" s="21">
        <f>IFERROR(INDEX('Input - Iceland'!I$2:I$200,MATCH('Calculations - Iceland'!$C54,'Input - Iceland'!$B$2:$B$200,0)),"")</f>
        <v>0</v>
      </c>
      <c r="K54" s="20">
        <f>IFERROR(INDEX('Input - Iceland'!J$2:J$200,MATCH('Calculations - Iceland'!$C54,'Input - Iceland'!$B$2:$B$200,0)),"")</f>
        <v>0</v>
      </c>
      <c r="L54" s="20">
        <f>IFERROR(INDEX('Input - Iceland'!K$2:K$200,MATCH('Calculations - Iceland'!$C54,'Input - Iceland'!$B$2:$B$200,0)),"")</f>
        <v>0</v>
      </c>
      <c r="M54" s="21" t="str">
        <f t="shared" si="64"/>
        <v/>
      </c>
      <c r="N54" s="21" t="str">
        <f t="shared" si="48"/>
        <v/>
      </c>
      <c r="O54" s="21">
        <f t="shared" si="65"/>
        <v>0</v>
      </c>
      <c r="P54" s="9">
        <f t="shared" si="49"/>
        <v>0</v>
      </c>
      <c r="Q54" s="9">
        <f t="shared" si="50"/>
        <v>0</v>
      </c>
      <c r="R54" s="22" t="str">
        <f>IFERROR(INDEX(Iceland!$Q$11:$Q$165,MATCH('Calculations - Iceland'!$C54,Iceland!$M$11:$M$165,0)),"")</f>
        <v/>
      </c>
      <c r="S54" s="22" t="str">
        <f>IFERROR(INDEX(Iceland!$R$11:$R$165,MATCH('Calculations - Iceland'!$C54,Iceland!$M$11:$M$165,0)),"")</f>
        <v/>
      </c>
      <c r="T54" s="16" t="e">
        <f t="shared" si="51"/>
        <v>#VALUE!</v>
      </c>
      <c r="U54" s="16" t="e">
        <f t="shared" si="66"/>
        <v>#VALUE!</v>
      </c>
      <c r="V54" s="16" t="e">
        <f t="shared" si="67"/>
        <v>#VALUE!</v>
      </c>
      <c r="W54" s="10" t="str">
        <f t="shared" si="52"/>
        <v>-</v>
      </c>
      <c r="X54" s="10" t="str">
        <f t="shared" si="53"/>
        <v>-</v>
      </c>
      <c r="Y54" s="13" t="str">
        <f t="shared" si="68"/>
        <v>-</v>
      </c>
      <c r="Z54" s="9" t="str">
        <f t="shared" si="54"/>
        <v>-</v>
      </c>
      <c r="AA54" s="16" t="str">
        <f t="shared" si="69"/>
        <v>-</v>
      </c>
      <c r="AB54" s="16" t="str">
        <f t="shared" si="55"/>
        <v>-</v>
      </c>
      <c r="AC54" s="16" t="str">
        <f t="shared" si="56"/>
        <v>-</v>
      </c>
      <c r="AD54" s="16" t="str">
        <f t="shared" si="70"/>
        <v>-</v>
      </c>
      <c r="AE54" s="16"/>
      <c r="AF54" s="31" t="str">
        <f>IFERROR(INDEX(Iceland!$P$11:$P$165,MATCH('Calculations - Iceland'!C54,Iceland!$M$11:$M$165,0)),"")</f>
        <v/>
      </c>
      <c r="AG54" s="23" t="str">
        <f t="shared" si="71"/>
        <v/>
      </c>
      <c r="AH54" s="23" t="str">
        <f t="shared" si="71"/>
        <v/>
      </c>
      <c r="AI54" s="9" t="str">
        <f t="shared" si="57"/>
        <v/>
      </c>
      <c r="AJ54" s="4" t="str">
        <f t="shared" si="58"/>
        <v/>
      </c>
      <c r="AK54" s="4"/>
      <c r="AL54" s="4"/>
      <c r="AM54" s="4"/>
      <c r="AN54" s="4"/>
      <c r="AO54" s="4"/>
      <c r="AP54" s="20" t="str">
        <f t="shared" si="59"/>
        <v>-</v>
      </c>
      <c r="AQ54" s="13" t="str">
        <f t="shared" si="72"/>
        <v>-</v>
      </c>
      <c r="AR54" s="13" t="str">
        <f t="shared" si="73"/>
        <v>-</v>
      </c>
      <c r="AS54" s="13" t="str">
        <f t="shared" si="60"/>
        <v>-</v>
      </c>
      <c r="AT54" s="16" t="str">
        <f t="shared" si="74"/>
        <v>-</v>
      </c>
      <c r="AU54" s="16" t="str">
        <f t="shared" si="61"/>
        <v>-</v>
      </c>
      <c r="AV54" s="16" t="str">
        <f t="shared" si="62"/>
        <v>-</v>
      </c>
      <c r="AW54" s="16" t="str">
        <f t="shared" si="75"/>
        <v>-</v>
      </c>
      <c r="AX54" s="13" t="str">
        <f t="shared" si="76"/>
        <v>-</v>
      </c>
      <c r="AY54" s="10" t="str">
        <f t="shared" si="77"/>
        <v>-</v>
      </c>
      <c r="AZ54" s="9" t="str">
        <f t="shared" si="78"/>
        <v>-</v>
      </c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2:68" x14ac:dyDescent="0.3">
      <c r="B55" s="108" t="str">
        <f t="shared" si="63"/>
        <v/>
      </c>
      <c r="C55" s="108" t="str">
        <f t="shared" si="47"/>
        <v/>
      </c>
      <c r="D55" s="3"/>
      <c r="E55" s="3"/>
      <c r="F55" s="3"/>
      <c r="G55" s="20">
        <f>IFERROR(INDEX('Input - Iceland'!F$2:F$200,MATCH('Calculations - Iceland'!$C55,'Input - Iceland'!$B$2:$B$200,0)),"")</f>
        <v>0</v>
      </c>
      <c r="H55" s="20">
        <f>IFERROR(INDEX('Input - Iceland'!G$2:G$200,MATCH('Calculations - Iceland'!$C55,'Input - Iceland'!$B$2:$B$200,0)),"")</f>
        <v>0</v>
      </c>
      <c r="I55" s="21">
        <f>IFERROR(INDEX('Input - Iceland'!H$2:H$200,MATCH('Calculations - Iceland'!$C55,'Input - Iceland'!$B$2:$B$200,0)),"")</f>
        <v>0</v>
      </c>
      <c r="J55" s="21">
        <f>IFERROR(INDEX('Input - Iceland'!I$2:I$200,MATCH('Calculations - Iceland'!$C55,'Input - Iceland'!$B$2:$B$200,0)),"")</f>
        <v>0</v>
      </c>
      <c r="K55" s="20">
        <f>IFERROR(INDEX('Input - Iceland'!J$2:J$200,MATCH('Calculations - Iceland'!$C55,'Input - Iceland'!$B$2:$B$200,0)),"")</f>
        <v>0</v>
      </c>
      <c r="L55" s="20">
        <f>IFERROR(INDEX('Input - Iceland'!K$2:K$200,MATCH('Calculations - Iceland'!$C55,'Input - Iceland'!$B$2:$B$200,0)),"")</f>
        <v>0</v>
      </c>
      <c r="M55" s="21" t="str">
        <f t="shared" si="64"/>
        <v/>
      </c>
      <c r="N55" s="21" t="str">
        <f t="shared" si="48"/>
        <v/>
      </c>
      <c r="O55" s="21">
        <f t="shared" si="65"/>
        <v>0</v>
      </c>
      <c r="P55" s="9">
        <f t="shared" si="49"/>
        <v>0</v>
      </c>
      <c r="Q55" s="9">
        <f t="shared" si="50"/>
        <v>0</v>
      </c>
      <c r="R55" s="22" t="str">
        <f>IFERROR(INDEX(Iceland!$Q$11:$Q$165,MATCH('Calculations - Iceland'!$C55,Iceland!$M$11:$M$165,0)),"")</f>
        <v/>
      </c>
      <c r="S55" s="22" t="str">
        <f>IFERROR(INDEX(Iceland!$R$11:$R$165,MATCH('Calculations - Iceland'!$C55,Iceland!$M$11:$M$165,0)),"")</f>
        <v/>
      </c>
      <c r="T55" s="16" t="e">
        <f t="shared" si="51"/>
        <v>#VALUE!</v>
      </c>
      <c r="U55" s="16" t="e">
        <f t="shared" si="66"/>
        <v>#VALUE!</v>
      </c>
      <c r="V55" s="16" t="e">
        <f t="shared" si="67"/>
        <v>#VALUE!</v>
      </c>
      <c r="W55" s="10" t="str">
        <f t="shared" si="52"/>
        <v>-</v>
      </c>
      <c r="X55" s="10" t="str">
        <f t="shared" si="53"/>
        <v>-</v>
      </c>
      <c r="Y55" s="13" t="str">
        <f t="shared" si="68"/>
        <v>-</v>
      </c>
      <c r="Z55" s="9" t="str">
        <f t="shared" si="54"/>
        <v>-</v>
      </c>
      <c r="AA55" s="16" t="str">
        <f t="shared" si="69"/>
        <v>-</v>
      </c>
      <c r="AB55" s="16" t="str">
        <f t="shared" si="55"/>
        <v>-</v>
      </c>
      <c r="AC55" s="16" t="str">
        <f t="shared" si="56"/>
        <v>-</v>
      </c>
      <c r="AD55" s="16" t="str">
        <f t="shared" si="70"/>
        <v>-</v>
      </c>
      <c r="AE55" s="16"/>
      <c r="AF55" s="31" t="str">
        <f>IFERROR(INDEX(Iceland!$P$11:$P$165,MATCH('Calculations - Iceland'!C55,Iceland!$M$11:$M$165,0)),"")</f>
        <v/>
      </c>
      <c r="AG55" s="23" t="str">
        <f t="shared" si="71"/>
        <v/>
      </c>
      <c r="AH55" s="23" t="str">
        <f t="shared" si="71"/>
        <v/>
      </c>
      <c r="AI55" s="9" t="str">
        <f t="shared" si="57"/>
        <v/>
      </c>
      <c r="AJ55" s="4" t="str">
        <f t="shared" si="58"/>
        <v/>
      </c>
      <c r="AK55" s="4"/>
      <c r="AL55" s="4"/>
      <c r="AM55" s="4"/>
      <c r="AN55" s="4"/>
      <c r="AO55" s="4"/>
      <c r="AP55" s="20" t="str">
        <f t="shared" si="59"/>
        <v>-</v>
      </c>
      <c r="AQ55" s="13" t="str">
        <f t="shared" si="72"/>
        <v>-</v>
      </c>
      <c r="AR55" s="13" t="str">
        <f t="shared" si="73"/>
        <v>-</v>
      </c>
      <c r="AS55" s="13" t="str">
        <f t="shared" si="60"/>
        <v>-</v>
      </c>
      <c r="AT55" s="16" t="str">
        <f t="shared" si="74"/>
        <v>-</v>
      </c>
      <c r="AU55" s="16" t="str">
        <f t="shared" si="61"/>
        <v>-</v>
      </c>
      <c r="AV55" s="16" t="str">
        <f t="shared" si="62"/>
        <v>-</v>
      </c>
      <c r="AW55" s="16" t="str">
        <f t="shared" si="75"/>
        <v>-</v>
      </c>
      <c r="AX55" s="13" t="str">
        <f t="shared" si="76"/>
        <v>-</v>
      </c>
      <c r="AY55" s="10" t="str">
        <f t="shared" si="77"/>
        <v>-</v>
      </c>
      <c r="AZ55" s="9" t="str">
        <f t="shared" si="78"/>
        <v>-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2:68" x14ac:dyDescent="0.3">
      <c r="B56" s="108" t="str">
        <f t="shared" si="63"/>
        <v/>
      </c>
      <c r="C56" s="108" t="str">
        <f t="shared" si="47"/>
        <v/>
      </c>
      <c r="D56" s="3"/>
      <c r="E56" s="3"/>
      <c r="F56" s="3"/>
      <c r="G56" s="20">
        <f>IFERROR(INDEX('Input - Iceland'!F$2:F$200,MATCH('Calculations - Iceland'!$C56,'Input - Iceland'!$B$2:$B$200,0)),"")</f>
        <v>0</v>
      </c>
      <c r="H56" s="20">
        <f>IFERROR(INDEX('Input - Iceland'!G$2:G$200,MATCH('Calculations - Iceland'!$C56,'Input - Iceland'!$B$2:$B$200,0)),"")</f>
        <v>0</v>
      </c>
      <c r="I56" s="21">
        <f>IFERROR(INDEX('Input - Iceland'!H$2:H$200,MATCH('Calculations - Iceland'!$C56,'Input - Iceland'!$B$2:$B$200,0)),"")</f>
        <v>0</v>
      </c>
      <c r="J56" s="21">
        <f>IFERROR(INDEX('Input - Iceland'!I$2:I$200,MATCH('Calculations - Iceland'!$C56,'Input - Iceland'!$B$2:$B$200,0)),"")</f>
        <v>0</v>
      </c>
      <c r="K56" s="20">
        <f>IFERROR(INDEX('Input - Iceland'!J$2:J$200,MATCH('Calculations - Iceland'!$C56,'Input - Iceland'!$B$2:$B$200,0)),"")</f>
        <v>0</v>
      </c>
      <c r="L56" s="20">
        <f>IFERROR(INDEX('Input - Iceland'!K$2:K$200,MATCH('Calculations - Iceland'!$C56,'Input - Iceland'!$B$2:$B$200,0)),"")</f>
        <v>0</v>
      </c>
      <c r="M56" s="21" t="str">
        <f t="shared" si="64"/>
        <v/>
      </c>
      <c r="N56" s="21" t="str">
        <f t="shared" si="48"/>
        <v/>
      </c>
      <c r="O56" s="21">
        <f t="shared" si="65"/>
        <v>0</v>
      </c>
      <c r="P56" s="9">
        <f t="shared" si="49"/>
        <v>0</v>
      </c>
      <c r="Q56" s="9">
        <f t="shared" si="50"/>
        <v>0</v>
      </c>
      <c r="R56" s="22" t="str">
        <f>IFERROR(INDEX(Iceland!$Q$11:$Q$165,MATCH('Calculations - Iceland'!$C56,Iceland!$M$11:$M$165,0)),"")</f>
        <v/>
      </c>
      <c r="S56" s="22" t="str">
        <f>IFERROR(INDEX(Iceland!$R$11:$R$165,MATCH('Calculations - Iceland'!$C56,Iceland!$M$11:$M$165,0)),"")</f>
        <v/>
      </c>
      <c r="T56" s="16" t="e">
        <f t="shared" si="51"/>
        <v>#VALUE!</v>
      </c>
      <c r="U56" s="16" t="e">
        <f t="shared" si="66"/>
        <v>#VALUE!</v>
      </c>
      <c r="V56" s="16" t="e">
        <f t="shared" si="67"/>
        <v>#VALUE!</v>
      </c>
      <c r="W56" s="10" t="str">
        <f t="shared" si="52"/>
        <v>-</v>
      </c>
      <c r="X56" s="10" t="str">
        <f t="shared" si="53"/>
        <v>-</v>
      </c>
      <c r="Y56" s="13" t="str">
        <f t="shared" si="68"/>
        <v>-</v>
      </c>
      <c r="Z56" s="9" t="str">
        <f t="shared" si="54"/>
        <v>-</v>
      </c>
      <c r="AA56" s="16" t="str">
        <f t="shared" si="69"/>
        <v>-</v>
      </c>
      <c r="AB56" s="16" t="str">
        <f t="shared" si="55"/>
        <v>-</v>
      </c>
      <c r="AC56" s="16" t="str">
        <f t="shared" si="56"/>
        <v>-</v>
      </c>
      <c r="AD56" s="16" t="str">
        <f t="shared" si="70"/>
        <v>-</v>
      </c>
      <c r="AE56" s="16"/>
      <c r="AF56" s="31" t="str">
        <f>IFERROR(INDEX(Iceland!$P$11:$P$165,MATCH('Calculations - Iceland'!C56,Iceland!$M$11:$M$165,0)),"")</f>
        <v/>
      </c>
      <c r="AG56" s="23" t="str">
        <f t="shared" si="71"/>
        <v/>
      </c>
      <c r="AH56" s="23" t="str">
        <f t="shared" si="71"/>
        <v/>
      </c>
      <c r="AI56" s="9" t="str">
        <f t="shared" si="57"/>
        <v/>
      </c>
      <c r="AJ56" s="4" t="str">
        <f t="shared" si="58"/>
        <v/>
      </c>
      <c r="AK56" s="4"/>
      <c r="AL56" s="4"/>
      <c r="AM56" s="4"/>
      <c r="AN56" s="4"/>
      <c r="AO56" s="4"/>
      <c r="AP56" s="20" t="str">
        <f t="shared" si="59"/>
        <v>-</v>
      </c>
      <c r="AQ56" s="13" t="str">
        <f t="shared" si="72"/>
        <v>-</v>
      </c>
      <c r="AR56" s="13" t="str">
        <f t="shared" si="73"/>
        <v>-</v>
      </c>
      <c r="AS56" s="13" t="str">
        <f t="shared" si="60"/>
        <v>-</v>
      </c>
      <c r="AT56" s="16" t="str">
        <f t="shared" si="74"/>
        <v>-</v>
      </c>
      <c r="AU56" s="16" t="str">
        <f t="shared" si="61"/>
        <v>-</v>
      </c>
      <c r="AV56" s="16" t="str">
        <f t="shared" si="62"/>
        <v>-</v>
      </c>
      <c r="AW56" s="16" t="str">
        <f t="shared" si="75"/>
        <v>-</v>
      </c>
      <c r="AX56" s="13" t="str">
        <f t="shared" si="76"/>
        <v>-</v>
      </c>
      <c r="AY56" s="10" t="str">
        <f t="shared" si="77"/>
        <v>-</v>
      </c>
      <c r="AZ56" s="9" t="str">
        <f t="shared" si="78"/>
        <v>-</v>
      </c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2:68" x14ac:dyDescent="0.3">
      <c r="B57" s="108" t="str">
        <f t="shared" si="63"/>
        <v/>
      </c>
      <c r="C57" s="108" t="str">
        <f t="shared" si="47"/>
        <v/>
      </c>
      <c r="D57" s="3"/>
      <c r="E57" s="3"/>
      <c r="F57" s="3"/>
      <c r="G57" s="20">
        <f>IFERROR(INDEX('Input - Iceland'!F$2:F$200,MATCH('Calculations - Iceland'!$C57,'Input - Iceland'!$B$2:$B$200,0)),"")</f>
        <v>0</v>
      </c>
      <c r="H57" s="20">
        <f>IFERROR(INDEX('Input - Iceland'!G$2:G$200,MATCH('Calculations - Iceland'!$C57,'Input - Iceland'!$B$2:$B$200,0)),"")</f>
        <v>0</v>
      </c>
      <c r="I57" s="21">
        <f>IFERROR(INDEX('Input - Iceland'!H$2:H$200,MATCH('Calculations - Iceland'!$C57,'Input - Iceland'!$B$2:$B$200,0)),"")</f>
        <v>0</v>
      </c>
      <c r="J57" s="21">
        <f>IFERROR(INDEX('Input - Iceland'!I$2:I$200,MATCH('Calculations - Iceland'!$C57,'Input - Iceland'!$B$2:$B$200,0)),"")</f>
        <v>0</v>
      </c>
      <c r="K57" s="20">
        <f>IFERROR(INDEX('Input - Iceland'!J$2:J$200,MATCH('Calculations - Iceland'!$C57,'Input - Iceland'!$B$2:$B$200,0)),"")</f>
        <v>0</v>
      </c>
      <c r="L57" s="20">
        <f>IFERROR(INDEX('Input - Iceland'!K$2:K$200,MATCH('Calculations - Iceland'!$C57,'Input - Iceland'!$B$2:$B$200,0)),"")</f>
        <v>0</v>
      </c>
      <c r="M57" s="21" t="str">
        <f t="shared" si="64"/>
        <v/>
      </c>
      <c r="N57" s="21" t="str">
        <f t="shared" si="48"/>
        <v/>
      </c>
      <c r="O57" s="21">
        <f t="shared" si="65"/>
        <v>0</v>
      </c>
      <c r="P57" s="9">
        <f t="shared" si="49"/>
        <v>0</v>
      </c>
      <c r="Q57" s="9">
        <f t="shared" si="50"/>
        <v>0</v>
      </c>
      <c r="R57" s="22" t="str">
        <f>IFERROR(INDEX(Iceland!$Q$11:$Q$165,MATCH('Calculations - Iceland'!$C57,Iceland!$M$11:$M$165,0)),"")</f>
        <v/>
      </c>
      <c r="S57" s="22" t="str">
        <f>IFERROR(INDEX(Iceland!$R$11:$R$165,MATCH('Calculations - Iceland'!$C57,Iceland!$M$11:$M$165,0)),"")</f>
        <v/>
      </c>
      <c r="T57" s="16" t="e">
        <f t="shared" si="51"/>
        <v>#VALUE!</v>
      </c>
      <c r="U57" s="16" t="e">
        <f t="shared" si="66"/>
        <v>#VALUE!</v>
      </c>
      <c r="V57" s="16" t="e">
        <f t="shared" si="67"/>
        <v>#VALUE!</v>
      </c>
      <c r="W57" s="10" t="str">
        <f t="shared" si="52"/>
        <v>-</v>
      </c>
      <c r="X57" s="10" t="str">
        <f t="shared" si="53"/>
        <v>-</v>
      </c>
      <c r="Y57" s="13" t="str">
        <f t="shared" si="68"/>
        <v>-</v>
      </c>
      <c r="Z57" s="9" t="str">
        <f t="shared" si="54"/>
        <v>-</v>
      </c>
      <c r="AA57" s="16" t="str">
        <f t="shared" si="69"/>
        <v>-</v>
      </c>
      <c r="AB57" s="16" t="str">
        <f t="shared" si="55"/>
        <v>-</v>
      </c>
      <c r="AC57" s="16" t="str">
        <f t="shared" si="56"/>
        <v>-</v>
      </c>
      <c r="AD57" s="16" t="str">
        <f t="shared" si="70"/>
        <v>-</v>
      </c>
      <c r="AE57" s="16"/>
      <c r="AF57" s="31" t="str">
        <f>IFERROR(INDEX(Iceland!$P$11:$P$165,MATCH('Calculations - Iceland'!C57,Iceland!$M$11:$M$165,0)),"")</f>
        <v/>
      </c>
      <c r="AG57" s="23" t="str">
        <f t="shared" si="71"/>
        <v/>
      </c>
      <c r="AH57" s="23" t="str">
        <f t="shared" si="71"/>
        <v/>
      </c>
      <c r="AI57" s="9" t="str">
        <f t="shared" si="57"/>
        <v/>
      </c>
      <c r="AJ57" s="4" t="str">
        <f t="shared" si="58"/>
        <v/>
      </c>
      <c r="AK57" s="4"/>
      <c r="AL57" s="4"/>
      <c r="AM57" s="4"/>
      <c r="AN57" s="4"/>
      <c r="AO57" s="4"/>
      <c r="AP57" s="20" t="str">
        <f t="shared" si="59"/>
        <v>-</v>
      </c>
      <c r="AQ57" s="13" t="str">
        <f t="shared" si="72"/>
        <v>-</v>
      </c>
      <c r="AR57" s="13" t="str">
        <f t="shared" si="73"/>
        <v>-</v>
      </c>
      <c r="AS57" s="13" t="str">
        <f t="shared" si="60"/>
        <v>-</v>
      </c>
      <c r="AT57" s="16" t="str">
        <f t="shared" si="74"/>
        <v>-</v>
      </c>
      <c r="AU57" s="16" t="str">
        <f t="shared" si="61"/>
        <v>-</v>
      </c>
      <c r="AV57" s="16" t="str">
        <f t="shared" si="62"/>
        <v>-</v>
      </c>
      <c r="AW57" s="16" t="str">
        <f t="shared" si="75"/>
        <v>-</v>
      </c>
      <c r="AX57" s="13" t="str">
        <f t="shared" si="76"/>
        <v>-</v>
      </c>
      <c r="AY57" s="10" t="str">
        <f t="shared" si="77"/>
        <v>-</v>
      </c>
      <c r="AZ57" s="9" t="str">
        <f t="shared" si="78"/>
        <v>-</v>
      </c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2:68" x14ac:dyDescent="0.3">
      <c r="B58" s="108" t="str">
        <f t="shared" si="63"/>
        <v/>
      </c>
      <c r="C58" s="108" t="str">
        <f t="shared" si="47"/>
        <v/>
      </c>
      <c r="D58" s="3"/>
      <c r="E58" s="3"/>
      <c r="F58" s="3"/>
      <c r="G58" s="20">
        <f>IFERROR(INDEX('Input - Iceland'!F$2:F$200,MATCH('Calculations - Iceland'!$C58,'Input - Iceland'!$B$2:$B$200,0)),"")</f>
        <v>0</v>
      </c>
      <c r="H58" s="20">
        <f>IFERROR(INDEX('Input - Iceland'!G$2:G$200,MATCH('Calculations - Iceland'!$C58,'Input - Iceland'!$B$2:$B$200,0)),"")</f>
        <v>0</v>
      </c>
      <c r="I58" s="21">
        <f>IFERROR(INDEX('Input - Iceland'!H$2:H$200,MATCH('Calculations - Iceland'!$C58,'Input - Iceland'!$B$2:$B$200,0)),"")</f>
        <v>0</v>
      </c>
      <c r="J58" s="21">
        <f>IFERROR(INDEX('Input - Iceland'!I$2:I$200,MATCH('Calculations - Iceland'!$C58,'Input - Iceland'!$B$2:$B$200,0)),"")</f>
        <v>0</v>
      </c>
      <c r="K58" s="20">
        <f>IFERROR(INDEX('Input - Iceland'!J$2:J$200,MATCH('Calculations - Iceland'!$C58,'Input - Iceland'!$B$2:$B$200,0)),"")</f>
        <v>0</v>
      </c>
      <c r="L58" s="20">
        <f>IFERROR(INDEX('Input - Iceland'!K$2:K$200,MATCH('Calculations - Iceland'!$C58,'Input - Iceland'!$B$2:$B$200,0)),"")</f>
        <v>0</v>
      </c>
      <c r="M58" s="21" t="str">
        <f t="shared" si="64"/>
        <v/>
      </c>
      <c r="N58" s="21" t="str">
        <f t="shared" si="48"/>
        <v/>
      </c>
      <c r="O58" s="21">
        <f t="shared" si="65"/>
        <v>0</v>
      </c>
      <c r="P58" s="9">
        <f t="shared" si="49"/>
        <v>0</v>
      </c>
      <c r="Q58" s="9">
        <f t="shared" si="50"/>
        <v>0</v>
      </c>
      <c r="R58" s="22" t="str">
        <f>IFERROR(INDEX(Iceland!$Q$11:$Q$165,MATCH('Calculations - Iceland'!$C58,Iceland!$M$11:$M$165,0)),"")</f>
        <v/>
      </c>
      <c r="S58" s="22" t="str">
        <f>IFERROR(INDEX(Iceland!$R$11:$R$165,MATCH('Calculations - Iceland'!$C58,Iceland!$M$11:$M$165,0)),"")</f>
        <v/>
      </c>
      <c r="T58" s="16" t="e">
        <f t="shared" si="51"/>
        <v>#VALUE!</v>
      </c>
      <c r="U58" s="16" t="e">
        <f t="shared" si="66"/>
        <v>#VALUE!</v>
      </c>
      <c r="V58" s="16" t="e">
        <f t="shared" si="67"/>
        <v>#VALUE!</v>
      </c>
      <c r="W58" s="10" t="str">
        <f t="shared" si="52"/>
        <v>-</v>
      </c>
      <c r="X58" s="10" t="str">
        <f t="shared" si="53"/>
        <v>-</v>
      </c>
      <c r="Y58" s="13" t="str">
        <f t="shared" si="68"/>
        <v>-</v>
      </c>
      <c r="Z58" s="9" t="str">
        <f t="shared" si="54"/>
        <v>-</v>
      </c>
      <c r="AA58" s="16" t="str">
        <f t="shared" si="69"/>
        <v>-</v>
      </c>
      <c r="AB58" s="16" t="str">
        <f t="shared" si="55"/>
        <v>-</v>
      </c>
      <c r="AC58" s="16" t="str">
        <f t="shared" si="56"/>
        <v>-</v>
      </c>
      <c r="AD58" s="16" t="str">
        <f t="shared" si="70"/>
        <v>-</v>
      </c>
      <c r="AE58" s="16"/>
      <c r="AF58" s="31" t="str">
        <f>IFERROR(INDEX(Iceland!$P$11:$P$165,MATCH('Calculations - Iceland'!C58,Iceland!$M$11:$M$165,0)),"")</f>
        <v/>
      </c>
      <c r="AG58" s="23" t="str">
        <f t="shared" si="71"/>
        <v/>
      </c>
      <c r="AH58" s="23" t="str">
        <f t="shared" si="71"/>
        <v/>
      </c>
      <c r="AI58" s="9" t="str">
        <f t="shared" si="57"/>
        <v/>
      </c>
      <c r="AJ58" s="4" t="str">
        <f t="shared" si="58"/>
        <v/>
      </c>
      <c r="AK58" s="4"/>
      <c r="AL58" s="4"/>
      <c r="AM58" s="4"/>
      <c r="AN58" s="4"/>
      <c r="AO58" s="4"/>
      <c r="AP58" s="20" t="str">
        <f t="shared" si="59"/>
        <v>-</v>
      </c>
      <c r="AQ58" s="13" t="str">
        <f t="shared" si="72"/>
        <v>-</v>
      </c>
      <c r="AR58" s="13" t="str">
        <f t="shared" si="73"/>
        <v>-</v>
      </c>
      <c r="AS58" s="13" t="str">
        <f t="shared" si="60"/>
        <v>-</v>
      </c>
      <c r="AT58" s="16" t="str">
        <f t="shared" si="74"/>
        <v>-</v>
      </c>
      <c r="AU58" s="16" t="str">
        <f t="shared" si="61"/>
        <v>-</v>
      </c>
      <c r="AV58" s="16" t="str">
        <f t="shared" si="62"/>
        <v>-</v>
      </c>
      <c r="AW58" s="16" t="str">
        <f t="shared" si="75"/>
        <v>-</v>
      </c>
      <c r="AX58" s="13" t="str">
        <f t="shared" si="76"/>
        <v>-</v>
      </c>
      <c r="AY58" s="10" t="str">
        <f t="shared" si="77"/>
        <v>-</v>
      </c>
      <c r="AZ58" s="9" t="str">
        <f t="shared" si="78"/>
        <v>-</v>
      </c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2:68" x14ac:dyDescent="0.3">
      <c r="B59" s="108" t="str">
        <f t="shared" si="63"/>
        <v/>
      </c>
      <c r="C59" s="108" t="str">
        <f t="shared" si="47"/>
        <v/>
      </c>
      <c r="D59" s="3"/>
      <c r="E59" s="3"/>
      <c r="F59" s="3"/>
      <c r="G59" s="20">
        <f>IFERROR(INDEX('Input - Iceland'!F$2:F$200,MATCH('Calculations - Iceland'!$C59,'Input - Iceland'!$B$2:$B$200,0)),"")</f>
        <v>0</v>
      </c>
      <c r="H59" s="20">
        <f>IFERROR(INDEX('Input - Iceland'!G$2:G$200,MATCH('Calculations - Iceland'!$C59,'Input - Iceland'!$B$2:$B$200,0)),"")</f>
        <v>0</v>
      </c>
      <c r="I59" s="21">
        <f>IFERROR(INDEX('Input - Iceland'!H$2:H$200,MATCH('Calculations - Iceland'!$C59,'Input - Iceland'!$B$2:$B$200,0)),"")</f>
        <v>0</v>
      </c>
      <c r="J59" s="21">
        <f>IFERROR(INDEX('Input - Iceland'!I$2:I$200,MATCH('Calculations - Iceland'!$C59,'Input - Iceland'!$B$2:$B$200,0)),"")</f>
        <v>0</v>
      </c>
      <c r="K59" s="20">
        <f>IFERROR(INDEX('Input - Iceland'!J$2:J$200,MATCH('Calculations - Iceland'!$C59,'Input - Iceland'!$B$2:$B$200,0)),"")</f>
        <v>0</v>
      </c>
      <c r="L59" s="20">
        <f>IFERROR(INDEX('Input - Iceland'!K$2:K$200,MATCH('Calculations - Iceland'!$C59,'Input - Iceland'!$B$2:$B$200,0)),"")</f>
        <v>0</v>
      </c>
      <c r="M59" s="21" t="str">
        <f t="shared" si="64"/>
        <v/>
      </c>
      <c r="N59" s="21" t="str">
        <f t="shared" si="48"/>
        <v/>
      </c>
      <c r="O59" s="21">
        <f t="shared" si="65"/>
        <v>0</v>
      </c>
      <c r="P59" s="9">
        <f t="shared" si="49"/>
        <v>0</v>
      </c>
      <c r="Q59" s="9">
        <f t="shared" si="50"/>
        <v>0</v>
      </c>
      <c r="R59" s="22" t="str">
        <f>IFERROR(INDEX(Iceland!$Q$11:$Q$165,MATCH('Calculations - Iceland'!$C59,Iceland!$M$11:$M$165,0)),"")</f>
        <v/>
      </c>
      <c r="S59" s="22" t="str">
        <f>IFERROR(INDEX(Iceland!$R$11:$R$165,MATCH('Calculations - Iceland'!$C59,Iceland!$M$11:$M$165,0)),"")</f>
        <v/>
      </c>
      <c r="T59" s="16" t="e">
        <f t="shared" si="51"/>
        <v>#VALUE!</v>
      </c>
      <c r="U59" s="16" t="e">
        <f t="shared" si="66"/>
        <v>#VALUE!</v>
      </c>
      <c r="V59" s="16" t="e">
        <f t="shared" si="67"/>
        <v>#VALUE!</v>
      </c>
      <c r="W59" s="10" t="str">
        <f t="shared" si="52"/>
        <v>-</v>
      </c>
      <c r="X59" s="10" t="str">
        <f t="shared" si="53"/>
        <v>-</v>
      </c>
      <c r="Y59" s="13" t="str">
        <f t="shared" si="68"/>
        <v>-</v>
      </c>
      <c r="Z59" s="9" t="str">
        <f t="shared" si="54"/>
        <v>-</v>
      </c>
      <c r="AA59" s="16" t="str">
        <f t="shared" si="69"/>
        <v>-</v>
      </c>
      <c r="AB59" s="16" t="str">
        <f t="shared" si="55"/>
        <v>-</v>
      </c>
      <c r="AC59" s="16" t="str">
        <f t="shared" si="56"/>
        <v>-</v>
      </c>
      <c r="AD59" s="16" t="str">
        <f t="shared" si="70"/>
        <v>-</v>
      </c>
      <c r="AE59" s="16"/>
      <c r="AF59" s="31" t="str">
        <f>IFERROR(INDEX(Iceland!$P$11:$P$165,MATCH('Calculations - Iceland'!C59,Iceland!$M$11:$M$165,0)),"")</f>
        <v/>
      </c>
      <c r="AG59" s="23" t="str">
        <f t="shared" si="71"/>
        <v/>
      </c>
      <c r="AH59" s="23" t="str">
        <f t="shared" si="71"/>
        <v/>
      </c>
      <c r="AI59" s="9" t="str">
        <f t="shared" si="57"/>
        <v/>
      </c>
      <c r="AJ59" s="4" t="str">
        <f t="shared" si="58"/>
        <v/>
      </c>
      <c r="AK59" s="4"/>
      <c r="AL59" s="4"/>
      <c r="AM59" s="4"/>
      <c r="AN59" s="4"/>
      <c r="AO59" s="4"/>
      <c r="AP59" s="20" t="str">
        <f t="shared" si="59"/>
        <v>-</v>
      </c>
      <c r="AQ59" s="13" t="str">
        <f t="shared" si="72"/>
        <v>-</v>
      </c>
      <c r="AR59" s="13" t="str">
        <f t="shared" si="73"/>
        <v>-</v>
      </c>
      <c r="AS59" s="13" t="str">
        <f t="shared" si="60"/>
        <v>-</v>
      </c>
      <c r="AT59" s="16" t="str">
        <f t="shared" si="74"/>
        <v>-</v>
      </c>
      <c r="AU59" s="16" t="str">
        <f t="shared" si="61"/>
        <v>-</v>
      </c>
      <c r="AV59" s="16" t="str">
        <f t="shared" si="62"/>
        <v>-</v>
      </c>
      <c r="AW59" s="16" t="str">
        <f t="shared" si="75"/>
        <v>-</v>
      </c>
      <c r="AX59" s="13" t="str">
        <f t="shared" si="76"/>
        <v>-</v>
      </c>
      <c r="AY59" s="10" t="str">
        <f t="shared" si="77"/>
        <v>-</v>
      </c>
      <c r="AZ59" s="9" t="str">
        <f t="shared" si="78"/>
        <v>-</v>
      </c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2:68" x14ac:dyDescent="0.3">
      <c r="B60" s="108" t="str">
        <f t="shared" si="63"/>
        <v/>
      </c>
      <c r="C60" s="108" t="str">
        <f t="shared" si="47"/>
        <v/>
      </c>
      <c r="D60" s="3"/>
      <c r="E60" s="3"/>
      <c r="F60" s="3"/>
      <c r="G60" s="20">
        <f>IFERROR(INDEX('Input - Iceland'!F$2:F$200,MATCH('Calculations - Iceland'!$C60,'Input - Iceland'!$B$2:$B$200,0)),"")</f>
        <v>0</v>
      </c>
      <c r="H60" s="20">
        <f>IFERROR(INDEX('Input - Iceland'!G$2:G$200,MATCH('Calculations - Iceland'!$C60,'Input - Iceland'!$B$2:$B$200,0)),"")</f>
        <v>0</v>
      </c>
      <c r="I60" s="21">
        <f>IFERROR(INDEX('Input - Iceland'!H$2:H$200,MATCH('Calculations - Iceland'!$C60,'Input - Iceland'!$B$2:$B$200,0)),"")</f>
        <v>0</v>
      </c>
      <c r="J60" s="21">
        <f>IFERROR(INDEX('Input - Iceland'!I$2:I$200,MATCH('Calculations - Iceland'!$C60,'Input - Iceland'!$B$2:$B$200,0)),"")</f>
        <v>0</v>
      </c>
      <c r="K60" s="20">
        <f>IFERROR(INDEX('Input - Iceland'!J$2:J$200,MATCH('Calculations - Iceland'!$C60,'Input - Iceland'!$B$2:$B$200,0)),"")</f>
        <v>0</v>
      </c>
      <c r="L60" s="20">
        <f>IFERROR(INDEX('Input - Iceland'!K$2:K$200,MATCH('Calculations - Iceland'!$C60,'Input - Iceland'!$B$2:$B$200,0)),"")</f>
        <v>0</v>
      </c>
      <c r="M60" s="21" t="str">
        <f t="shared" si="64"/>
        <v/>
      </c>
      <c r="N60" s="21" t="str">
        <f t="shared" si="48"/>
        <v/>
      </c>
      <c r="O60" s="21">
        <f t="shared" si="65"/>
        <v>0</v>
      </c>
      <c r="P60" s="9">
        <f t="shared" si="49"/>
        <v>0</v>
      </c>
      <c r="Q60" s="9">
        <f t="shared" si="50"/>
        <v>0</v>
      </c>
      <c r="R60" s="22" t="str">
        <f>IFERROR(INDEX(Iceland!$Q$11:$Q$165,MATCH('Calculations - Iceland'!$C60,Iceland!$M$11:$M$165,0)),"")</f>
        <v/>
      </c>
      <c r="S60" s="22" t="str">
        <f>IFERROR(INDEX(Iceland!$R$11:$R$165,MATCH('Calculations - Iceland'!$C60,Iceland!$M$11:$M$165,0)),"")</f>
        <v/>
      </c>
      <c r="T60" s="16" t="e">
        <f t="shared" si="51"/>
        <v>#VALUE!</v>
      </c>
      <c r="U60" s="16" t="e">
        <f t="shared" si="66"/>
        <v>#VALUE!</v>
      </c>
      <c r="V60" s="16" t="e">
        <f t="shared" si="67"/>
        <v>#VALUE!</v>
      </c>
      <c r="W60" s="10" t="str">
        <f t="shared" si="52"/>
        <v>-</v>
      </c>
      <c r="X60" s="10" t="str">
        <f t="shared" si="53"/>
        <v>-</v>
      </c>
      <c r="Y60" s="13" t="str">
        <f t="shared" si="68"/>
        <v>-</v>
      </c>
      <c r="Z60" s="9" t="str">
        <f t="shared" si="54"/>
        <v>-</v>
      </c>
      <c r="AA60" s="16" t="str">
        <f t="shared" si="69"/>
        <v>-</v>
      </c>
      <c r="AB60" s="16" t="str">
        <f t="shared" si="55"/>
        <v>-</v>
      </c>
      <c r="AC60" s="16" t="str">
        <f t="shared" si="56"/>
        <v>-</v>
      </c>
      <c r="AD60" s="16" t="str">
        <f t="shared" si="70"/>
        <v>-</v>
      </c>
      <c r="AE60" s="16"/>
      <c r="AF60" s="31" t="str">
        <f>IFERROR(INDEX(Iceland!$P$11:$P$165,MATCH('Calculations - Iceland'!C60,Iceland!$M$11:$M$165,0)),"")</f>
        <v/>
      </c>
      <c r="AG60" s="23" t="str">
        <f t="shared" si="71"/>
        <v/>
      </c>
      <c r="AH60" s="23" t="str">
        <f t="shared" si="71"/>
        <v/>
      </c>
      <c r="AI60" s="9" t="str">
        <f t="shared" si="57"/>
        <v/>
      </c>
      <c r="AJ60" s="4" t="str">
        <f t="shared" si="58"/>
        <v/>
      </c>
      <c r="AK60" s="4"/>
      <c r="AL60" s="4"/>
      <c r="AM60" s="4"/>
      <c r="AN60" s="4"/>
      <c r="AO60" s="4"/>
      <c r="AP60" s="20" t="str">
        <f t="shared" si="59"/>
        <v>-</v>
      </c>
      <c r="AQ60" s="13" t="str">
        <f t="shared" si="72"/>
        <v>-</v>
      </c>
      <c r="AR60" s="13" t="str">
        <f t="shared" si="73"/>
        <v>-</v>
      </c>
      <c r="AS60" s="13" t="str">
        <f t="shared" si="60"/>
        <v>-</v>
      </c>
      <c r="AT60" s="16" t="str">
        <f t="shared" si="74"/>
        <v>-</v>
      </c>
      <c r="AU60" s="16" t="str">
        <f t="shared" si="61"/>
        <v>-</v>
      </c>
      <c r="AV60" s="16" t="str">
        <f t="shared" si="62"/>
        <v>-</v>
      </c>
      <c r="AW60" s="16" t="str">
        <f t="shared" si="75"/>
        <v>-</v>
      </c>
      <c r="AX60" s="13" t="str">
        <f t="shared" si="76"/>
        <v>-</v>
      </c>
      <c r="AY60" s="10" t="str">
        <f t="shared" si="77"/>
        <v>-</v>
      </c>
      <c r="AZ60" s="9" t="str">
        <f t="shared" si="78"/>
        <v>-</v>
      </c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2:68" x14ac:dyDescent="0.3">
      <c r="B61" s="108" t="str">
        <f t="shared" si="63"/>
        <v/>
      </c>
      <c r="C61" s="108" t="str">
        <f t="shared" si="47"/>
        <v/>
      </c>
      <c r="D61" s="3"/>
      <c r="E61" s="3"/>
      <c r="F61" s="3"/>
      <c r="G61" s="20">
        <f>IFERROR(INDEX('Input - Iceland'!F$2:F$200,MATCH('Calculations - Iceland'!$C61,'Input - Iceland'!$B$2:$B$200,0)),"")</f>
        <v>0</v>
      </c>
      <c r="H61" s="20">
        <f>IFERROR(INDEX('Input - Iceland'!G$2:G$200,MATCH('Calculations - Iceland'!$C61,'Input - Iceland'!$B$2:$B$200,0)),"")</f>
        <v>0</v>
      </c>
      <c r="I61" s="21">
        <f>IFERROR(INDEX('Input - Iceland'!H$2:H$200,MATCH('Calculations - Iceland'!$C61,'Input - Iceland'!$B$2:$B$200,0)),"")</f>
        <v>0</v>
      </c>
      <c r="J61" s="21">
        <f>IFERROR(INDEX('Input - Iceland'!I$2:I$200,MATCH('Calculations - Iceland'!$C61,'Input - Iceland'!$B$2:$B$200,0)),"")</f>
        <v>0</v>
      </c>
      <c r="K61" s="20">
        <f>IFERROR(INDEX('Input - Iceland'!J$2:J$200,MATCH('Calculations - Iceland'!$C61,'Input - Iceland'!$B$2:$B$200,0)),"")</f>
        <v>0</v>
      </c>
      <c r="L61" s="20">
        <f>IFERROR(INDEX('Input - Iceland'!K$2:K$200,MATCH('Calculations - Iceland'!$C61,'Input - Iceland'!$B$2:$B$200,0)),"")</f>
        <v>0</v>
      </c>
      <c r="M61" s="21" t="str">
        <f t="shared" si="64"/>
        <v/>
      </c>
      <c r="N61" s="21" t="str">
        <f t="shared" si="48"/>
        <v/>
      </c>
      <c r="O61" s="21">
        <f t="shared" si="65"/>
        <v>0</v>
      </c>
      <c r="P61" s="9">
        <f t="shared" si="49"/>
        <v>0</v>
      </c>
      <c r="Q61" s="9">
        <f t="shared" si="50"/>
        <v>0</v>
      </c>
      <c r="R61" s="22" t="str">
        <f>IFERROR(INDEX(Iceland!$Q$11:$Q$165,MATCH('Calculations - Iceland'!$C61,Iceland!$M$11:$M$165,0)),"")</f>
        <v/>
      </c>
      <c r="S61" s="22" t="str">
        <f>IFERROR(INDEX(Iceland!$R$11:$R$165,MATCH('Calculations - Iceland'!$C61,Iceland!$M$11:$M$165,0)),"")</f>
        <v/>
      </c>
      <c r="T61" s="16" t="e">
        <f t="shared" si="51"/>
        <v>#VALUE!</v>
      </c>
      <c r="U61" s="16" t="e">
        <f t="shared" si="66"/>
        <v>#VALUE!</v>
      </c>
      <c r="V61" s="16" t="e">
        <f t="shared" si="67"/>
        <v>#VALUE!</v>
      </c>
      <c r="W61" s="10" t="str">
        <f t="shared" si="52"/>
        <v>-</v>
      </c>
      <c r="X61" s="10" t="str">
        <f t="shared" si="53"/>
        <v>-</v>
      </c>
      <c r="Y61" s="13" t="str">
        <f t="shared" si="68"/>
        <v>-</v>
      </c>
      <c r="Z61" s="9" t="str">
        <f t="shared" si="54"/>
        <v>-</v>
      </c>
      <c r="AA61" s="16" t="str">
        <f t="shared" si="69"/>
        <v>-</v>
      </c>
      <c r="AB61" s="16" t="str">
        <f t="shared" si="55"/>
        <v>-</v>
      </c>
      <c r="AC61" s="16" t="str">
        <f t="shared" si="56"/>
        <v>-</v>
      </c>
      <c r="AD61" s="16" t="str">
        <f t="shared" si="70"/>
        <v>-</v>
      </c>
      <c r="AE61" s="16"/>
      <c r="AF61" s="31" t="str">
        <f>IFERROR(INDEX(Iceland!$P$11:$P$165,MATCH('Calculations - Iceland'!C61,Iceland!$M$11:$M$165,0)),"")</f>
        <v/>
      </c>
      <c r="AG61" s="23" t="str">
        <f t="shared" si="71"/>
        <v/>
      </c>
      <c r="AH61" s="23" t="str">
        <f t="shared" si="71"/>
        <v/>
      </c>
      <c r="AI61" s="9" t="str">
        <f t="shared" si="57"/>
        <v/>
      </c>
      <c r="AJ61" s="4" t="str">
        <f t="shared" si="58"/>
        <v/>
      </c>
      <c r="AK61" s="4"/>
      <c r="AL61" s="4"/>
      <c r="AM61" s="4"/>
      <c r="AN61" s="4"/>
      <c r="AO61" s="4"/>
      <c r="AP61" s="20" t="str">
        <f t="shared" si="59"/>
        <v>-</v>
      </c>
      <c r="AQ61" s="13" t="str">
        <f t="shared" si="72"/>
        <v>-</v>
      </c>
      <c r="AR61" s="13" t="str">
        <f t="shared" si="73"/>
        <v>-</v>
      </c>
      <c r="AS61" s="13" t="str">
        <f t="shared" si="60"/>
        <v>-</v>
      </c>
      <c r="AT61" s="16" t="str">
        <f t="shared" si="74"/>
        <v>-</v>
      </c>
      <c r="AU61" s="16" t="str">
        <f t="shared" si="61"/>
        <v>-</v>
      </c>
      <c r="AV61" s="16" t="str">
        <f t="shared" si="62"/>
        <v>-</v>
      </c>
      <c r="AW61" s="16" t="str">
        <f t="shared" si="75"/>
        <v>-</v>
      </c>
      <c r="AX61" s="13" t="str">
        <f t="shared" si="76"/>
        <v>-</v>
      </c>
      <c r="AY61" s="10" t="str">
        <f t="shared" si="77"/>
        <v>-</v>
      </c>
      <c r="AZ61" s="9" t="str">
        <f t="shared" si="78"/>
        <v>-</v>
      </c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2:68" x14ac:dyDescent="0.3">
      <c r="B62" s="108" t="str">
        <f t="shared" si="63"/>
        <v/>
      </c>
      <c r="C62" s="108" t="str">
        <f t="shared" si="47"/>
        <v/>
      </c>
      <c r="D62" s="3"/>
      <c r="E62" s="3"/>
      <c r="F62" s="3"/>
      <c r="G62" s="20">
        <f>IFERROR(INDEX('Input - Iceland'!F$2:F$200,MATCH('Calculations - Iceland'!$C62,'Input - Iceland'!$B$2:$B$200,0)),"")</f>
        <v>0</v>
      </c>
      <c r="H62" s="20">
        <f>IFERROR(INDEX('Input - Iceland'!G$2:G$200,MATCH('Calculations - Iceland'!$C62,'Input - Iceland'!$B$2:$B$200,0)),"")</f>
        <v>0</v>
      </c>
      <c r="I62" s="21">
        <f>IFERROR(INDEX('Input - Iceland'!H$2:H$200,MATCH('Calculations - Iceland'!$C62,'Input - Iceland'!$B$2:$B$200,0)),"")</f>
        <v>0</v>
      </c>
      <c r="J62" s="21">
        <f>IFERROR(INDEX('Input - Iceland'!I$2:I$200,MATCH('Calculations - Iceland'!$C62,'Input - Iceland'!$B$2:$B$200,0)),"")</f>
        <v>0</v>
      </c>
      <c r="K62" s="20">
        <f>IFERROR(INDEX('Input - Iceland'!J$2:J$200,MATCH('Calculations - Iceland'!$C62,'Input - Iceland'!$B$2:$B$200,0)),"")</f>
        <v>0</v>
      </c>
      <c r="L62" s="20">
        <f>IFERROR(INDEX('Input - Iceland'!K$2:K$200,MATCH('Calculations - Iceland'!$C62,'Input - Iceland'!$B$2:$B$200,0)),"")</f>
        <v>0</v>
      </c>
      <c r="M62" s="21" t="str">
        <f t="shared" si="64"/>
        <v/>
      </c>
      <c r="N62" s="21" t="str">
        <f t="shared" si="48"/>
        <v/>
      </c>
      <c r="O62" s="21">
        <f t="shared" si="65"/>
        <v>0</v>
      </c>
      <c r="P62" s="9">
        <f t="shared" si="49"/>
        <v>0</v>
      </c>
      <c r="Q62" s="9">
        <f t="shared" si="50"/>
        <v>0</v>
      </c>
      <c r="R62" s="22" t="str">
        <f>IFERROR(INDEX(Iceland!$Q$11:$Q$165,MATCH('Calculations - Iceland'!$C62,Iceland!$M$11:$M$165,0)),"")</f>
        <v/>
      </c>
      <c r="S62" s="22" t="str">
        <f>IFERROR(INDEX(Iceland!$R$11:$R$165,MATCH('Calculations - Iceland'!$C62,Iceland!$M$11:$M$165,0)),"")</f>
        <v/>
      </c>
      <c r="T62" s="16" t="e">
        <f t="shared" si="51"/>
        <v>#VALUE!</v>
      </c>
      <c r="U62" s="16" t="e">
        <f t="shared" si="66"/>
        <v>#VALUE!</v>
      </c>
      <c r="V62" s="16" t="e">
        <f t="shared" si="67"/>
        <v>#VALUE!</v>
      </c>
      <c r="W62" s="10" t="str">
        <f t="shared" si="52"/>
        <v>-</v>
      </c>
      <c r="X62" s="10" t="str">
        <f t="shared" si="53"/>
        <v>-</v>
      </c>
      <c r="Y62" s="13" t="str">
        <f t="shared" si="68"/>
        <v>-</v>
      </c>
      <c r="Z62" s="9" t="str">
        <f t="shared" si="54"/>
        <v>-</v>
      </c>
      <c r="AA62" s="16" t="str">
        <f t="shared" si="69"/>
        <v>-</v>
      </c>
      <c r="AB62" s="16" t="str">
        <f t="shared" si="55"/>
        <v>-</v>
      </c>
      <c r="AC62" s="16" t="str">
        <f t="shared" si="56"/>
        <v>-</v>
      </c>
      <c r="AD62" s="16" t="str">
        <f t="shared" si="70"/>
        <v>-</v>
      </c>
      <c r="AE62" s="16"/>
      <c r="AF62" s="31" t="str">
        <f>IFERROR(INDEX(Iceland!$P$11:$P$165,MATCH('Calculations - Iceland'!C62,Iceland!$M$11:$M$165,0)),"")</f>
        <v/>
      </c>
      <c r="AG62" s="23" t="str">
        <f t="shared" si="71"/>
        <v/>
      </c>
      <c r="AH62" s="23" t="str">
        <f t="shared" si="71"/>
        <v/>
      </c>
      <c r="AI62" s="9" t="str">
        <f t="shared" si="57"/>
        <v/>
      </c>
      <c r="AJ62" s="4" t="str">
        <f t="shared" si="58"/>
        <v/>
      </c>
      <c r="AK62" s="4"/>
      <c r="AL62" s="4"/>
      <c r="AM62" s="4"/>
      <c r="AN62" s="4"/>
      <c r="AO62" s="4"/>
      <c r="AP62" s="20" t="str">
        <f t="shared" si="59"/>
        <v>-</v>
      </c>
      <c r="AQ62" s="13" t="str">
        <f t="shared" si="72"/>
        <v>-</v>
      </c>
      <c r="AR62" s="13" t="str">
        <f t="shared" si="73"/>
        <v>-</v>
      </c>
      <c r="AS62" s="13" t="str">
        <f t="shared" si="60"/>
        <v>-</v>
      </c>
      <c r="AT62" s="16" t="str">
        <f t="shared" si="74"/>
        <v>-</v>
      </c>
      <c r="AU62" s="16" t="str">
        <f t="shared" si="61"/>
        <v>-</v>
      </c>
      <c r="AV62" s="16" t="str">
        <f t="shared" si="62"/>
        <v>-</v>
      </c>
      <c r="AW62" s="16" t="str">
        <f t="shared" si="75"/>
        <v>-</v>
      </c>
      <c r="AX62" s="13" t="str">
        <f t="shared" si="76"/>
        <v>-</v>
      </c>
      <c r="AY62" s="10" t="str">
        <f t="shared" si="77"/>
        <v>-</v>
      </c>
      <c r="AZ62" s="9" t="str">
        <f t="shared" si="78"/>
        <v>-</v>
      </c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2:68" x14ac:dyDescent="0.3">
      <c r="B63" s="108" t="str">
        <f t="shared" si="63"/>
        <v/>
      </c>
      <c r="C63" s="108" t="str">
        <f t="shared" si="47"/>
        <v/>
      </c>
      <c r="D63" s="3"/>
      <c r="E63" s="3"/>
      <c r="F63" s="3"/>
      <c r="G63" s="20">
        <f>IFERROR(INDEX('Input - Iceland'!F$2:F$200,MATCH('Calculations - Iceland'!$C63,'Input - Iceland'!$B$2:$B$200,0)),"")</f>
        <v>0</v>
      </c>
      <c r="H63" s="20">
        <f>IFERROR(INDEX('Input - Iceland'!G$2:G$200,MATCH('Calculations - Iceland'!$C63,'Input - Iceland'!$B$2:$B$200,0)),"")</f>
        <v>0</v>
      </c>
      <c r="I63" s="21">
        <f>IFERROR(INDEX('Input - Iceland'!H$2:H$200,MATCH('Calculations - Iceland'!$C63,'Input - Iceland'!$B$2:$B$200,0)),"")</f>
        <v>0</v>
      </c>
      <c r="J63" s="21">
        <f>IFERROR(INDEX('Input - Iceland'!I$2:I$200,MATCH('Calculations - Iceland'!$C63,'Input - Iceland'!$B$2:$B$200,0)),"")</f>
        <v>0</v>
      </c>
      <c r="K63" s="20">
        <f>IFERROR(INDEX('Input - Iceland'!J$2:J$200,MATCH('Calculations - Iceland'!$C63,'Input - Iceland'!$B$2:$B$200,0)),"")</f>
        <v>0</v>
      </c>
      <c r="L63" s="20">
        <f>IFERROR(INDEX('Input - Iceland'!K$2:K$200,MATCH('Calculations - Iceland'!$C63,'Input - Iceland'!$B$2:$B$200,0)),"")</f>
        <v>0</v>
      </c>
      <c r="M63" s="21" t="str">
        <f t="shared" si="64"/>
        <v/>
      </c>
      <c r="N63" s="21" t="str">
        <f t="shared" si="48"/>
        <v/>
      </c>
      <c r="O63" s="21">
        <f t="shared" si="65"/>
        <v>0</v>
      </c>
      <c r="P63" s="9">
        <f t="shared" si="49"/>
        <v>0</v>
      </c>
      <c r="Q63" s="9">
        <f t="shared" si="50"/>
        <v>0</v>
      </c>
      <c r="R63" s="22" t="str">
        <f>IFERROR(INDEX(Iceland!$Q$11:$Q$165,MATCH('Calculations - Iceland'!$C63,Iceland!$M$11:$M$165,0)),"")</f>
        <v/>
      </c>
      <c r="S63" s="22" t="str">
        <f>IFERROR(INDEX(Iceland!$R$11:$R$165,MATCH('Calculations - Iceland'!$C63,Iceland!$M$11:$M$165,0)),"")</f>
        <v/>
      </c>
      <c r="T63" s="16" t="e">
        <f t="shared" si="51"/>
        <v>#VALUE!</v>
      </c>
      <c r="U63" s="16" t="e">
        <f t="shared" si="66"/>
        <v>#VALUE!</v>
      </c>
      <c r="V63" s="16" t="e">
        <f t="shared" si="67"/>
        <v>#VALUE!</v>
      </c>
      <c r="W63" s="10" t="str">
        <f t="shared" si="52"/>
        <v>-</v>
      </c>
      <c r="X63" s="10" t="str">
        <f t="shared" si="53"/>
        <v>-</v>
      </c>
      <c r="Y63" s="13" t="str">
        <f t="shared" si="68"/>
        <v>-</v>
      </c>
      <c r="Z63" s="9" t="str">
        <f t="shared" si="54"/>
        <v>-</v>
      </c>
      <c r="AA63" s="16" t="str">
        <f t="shared" si="69"/>
        <v>-</v>
      </c>
      <c r="AB63" s="16" t="str">
        <f t="shared" si="55"/>
        <v>-</v>
      </c>
      <c r="AC63" s="16" t="str">
        <f t="shared" si="56"/>
        <v>-</v>
      </c>
      <c r="AD63" s="16" t="str">
        <f t="shared" si="70"/>
        <v>-</v>
      </c>
      <c r="AE63" s="16"/>
      <c r="AF63" s="31" t="str">
        <f>IFERROR(INDEX(Iceland!$P$11:$P$165,MATCH('Calculations - Iceland'!C63,Iceland!$M$11:$M$165,0)),"")</f>
        <v/>
      </c>
      <c r="AG63" s="23" t="str">
        <f t="shared" si="71"/>
        <v/>
      </c>
      <c r="AH63" s="23" t="str">
        <f t="shared" si="71"/>
        <v/>
      </c>
      <c r="AI63" s="9" t="str">
        <f t="shared" si="57"/>
        <v/>
      </c>
      <c r="AJ63" s="4" t="str">
        <f t="shared" si="58"/>
        <v/>
      </c>
      <c r="AK63" s="4"/>
      <c r="AL63" s="4"/>
      <c r="AM63" s="4"/>
      <c r="AN63" s="4"/>
      <c r="AO63" s="4"/>
      <c r="AP63" s="20" t="str">
        <f t="shared" si="59"/>
        <v>-</v>
      </c>
      <c r="AQ63" s="13" t="str">
        <f t="shared" si="72"/>
        <v>-</v>
      </c>
      <c r="AR63" s="13" t="str">
        <f t="shared" si="73"/>
        <v>-</v>
      </c>
      <c r="AS63" s="13" t="str">
        <f t="shared" si="60"/>
        <v>-</v>
      </c>
      <c r="AT63" s="16" t="str">
        <f t="shared" si="74"/>
        <v>-</v>
      </c>
      <c r="AU63" s="16" t="str">
        <f t="shared" si="61"/>
        <v>-</v>
      </c>
      <c r="AV63" s="16" t="str">
        <f t="shared" si="62"/>
        <v>-</v>
      </c>
      <c r="AW63" s="16" t="str">
        <f t="shared" si="75"/>
        <v>-</v>
      </c>
      <c r="AX63" s="13" t="str">
        <f t="shared" si="76"/>
        <v>-</v>
      </c>
      <c r="AY63" s="10" t="str">
        <f t="shared" si="77"/>
        <v>-</v>
      </c>
      <c r="AZ63" s="9" t="str">
        <f t="shared" si="78"/>
        <v>-</v>
      </c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2:68" x14ac:dyDescent="0.3">
      <c r="B64" s="108" t="str">
        <f t="shared" si="63"/>
        <v/>
      </c>
      <c r="C64" s="108" t="str">
        <f t="shared" si="47"/>
        <v/>
      </c>
      <c r="D64" s="3"/>
      <c r="E64" s="3"/>
      <c r="F64" s="3"/>
      <c r="G64" s="20">
        <f>IFERROR(INDEX('Input - Iceland'!F$2:F$200,MATCH('Calculations - Iceland'!$C64,'Input - Iceland'!$B$2:$B$200,0)),"")</f>
        <v>0</v>
      </c>
      <c r="H64" s="20">
        <f>IFERROR(INDEX('Input - Iceland'!G$2:G$200,MATCH('Calculations - Iceland'!$C64,'Input - Iceland'!$B$2:$B$200,0)),"")</f>
        <v>0</v>
      </c>
      <c r="I64" s="21">
        <f>IFERROR(INDEX('Input - Iceland'!H$2:H$200,MATCH('Calculations - Iceland'!$C64,'Input - Iceland'!$B$2:$B$200,0)),"")</f>
        <v>0</v>
      </c>
      <c r="J64" s="21">
        <f>IFERROR(INDEX('Input - Iceland'!I$2:I$200,MATCH('Calculations - Iceland'!$C64,'Input - Iceland'!$B$2:$B$200,0)),"")</f>
        <v>0</v>
      </c>
      <c r="K64" s="20">
        <f>IFERROR(INDEX('Input - Iceland'!J$2:J$200,MATCH('Calculations - Iceland'!$C64,'Input - Iceland'!$B$2:$B$200,0)),"")</f>
        <v>0</v>
      </c>
      <c r="L64" s="20">
        <f>IFERROR(INDEX('Input - Iceland'!K$2:K$200,MATCH('Calculations - Iceland'!$C64,'Input - Iceland'!$B$2:$B$200,0)),"")</f>
        <v>0</v>
      </c>
      <c r="M64" s="21" t="str">
        <f t="shared" si="64"/>
        <v/>
      </c>
      <c r="N64" s="21" t="str">
        <f t="shared" si="48"/>
        <v/>
      </c>
      <c r="O64" s="21">
        <f t="shared" si="65"/>
        <v>0</v>
      </c>
      <c r="P64" s="9">
        <f t="shared" ref="P64:P127" si="79">G64/SUM(G$32:G$229)</f>
        <v>0</v>
      </c>
      <c r="Q64" s="9">
        <f t="shared" ref="Q64:Q127" si="80">H64/SUM(H$32:H$229)</f>
        <v>0</v>
      </c>
      <c r="R64" s="22" t="str">
        <f>IFERROR(INDEX(Iceland!$Q$11:$Q$165,MATCH('Calculations - Iceland'!$C64,Iceland!$M$11:$M$165,0)),"")</f>
        <v/>
      </c>
      <c r="S64" s="22" t="str">
        <f>IFERROR(INDEX(Iceland!$R$11:$R$165,MATCH('Calculations - Iceland'!$C64,Iceland!$M$11:$M$165,0)),"")</f>
        <v/>
      </c>
      <c r="T64" s="16" t="e">
        <f t="shared" si="51"/>
        <v>#VALUE!</v>
      </c>
      <c r="U64" s="16" t="e">
        <f t="shared" si="66"/>
        <v>#VALUE!</v>
      </c>
      <c r="V64" s="16" t="e">
        <f t="shared" si="67"/>
        <v>#VALUE!</v>
      </c>
      <c r="W64" s="10" t="str">
        <f t="shared" si="52"/>
        <v>-</v>
      </c>
      <c r="X64" s="10" t="str">
        <f t="shared" si="53"/>
        <v>-</v>
      </c>
      <c r="Y64" s="13" t="str">
        <f t="shared" si="68"/>
        <v>-</v>
      </c>
      <c r="Z64" s="9" t="str">
        <f t="shared" si="54"/>
        <v>-</v>
      </c>
      <c r="AA64" s="16" t="str">
        <f t="shared" si="69"/>
        <v>-</v>
      </c>
      <c r="AB64" s="16" t="str">
        <f t="shared" si="55"/>
        <v>-</v>
      </c>
      <c r="AC64" s="16" t="str">
        <f t="shared" si="56"/>
        <v>-</v>
      </c>
      <c r="AD64" s="16" t="str">
        <f t="shared" si="70"/>
        <v>-</v>
      </c>
      <c r="AE64" s="16"/>
      <c r="AF64" s="31" t="str">
        <f>IFERROR(INDEX(Iceland!$P$11:$P$165,MATCH('Calculations - Iceland'!C64,Iceland!$M$11:$M$165,0)),"")</f>
        <v/>
      </c>
      <c r="AG64" s="23" t="str">
        <f t="shared" si="71"/>
        <v/>
      </c>
      <c r="AH64" s="23" t="str">
        <f t="shared" si="71"/>
        <v/>
      </c>
      <c r="AI64" s="9" t="str">
        <f t="shared" si="57"/>
        <v/>
      </c>
      <c r="AJ64" s="4" t="str">
        <f t="shared" si="58"/>
        <v/>
      </c>
      <c r="AK64" s="4"/>
      <c r="AL64" s="4"/>
      <c r="AM64" s="4"/>
      <c r="AN64" s="4"/>
      <c r="AO64" s="4"/>
      <c r="AP64" s="20" t="str">
        <f t="shared" si="59"/>
        <v>-</v>
      </c>
      <c r="AQ64" s="13" t="str">
        <f t="shared" si="72"/>
        <v>-</v>
      </c>
      <c r="AR64" s="13" t="str">
        <f t="shared" si="73"/>
        <v>-</v>
      </c>
      <c r="AS64" s="13" t="str">
        <f t="shared" si="60"/>
        <v>-</v>
      </c>
      <c r="AT64" s="16" t="str">
        <f t="shared" si="74"/>
        <v>-</v>
      </c>
      <c r="AU64" s="16" t="str">
        <f t="shared" si="61"/>
        <v>-</v>
      </c>
      <c r="AV64" s="16" t="str">
        <f t="shared" si="62"/>
        <v>-</v>
      </c>
      <c r="AW64" s="16" t="str">
        <f t="shared" si="75"/>
        <v>-</v>
      </c>
      <c r="AX64" s="13" t="str">
        <f t="shared" si="76"/>
        <v>-</v>
      </c>
      <c r="AY64" s="10" t="str">
        <f t="shared" si="77"/>
        <v>-</v>
      </c>
      <c r="AZ64" s="9" t="str">
        <f t="shared" si="78"/>
        <v>-</v>
      </c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2:68" x14ac:dyDescent="0.3">
      <c r="B65" s="108" t="str">
        <f t="shared" si="63"/>
        <v/>
      </c>
      <c r="C65" s="108" t="str">
        <f t="shared" si="47"/>
        <v/>
      </c>
      <c r="D65" s="3"/>
      <c r="E65" s="3"/>
      <c r="F65" s="3"/>
      <c r="G65" s="20">
        <f>IFERROR(INDEX('Input - Iceland'!F$2:F$200,MATCH('Calculations - Iceland'!$C65,'Input - Iceland'!$B$2:$B$200,0)),"")</f>
        <v>0</v>
      </c>
      <c r="H65" s="20">
        <f>IFERROR(INDEX('Input - Iceland'!G$2:G$200,MATCH('Calculations - Iceland'!$C65,'Input - Iceland'!$B$2:$B$200,0)),"")</f>
        <v>0</v>
      </c>
      <c r="I65" s="21">
        <f>IFERROR(INDEX('Input - Iceland'!H$2:H$200,MATCH('Calculations - Iceland'!$C65,'Input - Iceland'!$B$2:$B$200,0)),"")</f>
        <v>0</v>
      </c>
      <c r="J65" s="21">
        <f>IFERROR(INDEX('Input - Iceland'!I$2:I$200,MATCH('Calculations - Iceland'!$C65,'Input - Iceland'!$B$2:$B$200,0)),"")</f>
        <v>0</v>
      </c>
      <c r="K65" s="20">
        <f>IFERROR(INDEX('Input - Iceland'!J$2:J$200,MATCH('Calculations - Iceland'!$C65,'Input - Iceland'!$B$2:$B$200,0)),"")</f>
        <v>0</v>
      </c>
      <c r="L65" s="20">
        <f>IFERROR(INDEX('Input - Iceland'!K$2:K$200,MATCH('Calculations - Iceland'!$C65,'Input - Iceland'!$B$2:$B$200,0)),"")</f>
        <v>0</v>
      </c>
      <c r="M65" s="21" t="str">
        <f t="shared" si="64"/>
        <v/>
      </c>
      <c r="N65" s="21" t="str">
        <f t="shared" si="48"/>
        <v/>
      </c>
      <c r="O65" s="21">
        <f t="shared" si="65"/>
        <v>0</v>
      </c>
      <c r="P65" s="9">
        <f t="shared" si="79"/>
        <v>0</v>
      </c>
      <c r="Q65" s="9">
        <f t="shared" si="80"/>
        <v>0</v>
      </c>
      <c r="R65" s="22" t="str">
        <f>IFERROR(INDEX(Iceland!$Q$11:$Q$165,MATCH('Calculations - Iceland'!$C65,Iceland!$M$11:$M$165,0)),"")</f>
        <v/>
      </c>
      <c r="S65" s="22" t="str">
        <f>IFERROR(INDEX(Iceland!$R$11:$R$165,MATCH('Calculations - Iceland'!$C65,Iceland!$M$11:$M$165,0)),"")</f>
        <v/>
      </c>
      <c r="T65" s="16" t="e">
        <f t="shared" si="51"/>
        <v>#VALUE!</v>
      </c>
      <c r="U65" s="16" t="e">
        <f t="shared" si="66"/>
        <v>#VALUE!</v>
      </c>
      <c r="V65" s="16" t="e">
        <f t="shared" si="67"/>
        <v>#VALUE!</v>
      </c>
      <c r="W65" s="10" t="str">
        <f t="shared" si="52"/>
        <v>-</v>
      </c>
      <c r="X65" s="10" t="str">
        <f t="shared" si="53"/>
        <v>-</v>
      </c>
      <c r="Y65" s="13" t="str">
        <f t="shared" si="68"/>
        <v>-</v>
      </c>
      <c r="Z65" s="9" t="str">
        <f t="shared" si="54"/>
        <v>-</v>
      </c>
      <c r="AA65" s="16" t="str">
        <f t="shared" si="69"/>
        <v>-</v>
      </c>
      <c r="AB65" s="16" t="str">
        <f t="shared" si="55"/>
        <v>-</v>
      </c>
      <c r="AC65" s="16" t="str">
        <f t="shared" si="56"/>
        <v>-</v>
      </c>
      <c r="AD65" s="16" t="str">
        <f t="shared" si="70"/>
        <v>-</v>
      </c>
      <c r="AE65" s="16"/>
      <c r="AF65" s="31" t="str">
        <f>IFERROR(INDEX(Iceland!$P$11:$P$165,MATCH('Calculations - Iceland'!C65,Iceland!$M$11:$M$165,0)),"")</f>
        <v/>
      </c>
      <c r="AG65" s="23" t="str">
        <f t="shared" si="71"/>
        <v/>
      </c>
      <c r="AH65" s="23" t="str">
        <f t="shared" si="71"/>
        <v/>
      </c>
      <c r="AI65" s="9" t="str">
        <f t="shared" si="57"/>
        <v/>
      </c>
      <c r="AJ65" s="4" t="str">
        <f t="shared" si="58"/>
        <v/>
      </c>
      <c r="AK65" s="4"/>
      <c r="AL65" s="4"/>
      <c r="AM65" s="4"/>
      <c r="AN65" s="4"/>
      <c r="AO65" s="4"/>
      <c r="AP65" s="20" t="str">
        <f t="shared" si="59"/>
        <v>-</v>
      </c>
      <c r="AQ65" s="13" t="str">
        <f t="shared" si="72"/>
        <v>-</v>
      </c>
      <c r="AR65" s="13" t="str">
        <f t="shared" si="73"/>
        <v>-</v>
      </c>
      <c r="AS65" s="13" t="str">
        <f t="shared" si="60"/>
        <v>-</v>
      </c>
      <c r="AT65" s="16" t="str">
        <f t="shared" si="74"/>
        <v>-</v>
      </c>
      <c r="AU65" s="16" t="str">
        <f t="shared" si="61"/>
        <v>-</v>
      </c>
      <c r="AV65" s="16" t="str">
        <f t="shared" si="62"/>
        <v>-</v>
      </c>
      <c r="AW65" s="16" t="str">
        <f t="shared" si="75"/>
        <v>-</v>
      </c>
      <c r="AX65" s="13" t="str">
        <f t="shared" si="76"/>
        <v>-</v>
      </c>
      <c r="AY65" s="10" t="str">
        <f t="shared" si="77"/>
        <v>-</v>
      </c>
      <c r="AZ65" s="9" t="str">
        <f t="shared" si="78"/>
        <v>-</v>
      </c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2:68" x14ac:dyDescent="0.3">
      <c r="B66" s="108" t="str">
        <f t="shared" si="63"/>
        <v/>
      </c>
      <c r="C66" s="108" t="str">
        <f t="shared" si="47"/>
        <v/>
      </c>
      <c r="D66" s="3"/>
      <c r="E66" s="3"/>
      <c r="F66" s="3"/>
      <c r="G66" s="20">
        <f>IFERROR(INDEX('Input - Iceland'!F$2:F$200,MATCH('Calculations - Iceland'!$C66,'Input - Iceland'!$B$2:$B$200,0)),"")</f>
        <v>0</v>
      </c>
      <c r="H66" s="20">
        <f>IFERROR(INDEX('Input - Iceland'!G$2:G$200,MATCH('Calculations - Iceland'!$C66,'Input - Iceland'!$B$2:$B$200,0)),"")</f>
        <v>0</v>
      </c>
      <c r="I66" s="21">
        <f>IFERROR(INDEX('Input - Iceland'!H$2:H$200,MATCH('Calculations - Iceland'!$C66,'Input - Iceland'!$B$2:$B$200,0)),"")</f>
        <v>0</v>
      </c>
      <c r="J66" s="21">
        <f>IFERROR(INDEX('Input - Iceland'!I$2:I$200,MATCH('Calculations - Iceland'!$C66,'Input - Iceland'!$B$2:$B$200,0)),"")</f>
        <v>0</v>
      </c>
      <c r="K66" s="20">
        <f>IFERROR(INDEX('Input - Iceland'!J$2:J$200,MATCH('Calculations - Iceland'!$C66,'Input - Iceland'!$B$2:$B$200,0)),"")</f>
        <v>0</v>
      </c>
      <c r="L66" s="20">
        <f>IFERROR(INDEX('Input - Iceland'!K$2:K$200,MATCH('Calculations - Iceland'!$C66,'Input - Iceland'!$B$2:$B$200,0)),"")</f>
        <v>0</v>
      </c>
      <c r="M66" s="21" t="str">
        <f t="shared" si="64"/>
        <v/>
      </c>
      <c r="N66" s="21" t="str">
        <f t="shared" si="48"/>
        <v/>
      </c>
      <c r="O66" s="21">
        <f t="shared" si="65"/>
        <v>0</v>
      </c>
      <c r="P66" s="9">
        <f t="shared" si="79"/>
        <v>0</v>
      </c>
      <c r="Q66" s="9">
        <f t="shared" si="80"/>
        <v>0</v>
      </c>
      <c r="R66" s="22" t="str">
        <f>IFERROR(INDEX(Iceland!$Q$11:$Q$165,MATCH('Calculations - Iceland'!$C66,Iceland!$M$11:$M$165,0)),"")</f>
        <v/>
      </c>
      <c r="S66" s="22" t="str">
        <f>IFERROR(INDEX(Iceland!$R$11:$R$165,MATCH('Calculations - Iceland'!$C66,Iceland!$M$11:$M$165,0)),"")</f>
        <v/>
      </c>
      <c r="T66" s="16" t="e">
        <f t="shared" si="51"/>
        <v>#VALUE!</v>
      </c>
      <c r="U66" s="16" t="e">
        <f t="shared" si="66"/>
        <v>#VALUE!</v>
      </c>
      <c r="V66" s="16" t="e">
        <f t="shared" si="67"/>
        <v>#VALUE!</v>
      </c>
      <c r="W66" s="10" t="str">
        <f t="shared" si="52"/>
        <v>-</v>
      </c>
      <c r="X66" s="10" t="str">
        <f t="shared" si="53"/>
        <v>-</v>
      </c>
      <c r="Y66" s="13" t="str">
        <f t="shared" si="68"/>
        <v>-</v>
      </c>
      <c r="Z66" s="9" t="str">
        <f t="shared" si="54"/>
        <v>-</v>
      </c>
      <c r="AA66" s="16" t="str">
        <f t="shared" si="69"/>
        <v>-</v>
      </c>
      <c r="AB66" s="16" t="str">
        <f t="shared" si="55"/>
        <v>-</v>
      </c>
      <c r="AC66" s="16" t="str">
        <f t="shared" si="56"/>
        <v>-</v>
      </c>
      <c r="AD66" s="16" t="str">
        <f t="shared" si="70"/>
        <v>-</v>
      </c>
      <c r="AE66" s="16"/>
      <c r="AF66" s="31" t="str">
        <f>IFERROR(INDEX(Iceland!$P$11:$P$165,MATCH('Calculations - Iceland'!C66,Iceland!$M$11:$M$165,0)),"")</f>
        <v/>
      </c>
      <c r="AG66" s="23" t="str">
        <f t="shared" si="71"/>
        <v/>
      </c>
      <c r="AH66" s="23" t="str">
        <f t="shared" si="71"/>
        <v/>
      </c>
      <c r="AI66" s="9" t="str">
        <f t="shared" si="57"/>
        <v/>
      </c>
      <c r="AJ66" s="4" t="str">
        <f t="shared" si="58"/>
        <v/>
      </c>
      <c r="AK66" s="4"/>
      <c r="AL66" s="4"/>
      <c r="AM66" s="4"/>
      <c r="AN66" s="4"/>
      <c r="AO66" s="4"/>
      <c r="AP66" s="20" t="str">
        <f t="shared" si="59"/>
        <v>-</v>
      </c>
      <c r="AQ66" s="13" t="str">
        <f t="shared" si="72"/>
        <v>-</v>
      </c>
      <c r="AR66" s="13" t="str">
        <f t="shared" si="73"/>
        <v>-</v>
      </c>
      <c r="AS66" s="13" t="str">
        <f t="shared" si="60"/>
        <v>-</v>
      </c>
      <c r="AT66" s="16" t="str">
        <f t="shared" si="74"/>
        <v>-</v>
      </c>
      <c r="AU66" s="16" t="str">
        <f t="shared" si="61"/>
        <v>-</v>
      </c>
      <c r="AV66" s="16" t="str">
        <f t="shared" si="62"/>
        <v>-</v>
      </c>
      <c r="AW66" s="16" t="str">
        <f t="shared" si="75"/>
        <v>-</v>
      </c>
      <c r="AX66" s="13" t="str">
        <f t="shared" si="76"/>
        <v>-</v>
      </c>
      <c r="AY66" s="10" t="str">
        <f t="shared" si="77"/>
        <v>-</v>
      </c>
      <c r="AZ66" s="9" t="str">
        <f t="shared" si="78"/>
        <v>-</v>
      </c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2:68" x14ac:dyDescent="0.3">
      <c r="B67" s="108" t="str">
        <f t="shared" si="63"/>
        <v/>
      </c>
      <c r="C67" s="108" t="str">
        <f t="shared" si="47"/>
        <v/>
      </c>
      <c r="D67" s="3"/>
      <c r="E67" s="3"/>
      <c r="F67" s="3"/>
      <c r="G67" s="20">
        <f>IFERROR(INDEX('Input - Iceland'!F$2:F$200,MATCH('Calculations - Iceland'!$C67,'Input - Iceland'!$B$2:$B$200,0)),"")</f>
        <v>0</v>
      </c>
      <c r="H67" s="20">
        <f>IFERROR(INDEX('Input - Iceland'!G$2:G$200,MATCH('Calculations - Iceland'!$C67,'Input - Iceland'!$B$2:$B$200,0)),"")</f>
        <v>0</v>
      </c>
      <c r="I67" s="21">
        <f>IFERROR(INDEX('Input - Iceland'!H$2:H$200,MATCH('Calculations - Iceland'!$C67,'Input - Iceland'!$B$2:$B$200,0)),"")</f>
        <v>0</v>
      </c>
      <c r="J67" s="21">
        <f>IFERROR(INDEX('Input - Iceland'!I$2:I$200,MATCH('Calculations - Iceland'!$C67,'Input - Iceland'!$B$2:$B$200,0)),"")</f>
        <v>0</v>
      </c>
      <c r="K67" s="20">
        <f>IFERROR(INDEX('Input - Iceland'!J$2:J$200,MATCH('Calculations - Iceland'!$C67,'Input - Iceland'!$B$2:$B$200,0)),"")</f>
        <v>0</v>
      </c>
      <c r="L67" s="20">
        <f>IFERROR(INDEX('Input - Iceland'!K$2:K$200,MATCH('Calculations - Iceland'!$C67,'Input - Iceland'!$B$2:$B$200,0)),"")</f>
        <v>0</v>
      </c>
      <c r="M67" s="21" t="str">
        <f t="shared" si="64"/>
        <v/>
      </c>
      <c r="N67" s="21" t="str">
        <f t="shared" si="48"/>
        <v/>
      </c>
      <c r="O67" s="21">
        <f t="shared" si="65"/>
        <v>0</v>
      </c>
      <c r="P67" s="9">
        <f t="shared" si="79"/>
        <v>0</v>
      </c>
      <c r="Q67" s="9">
        <f t="shared" si="80"/>
        <v>0</v>
      </c>
      <c r="R67" s="22" t="str">
        <f>IFERROR(INDEX(Iceland!$Q$11:$Q$165,MATCH('Calculations - Iceland'!$C67,Iceland!$M$11:$M$165,0)),"")</f>
        <v/>
      </c>
      <c r="S67" s="22" t="str">
        <f>IFERROR(INDEX(Iceland!$R$11:$R$165,MATCH('Calculations - Iceland'!$C67,Iceland!$M$11:$M$165,0)),"")</f>
        <v/>
      </c>
      <c r="T67" s="16" t="e">
        <f t="shared" si="51"/>
        <v>#VALUE!</v>
      </c>
      <c r="U67" s="16" t="e">
        <f t="shared" si="66"/>
        <v>#VALUE!</v>
      </c>
      <c r="V67" s="16" t="e">
        <f t="shared" si="67"/>
        <v>#VALUE!</v>
      </c>
      <c r="W67" s="10" t="str">
        <f t="shared" si="52"/>
        <v>-</v>
      </c>
      <c r="X67" s="10" t="str">
        <f t="shared" si="53"/>
        <v>-</v>
      </c>
      <c r="Y67" s="13" t="str">
        <f t="shared" si="68"/>
        <v>-</v>
      </c>
      <c r="Z67" s="9" t="str">
        <f t="shared" si="54"/>
        <v>-</v>
      </c>
      <c r="AA67" s="16" t="str">
        <f t="shared" si="69"/>
        <v>-</v>
      </c>
      <c r="AB67" s="16" t="str">
        <f t="shared" si="55"/>
        <v>-</v>
      </c>
      <c r="AC67" s="16" t="str">
        <f t="shared" si="56"/>
        <v>-</v>
      </c>
      <c r="AD67" s="16" t="str">
        <f t="shared" si="70"/>
        <v>-</v>
      </c>
      <c r="AE67" s="16"/>
      <c r="AF67" s="31" t="str">
        <f>IFERROR(INDEX(Iceland!$P$11:$P$165,MATCH('Calculations - Iceland'!C67,Iceland!$M$11:$M$165,0)),"")</f>
        <v/>
      </c>
      <c r="AG67" s="23" t="str">
        <f t="shared" si="71"/>
        <v/>
      </c>
      <c r="AH67" s="23" t="str">
        <f t="shared" si="71"/>
        <v/>
      </c>
      <c r="AI67" s="9" t="str">
        <f t="shared" si="57"/>
        <v/>
      </c>
      <c r="AJ67" s="4" t="str">
        <f t="shared" si="58"/>
        <v/>
      </c>
      <c r="AK67" s="4"/>
      <c r="AL67" s="4"/>
      <c r="AM67" s="4"/>
      <c r="AN67" s="4"/>
      <c r="AO67" s="4"/>
      <c r="AP67" s="20" t="str">
        <f t="shared" si="59"/>
        <v>-</v>
      </c>
      <c r="AQ67" s="13" t="str">
        <f t="shared" si="72"/>
        <v>-</v>
      </c>
      <c r="AR67" s="13" t="str">
        <f t="shared" si="73"/>
        <v>-</v>
      </c>
      <c r="AS67" s="13" t="str">
        <f t="shared" si="60"/>
        <v>-</v>
      </c>
      <c r="AT67" s="16" t="str">
        <f t="shared" si="74"/>
        <v>-</v>
      </c>
      <c r="AU67" s="16" t="str">
        <f t="shared" si="61"/>
        <v>-</v>
      </c>
      <c r="AV67" s="16" t="str">
        <f t="shared" si="62"/>
        <v>-</v>
      </c>
      <c r="AW67" s="16" t="str">
        <f t="shared" si="75"/>
        <v>-</v>
      </c>
      <c r="AX67" s="13" t="str">
        <f t="shared" si="76"/>
        <v>-</v>
      </c>
      <c r="AY67" s="10" t="str">
        <f t="shared" si="77"/>
        <v>-</v>
      </c>
      <c r="AZ67" s="9" t="str">
        <f t="shared" si="78"/>
        <v>-</v>
      </c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</row>
    <row r="68" spans="2:68" x14ac:dyDescent="0.3">
      <c r="B68" s="108" t="str">
        <f t="shared" si="63"/>
        <v/>
      </c>
      <c r="C68" s="108" t="str">
        <f t="shared" si="47"/>
        <v/>
      </c>
      <c r="D68" s="3"/>
      <c r="E68" s="3"/>
      <c r="F68" s="3"/>
      <c r="G68" s="20">
        <f>IFERROR(INDEX('Input - Iceland'!F$2:F$200,MATCH('Calculations - Iceland'!$C68,'Input - Iceland'!$B$2:$B$200,0)),"")</f>
        <v>0</v>
      </c>
      <c r="H68" s="20">
        <f>IFERROR(INDEX('Input - Iceland'!G$2:G$200,MATCH('Calculations - Iceland'!$C68,'Input - Iceland'!$B$2:$B$200,0)),"")</f>
        <v>0</v>
      </c>
      <c r="I68" s="21">
        <f>IFERROR(INDEX('Input - Iceland'!H$2:H$200,MATCH('Calculations - Iceland'!$C68,'Input - Iceland'!$B$2:$B$200,0)),"")</f>
        <v>0</v>
      </c>
      <c r="J68" s="21">
        <f>IFERROR(INDEX('Input - Iceland'!I$2:I$200,MATCH('Calculations - Iceland'!$C68,'Input - Iceland'!$B$2:$B$200,0)),"")</f>
        <v>0</v>
      </c>
      <c r="K68" s="20">
        <f>IFERROR(INDEX('Input - Iceland'!J$2:J$200,MATCH('Calculations - Iceland'!$C68,'Input - Iceland'!$B$2:$B$200,0)),"")</f>
        <v>0</v>
      </c>
      <c r="L68" s="20">
        <f>IFERROR(INDEX('Input - Iceland'!K$2:K$200,MATCH('Calculations - Iceland'!$C68,'Input - Iceland'!$B$2:$B$200,0)),"")</f>
        <v>0</v>
      </c>
      <c r="M68" s="21" t="str">
        <f t="shared" si="64"/>
        <v/>
      </c>
      <c r="N68" s="21" t="str">
        <f t="shared" si="48"/>
        <v/>
      </c>
      <c r="O68" s="21">
        <f t="shared" si="65"/>
        <v>0</v>
      </c>
      <c r="P68" s="9">
        <f t="shared" si="79"/>
        <v>0</v>
      </c>
      <c r="Q68" s="9">
        <f t="shared" si="80"/>
        <v>0</v>
      </c>
      <c r="R68" s="22" t="str">
        <f>IFERROR(INDEX(Iceland!$Q$11:$Q$165,MATCH('Calculations - Iceland'!$C68,Iceland!$M$11:$M$165,0)),"")</f>
        <v/>
      </c>
      <c r="S68" s="22" t="str">
        <f>IFERROR(INDEX(Iceland!$R$11:$R$165,MATCH('Calculations - Iceland'!$C68,Iceland!$M$11:$M$165,0)),"")</f>
        <v/>
      </c>
      <c r="T68" s="16" t="e">
        <f t="shared" si="51"/>
        <v>#VALUE!</v>
      </c>
      <c r="U68" s="16" t="e">
        <f t="shared" si="66"/>
        <v>#VALUE!</v>
      </c>
      <c r="V68" s="16" t="e">
        <f t="shared" si="67"/>
        <v>#VALUE!</v>
      </c>
      <c r="W68" s="10" t="str">
        <f t="shared" si="52"/>
        <v>-</v>
      </c>
      <c r="X68" s="10" t="str">
        <f t="shared" si="53"/>
        <v>-</v>
      </c>
      <c r="Y68" s="13" t="str">
        <f t="shared" si="68"/>
        <v>-</v>
      </c>
      <c r="Z68" s="9" t="str">
        <f t="shared" si="54"/>
        <v>-</v>
      </c>
      <c r="AA68" s="16" t="str">
        <f t="shared" si="69"/>
        <v>-</v>
      </c>
      <c r="AB68" s="16" t="str">
        <f t="shared" si="55"/>
        <v>-</v>
      </c>
      <c r="AC68" s="16" t="str">
        <f t="shared" si="56"/>
        <v>-</v>
      </c>
      <c r="AD68" s="16" t="str">
        <f t="shared" si="70"/>
        <v>-</v>
      </c>
      <c r="AE68" s="16"/>
      <c r="AF68" s="31" t="str">
        <f>IFERROR(INDEX(Iceland!$P$11:$P$165,MATCH('Calculations - Iceland'!C68,Iceland!$M$11:$M$165,0)),"")</f>
        <v/>
      </c>
      <c r="AG68" s="23" t="str">
        <f t="shared" si="71"/>
        <v/>
      </c>
      <c r="AH68" s="23" t="str">
        <f t="shared" si="71"/>
        <v/>
      </c>
      <c r="AI68" s="9" t="str">
        <f t="shared" si="57"/>
        <v/>
      </c>
      <c r="AJ68" s="4" t="str">
        <f t="shared" si="58"/>
        <v/>
      </c>
      <c r="AK68" s="4"/>
      <c r="AL68" s="4"/>
      <c r="AM68" s="4"/>
      <c r="AN68" s="4"/>
      <c r="AO68" s="4"/>
      <c r="AP68" s="20" t="str">
        <f t="shared" si="59"/>
        <v>-</v>
      </c>
      <c r="AQ68" s="13" t="str">
        <f t="shared" si="72"/>
        <v>-</v>
      </c>
      <c r="AR68" s="13" t="str">
        <f t="shared" si="73"/>
        <v>-</v>
      </c>
      <c r="AS68" s="13" t="str">
        <f t="shared" si="60"/>
        <v>-</v>
      </c>
      <c r="AT68" s="16" t="str">
        <f t="shared" si="74"/>
        <v>-</v>
      </c>
      <c r="AU68" s="16" t="str">
        <f t="shared" si="61"/>
        <v>-</v>
      </c>
      <c r="AV68" s="16" t="str">
        <f t="shared" si="62"/>
        <v>-</v>
      </c>
      <c r="AW68" s="16" t="str">
        <f t="shared" si="75"/>
        <v>-</v>
      </c>
      <c r="AX68" s="13" t="str">
        <f t="shared" si="76"/>
        <v>-</v>
      </c>
      <c r="AY68" s="10" t="str">
        <f t="shared" si="77"/>
        <v>-</v>
      </c>
      <c r="AZ68" s="9" t="str">
        <f t="shared" si="78"/>
        <v>-</v>
      </c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2:68" x14ac:dyDescent="0.3">
      <c r="B69" s="108" t="str">
        <f t="shared" si="63"/>
        <v/>
      </c>
      <c r="C69" s="108" t="str">
        <f t="shared" si="47"/>
        <v/>
      </c>
      <c r="D69" s="3"/>
      <c r="E69" s="3"/>
      <c r="F69" s="3"/>
      <c r="G69" s="20">
        <f>IFERROR(INDEX('Input - Iceland'!F$2:F$200,MATCH('Calculations - Iceland'!$C69,'Input - Iceland'!$B$2:$B$200,0)),"")</f>
        <v>0</v>
      </c>
      <c r="H69" s="20">
        <f>IFERROR(INDEX('Input - Iceland'!G$2:G$200,MATCH('Calculations - Iceland'!$C69,'Input - Iceland'!$B$2:$B$200,0)),"")</f>
        <v>0</v>
      </c>
      <c r="I69" s="21">
        <f>IFERROR(INDEX('Input - Iceland'!H$2:H$200,MATCH('Calculations - Iceland'!$C69,'Input - Iceland'!$B$2:$B$200,0)),"")</f>
        <v>0</v>
      </c>
      <c r="J69" s="21">
        <f>IFERROR(INDEX('Input - Iceland'!I$2:I$200,MATCH('Calculations - Iceland'!$C69,'Input - Iceland'!$B$2:$B$200,0)),"")</f>
        <v>0</v>
      </c>
      <c r="K69" s="20">
        <f>IFERROR(INDEX('Input - Iceland'!J$2:J$200,MATCH('Calculations - Iceland'!$C69,'Input - Iceland'!$B$2:$B$200,0)),"")</f>
        <v>0</v>
      </c>
      <c r="L69" s="20">
        <f>IFERROR(INDEX('Input - Iceland'!K$2:K$200,MATCH('Calculations - Iceland'!$C69,'Input - Iceland'!$B$2:$B$200,0)),"")</f>
        <v>0</v>
      </c>
      <c r="M69" s="21" t="str">
        <f t="shared" si="64"/>
        <v/>
      </c>
      <c r="N69" s="21" t="str">
        <f t="shared" si="48"/>
        <v/>
      </c>
      <c r="O69" s="21">
        <f t="shared" si="65"/>
        <v>0</v>
      </c>
      <c r="P69" s="9">
        <f t="shared" si="79"/>
        <v>0</v>
      </c>
      <c r="Q69" s="9">
        <f t="shared" si="80"/>
        <v>0</v>
      </c>
      <c r="R69" s="22" t="str">
        <f>IFERROR(INDEX(Iceland!$Q$11:$Q$165,MATCH('Calculations - Iceland'!$C69,Iceland!$M$11:$M$165,0)),"")</f>
        <v/>
      </c>
      <c r="S69" s="22" t="str">
        <f>IFERROR(INDEX(Iceland!$R$11:$R$165,MATCH('Calculations - Iceland'!$C69,Iceland!$M$11:$M$165,0)),"")</f>
        <v/>
      </c>
      <c r="T69" s="16" t="e">
        <f t="shared" si="51"/>
        <v>#VALUE!</v>
      </c>
      <c r="U69" s="16" t="e">
        <f t="shared" si="66"/>
        <v>#VALUE!</v>
      </c>
      <c r="V69" s="16" t="e">
        <f t="shared" si="67"/>
        <v>#VALUE!</v>
      </c>
      <c r="W69" s="10" t="str">
        <f t="shared" si="52"/>
        <v>-</v>
      </c>
      <c r="X69" s="10" t="str">
        <f t="shared" si="53"/>
        <v>-</v>
      </c>
      <c r="Y69" s="13" t="str">
        <f t="shared" si="68"/>
        <v>-</v>
      </c>
      <c r="Z69" s="9" t="str">
        <f t="shared" si="54"/>
        <v>-</v>
      </c>
      <c r="AA69" s="16" t="str">
        <f t="shared" si="69"/>
        <v>-</v>
      </c>
      <c r="AB69" s="16" t="str">
        <f t="shared" si="55"/>
        <v>-</v>
      </c>
      <c r="AC69" s="16" t="str">
        <f t="shared" si="56"/>
        <v>-</v>
      </c>
      <c r="AD69" s="16" t="str">
        <f t="shared" si="70"/>
        <v>-</v>
      </c>
      <c r="AE69" s="16"/>
      <c r="AF69" s="31" t="str">
        <f>IFERROR(INDEX(Iceland!$P$11:$P$165,MATCH('Calculations - Iceland'!C69,Iceland!$M$11:$M$165,0)),"")</f>
        <v/>
      </c>
      <c r="AG69" s="23" t="str">
        <f t="shared" si="71"/>
        <v/>
      </c>
      <c r="AH69" s="23" t="str">
        <f t="shared" si="71"/>
        <v/>
      </c>
      <c r="AI69" s="9" t="str">
        <f t="shared" si="57"/>
        <v/>
      </c>
      <c r="AJ69" s="4" t="str">
        <f t="shared" si="58"/>
        <v/>
      </c>
      <c r="AK69" s="4"/>
      <c r="AL69" s="4"/>
      <c r="AM69" s="4"/>
      <c r="AN69" s="4"/>
      <c r="AO69" s="4"/>
      <c r="AP69" s="20" t="str">
        <f t="shared" si="59"/>
        <v>-</v>
      </c>
      <c r="AQ69" s="13" t="str">
        <f t="shared" si="72"/>
        <v>-</v>
      </c>
      <c r="AR69" s="13" t="str">
        <f t="shared" si="73"/>
        <v>-</v>
      </c>
      <c r="AS69" s="13" t="str">
        <f t="shared" si="60"/>
        <v>-</v>
      </c>
      <c r="AT69" s="16" t="str">
        <f t="shared" si="74"/>
        <v>-</v>
      </c>
      <c r="AU69" s="16" t="str">
        <f t="shared" si="61"/>
        <v>-</v>
      </c>
      <c r="AV69" s="16" t="str">
        <f t="shared" si="62"/>
        <v>-</v>
      </c>
      <c r="AW69" s="16" t="str">
        <f t="shared" si="75"/>
        <v>-</v>
      </c>
      <c r="AX69" s="13" t="str">
        <f t="shared" si="76"/>
        <v>-</v>
      </c>
      <c r="AY69" s="10" t="str">
        <f t="shared" si="77"/>
        <v>-</v>
      </c>
      <c r="AZ69" s="9" t="str">
        <f t="shared" si="78"/>
        <v>-</v>
      </c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2:68" x14ac:dyDescent="0.3">
      <c r="B70" s="108" t="str">
        <f t="shared" si="63"/>
        <v/>
      </c>
      <c r="C70" s="108" t="str">
        <f t="shared" si="47"/>
        <v/>
      </c>
      <c r="D70" s="3"/>
      <c r="E70" s="3"/>
      <c r="F70" s="3"/>
      <c r="G70" s="20">
        <f>IFERROR(INDEX('Input - Iceland'!F$2:F$200,MATCH('Calculations - Iceland'!$C70,'Input - Iceland'!$B$2:$B$200,0)),"")</f>
        <v>0</v>
      </c>
      <c r="H70" s="20">
        <f>IFERROR(INDEX('Input - Iceland'!G$2:G$200,MATCH('Calculations - Iceland'!$C70,'Input - Iceland'!$B$2:$B$200,0)),"")</f>
        <v>0</v>
      </c>
      <c r="I70" s="21">
        <f>IFERROR(INDEX('Input - Iceland'!H$2:H$200,MATCH('Calculations - Iceland'!$C70,'Input - Iceland'!$B$2:$B$200,0)),"")</f>
        <v>0</v>
      </c>
      <c r="J70" s="21">
        <f>IFERROR(INDEX('Input - Iceland'!I$2:I$200,MATCH('Calculations - Iceland'!$C70,'Input - Iceland'!$B$2:$B$200,0)),"")</f>
        <v>0</v>
      </c>
      <c r="K70" s="20">
        <f>IFERROR(INDEX('Input - Iceland'!J$2:J$200,MATCH('Calculations - Iceland'!$C70,'Input - Iceland'!$B$2:$B$200,0)),"")</f>
        <v>0</v>
      </c>
      <c r="L70" s="20">
        <f>IFERROR(INDEX('Input - Iceland'!K$2:K$200,MATCH('Calculations - Iceland'!$C70,'Input - Iceland'!$B$2:$B$200,0)),"")</f>
        <v>0</v>
      </c>
      <c r="M70" s="21" t="str">
        <f t="shared" si="64"/>
        <v/>
      </c>
      <c r="N70" s="21" t="str">
        <f t="shared" si="48"/>
        <v/>
      </c>
      <c r="O70" s="21">
        <f t="shared" si="65"/>
        <v>0</v>
      </c>
      <c r="P70" s="9">
        <f t="shared" si="79"/>
        <v>0</v>
      </c>
      <c r="Q70" s="9">
        <f t="shared" si="80"/>
        <v>0</v>
      </c>
      <c r="R70" s="22" t="str">
        <f>IFERROR(INDEX(Iceland!$Q$11:$Q$165,MATCH('Calculations - Iceland'!$C70,Iceland!$M$11:$M$165,0)),"")</f>
        <v/>
      </c>
      <c r="S70" s="22" t="str">
        <f>IFERROR(INDEX(Iceland!$R$11:$R$165,MATCH('Calculations - Iceland'!$C70,Iceland!$M$11:$M$165,0)),"")</f>
        <v/>
      </c>
      <c r="T70" s="16" t="e">
        <f t="shared" si="51"/>
        <v>#VALUE!</v>
      </c>
      <c r="U70" s="16" t="e">
        <f t="shared" si="66"/>
        <v>#VALUE!</v>
      </c>
      <c r="V70" s="16" t="e">
        <f t="shared" si="67"/>
        <v>#VALUE!</v>
      </c>
      <c r="W70" s="10" t="str">
        <f t="shared" si="52"/>
        <v>-</v>
      </c>
      <c r="X70" s="10" t="str">
        <f t="shared" si="53"/>
        <v>-</v>
      </c>
      <c r="Y70" s="13" t="str">
        <f t="shared" si="68"/>
        <v>-</v>
      </c>
      <c r="Z70" s="9" t="str">
        <f t="shared" si="54"/>
        <v>-</v>
      </c>
      <c r="AA70" s="16" t="str">
        <f t="shared" si="69"/>
        <v>-</v>
      </c>
      <c r="AB70" s="16" t="str">
        <f t="shared" si="55"/>
        <v>-</v>
      </c>
      <c r="AC70" s="16" t="str">
        <f t="shared" si="56"/>
        <v>-</v>
      </c>
      <c r="AD70" s="16" t="str">
        <f t="shared" si="70"/>
        <v>-</v>
      </c>
      <c r="AE70" s="16"/>
      <c r="AF70" s="31" t="str">
        <f>IFERROR(INDEX(Iceland!$P$11:$P$165,MATCH('Calculations - Iceland'!C70,Iceland!$M$11:$M$165,0)),"")</f>
        <v/>
      </c>
      <c r="AG70" s="23" t="str">
        <f t="shared" si="71"/>
        <v/>
      </c>
      <c r="AH70" s="23" t="str">
        <f t="shared" si="71"/>
        <v/>
      </c>
      <c r="AI70" s="9" t="str">
        <f t="shared" si="57"/>
        <v/>
      </c>
      <c r="AJ70" s="4" t="str">
        <f t="shared" si="58"/>
        <v/>
      </c>
      <c r="AK70" s="4"/>
      <c r="AL70" s="4"/>
      <c r="AM70" s="4"/>
      <c r="AN70" s="4"/>
      <c r="AO70" s="4"/>
      <c r="AP70" s="20" t="str">
        <f t="shared" si="59"/>
        <v>-</v>
      </c>
      <c r="AQ70" s="13" t="str">
        <f t="shared" si="72"/>
        <v>-</v>
      </c>
      <c r="AR70" s="13" t="str">
        <f t="shared" si="73"/>
        <v>-</v>
      </c>
      <c r="AS70" s="13" t="str">
        <f t="shared" si="60"/>
        <v>-</v>
      </c>
      <c r="AT70" s="16" t="str">
        <f t="shared" si="74"/>
        <v>-</v>
      </c>
      <c r="AU70" s="16" t="str">
        <f t="shared" si="61"/>
        <v>-</v>
      </c>
      <c r="AV70" s="16" t="str">
        <f t="shared" si="62"/>
        <v>-</v>
      </c>
      <c r="AW70" s="16" t="str">
        <f t="shared" si="75"/>
        <v>-</v>
      </c>
      <c r="AX70" s="13" t="str">
        <f t="shared" si="76"/>
        <v>-</v>
      </c>
      <c r="AY70" s="10" t="str">
        <f t="shared" si="77"/>
        <v>-</v>
      </c>
      <c r="AZ70" s="9" t="str">
        <f t="shared" si="78"/>
        <v>-</v>
      </c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2:68" x14ac:dyDescent="0.3">
      <c r="B71" s="108" t="str">
        <f t="shared" si="63"/>
        <v/>
      </c>
      <c r="C71" s="108" t="str">
        <f t="shared" si="47"/>
        <v/>
      </c>
      <c r="D71" s="3"/>
      <c r="E71" s="3"/>
      <c r="F71" s="3"/>
      <c r="G71" s="20">
        <f>IFERROR(INDEX('Input - Iceland'!F$2:F$200,MATCH('Calculations - Iceland'!$C71,'Input - Iceland'!$B$2:$B$200,0)),"")</f>
        <v>0</v>
      </c>
      <c r="H71" s="20">
        <f>IFERROR(INDEX('Input - Iceland'!G$2:G$200,MATCH('Calculations - Iceland'!$C71,'Input - Iceland'!$B$2:$B$200,0)),"")</f>
        <v>0</v>
      </c>
      <c r="I71" s="21">
        <f>IFERROR(INDEX('Input - Iceland'!H$2:H$200,MATCH('Calculations - Iceland'!$C71,'Input - Iceland'!$B$2:$B$200,0)),"")</f>
        <v>0</v>
      </c>
      <c r="J71" s="21">
        <f>IFERROR(INDEX('Input - Iceland'!I$2:I$200,MATCH('Calculations - Iceland'!$C71,'Input - Iceland'!$B$2:$B$200,0)),"")</f>
        <v>0</v>
      </c>
      <c r="K71" s="20">
        <f>IFERROR(INDEX('Input - Iceland'!J$2:J$200,MATCH('Calculations - Iceland'!$C71,'Input - Iceland'!$B$2:$B$200,0)),"")</f>
        <v>0</v>
      </c>
      <c r="L71" s="20">
        <f>IFERROR(INDEX('Input - Iceland'!K$2:K$200,MATCH('Calculations - Iceland'!$C71,'Input - Iceland'!$B$2:$B$200,0)),"")</f>
        <v>0</v>
      </c>
      <c r="M71" s="21" t="str">
        <f t="shared" si="64"/>
        <v/>
      </c>
      <c r="N71" s="21" t="str">
        <f t="shared" si="48"/>
        <v/>
      </c>
      <c r="O71" s="21">
        <f t="shared" si="65"/>
        <v>0</v>
      </c>
      <c r="P71" s="9">
        <f t="shared" si="79"/>
        <v>0</v>
      </c>
      <c r="Q71" s="9">
        <f t="shared" si="80"/>
        <v>0</v>
      </c>
      <c r="R71" s="22" t="str">
        <f>IFERROR(INDEX(Iceland!$Q$11:$Q$165,MATCH('Calculations - Iceland'!$C71,Iceland!$M$11:$M$165,0)),"")</f>
        <v/>
      </c>
      <c r="S71" s="22" t="str">
        <f>IFERROR(INDEX(Iceland!$R$11:$R$165,MATCH('Calculations - Iceland'!$C71,Iceland!$M$11:$M$165,0)),"")</f>
        <v/>
      </c>
      <c r="T71" s="16" t="e">
        <f t="shared" si="51"/>
        <v>#VALUE!</v>
      </c>
      <c r="U71" s="16" t="e">
        <f t="shared" si="66"/>
        <v>#VALUE!</v>
      </c>
      <c r="V71" s="16" t="e">
        <f t="shared" si="67"/>
        <v>#VALUE!</v>
      </c>
      <c r="W71" s="10" t="str">
        <f t="shared" si="52"/>
        <v>-</v>
      </c>
      <c r="X71" s="10" t="str">
        <f t="shared" si="53"/>
        <v>-</v>
      </c>
      <c r="Y71" s="13" t="str">
        <f t="shared" si="68"/>
        <v>-</v>
      </c>
      <c r="Z71" s="9" t="str">
        <f t="shared" si="54"/>
        <v>-</v>
      </c>
      <c r="AA71" s="16" t="str">
        <f t="shared" si="69"/>
        <v>-</v>
      </c>
      <c r="AB71" s="16" t="str">
        <f t="shared" si="55"/>
        <v>-</v>
      </c>
      <c r="AC71" s="16" t="str">
        <f t="shared" si="56"/>
        <v>-</v>
      </c>
      <c r="AD71" s="16" t="str">
        <f t="shared" si="70"/>
        <v>-</v>
      </c>
      <c r="AE71" s="16"/>
      <c r="AF71" s="31" t="str">
        <f>IFERROR(INDEX(Iceland!$P$11:$P$165,MATCH('Calculations - Iceland'!C71,Iceland!$M$11:$M$165,0)),"")</f>
        <v/>
      </c>
      <c r="AG71" s="23" t="str">
        <f t="shared" si="71"/>
        <v/>
      </c>
      <c r="AH71" s="23" t="str">
        <f t="shared" si="71"/>
        <v/>
      </c>
      <c r="AI71" s="9" t="str">
        <f t="shared" si="57"/>
        <v/>
      </c>
      <c r="AJ71" s="4" t="str">
        <f t="shared" si="58"/>
        <v/>
      </c>
      <c r="AK71" s="4"/>
      <c r="AL71" s="4"/>
      <c r="AM71" s="4"/>
      <c r="AN71" s="4"/>
      <c r="AO71" s="4"/>
      <c r="AP71" s="20" t="str">
        <f t="shared" si="59"/>
        <v>-</v>
      </c>
      <c r="AQ71" s="13" t="str">
        <f t="shared" si="72"/>
        <v>-</v>
      </c>
      <c r="AR71" s="13" t="str">
        <f t="shared" si="73"/>
        <v>-</v>
      </c>
      <c r="AS71" s="13" t="str">
        <f t="shared" si="60"/>
        <v>-</v>
      </c>
      <c r="AT71" s="16" t="str">
        <f t="shared" si="74"/>
        <v>-</v>
      </c>
      <c r="AU71" s="16" t="str">
        <f t="shared" si="61"/>
        <v>-</v>
      </c>
      <c r="AV71" s="16" t="str">
        <f t="shared" si="62"/>
        <v>-</v>
      </c>
      <c r="AW71" s="16" t="str">
        <f t="shared" si="75"/>
        <v>-</v>
      </c>
      <c r="AX71" s="13" t="str">
        <f t="shared" si="76"/>
        <v>-</v>
      </c>
      <c r="AY71" s="10" t="str">
        <f t="shared" si="77"/>
        <v>-</v>
      </c>
      <c r="AZ71" s="9" t="str">
        <f t="shared" si="78"/>
        <v>-</v>
      </c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2:68" x14ac:dyDescent="0.3">
      <c r="B72" s="108" t="str">
        <f t="shared" si="63"/>
        <v/>
      </c>
      <c r="C72" s="108" t="str">
        <f t="shared" si="47"/>
        <v/>
      </c>
      <c r="D72" s="3"/>
      <c r="E72" s="3"/>
      <c r="F72" s="3"/>
      <c r="G72" s="20">
        <f>IFERROR(INDEX('Input - Iceland'!F$2:F$200,MATCH('Calculations - Iceland'!$C72,'Input - Iceland'!$B$2:$B$200,0)),"")</f>
        <v>0</v>
      </c>
      <c r="H72" s="20">
        <f>IFERROR(INDEX('Input - Iceland'!G$2:G$200,MATCH('Calculations - Iceland'!$C72,'Input - Iceland'!$B$2:$B$200,0)),"")</f>
        <v>0</v>
      </c>
      <c r="I72" s="21">
        <f>IFERROR(INDEX('Input - Iceland'!H$2:H$200,MATCH('Calculations - Iceland'!$C72,'Input - Iceland'!$B$2:$B$200,0)),"")</f>
        <v>0</v>
      </c>
      <c r="J72" s="21">
        <f>IFERROR(INDEX('Input - Iceland'!I$2:I$200,MATCH('Calculations - Iceland'!$C72,'Input - Iceland'!$B$2:$B$200,0)),"")</f>
        <v>0</v>
      </c>
      <c r="K72" s="20">
        <f>IFERROR(INDEX('Input - Iceland'!J$2:J$200,MATCH('Calculations - Iceland'!$C72,'Input - Iceland'!$B$2:$B$200,0)),"")</f>
        <v>0</v>
      </c>
      <c r="L72" s="20">
        <f>IFERROR(INDEX('Input - Iceland'!K$2:K$200,MATCH('Calculations - Iceland'!$C72,'Input - Iceland'!$B$2:$B$200,0)),"")</f>
        <v>0</v>
      </c>
      <c r="M72" s="21" t="str">
        <f t="shared" si="64"/>
        <v/>
      </c>
      <c r="N72" s="21" t="str">
        <f t="shared" si="48"/>
        <v/>
      </c>
      <c r="O72" s="21">
        <f t="shared" si="65"/>
        <v>0</v>
      </c>
      <c r="P72" s="9">
        <f t="shared" si="79"/>
        <v>0</v>
      </c>
      <c r="Q72" s="9">
        <f t="shared" si="80"/>
        <v>0</v>
      </c>
      <c r="R72" s="22" t="str">
        <f>IFERROR(INDEX(Iceland!$Q$11:$Q$165,MATCH('Calculations - Iceland'!$C72,Iceland!$M$11:$M$165,0)),"")</f>
        <v/>
      </c>
      <c r="S72" s="22" t="str">
        <f>IFERROR(INDEX(Iceland!$R$11:$R$165,MATCH('Calculations - Iceland'!$C72,Iceland!$M$11:$M$165,0)),"")</f>
        <v/>
      </c>
      <c r="T72" s="16" t="e">
        <f t="shared" si="51"/>
        <v>#VALUE!</v>
      </c>
      <c r="U72" s="16" t="e">
        <f t="shared" si="66"/>
        <v>#VALUE!</v>
      </c>
      <c r="V72" s="16" t="e">
        <f t="shared" si="67"/>
        <v>#VALUE!</v>
      </c>
      <c r="W72" s="10" t="str">
        <f t="shared" si="52"/>
        <v>-</v>
      </c>
      <c r="X72" s="10" t="str">
        <f t="shared" si="53"/>
        <v>-</v>
      </c>
      <c r="Y72" s="13" t="str">
        <f t="shared" si="68"/>
        <v>-</v>
      </c>
      <c r="Z72" s="9" t="str">
        <f t="shared" si="54"/>
        <v>-</v>
      </c>
      <c r="AA72" s="16" t="str">
        <f t="shared" si="69"/>
        <v>-</v>
      </c>
      <c r="AB72" s="16" t="str">
        <f t="shared" si="55"/>
        <v>-</v>
      </c>
      <c r="AC72" s="16" t="str">
        <f t="shared" si="56"/>
        <v>-</v>
      </c>
      <c r="AD72" s="16" t="str">
        <f t="shared" si="70"/>
        <v>-</v>
      </c>
      <c r="AE72" s="16"/>
      <c r="AF72" s="31" t="str">
        <f>IFERROR(INDEX(Iceland!$P$11:$P$165,MATCH('Calculations - Iceland'!C72,Iceland!$M$11:$M$165,0)),"")</f>
        <v/>
      </c>
      <c r="AG72" s="23" t="str">
        <f t="shared" si="71"/>
        <v/>
      </c>
      <c r="AH72" s="23" t="str">
        <f t="shared" si="71"/>
        <v/>
      </c>
      <c r="AI72" s="9" t="str">
        <f t="shared" si="57"/>
        <v/>
      </c>
      <c r="AJ72" s="4" t="str">
        <f t="shared" si="58"/>
        <v/>
      </c>
      <c r="AK72" s="4"/>
      <c r="AL72" s="4"/>
      <c r="AM72" s="4"/>
      <c r="AN72" s="4"/>
      <c r="AO72" s="4"/>
      <c r="AP72" s="20" t="str">
        <f t="shared" si="59"/>
        <v>-</v>
      </c>
      <c r="AQ72" s="13" t="str">
        <f t="shared" si="72"/>
        <v>-</v>
      </c>
      <c r="AR72" s="13" t="str">
        <f t="shared" si="73"/>
        <v>-</v>
      </c>
      <c r="AS72" s="13" t="str">
        <f t="shared" si="60"/>
        <v>-</v>
      </c>
      <c r="AT72" s="16" t="str">
        <f t="shared" si="74"/>
        <v>-</v>
      </c>
      <c r="AU72" s="16" t="str">
        <f t="shared" si="61"/>
        <v>-</v>
      </c>
      <c r="AV72" s="16" t="str">
        <f t="shared" si="62"/>
        <v>-</v>
      </c>
      <c r="AW72" s="16" t="str">
        <f t="shared" si="75"/>
        <v>-</v>
      </c>
      <c r="AX72" s="13" t="str">
        <f t="shared" si="76"/>
        <v>-</v>
      </c>
      <c r="AY72" s="10" t="str">
        <f t="shared" si="77"/>
        <v>-</v>
      </c>
      <c r="AZ72" s="9" t="str">
        <f t="shared" si="78"/>
        <v>-</v>
      </c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2:68" x14ac:dyDescent="0.3">
      <c r="B73" s="108" t="str">
        <f t="shared" si="63"/>
        <v/>
      </c>
      <c r="C73" s="108" t="str">
        <f t="shared" si="47"/>
        <v/>
      </c>
      <c r="D73" s="3"/>
      <c r="E73" s="3"/>
      <c r="F73" s="3"/>
      <c r="G73" s="20">
        <f>IFERROR(INDEX('Input - Iceland'!F$2:F$200,MATCH('Calculations - Iceland'!$C73,'Input - Iceland'!$B$2:$B$200,0)),"")</f>
        <v>0</v>
      </c>
      <c r="H73" s="20">
        <f>IFERROR(INDEX('Input - Iceland'!G$2:G$200,MATCH('Calculations - Iceland'!$C73,'Input - Iceland'!$B$2:$B$200,0)),"")</f>
        <v>0</v>
      </c>
      <c r="I73" s="21">
        <f>IFERROR(INDEX('Input - Iceland'!H$2:H$200,MATCH('Calculations - Iceland'!$C73,'Input - Iceland'!$B$2:$B$200,0)),"")</f>
        <v>0</v>
      </c>
      <c r="J73" s="21">
        <f>IFERROR(INDEX('Input - Iceland'!I$2:I$200,MATCH('Calculations - Iceland'!$C73,'Input - Iceland'!$B$2:$B$200,0)),"")</f>
        <v>0</v>
      </c>
      <c r="K73" s="20">
        <f>IFERROR(INDEX('Input - Iceland'!J$2:J$200,MATCH('Calculations - Iceland'!$C73,'Input - Iceland'!$B$2:$B$200,0)),"")</f>
        <v>0</v>
      </c>
      <c r="L73" s="20">
        <f>IFERROR(INDEX('Input - Iceland'!K$2:K$200,MATCH('Calculations - Iceland'!$C73,'Input - Iceland'!$B$2:$B$200,0)),"")</f>
        <v>0</v>
      </c>
      <c r="M73" s="21" t="str">
        <f t="shared" si="64"/>
        <v/>
      </c>
      <c r="N73" s="21" t="str">
        <f t="shared" si="48"/>
        <v/>
      </c>
      <c r="O73" s="21">
        <f t="shared" si="65"/>
        <v>0</v>
      </c>
      <c r="P73" s="9">
        <f t="shared" si="79"/>
        <v>0</v>
      </c>
      <c r="Q73" s="9">
        <f t="shared" si="80"/>
        <v>0</v>
      </c>
      <c r="R73" s="22" t="str">
        <f>IFERROR(INDEX(Iceland!$Q$11:$Q$165,MATCH('Calculations - Iceland'!$C73,Iceland!$M$11:$M$165,0)),"")</f>
        <v/>
      </c>
      <c r="S73" s="22" t="str">
        <f>IFERROR(INDEX(Iceland!$R$11:$R$165,MATCH('Calculations - Iceland'!$C73,Iceland!$M$11:$M$165,0)),"")</f>
        <v/>
      </c>
      <c r="T73" s="16" t="e">
        <f t="shared" si="51"/>
        <v>#VALUE!</v>
      </c>
      <c r="U73" s="16" t="e">
        <f t="shared" si="66"/>
        <v>#VALUE!</v>
      </c>
      <c r="V73" s="16" t="e">
        <f t="shared" si="67"/>
        <v>#VALUE!</v>
      </c>
      <c r="W73" s="10" t="str">
        <f t="shared" si="52"/>
        <v>-</v>
      </c>
      <c r="X73" s="10" t="str">
        <f t="shared" si="53"/>
        <v>-</v>
      </c>
      <c r="Y73" s="13" t="str">
        <f t="shared" si="68"/>
        <v>-</v>
      </c>
      <c r="Z73" s="9" t="str">
        <f t="shared" si="54"/>
        <v>-</v>
      </c>
      <c r="AA73" s="16" t="str">
        <f t="shared" si="69"/>
        <v>-</v>
      </c>
      <c r="AB73" s="16" t="str">
        <f t="shared" si="55"/>
        <v>-</v>
      </c>
      <c r="AC73" s="16" t="str">
        <f t="shared" si="56"/>
        <v>-</v>
      </c>
      <c r="AD73" s="16" t="str">
        <f t="shared" si="70"/>
        <v>-</v>
      </c>
      <c r="AE73" s="16"/>
      <c r="AF73" s="31" t="str">
        <f>IFERROR(INDEX(Iceland!$P$11:$P$165,MATCH('Calculations - Iceland'!C73,Iceland!$M$11:$M$165,0)),"")</f>
        <v/>
      </c>
      <c r="AG73" s="23" t="str">
        <f t="shared" si="71"/>
        <v/>
      </c>
      <c r="AH73" s="23" t="str">
        <f t="shared" si="71"/>
        <v/>
      </c>
      <c r="AI73" s="9" t="str">
        <f t="shared" si="57"/>
        <v/>
      </c>
      <c r="AJ73" s="4" t="str">
        <f t="shared" si="58"/>
        <v/>
      </c>
      <c r="AK73" s="4"/>
      <c r="AL73" s="4"/>
      <c r="AM73" s="4"/>
      <c r="AN73" s="4"/>
      <c r="AO73" s="4"/>
      <c r="AP73" s="20" t="str">
        <f t="shared" si="59"/>
        <v>-</v>
      </c>
      <c r="AQ73" s="13" t="str">
        <f t="shared" si="72"/>
        <v>-</v>
      </c>
      <c r="AR73" s="13" t="str">
        <f t="shared" si="73"/>
        <v>-</v>
      </c>
      <c r="AS73" s="13" t="str">
        <f t="shared" si="60"/>
        <v>-</v>
      </c>
      <c r="AT73" s="16" t="str">
        <f t="shared" si="74"/>
        <v>-</v>
      </c>
      <c r="AU73" s="16" t="str">
        <f t="shared" si="61"/>
        <v>-</v>
      </c>
      <c r="AV73" s="16" t="str">
        <f t="shared" si="62"/>
        <v>-</v>
      </c>
      <c r="AW73" s="16" t="str">
        <f t="shared" si="75"/>
        <v>-</v>
      </c>
      <c r="AX73" s="13" t="str">
        <f t="shared" si="76"/>
        <v>-</v>
      </c>
      <c r="AY73" s="10" t="str">
        <f t="shared" si="77"/>
        <v>-</v>
      </c>
      <c r="AZ73" s="9" t="str">
        <f t="shared" si="78"/>
        <v>-</v>
      </c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2:68" x14ac:dyDescent="0.3">
      <c r="B74" s="108" t="str">
        <f t="shared" si="63"/>
        <v/>
      </c>
      <c r="C74" s="108" t="str">
        <f t="shared" si="47"/>
        <v/>
      </c>
      <c r="D74" s="3"/>
      <c r="E74" s="3"/>
      <c r="F74" s="3"/>
      <c r="G74" s="20">
        <f>IFERROR(INDEX('Input - Iceland'!F$2:F$200,MATCH('Calculations - Iceland'!$C74,'Input - Iceland'!$B$2:$B$200,0)),"")</f>
        <v>0</v>
      </c>
      <c r="H74" s="20">
        <f>IFERROR(INDEX('Input - Iceland'!G$2:G$200,MATCH('Calculations - Iceland'!$C74,'Input - Iceland'!$B$2:$B$200,0)),"")</f>
        <v>0</v>
      </c>
      <c r="I74" s="21">
        <f>IFERROR(INDEX('Input - Iceland'!H$2:H$200,MATCH('Calculations - Iceland'!$C74,'Input - Iceland'!$B$2:$B$200,0)),"")</f>
        <v>0</v>
      </c>
      <c r="J74" s="21">
        <f>IFERROR(INDEX('Input - Iceland'!I$2:I$200,MATCH('Calculations - Iceland'!$C74,'Input - Iceland'!$B$2:$B$200,0)),"")</f>
        <v>0</v>
      </c>
      <c r="K74" s="20">
        <f>IFERROR(INDEX('Input - Iceland'!J$2:J$200,MATCH('Calculations - Iceland'!$C74,'Input - Iceland'!$B$2:$B$200,0)),"")</f>
        <v>0</v>
      </c>
      <c r="L74" s="20">
        <f>IFERROR(INDEX('Input - Iceland'!K$2:K$200,MATCH('Calculations - Iceland'!$C74,'Input - Iceland'!$B$2:$B$200,0)),"")</f>
        <v>0</v>
      </c>
      <c r="M74" s="21" t="str">
        <f t="shared" si="64"/>
        <v/>
      </c>
      <c r="N74" s="21" t="str">
        <f t="shared" si="48"/>
        <v/>
      </c>
      <c r="O74" s="21">
        <f t="shared" si="65"/>
        <v>0</v>
      </c>
      <c r="P74" s="9">
        <f t="shared" si="79"/>
        <v>0</v>
      </c>
      <c r="Q74" s="9">
        <f t="shared" si="80"/>
        <v>0</v>
      </c>
      <c r="R74" s="22" t="str">
        <f>IFERROR(INDEX(Iceland!$Q$11:$Q$165,MATCH('Calculations - Iceland'!$C74,Iceland!$M$11:$M$165,0)),"")</f>
        <v/>
      </c>
      <c r="S74" s="22" t="str">
        <f>IFERROR(INDEX(Iceland!$R$11:$R$165,MATCH('Calculations - Iceland'!$C74,Iceland!$M$11:$M$165,0)),"")</f>
        <v/>
      </c>
      <c r="T74" s="16" t="e">
        <f t="shared" si="51"/>
        <v>#VALUE!</v>
      </c>
      <c r="U74" s="16" t="e">
        <f t="shared" si="66"/>
        <v>#VALUE!</v>
      </c>
      <c r="V74" s="16" t="e">
        <f t="shared" si="67"/>
        <v>#VALUE!</v>
      </c>
      <c r="W74" s="10" t="str">
        <f t="shared" si="52"/>
        <v>-</v>
      </c>
      <c r="X74" s="10" t="str">
        <f t="shared" si="53"/>
        <v>-</v>
      </c>
      <c r="Y74" s="13" t="str">
        <f t="shared" si="68"/>
        <v>-</v>
      </c>
      <c r="Z74" s="9" t="str">
        <f t="shared" si="54"/>
        <v>-</v>
      </c>
      <c r="AA74" s="16" t="str">
        <f t="shared" si="69"/>
        <v>-</v>
      </c>
      <c r="AB74" s="16" t="str">
        <f t="shared" si="55"/>
        <v>-</v>
      </c>
      <c r="AC74" s="16" t="str">
        <f t="shared" si="56"/>
        <v>-</v>
      </c>
      <c r="AD74" s="16" t="str">
        <f t="shared" si="70"/>
        <v>-</v>
      </c>
      <c r="AE74" s="16"/>
      <c r="AF74" s="31" t="str">
        <f>IFERROR(INDEX(Iceland!$P$11:$P$165,MATCH('Calculations - Iceland'!C74,Iceland!$M$11:$M$165,0)),"")</f>
        <v/>
      </c>
      <c r="AG74" s="23" t="str">
        <f t="shared" si="71"/>
        <v/>
      </c>
      <c r="AH74" s="23" t="str">
        <f t="shared" si="71"/>
        <v/>
      </c>
      <c r="AI74" s="9" t="str">
        <f t="shared" si="57"/>
        <v/>
      </c>
      <c r="AJ74" s="4" t="str">
        <f t="shared" si="58"/>
        <v/>
      </c>
      <c r="AK74" s="4"/>
      <c r="AL74" s="4"/>
      <c r="AM74" s="4"/>
      <c r="AN74" s="4"/>
      <c r="AO74" s="4"/>
      <c r="AP74" s="20" t="str">
        <f t="shared" si="59"/>
        <v>-</v>
      </c>
      <c r="AQ74" s="13" t="str">
        <f t="shared" si="72"/>
        <v>-</v>
      </c>
      <c r="AR74" s="13" t="str">
        <f t="shared" si="73"/>
        <v>-</v>
      </c>
      <c r="AS74" s="13" t="str">
        <f t="shared" si="60"/>
        <v>-</v>
      </c>
      <c r="AT74" s="16" t="str">
        <f t="shared" si="74"/>
        <v>-</v>
      </c>
      <c r="AU74" s="16" t="str">
        <f t="shared" si="61"/>
        <v>-</v>
      </c>
      <c r="AV74" s="16" t="str">
        <f t="shared" si="62"/>
        <v>-</v>
      </c>
      <c r="AW74" s="16" t="str">
        <f t="shared" si="75"/>
        <v>-</v>
      </c>
      <c r="AX74" s="13" t="str">
        <f t="shared" si="76"/>
        <v>-</v>
      </c>
      <c r="AY74" s="10" t="str">
        <f t="shared" si="77"/>
        <v>-</v>
      </c>
      <c r="AZ74" s="9" t="str">
        <f t="shared" si="78"/>
        <v>-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2:68" x14ac:dyDescent="0.3">
      <c r="B75" s="108" t="str">
        <f t="shared" si="63"/>
        <v/>
      </c>
      <c r="C75" s="108" t="str">
        <f t="shared" si="47"/>
        <v/>
      </c>
      <c r="D75" s="3"/>
      <c r="E75" s="3"/>
      <c r="F75" s="3"/>
      <c r="G75" s="20">
        <f>IFERROR(INDEX('Input - Iceland'!F$2:F$200,MATCH('Calculations - Iceland'!$C75,'Input - Iceland'!$B$2:$B$200,0)),"")</f>
        <v>0</v>
      </c>
      <c r="H75" s="20">
        <f>IFERROR(INDEX('Input - Iceland'!G$2:G$200,MATCH('Calculations - Iceland'!$C75,'Input - Iceland'!$B$2:$B$200,0)),"")</f>
        <v>0</v>
      </c>
      <c r="I75" s="21">
        <f>IFERROR(INDEX('Input - Iceland'!H$2:H$200,MATCH('Calculations - Iceland'!$C75,'Input - Iceland'!$B$2:$B$200,0)),"")</f>
        <v>0</v>
      </c>
      <c r="J75" s="21">
        <f>IFERROR(INDEX('Input - Iceland'!I$2:I$200,MATCH('Calculations - Iceland'!$C75,'Input - Iceland'!$B$2:$B$200,0)),"")</f>
        <v>0</v>
      </c>
      <c r="K75" s="20">
        <f>IFERROR(INDEX('Input - Iceland'!J$2:J$200,MATCH('Calculations - Iceland'!$C75,'Input - Iceland'!$B$2:$B$200,0)),"")</f>
        <v>0</v>
      </c>
      <c r="L75" s="20">
        <f>IFERROR(INDEX('Input - Iceland'!K$2:K$200,MATCH('Calculations - Iceland'!$C75,'Input - Iceland'!$B$2:$B$200,0)),"")</f>
        <v>0</v>
      </c>
      <c r="M75" s="21" t="str">
        <f t="shared" si="64"/>
        <v/>
      </c>
      <c r="N75" s="21" t="str">
        <f t="shared" si="48"/>
        <v/>
      </c>
      <c r="O75" s="21">
        <f t="shared" si="65"/>
        <v>0</v>
      </c>
      <c r="P75" s="9">
        <f t="shared" si="79"/>
        <v>0</v>
      </c>
      <c r="Q75" s="9">
        <f t="shared" si="80"/>
        <v>0</v>
      </c>
      <c r="R75" s="22" t="str">
        <f>IFERROR(INDEX(Iceland!$Q$11:$Q$165,MATCH('Calculations - Iceland'!$C75,Iceland!$M$11:$M$165,0)),"")</f>
        <v/>
      </c>
      <c r="S75" s="22" t="str">
        <f>IFERROR(INDEX(Iceland!$R$11:$R$165,MATCH('Calculations - Iceland'!$C75,Iceland!$M$11:$M$165,0)),"")</f>
        <v/>
      </c>
      <c r="T75" s="16" t="e">
        <f t="shared" si="51"/>
        <v>#VALUE!</v>
      </c>
      <c r="U75" s="16" t="e">
        <f t="shared" si="66"/>
        <v>#VALUE!</v>
      </c>
      <c r="V75" s="16" t="e">
        <f t="shared" si="67"/>
        <v>#VALUE!</v>
      </c>
      <c r="W75" s="10" t="str">
        <f t="shared" si="52"/>
        <v>-</v>
      </c>
      <c r="X75" s="10" t="str">
        <f t="shared" si="53"/>
        <v>-</v>
      </c>
      <c r="Y75" s="13" t="str">
        <f t="shared" si="68"/>
        <v>-</v>
      </c>
      <c r="Z75" s="9" t="str">
        <f t="shared" si="54"/>
        <v>-</v>
      </c>
      <c r="AA75" s="16" t="str">
        <f t="shared" si="69"/>
        <v>-</v>
      </c>
      <c r="AB75" s="16" t="str">
        <f t="shared" si="55"/>
        <v>-</v>
      </c>
      <c r="AC75" s="16" t="str">
        <f t="shared" si="56"/>
        <v>-</v>
      </c>
      <c r="AD75" s="16" t="str">
        <f t="shared" si="70"/>
        <v>-</v>
      </c>
      <c r="AE75" s="16"/>
      <c r="AF75" s="31" t="str">
        <f>IFERROR(INDEX(Iceland!$P$11:$P$165,MATCH('Calculations - Iceland'!C75,Iceland!$M$11:$M$165,0)),"")</f>
        <v/>
      </c>
      <c r="AG75" s="23" t="str">
        <f t="shared" si="71"/>
        <v/>
      </c>
      <c r="AH75" s="23" t="str">
        <f t="shared" si="71"/>
        <v/>
      </c>
      <c r="AI75" s="9" t="str">
        <f t="shared" si="57"/>
        <v/>
      </c>
      <c r="AJ75" s="4" t="str">
        <f t="shared" si="58"/>
        <v/>
      </c>
      <c r="AK75" s="4"/>
      <c r="AL75" s="4"/>
      <c r="AM75" s="4"/>
      <c r="AN75" s="4"/>
      <c r="AO75" s="4"/>
      <c r="AP75" s="20" t="str">
        <f t="shared" si="59"/>
        <v>-</v>
      </c>
      <c r="AQ75" s="13" t="str">
        <f t="shared" si="72"/>
        <v>-</v>
      </c>
      <c r="AR75" s="13" t="str">
        <f t="shared" si="73"/>
        <v>-</v>
      </c>
      <c r="AS75" s="13" t="str">
        <f t="shared" si="60"/>
        <v>-</v>
      </c>
      <c r="AT75" s="16" t="str">
        <f t="shared" si="74"/>
        <v>-</v>
      </c>
      <c r="AU75" s="16" t="str">
        <f t="shared" si="61"/>
        <v>-</v>
      </c>
      <c r="AV75" s="16" t="str">
        <f t="shared" si="62"/>
        <v>-</v>
      </c>
      <c r="AW75" s="16" t="str">
        <f t="shared" si="75"/>
        <v>-</v>
      </c>
      <c r="AX75" s="13" t="str">
        <f t="shared" si="76"/>
        <v>-</v>
      </c>
      <c r="AY75" s="10" t="str">
        <f t="shared" si="77"/>
        <v>-</v>
      </c>
      <c r="AZ75" s="9" t="str">
        <f t="shared" si="78"/>
        <v>-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2:68" x14ac:dyDescent="0.3">
      <c r="B76" s="108" t="str">
        <f t="shared" si="63"/>
        <v/>
      </c>
      <c r="C76" s="108" t="str">
        <f t="shared" si="47"/>
        <v/>
      </c>
      <c r="D76" s="3"/>
      <c r="E76" s="3"/>
      <c r="F76" s="3"/>
      <c r="G76" s="20">
        <f>IFERROR(INDEX('Input - Iceland'!F$2:F$200,MATCH('Calculations - Iceland'!$C76,'Input - Iceland'!$B$2:$B$200,0)),"")</f>
        <v>0</v>
      </c>
      <c r="H76" s="20">
        <f>IFERROR(INDEX('Input - Iceland'!G$2:G$200,MATCH('Calculations - Iceland'!$C76,'Input - Iceland'!$B$2:$B$200,0)),"")</f>
        <v>0</v>
      </c>
      <c r="I76" s="21">
        <f>IFERROR(INDEX('Input - Iceland'!H$2:H$200,MATCH('Calculations - Iceland'!$C76,'Input - Iceland'!$B$2:$B$200,0)),"")</f>
        <v>0</v>
      </c>
      <c r="J76" s="21">
        <f>IFERROR(INDEX('Input - Iceland'!I$2:I$200,MATCH('Calculations - Iceland'!$C76,'Input - Iceland'!$B$2:$B$200,0)),"")</f>
        <v>0</v>
      </c>
      <c r="K76" s="20">
        <f>IFERROR(INDEX('Input - Iceland'!J$2:J$200,MATCH('Calculations - Iceland'!$C76,'Input - Iceland'!$B$2:$B$200,0)),"")</f>
        <v>0</v>
      </c>
      <c r="L76" s="20">
        <f>IFERROR(INDEX('Input - Iceland'!K$2:K$200,MATCH('Calculations - Iceland'!$C76,'Input - Iceland'!$B$2:$B$200,0)),"")</f>
        <v>0</v>
      </c>
      <c r="M76" s="21" t="str">
        <f t="shared" si="64"/>
        <v/>
      </c>
      <c r="N76" s="21" t="str">
        <f t="shared" si="48"/>
        <v/>
      </c>
      <c r="O76" s="21">
        <f t="shared" si="65"/>
        <v>0</v>
      </c>
      <c r="P76" s="9">
        <f t="shared" si="79"/>
        <v>0</v>
      </c>
      <c r="Q76" s="9">
        <f t="shared" si="80"/>
        <v>0</v>
      </c>
      <c r="R76" s="22" t="str">
        <f>IFERROR(INDEX(Iceland!$Q$11:$Q$165,MATCH('Calculations - Iceland'!$C76,Iceland!$M$11:$M$165,0)),"")</f>
        <v/>
      </c>
      <c r="S76" s="22" t="str">
        <f>IFERROR(INDEX(Iceland!$R$11:$R$165,MATCH('Calculations - Iceland'!$C76,Iceland!$M$11:$M$165,0)),"")</f>
        <v/>
      </c>
      <c r="T76" s="16" t="e">
        <f t="shared" si="51"/>
        <v>#VALUE!</v>
      </c>
      <c r="U76" s="16" t="e">
        <f t="shared" si="66"/>
        <v>#VALUE!</v>
      </c>
      <c r="V76" s="16" t="e">
        <f t="shared" si="67"/>
        <v>#VALUE!</v>
      </c>
      <c r="W76" s="10" t="str">
        <f t="shared" si="52"/>
        <v>-</v>
      </c>
      <c r="X76" s="10" t="str">
        <f t="shared" si="53"/>
        <v>-</v>
      </c>
      <c r="Y76" s="13" t="str">
        <f t="shared" si="68"/>
        <v>-</v>
      </c>
      <c r="Z76" s="9" t="str">
        <f t="shared" si="54"/>
        <v>-</v>
      </c>
      <c r="AA76" s="16" t="str">
        <f t="shared" si="69"/>
        <v>-</v>
      </c>
      <c r="AB76" s="16" t="str">
        <f t="shared" si="55"/>
        <v>-</v>
      </c>
      <c r="AC76" s="16" t="str">
        <f t="shared" si="56"/>
        <v>-</v>
      </c>
      <c r="AD76" s="16" t="str">
        <f t="shared" si="70"/>
        <v>-</v>
      </c>
      <c r="AE76" s="16"/>
      <c r="AF76" s="31" t="str">
        <f>IFERROR(INDEX(Iceland!$P$11:$P$165,MATCH('Calculations - Iceland'!C76,Iceland!$M$11:$M$165,0)),"")</f>
        <v/>
      </c>
      <c r="AG76" s="23" t="str">
        <f t="shared" si="71"/>
        <v/>
      </c>
      <c r="AH76" s="23" t="str">
        <f t="shared" si="71"/>
        <v/>
      </c>
      <c r="AI76" s="9" t="str">
        <f t="shared" si="57"/>
        <v/>
      </c>
      <c r="AJ76" s="4" t="str">
        <f t="shared" si="58"/>
        <v/>
      </c>
      <c r="AK76" s="4"/>
      <c r="AL76" s="4"/>
      <c r="AM76" s="4"/>
      <c r="AN76" s="4"/>
      <c r="AO76" s="4"/>
      <c r="AP76" s="20" t="str">
        <f t="shared" si="59"/>
        <v>-</v>
      </c>
      <c r="AQ76" s="13" t="str">
        <f t="shared" si="72"/>
        <v>-</v>
      </c>
      <c r="AR76" s="13" t="str">
        <f t="shared" si="73"/>
        <v>-</v>
      </c>
      <c r="AS76" s="13" t="str">
        <f t="shared" si="60"/>
        <v>-</v>
      </c>
      <c r="AT76" s="16" t="str">
        <f t="shared" si="74"/>
        <v>-</v>
      </c>
      <c r="AU76" s="16" t="str">
        <f t="shared" si="61"/>
        <v>-</v>
      </c>
      <c r="AV76" s="16" t="str">
        <f t="shared" si="62"/>
        <v>-</v>
      </c>
      <c r="AW76" s="16" t="str">
        <f t="shared" si="75"/>
        <v>-</v>
      </c>
      <c r="AX76" s="13" t="str">
        <f t="shared" si="76"/>
        <v>-</v>
      </c>
      <c r="AY76" s="10" t="str">
        <f t="shared" si="77"/>
        <v>-</v>
      </c>
      <c r="AZ76" s="9" t="str">
        <f t="shared" si="78"/>
        <v>-</v>
      </c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2:68" x14ac:dyDescent="0.3">
      <c r="B77" s="108" t="str">
        <f t="shared" si="63"/>
        <v/>
      </c>
      <c r="C77" s="108" t="str">
        <f t="shared" si="47"/>
        <v/>
      </c>
      <c r="D77" s="3"/>
      <c r="E77" s="3"/>
      <c r="F77" s="3"/>
      <c r="G77" s="20">
        <f>IFERROR(INDEX('Input - Iceland'!F$2:F$200,MATCH('Calculations - Iceland'!$C77,'Input - Iceland'!$B$2:$B$200,0)),"")</f>
        <v>0</v>
      </c>
      <c r="H77" s="20">
        <f>IFERROR(INDEX('Input - Iceland'!G$2:G$200,MATCH('Calculations - Iceland'!$C77,'Input - Iceland'!$B$2:$B$200,0)),"")</f>
        <v>0</v>
      </c>
      <c r="I77" s="21">
        <f>IFERROR(INDEX('Input - Iceland'!H$2:H$200,MATCH('Calculations - Iceland'!$C77,'Input - Iceland'!$B$2:$B$200,0)),"")</f>
        <v>0</v>
      </c>
      <c r="J77" s="21">
        <f>IFERROR(INDEX('Input - Iceland'!I$2:I$200,MATCH('Calculations - Iceland'!$C77,'Input - Iceland'!$B$2:$B$200,0)),"")</f>
        <v>0</v>
      </c>
      <c r="K77" s="20">
        <f>IFERROR(INDEX('Input - Iceland'!J$2:J$200,MATCH('Calculations - Iceland'!$C77,'Input - Iceland'!$B$2:$B$200,0)),"")</f>
        <v>0</v>
      </c>
      <c r="L77" s="20">
        <f>IFERROR(INDEX('Input - Iceland'!K$2:K$200,MATCH('Calculations - Iceland'!$C77,'Input - Iceland'!$B$2:$B$200,0)),"")</f>
        <v>0</v>
      </c>
      <c r="M77" s="21" t="str">
        <f t="shared" si="64"/>
        <v/>
      </c>
      <c r="N77" s="21" t="str">
        <f t="shared" si="48"/>
        <v/>
      </c>
      <c r="O77" s="21">
        <f t="shared" si="65"/>
        <v>0</v>
      </c>
      <c r="P77" s="9">
        <f t="shared" si="79"/>
        <v>0</v>
      </c>
      <c r="Q77" s="9">
        <f t="shared" si="80"/>
        <v>0</v>
      </c>
      <c r="R77" s="22" t="str">
        <f>IFERROR(INDEX(Iceland!$Q$11:$Q$165,MATCH('Calculations - Iceland'!$C77,Iceland!$M$11:$M$165,0)),"")</f>
        <v/>
      </c>
      <c r="S77" s="22" t="str">
        <f>IFERROR(INDEX(Iceland!$R$11:$R$165,MATCH('Calculations - Iceland'!$C77,Iceland!$M$11:$M$165,0)),"")</f>
        <v/>
      </c>
      <c r="T77" s="16" t="e">
        <f t="shared" si="51"/>
        <v>#VALUE!</v>
      </c>
      <c r="U77" s="16" t="e">
        <f t="shared" si="66"/>
        <v>#VALUE!</v>
      </c>
      <c r="V77" s="16" t="e">
        <f t="shared" si="67"/>
        <v>#VALUE!</v>
      </c>
      <c r="W77" s="10" t="str">
        <f t="shared" si="52"/>
        <v>-</v>
      </c>
      <c r="X77" s="10" t="str">
        <f t="shared" si="53"/>
        <v>-</v>
      </c>
      <c r="Y77" s="13" t="str">
        <f t="shared" si="68"/>
        <v>-</v>
      </c>
      <c r="Z77" s="9" t="str">
        <f t="shared" si="54"/>
        <v>-</v>
      </c>
      <c r="AA77" s="16" t="str">
        <f t="shared" si="69"/>
        <v>-</v>
      </c>
      <c r="AB77" s="16" t="str">
        <f t="shared" si="55"/>
        <v>-</v>
      </c>
      <c r="AC77" s="16" t="str">
        <f t="shared" si="56"/>
        <v>-</v>
      </c>
      <c r="AD77" s="16" t="str">
        <f t="shared" si="70"/>
        <v>-</v>
      </c>
      <c r="AE77" s="16"/>
      <c r="AF77" s="31" t="str">
        <f>IFERROR(INDEX(Iceland!$P$11:$P$165,MATCH('Calculations - Iceland'!C77,Iceland!$M$11:$M$165,0)),"")</f>
        <v/>
      </c>
      <c r="AG77" s="23" t="str">
        <f t="shared" si="71"/>
        <v/>
      </c>
      <c r="AH77" s="23" t="str">
        <f t="shared" si="71"/>
        <v/>
      </c>
      <c r="AI77" s="9" t="str">
        <f t="shared" si="57"/>
        <v/>
      </c>
      <c r="AJ77" s="4" t="str">
        <f t="shared" si="58"/>
        <v/>
      </c>
      <c r="AK77" s="4"/>
      <c r="AL77" s="4"/>
      <c r="AM77" s="4"/>
      <c r="AN77" s="4"/>
      <c r="AO77" s="4"/>
      <c r="AP77" s="20" t="str">
        <f t="shared" si="59"/>
        <v>-</v>
      </c>
      <c r="AQ77" s="13" t="str">
        <f t="shared" si="72"/>
        <v>-</v>
      </c>
      <c r="AR77" s="13" t="str">
        <f t="shared" si="73"/>
        <v>-</v>
      </c>
      <c r="AS77" s="13" t="str">
        <f t="shared" si="60"/>
        <v>-</v>
      </c>
      <c r="AT77" s="16" t="str">
        <f t="shared" si="74"/>
        <v>-</v>
      </c>
      <c r="AU77" s="16" t="str">
        <f t="shared" si="61"/>
        <v>-</v>
      </c>
      <c r="AV77" s="16" t="str">
        <f t="shared" si="62"/>
        <v>-</v>
      </c>
      <c r="AW77" s="16" t="str">
        <f t="shared" si="75"/>
        <v>-</v>
      </c>
      <c r="AX77" s="13" t="str">
        <f t="shared" si="76"/>
        <v>-</v>
      </c>
      <c r="AY77" s="10" t="str">
        <f t="shared" si="77"/>
        <v>-</v>
      </c>
      <c r="AZ77" s="9" t="str">
        <f t="shared" si="78"/>
        <v>-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2:68" x14ac:dyDescent="0.3">
      <c r="B78" s="108" t="str">
        <f t="shared" si="63"/>
        <v/>
      </c>
      <c r="C78" s="108" t="str">
        <f t="shared" si="47"/>
        <v/>
      </c>
      <c r="D78" s="3"/>
      <c r="E78" s="3"/>
      <c r="F78" s="3"/>
      <c r="G78" s="20">
        <f>IFERROR(INDEX('Input - Iceland'!F$2:F$200,MATCH('Calculations - Iceland'!$C78,'Input - Iceland'!$B$2:$B$200,0)),"")</f>
        <v>0</v>
      </c>
      <c r="H78" s="20">
        <f>IFERROR(INDEX('Input - Iceland'!G$2:G$200,MATCH('Calculations - Iceland'!$C78,'Input - Iceland'!$B$2:$B$200,0)),"")</f>
        <v>0</v>
      </c>
      <c r="I78" s="21">
        <f>IFERROR(INDEX('Input - Iceland'!H$2:H$200,MATCH('Calculations - Iceland'!$C78,'Input - Iceland'!$B$2:$B$200,0)),"")</f>
        <v>0</v>
      </c>
      <c r="J78" s="21">
        <f>IFERROR(INDEX('Input - Iceland'!I$2:I$200,MATCH('Calculations - Iceland'!$C78,'Input - Iceland'!$B$2:$B$200,0)),"")</f>
        <v>0</v>
      </c>
      <c r="K78" s="20">
        <f>IFERROR(INDEX('Input - Iceland'!J$2:J$200,MATCH('Calculations - Iceland'!$C78,'Input - Iceland'!$B$2:$B$200,0)),"")</f>
        <v>0</v>
      </c>
      <c r="L78" s="20">
        <f>IFERROR(INDEX('Input - Iceland'!K$2:K$200,MATCH('Calculations - Iceland'!$C78,'Input - Iceland'!$B$2:$B$200,0)),"")</f>
        <v>0</v>
      </c>
      <c r="M78" s="21" t="str">
        <f t="shared" si="64"/>
        <v/>
      </c>
      <c r="N78" s="21" t="str">
        <f t="shared" si="48"/>
        <v/>
      </c>
      <c r="O78" s="21">
        <f t="shared" si="65"/>
        <v>0</v>
      </c>
      <c r="P78" s="9">
        <f t="shared" si="79"/>
        <v>0</v>
      </c>
      <c r="Q78" s="9">
        <f t="shared" si="80"/>
        <v>0</v>
      </c>
      <c r="R78" s="22" t="str">
        <f>IFERROR(INDEX(Iceland!$Q$11:$Q$165,MATCH('Calculations - Iceland'!$C78,Iceland!$M$11:$M$165,0)),"")</f>
        <v/>
      </c>
      <c r="S78" s="22" t="str">
        <f>IFERROR(INDEX(Iceland!$R$11:$R$165,MATCH('Calculations - Iceland'!$C78,Iceland!$M$11:$M$165,0)),"")</f>
        <v/>
      </c>
      <c r="T78" s="16" t="e">
        <f t="shared" si="51"/>
        <v>#VALUE!</v>
      </c>
      <c r="U78" s="16" t="e">
        <f t="shared" si="66"/>
        <v>#VALUE!</v>
      </c>
      <c r="V78" s="16" t="e">
        <f t="shared" si="67"/>
        <v>#VALUE!</v>
      </c>
      <c r="W78" s="10" t="str">
        <f t="shared" si="52"/>
        <v>-</v>
      </c>
      <c r="X78" s="10" t="str">
        <f t="shared" si="53"/>
        <v>-</v>
      </c>
      <c r="Y78" s="13" t="str">
        <f t="shared" si="68"/>
        <v>-</v>
      </c>
      <c r="Z78" s="9" t="str">
        <f t="shared" si="54"/>
        <v>-</v>
      </c>
      <c r="AA78" s="16" t="str">
        <f t="shared" si="69"/>
        <v>-</v>
      </c>
      <c r="AB78" s="16" t="str">
        <f t="shared" si="55"/>
        <v>-</v>
      </c>
      <c r="AC78" s="16" t="str">
        <f t="shared" si="56"/>
        <v>-</v>
      </c>
      <c r="AD78" s="16" t="str">
        <f t="shared" si="70"/>
        <v>-</v>
      </c>
      <c r="AE78" s="16"/>
      <c r="AF78" s="31" t="str">
        <f>IFERROR(INDEX(Iceland!$P$11:$P$165,MATCH('Calculations - Iceland'!C78,Iceland!$M$11:$M$165,0)),"")</f>
        <v/>
      </c>
      <c r="AG78" s="23" t="str">
        <f t="shared" si="71"/>
        <v/>
      </c>
      <c r="AH78" s="23" t="str">
        <f t="shared" si="71"/>
        <v/>
      </c>
      <c r="AI78" s="9" t="str">
        <f t="shared" si="57"/>
        <v/>
      </c>
      <c r="AJ78" s="4" t="str">
        <f t="shared" si="58"/>
        <v/>
      </c>
      <c r="AK78" s="4"/>
      <c r="AL78" s="4"/>
      <c r="AM78" s="4"/>
      <c r="AN78" s="4"/>
      <c r="AO78" s="4"/>
      <c r="AP78" s="20" t="str">
        <f t="shared" si="59"/>
        <v>-</v>
      </c>
      <c r="AQ78" s="13" t="str">
        <f t="shared" si="72"/>
        <v>-</v>
      </c>
      <c r="AR78" s="13" t="str">
        <f t="shared" si="73"/>
        <v>-</v>
      </c>
      <c r="AS78" s="13" t="str">
        <f t="shared" si="60"/>
        <v>-</v>
      </c>
      <c r="AT78" s="16" t="str">
        <f t="shared" si="74"/>
        <v>-</v>
      </c>
      <c r="AU78" s="16" t="str">
        <f t="shared" si="61"/>
        <v>-</v>
      </c>
      <c r="AV78" s="16" t="str">
        <f t="shared" si="62"/>
        <v>-</v>
      </c>
      <c r="AW78" s="16" t="str">
        <f t="shared" si="75"/>
        <v>-</v>
      </c>
      <c r="AX78" s="13" t="str">
        <f t="shared" si="76"/>
        <v>-</v>
      </c>
      <c r="AY78" s="10" t="str">
        <f t="shared" si="77"/>
        <v>-</v>
      </c>
      <c r="AZ78" s="9" t="str">
        <f t="shared" si="78"/>
        <v>-</v>
      </c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2:68" x14ac:dyDescent="0.3">
      <c r="B79" s="108" t="str">
        <f t="shared" si="63"/>
        <v/>
      </c>
      <c r="C79" s="108" t="str">
        <f t="shared" si="47"/>
        <v/>
      </c>
      <c r="D79" s="3"/>
      <c r="E79" s="3"/>
      <c r="F79" s="3"/>
      <c r="G79" s="20">
        <f>IFERROR(INDEX('Input - Iceland'!F$2:F$200,MATCH('Calculations - Iceland'!$C79,'Input - Iceland'!$B$2:$B$200,0)),"")</f>
        <v>0</v>
      </c>
      <c r="H79" s="20">
        <f>IFERROR(INDEX('Input - Iceland'!G$2:G$200,MATCH('Calculations - Iceland'!$C79,'Input - Iceland'!$B$2:$B$200,0)),"")</f>
        <v>0</v>
      </c>
      <c r="I79" s="21">
        <f>IFERROR(INDEX('Input - Iceland'!H$2:H$200,MATCH('Calculations - Iceland'!$C79,'Input - Iceland'!$B$2:$B$200,0)),"")</f>
        <v>0</v>
      </c>
      <c r="J79" s="21">
        <f>IFERROR(INDEX('Input - Iceland'!I$2:I$200,MATCH('Calculations - Iceland'!$C79,'Input - Iceland'!$B$2:$B$200,0)),"")</f>
        <v>0</v>
      </c>
      <c r="K79" s="20">
        <f>IFERROR(INDEX('Input - Iceland'!J$2:J$200,MATCH('Calculations - Iceland'!$C79,'Input - Iceland'!$B$2:$B$200,0)),"")</f>
        <v>0</v>
      </c>
      <c r="L79" s="20">
        <f>IFERROR(INDEX('Input - Iceland'!K$2:K$200,MATCH('Calculations - Iceland'!$C79,'Input - Iceland'!$B$2:$B$200,0)),"")</f>
        <v>0</v>
      </c>
      <c r="M79" s="21" t="str">
        <f t="shared" si="64"/>
        <v/>
      </c>
      <c r="N79" s="21" t="str">
        <f t="shared" si="48"/>
        <v/>
      </c>
      <c r="O79" s="21">
        <f t="shared" si="65"/>
        <v>0</v>
      </c>
      <c r="P79" s="9">
        <f t="shared" si="79"/>
        <v>0</v>
      </c>
      <c r="Q79" s="9">
        <f t="shared" si="80"/>
        <v>0</v>
      </c>
      <c r="R79" s="22" t="str">
        <f>IFERROR(INDEX(Iceland!$Q$11:$Q$165,MATCH('Calculations - Iceland'!$C79,Iceland!$M$11:$M$165,0)),"")</f>
        <v/>
      </c>
      <c r="S79" s="22" t="str">
        <f>IFERROR(INDEX(Iceland!$R$11:$R$165,MATCH('Calculations - Iceland'!$C79,Iceland!$M$11:$M$165,0)),"")</f>
        <v/>
      </c>
      <c r="T79" s="16" t="e">
        <f t="shared" si="51"/>
        <v>#VALUE!</v>
      </c>
      <c r="U79" s="16" t="e">
        <f t="shared" si="66"/>
        <v>#VALUE!</v>
      </c>
      <c r="V79" s="16" t="e">
        <f t="shared" si="67"/>
        <v>#VALUE!</v>
      </c>
      <c r="W79" s="10" t="str">
        <f t="shared" si="52"/>
        <v>-</v>
      </c>
      <c r="X79" s="10" t="str">
        <f t="shared" si="53"/>
        <v>-</v>
      </c>
      <c r="Y79" s="13" t="str">
        <f t="shared" si="68"/>
        <v>-</v>
      </c>
      <c r="Z79" s="9" t="str">
        <f t="shared" si="54"/>
        <v>-</v>
      </c>
      <c r="AA79" s="16" t="str">
        <f t="shared" si="69"/>
        <v>-</v>
      </c>
      <c r="AB79" s="16" t="str">
        <f t="shared" si="55"/>
        <v>-</v>
      </c>
      <c r="AC79" s="16" t="str">
        <f t="shared" si="56"/>
        <v>-</v>
      </c>
      <c r="AD79" s="16" t="str">
        <f t="shared" si="70"/>
        <v>-</v>
      </c>
      <c r="AE79" s="16"/>
      <c r="AF79" s="31" t="str">
        <f>IFERROR(INDEX(Iceland!$P$11:$P$165,MATCH('Calculations - Iceland'!C79,Iceland!$M$11:$M$165,0)),"")</f>
        <v/>
      </c>
      <c r="AG79" s="23" t="str">
        <f t="shared" si="71"/>
        <v/>
      </c>
      <c r="AH79" s="23" t="str">
        <f t="shared" si="71"/>
        <v/>
      </c>
      <c r="AI79" s="9" t="str">
        <f t="shared" si="57"/>
        <v/>
      </c>
      <c r="AJ79" s="4" t="str">
        <f t="shared" si="58"/>
        <v/>
      </c>
      <c r="AK79" s="4"/>
      <c r="AL79" s="4"/>
      <c r="AM79" s="4"/>
      <c r="AN79" s="4"/>
      <c r="AO79" s="4"/>
      <c r="AP79" s="20" t="str">
        <f t="shared" si="59"/>
        <v>-</v>
      </c>
      <c r="AQ79" s="13" t="str">
        <f t="shared" si="72"/>
        <v>-</v>
      </c>
      <c r="AR79" s="13" t="str">
        <f t="shared" si="73"/>
        <v>-</v>
      </c>
      <c r="AS79" s="13" t="str">
        <f t="shared" si="60"/>
        <v>-</v>
      </c>
      <c r="AT79" s="16" t="str">
        <f t="shared" si="74"/>
        <v>-</v>
      </c>
      <c r="AU79" s="16" t="str">
        <f t="shared" si="61"/>
        <v>-</v>
      </c>
      <c r="AV79" s="16" t="str">
        <f t="shared" si="62"/>
        <v>-</v>
      </c>
      <c r="AW79" s="16" t="str">
        <f t="shared" si="75"/>
        <v>-</v>
      </c>
      <c r="AX79" s="13" t="str">
        <f t="shared" si="76"/>
        <v>-</v>
      </c>
      <c r="AY79" s="10" t="str">
        <f t="shared" si="77"/>
        <v>-</v>
      </c>
      <c r="AZ79" s="9" t="str">
        <f t="shared" si="78"/>
        <v>-</v>
      </c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</row>
    <row r="80" spans="2:68" x14ac:dyDescent="0.3">
      <c r="B80" s="108" t="str">
        <f t="shared" si="63"/>
        <v/>
      </c>
      <c r="C80" s="108" t="str">
        <f t="shared" si="47"/>
        <v/>
      </c>
      <c r="D80" s="3"/>
      <c r="E80" s="3"/>
      <c r="F80" s="3"/>
      <c r="G80" s="20">
        <f>IFERROR(INDEX('Input - Iceland'!F$2:F$200,MATCH('Calculations - Iceland'!$C80,'Input - Iceland'!$B$2:$B$200,0)),"")</f>
        <v>0</v>
      </c>
      <c r="H80" s="20">
        <f>IFERROR(INDEX('Input - Iceland'!G$2:G$200,MATCH('Calculations - Iceland'!$C80,'Input - Iceland'!$B$2:$B$200,0)),"")</f>
        <v>0</v>
      </c>
      <c r="I80" s="21">
        <f>IFERROR(INDEX('Input - Iceland'!H$2:H$200,MATCH('Calculations - Iceland'!$C80,'Input - Iceland'!$B$2:$B$200,0)),"")</f>
        <v>0</v>
      </c>
      <c r="J80" s="21">
        <f>IFERROR(INDEX('Input - Iceland'!I$2:I$200,MATCH('Calculations - Iceland'!$C80,'Input - Iceland'!$B$2:$B$200,0)),"")</f>
        <v>0</v>
      </c>
      <c r="K80" s="20">
        <f>IFERROR(INDEX('Input - Iceland'!J$2:J$200,MATCH('Calculations - Iceland'!$C80,'Input - Iceland'!$B$2:$B$200,0)),"")</f>
        <v>0</v>
      </c>
      <c r="L80" s="20">
        <f>IFERROR(INDEX('Input - Iceland'!K$2:K$200,MATCH('Calculations - Iceland'!$C80,'Input - Iceland'!$B$2:$B$200,0)),"")</f>
        <v>0</v>
      </c>
      <c r="M80" s="21" t="str">
        <f t="shared" si="64"/>
        <v/>
      </c>
      <c r="N80" s="21" t="str">
        <f t="shared" si="48"/>
        <v/>
      </c>
      <c r="O80" s="21">
        <f t="shared" si="65"/>
        <v>0</v>
      </c>
      <c r="P80" s="9">
        <f t="shared" si="79"/>
        <v>0</v>
      </c>
      <c r="Q80" s="9">
        <f t="shared" si="80"/>
        <v>0</v>
      </c>
      <c r="R80" s="22" t="str">
        <f>IFERROR(INDEX(Iceland!$Q$11:$Q$165,MATCH('Calculations - Iceland'!$C80,Iceland!$M$11:$M$165,0)),"")</f>
        <v/>
      </c>
      <c r="S80" s="22" t="str">
        <f>IFERROR(INDEX(Iceland!$R$11:$R$165,MATCH('Calculations - Iceland'!$C80,Iceland!$M$11:$M$165,0)),"")</f>
        <v/>
      </c>
      <c r="T80" s="16" t="e">
        <f t="shared" si="51"/>
        <v>#VALUE!</v>
      </c>
      <c r="U80" s="16" t="e">
        <f t="shared" si="66"/>
        <v>#VALUE!</v>
      </c>
      <c r="V80" s="16" t="e">
        <f t="shared" si="67"/>
        <v>#VALUE!</v>
      </c>
      <c r="W80" s="10" t="str">
        <f t="shared" si="52"/>
        <v>-</v>
      </c>
      <c r="X80" s="10" t="str">
        <f t="shared" si="53"/>
        <v>-</v>
      </c>
      <c r="Y80" s="13" t="str">
        <f t="shared" si="68"/>
        <v>-</v>
      </c>
      <c r="Z80" s="9" t="str">
        <f t="shared" si="54"/>
        <v>-</v>
      </c>
      <c r="AA80" s="16" t="str">
        <f t="shared" si="69"/>
        <v>-</v>
      </c>
      <c r="AB80" s="16" t="str">
        <f t="shared" si="55"/>
        <v>-</v>
      </c>
      <c r="AC80" s="16" t="str">
        <f t="shared" si="56"/>
        <v>-</v>
      </c>
      <c r="AD80" s="16" t="str">
        <f t="shared" si="70"/>
        <v>-</v>
      </c>
      <c r="AE80" s="16"/>
      <c r="AF80" s="31" t="str">
        <f>IFERROR(INDEX(Iceland!$P$11:$P$165,MATCH('Calculations - Iceland'!C80,Iceland!$M$11:$M$165,0)),"")</f>
        <v/>
      </c>
      <c r="AG80" s="23" t="str">
        <f t="shared" si="71"/>
        <v/>
      </c>
      <c r="AH80" s="23" t="str">
        <f t="shared" si="71"/>
        <v/>
      </c>
      <c r="AI80" s="9" t="str">
        <f t="shared" si="57"/>
        <v/>
      </c>
      <c r="AJ80" s="4" t="str">
        <f t="shared" si="58"/>
        <v/>
      </c>
      <c r="AK80" s="4"/>
      <c r="AL80" s="4"/>
      <c r="AM80" s="4"/>
      <c r="AN80" s="4"/>
      <c r="AO80" s="4"/>
      <c r="AP80" s="20" t="str">
        <f t="shared" si="59"/>
        <v>-</v>
      </c>
      <c r="AQ80" s="13" t="str">
        <f t="shared" si="72"/>
        <v>-</v>
      </c>
      <c r="AR80" s="13" t="str">
        <f t="shared" si="73"/>
        <v>-</v>
      </c>
      <c r="AS80" s="13" t="str">
        <f t="shared" si="60"/>
        <v>-</v>
      </c>
      <c r="AT80" s="16" t="str">
        <f t="shared" si="74"/>
        <v>-</v>
      </c>
      <c r="AU80" s="16" t="str">
        <f t="shared" si="61"/>
        <v>-</v>
      </c>
      <c r="AV80" s="16" t="str">
        <f t="shared" si="62"/>
        <v>-</v>
      </c>
      <c r="AW80" s="16" t="str">
        <f t="shared" si="75"/>
        <v>-</v>
      </c>
      <c r="AX80" s="13" t="str">
        <f t="shared" si="76"/>
        <v>-</v>
      </c>
      <c r="AY80" s="10" t="str">
        <f t="shared" si="77"/>
        <v>-</v>
      </c>
      <c r="AZ80" s="9" t="str">
        <f t="shared" si="78"/>
        <v>-</v>
      </c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</row>
    <row r="81" spans="2:68" x14ac:dyDescent="0.3">
      <c r="B81" s="108" t="str">
        <f t="shared" si="63"/>
        <v/>
      </c>
      <c r="C81" s="108" t="str">
        <f t="shared" si="47"/>
        <v/>
      </c>
      <c r="D81" s="3"/>
      <c r="E81" s="3"/>
      <c r="F81" s="3"/>
      <c r="G81" s="20">
        <f>IFERROR(INDEX('Input - Iceland'!F$2:F$200,MATCH('Calculations - Iceland'!$C81,'Input - Iceland'!$B$2:$B$200,0)),"")</f>
        <v>0</v>
      </c>
      <c r="H81" s="20">
        <f>IFERROR(INDEX('Input - Iceland'!G$2:G$200,MATCH('Calculations - Iceland'!$C81,'Input - Iceland'!$B$2:$B$200,0)),"")</f>
        <v>0</v>
      </c>
      <c r="I81" s="21">
        <f>IFERROR(INDEX('Input - Iceland'!H$2:H$200,MATCH('Calculations - Iceland'!$C81,'Input - Iceland'!$B$2:$B$200,0)),"")</f>
        <v>0</v>
      </c>
      <c r="J81" s="21">
        <f>IFERROR(INDEX('Input - Iceland'!I$2:I$200,MATCH('Calculations - Iceland'!$C81,'Input - Iceland'!$B$2:$B$200,0)),"")</f>
        <v>0</v>
      </c>
      <c r="K81" s="20">
        <f>IFERROR(INDEX('Input - Iceland'!J$2:J$200,MATCH('Calculations - Iceland'!$C81,'Input - Iceland'!$B$2:$B$200,0)),"")</f>
        <v>0</v>
      </c>
      <c r="L81" s="20">
        <f>IFERROR(INDEX('Input - Iceland'!K$2:K$200,MATCH('Calculations - Iceland'!$C81,'Input - Iceland'!$B$2:$B$200,0)),"")</f>
        <v>0</v>
      </c>
      <c r="M81" s="21" t="str">
        <f t="shared" si="64"/>
        <v/>
      </c>
      <c r="N81" s="21" t="str">
        <f t="shared" si="48"/>
        <v/>
      </c>
      <c r="O81" s="21">
        <f t="shared" si="65"/>
        <v>0</v>
      </c>
      <c r="P81" s="9">
        <f t="shared" si="79"/>
        <v>0</v>
      </c>
      <c r="Q81" s="9">
        <f t="shared" si="80"/>
        <v>0</v>
      </c>
      <c r="R81" s="22" t="str">
        <f>IFERROR(INDEX(Iceland!$Q$11:$Q$165,MATCH('Calculations - Iceland'!$C81,Iceland!$M$11:$M$165,0)),"")</f>
        <v/>
      </c>
      <c r="S81" s="22" t="str">
        <f>IFERROR(INDEX(Iceland!$R$11:$R$165,MATCH('Calculations - Iceland'!$C81,Iceland!$M$11:$M$165,0)),"")</f>
        <v/>
      </c>
      <c r="T81" s="16" t="e">
        <f t="shared" si="51"/>
        <v>#VALUE!</v>
      </c>
      <c r="U81" s="16" t="e">
        <f t="shared" si="66"/>
        <v>#VALUE!</v>
      </c>
      <c r="V81" s="16" t="e">
        <f t="shared" si="67"/>
        <v>#VALUE!</v>
      </c>
      <c r="W81" s="10" t="str">
        <f t="shared" si="52"/>
        <v>-</v>
      </c>
      <c r="X81" s="10" t="str">
        <f t="shared" si="53"/>
        <v>-</v>
      </c>
      <c r="Y81" s="13" t="str">
        <f t="shared" si="68"/>
        <v>-</v>
      </c>
      <c r="Z81" s="9" t="str">
        <f t="shared" si="54"/>
        <v>-</v>
      </c>
      <c r="AA81" s="16" t="str">
        <f t="shared" si="69"/>
        <v>-</v>
      </c>
      <c r="AB81" s="16" t="str">
        <f t="shared" si="55"/>
        <v>-</v>
      </c>
      <c r="AC81" s="16" t="str">
        <f t="shared" si="56"/>
        <v>-</v>
      </c>
      <c r="AD81" s="16" t="str">
        <f t="shared" si="70"/>
        <v>-</v>
      </c>
      <c r="AE81" s="16"/>
      <c r="AF81" s="31" t="str">
        <f>IFERROR(INDEX(Iceland!$P$11:$P$165,MATCH('Calculations - Iceland'!C81,Iceland!$M$11:$M$165,0)),"")</f>
        <v/>
      </c>
      <c r="AG81" s="23" t="str">
        <f t="shared" si="71"/>
        <v/>
      </c>
      <c r="AH81" s="23" t="str">
        <f t="shared" si="71"/>
        <v/>
      </c>
      <c r="AI81" s="9" t="str">
        <f t="shared" si="57"/>
        <v/>
      </c>
      <c r="AJ81" s="4" t="str">
        <f t="shared" si="58"/>
        <v/>
      </c>
      <c r="AK81" s="4"/>
      <c r="AL81" s="4"/>
      <c r="AM81" s="4"/>
      <c r="AN81" s="4"/>
      <c r="AO81" s="4"/>
      <c r="AP81" s="20" t="str">
        <f t="shared" si="59"/>
        <v>-</v>
      </c>
      <c r="AQ81" s="13" t="str">
        <f t="shared" si="72"/>
        <v>-</v>
      </c>
      <c r="AR81" s="13" t="str">
        <f t="shared" si="73"/>
        <v>-</v>
      </c>
      <c r="AS81" s="13" t="str">
        <f t="shared" si="60"/>
        <v>-</v>
      </c>
      <c r="AT81" s="16" t="str">
        <f t="shared" si="74"/>
        <v>-</v>
      </c>
      <c r="AU81" s="16" t="str">
        <f t="shared" si="61"/>
        <v>-</v>
      </c>
      <c r="AV81" s="16" t="str">
        <f t="shared" si="62"/>
        <v>-</v>
      </c>
      <c r="AW81" s="16" t="str">
        <f t="shared" si="75"/>
        <v>-</v>
      </c>
      <c r="AX81" s="13" t="str">
        <f t="shared" si="76"/>
        <v>-</v>
      </c>
      <c r="AY81" s="10" t="str">
        <f t="shared" si="77"/>
        <v>-</v>
      </c>
      <c r="AZ81" s="9" t="str">
        <f t="shared" si="78"/>
        <v>-</v>
      </c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2:68" x14ac:dyDescent="0.3">
      <c r="B82" s="108" t="str">
        <f t="shared" si="63"/>
        <v/>
      </c>
      <c r="C82" s="108" t="str">
        <f t="shared" si="47"/>
        <v/>
      </c>
      <c r="D82" s="3"/>
      <c r="E82" s="3"/>
      <c r="F82" s="3"/>
      <c r="G82" s="20">
        <f>IFERROR(INDEX('Input - Iceland'!F$2:F$200,MATCH('Calculations - Iceland'!$C82,'Input - Iceland'!$B$2:$B$200,0)),"")</f>
        <v>0</v>
      </c>
      <c r="H82" s="20">
        <f>IFERROR(INDEX('Input - Iceland'!G$2:G$200,MATCH('Calculations - Iceland'!$C82,'Input - Iceland'!$B$2:$B$200,0)),"")</f>
        <v>0</v>
      </c>
      <c r="I82" s="21">
        <f>IFERROR(INDEX('Input - Iceland'!H$2:H$200,MATCH('Calculations - Iceland'!$C82,'Input - Iceland'!$B$2:$B$200,0)),"")</f>
        <v>0</v>
      </c>
      <c r="J82" s="21">
        <f>IFERROR(INDEX('Input - Iceland'!I$2:I$200,MATCH('Calculations - Iceland'!$C82,'Input - Iceland'!$B$2:$B$200,0)),"")</f>
        <v>0</v>
      </c>
      <c r="K82" s="20">
        <f>IFERROR(INDEX('Input - Iceland'!J$2:J$200,MATCH('Calculations - Iceland'!$C82,'Input - Iceland'!$B$2:$B$200,0)),"")</f>
        <v>0</v>
      </c>
      <c r="L82" s="20">
        <f>IFERROR(INDEX('Input - Iceland'!K$2:K$200,MATCH('Calculations - Iceland'!$C82,'Input - Iceland'!$B$2:$B$200,0)),"")</f>
        <v>0</v>
      </c>
      <c r="M82" s="21" t="str">
        <f t="shared" si="64"/>
        <v/>
      </c>
      <c r="N82" s="21" t="str">
        <f t="shared" si="48"/>
        <v/>
      </c>
      <c r="O82" s="21">
        <f t="shared" si="65"/>
        <v>0</v>
      </c>
      <c r="P82" s="9">
        <f t="shared" si="79"/>
        <v>0</v>
      </c>
      <c r="Q82" s="9">
        <f t="shared" si="80"/>
        <v>0</v>
      </c>
      <c r="R82" s="22" t="str">
        <f>IFERROR(INDEX(Iceland!$Q$11:$Q$165,MATCH('Calculations - Iceland'!$C82,Iceland!$M$11:$M$165,0)),"")</f>
        <v/>
      </c>
      <c r="S82" s="22" t="str">
        <f>IFERROR(INDEX(Iceland!$R$11:$R$165,MATCH('Calculations - Iceland'!$C82,Iceland!$M$11:$M$165,0)),"")</f>
        <v/>
      </c>
      <c r="T82" s="16" t="e">
        <f t="shared" si="51"/>
        <v>#VALUE!</v>
      </c>
      <c r="U82" s="16" t="e">
        <f t="shared" si="66"/>
        <v>#VALUE!</v>
      </c>
      <c r="V82" s="16" t="e">
        <f t="shared" si="67"/>
        <v>#VALUE!</v>
      </c>
      <c r="W82" s="10" t="str">
        <f t="shared" si="52"/>
        <v>-</v>
      </c>
      <c r="X82" s="10" t="str">
        <f t="shared" si="53"/>
        <v>-</v>
      </c>
      <c r="Y82" s="13" t="str">
        <f t="shared" si="68"/>
        <v>-</v>
      </c>
      <c r="Z82" s="9" t="str">
        <f t="shared" si="54"/>
        <v>-</v>
      </c>
      <c r="AA82" s="16" t="str">
        <f t="shared" si="69"/>
        <v>-</v>
      </c>
      <c r="AB82" s="16" t="str">
        <f t="shared" si="55"/>
        <v>-</v>
      </c>
      <c r="AC82" s="16" t="str">
        <f t="shared" si="56"/>
        <v>-</v>
      </c>
      <c r="AD82" s="16" t="str">
        <f t="shared" si="70"/>
        <v>-</v>
      </c>
      <c r="AE82" s="16"/>
      <c r="AF82" s="31" t="str">
        <f>IFERROR(INDEX(Iceland!$P$11:$P$165,MATCH('Calculations - Iceland'!C82,Iceland!$M$11:$M$165,0)),"")</f>
        <v/>
      </c>
      <c r="AG82" s="23" t="str">
        <f t="shared" si="71"/>
        <v/>
      </c>
      <c r="AH82" s="23" t="str">
        <f t="shared" si="71"/>
        <v/>
      </c>
      <c r="AI82" s="9" t="str">
        <f t="shared" si="57"/>
        <v/>
      </c>
      <c r="AJ82" s="4" t="str">
        <f t="shared" si="58"/>
        <v/>
      </c>
      <c r="AK82" s="4"/>
      <c r="AL82" s="4"/>
      <c r="AM82" s="4"/>
      <c r="AN82" s="4"/>
      <c r="AO82" s="4"/>
      <c r="AP82" s="20" t="str">
        <f t="shared" si="59"/>
        <v>-</v>
      </c>
      <c r="AQ82" s="13" t="str">
        <f t="shared" si="72"/>
        <v>-</v>
      </c>
      <c r="AR82" s="13" t="str">
        <f t="shared" si="73"/>
        <v>-</v>
      </c>
      <c r="AS82" s="13" t="str">
        <f t="shared" si="60"/>
        <v>-</v>
      </c>
      <c r="AT82" s="16" t="str">
        <f t="shared" si="74"/>
        <v>-</v>
      </c>
      <c r="AU82" s="16" t="str">
        <f t="shared" si="61"/>
        <v>-</v>
      </c>
      <c r="AV82" s="16" t="str">
        <f t="shared" si="62"/>
        <v>-</v>
      </c>
      <c r="AW82" s="16" t="str">
        <f t="shared" si="75"/>
        <v>-</v>
      </c>
      <c r="AX82" s="13" t="str">
        <f t="shared" si="76"/>
        <v>-</v>
      </c>
      <c r="AY82" s="10" t="str">
        <f t="shared" si="77"/>
        <v>-</v>
      </c>
      <c r="AZ82" s="9" t="str">
        <f t="shared" si="78"/>
        <v>-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</row>
    <row r="83" spans="2:68" x14ac:dyDescent="0.3">
      <c r="B83" s="108" t="str">
        <f t="shared" si="63"/>
        <v/>
      </c>
      <c r="C83" s="108" t="str">
        <f t="shared" si="47"/>
        <v/>
      </c>
      <c r="D83" s="3"/>
      <c r="E83" s="3"/>
      <c r="F83" s="3"/>
      <c r="G83" s="20">
        <f>IFERROR(INDEX('Input - Iceland'!F$2:F$200,MATCH('Calculations - Iceland'!$C83,'Input - Iceland'!$B$2:$B$200,0)),"")</f>
        <v>0</v>
      </c>
      <c r="H83" s="20">
        <f>IFERROR(INDEX('Input - Iceland'!G$2:G$200,MATCH('Calculations - Iceland'!$C83,'Input - Iceland'!$B$2:$B$200,0)),"")</f>
        <v>0</v>
      </c>
      <c r="I83" s="21">
        <f>IFERROR(INDEX('Input - Iceland'!H$2:H$200,MATCH('Calculations - Iceland'!$C83,'Input - Iceland'!$B$2:$B$200,0)),"")</f>
        <v>0</v>
      </c>
      <c r="J83" s="21">
        <f>IFERROR(INDEX('Input - Iceland'!I$2:I$200,MATCH('Calculations - Iceland'!$C83,'Input - Iceland'!$B$2:$B$200,0)),"")</f>
        <v>0</v>
      </c>
      <c r="K83" s="20">
        <f>IFERROR(INDEX('Input - Iceland'!J$2:J$200,MATCH('Calculations - Iceland'!$C83,'Input - Iceland'!$B$2:$B$200,0)),"")</f>
        <v>0</v>
      </c>
      <c r="L83" s="20">
        <f>IFERROR(INDEX('Input - Iceland'!K$2:K$200,MATCH('Calculations - Iceland'!$C83,'Input - Iceland'!$B$2:$B$200,0)),"")</f>
        <v>0</v>
      </c>
      <c r="M83" s="21" t="str">
        <f t="shared" si="64"/>
        <v/>
      </c>
      <c r="N83" s="21" t="str">
        <f t="shared" si="48"/>
        <v/>
      </c>
      <c r="O83" s="21">
        <f t="shared" si="65"/>
        <v>0</v>
      </c>
      <c r="P83" s="9">
        <f t="shared" si="79"/>
        <v>0</v>
      </c>
      <c r="Q83" s="9">
        <f t="shared" si="80"/>
        <v>0</v>
      </c>
      <c r="R83" s="22" t="str">
        <f>IFERROR(INDEX(Iceland!$Q$11:$Q$165,MATCH('Calculations - Iceland'!$C83,Iceland!$M$11:$M$165,0)),"")</f>
        <v/>
      </c>
      <c r="S83" s="22" t="str">
        <f>IFERROR(INDEX(Iceland!$R$11:$R$165,MATCH('Calculations - Iceland'!$C83,Iceland!$M$11:$M$165,0)),"")</f>
        <v/>
      </c>
      <c r="T83" s="16" t="e">
        <f t="shared" si="51"/>
        <v>#VALUE!</v>
      </c>
      <c r="U83" s="16" t="e">
        <f t="shared" si="66"/>
        <v>#VALUE!</v>
      </c>
      <c r="V83" s="16" t="e">
        <f t="shared" si="67"/>
        <v>#VALUE!</v>
      </c>
      <c r="W83" s="10" t="str">
        <f t="shared" si="52"/>
        <v>-</v>
      </c>
      <c r="X83" s="10" t="str">
        <f t="shared" si="53"/>
        <v>-</v>
      </c>
      <c r="Y83" s="13" t="str">
        <f t="shared" si="68"/>
        <v>-</v>
      </c>
      <c r="Z83" s="9" t="str">
        <f t="shared" si="54"/>
        <v>-</v>
      </c>
      <c r="AA83" s="16" t="str">
        <f t="shared" si="69"/>
        <v>-</v>
      </c>
      <c r="AB83" s="16" t="str">
        <f t="shared" si="55"/>
        <v>-</v>
      </c>
      <c r="AC83" s="16" t="str">
        <f t="shared" si="56"/>
        <v>-</v>
      </c>
      <c r="AD83" s="16" t="str">
        <f t="shared" si="70"/>
        <v>-</v>
      </c>
      <c r="AE83" s="16"/>
      <c r="AF83" s="31" t="str">
        <f>IFERROR(INDEX(Iceland!$P$11:$P$165,MATCH('Calculations - Iceland'!C83,Iceland!$M$11:$M$165,0)),"")</f>
        <v/>
      </c>
      <c r="AG83" s="23" t="str">
        <f t="shared" si="71"/>
        <v/>
      </c>
      <c r="AH83" s="23" t="str">
        <f t="shared" si="71"/>
        <v/>
      </c>
      <c r="AI83" s="9" t="str">
        <f t="shared" si="57"/>
        <v/>
      </c>
      <c r="AJ83" s="4" t="str">
        <f t="shared" si="58"/>
        <v/>
      </c>
      <c r="AK83" s="4"/>
      <c r="AL83" s="4"/>
      <c r="AM83" s="4"/>
      <c r="AN83" s="4"/>
      <c r="AO83" s="4"/>
      <c r="AP83" s="20" t="str">
        <f t="shared" si="59"/>
        <v>-</v>
      </c>
      <c r="AQ83" s="13" t="str">
        <f t="shared" si="72"/>
        <v>-</v>
      </c>
      <c r="AR83" s="13" t="str">
        <f t="shared" si="73"/>
        <v>-</v>
      </c>
      <c r="AS83" s="13" t="str">
        <f t="shared" si="60"/>
        <v>-</v>
      </c>
      <c r="AT83" s="16" t="str">
        <f t="shared" si="74"/>
        <v>-</v>
      </c>
      <c r="AU83" s="16" t="str">
        <f t="shared" si="61"/>
        <v>-</v>
      </c>
      <c r="AV83" s="16" t="str">
        <f t="shared" si="62"/>
        <v>-</v>
      </c>
      <c r="AW83" s="16" t="str">
        <f t="shared" si="75"/>
        <v>-</v>
      </c>
      <c r="AX83" s="13" t="str">
        <f t="shared" si="76"/>
        <v>-</v>
      </c>
      <c r="AY83" s="10" t="str">
        <f t="shared" si="77"/>
        <v>-</v>
      </c>
      <c r="AZ83" s="9" t="str">
        <f t="shared" si="78"/>
        <v>-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</row>
    <row r="84" spans="2:68" x14ac:dyDescent="0.3">
      <c r="B84" s="108" t="str">
        <f t="shared" si="63"/>
        <v/>
      </c>
      <c r="C84" s="108" t="str">
        <f t="shared" si="47"/>
        <v/>
      </c>
      <c r="D84" s="3"/>
      <c r="E84" s="3"/>
      <c r="F84" s="3"/>
      <c r="G84" s="20">
        <f>IFERROR(INDEX('Input - Iceland'!F$2:F$200,MATCH('Calculations - Iceland'!$C84,'Input - Iceland'!$B$2:$B$200,0)),"")</f>
        <v>0</v>
      </c>
      <c r="H84" s="20">
        <f>IFERROR(INDEX('Input - Iceland'!G$2:G$200,MATCH('Calculations - Iceland'!$C84,'Input - Iceland'!$B$2:$B$200,0)),"")</f>
        <v>0</v>
      </c>
      <c r="I84" s="21">
        <f>IFERROR(INDEX('Input - Iceland'!H$2:H$200,MATCH('Calculations - Iceland'!$C84,'Input - Iceland'!$B$2:$B$200,0)),"")</f>
        <v>0</v>
      </c>
      <c r="J84" s="21">
        <f>IFERROR(INDEX('Input - Iceland'!I$2:I$200,MATCH('Calculations - Iceland'!$C84,'Input - Iceland'!$B$2:$B$200,0)),"")</f>
        <v>0</v>
      </c>
      <c r="K84" s="20">
        <f>IFERROR(INDEX('Input - Iceland'!J$2:J$200,MATCH('Calculations - Iceland'!$C84,'Input - Iceland'!$B$2:$B$200,0)),"")</f>
        <v>0</v>
      </c>
      <c r="L84" s="20">
        <f>IFERROR(INDEX('Input - Iceland'!K$2:K$200,MATCH('Calculations - Iceland'!$C84,'Input - Iceland'!$B$2:$B$200,0)),"")</f>
        <v>0</v>
      </c>
      <c r="M84" s="21" t="str">
        <f t="shared" si="64"/>
        <v/>
      </c>
      <c r="N84" s="21" t="str">
        <f t="shared" si="48"/>
        <v/>
      </c>
      <c r="O84" s="21">
        <f t="shared" si="65"/>
        <v>0</v>
      </c>
      <c r="P84" s="9">
        <f t="shared" si="79"/>
        <v>0</v>
      </c>
      <c r="Q84" s="9">
        <f t="shared" si="80"/>
        <v>0</v>
      </c>
      <c r="R84" s="22" t="str">
        <f>IFERROR(INDEX(Iceland!$Q$11:$Q$165,MATCH('Calculations - Iceland'!$C84,Iceland!$M$11:$M$165,0)),"")</f>
        <v/>
      </c>
      <c r="S84" s="22" t="str">
        <f>IFERROR(INDEX(Iceland!$R$11:$R$165,MATCH('Calculations - Iceland'!$C84,Iceland!$M$11:$M$165,0)),"")</f>
        <v/>
      </c>
      <c r="T84" s="16" t="e">
        <f t="shared" si="51"/>
        <v>#VALUE!</v>
      </c>
      <c r="U84" s="16" t="e">
        <f t="shared" si="66"/>
        <v>#VALUE!</v>
      </c>
      <c r="V84" s="16" t="e">
        <f t="shared" si="67"/>
        <v>#VALUE!</v>
      </c>
      <c r="W84" s="10" t="str">
        <f t="shared" si="52"/>
        <v>-</v>
      </c>
      <c r="X84" s="10" t="str">
        <f t="shared" si="53"/>
        <v>-</v>
      </c>
      <c r="Y84" s="13" t="str">
        <f t="shared" si="68"/>
        <v>-</v>
      </c>
      <c r="Z84" s="9" t="str">
        <f t="shared" si="54"/>
        <v>-</v>
      </c>
      <c r="AA84" s="16" t="str">
        <f t="shared" si="69"/>
        <v>-</v>
      </c>
      <c r="AB84" s="16" t="str">
        <f t="shared" si="55"/>
        <v>-</v>
      </c>
      <c r="AC84" s="16" t="str">
        <f t="shared" si="56"/>
        <v>-</v>
      </c>
      <c r="AD84" s="16" t="str">
        <f t="shared" si="70"/>
        <v>-</v>
      </c>
      <c r="AE84" s="16"/>
      <c r="AF84" s="31" t="str">
        <f>IFERROR(INDEX(Iceland!$P$11:$P$165,MATCH('Calculations - Iceland'!C84,Iceland!$M$11:$M$165,0)),"")</f>
        <v/>
      </c>
      <c r="AG84" s="23" t="str">
        <f t="shared" si="71"/>
        <v/>
      </c>
      <c r="AH84" s="23" t="str">
        <f t="shared" si="71"/>
        <v/>
      </c>
      <c r="AI84" s="9" t="str">
        <f t="shared" si="57"/>
        <v/>
      </c>
      <c r="AJ84" s="4" t="str">
        <f t="shared" si="58"/>
        <v/>
      </c>
      <c r="AK84" s="4"/>
      <c r="AL84" s="4"/>
      <c r="AM84" s="4"/>
      <c r="AN84" s="4"/>
      <c r="AO84" s="4"/>
      <c r="AP84" s="20" t="str">
        <f t="shared" si="59"/>
        <v>-</v>
      </c>
      <c r="AQ84" s="13" t="str">
        <f t="shared" si="72"/>
        <v>-</v>
      </c>
      <c r="AR84" s="13" t="str">
        <f t="shared" si="73"/>
        <v>-</v>
      </c>
      <c r="AS84" s="13" t="str">
        <f t="shared" si="60"/>
        <v>-</v>
      </c>
      <c r="AT84" s="16" t="str">
        <f t="shared" si="74"/>
        <v>-</v>
      </c>
      <c r="AU84" s="16" t="str">
        <f t="shared" si="61"/>
        <v>-</v>
      </c>
      <c r="AV84" s="16" t="str">
        <f t="shared" si="62"/>
        <v>-</v>
      </c>
      <c r="AW84" s="16" t="str">
        <f t="shared" si="75"/>
        <v>-</v>
      </c>
      <c r="AX84" s="13" t="str">
        <f t="shared" si="76"/>
        <v>-</v>
      </c>
      <c r="AY84" s="10" t="str">
        <f t="shared" si="77"/>
        <v>-</v>
      </c>
      <c r="AZ84" s="9" t="str">
        <f t="shared" si="78"/>
        <v>-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</row>
    <row r="85" spans="2:68" x14ac:dyDescent="0.3">
      <c r="B85" s="108" t="str">
        <f t="shared" si="63"/>
        <v/>
      </c>
      <c r="C85" s="108" t="str">
        <f t="shared" si="47"/>
        <v/>
      </c>
      <c r="D85" s="3"/>
      <c r="E85" s="3"/>
      <c r="F85" s="3"/>
      <c r="G85" s="20">
        <f>IFERROR(INDEX('Input - Iceland'!F$2:F$200,MATCH('Calculations - Iceland'!$C85,'Input - Iceland'!$B$2:$B$200,0)),"")</f>
        <v>0</v>
      </c>
      <c r="H85" s="20">
        <f>IFERROR(INDEX('Input - Iceland'!G$2:G$200,MATCH('Calculations - Iceland'!$C85,'Input - Iceland'!$B$2:$B$200,0)),"")</f>
        <v>0</v>
      </c>
      <c r="I85" s="21">
        <f>IFERROR(INDEX('Input - Iceland'!H$2:H$200,MATCH('Calculations - Iceland'!$C85,'Input - Iceland'!$B$2:$B$200,0)),"")</f>
        <v>0</v>
      </c>
      <c r="J85" s="21">
        <f>IFERROR(INDEX('Input - Iceland'!I$2:I$200,MATCH('Calculations - Iceland'!$C85,'Input - Iceland'!$B$2:$B$200,0)),"")</f>
        <v>0</v>
      </c>
      <c r="K85" s="20">
        <f>IFERROR(INDEX('Input - Iceland'!J$2:J$200,MATCH('Calculations - Iceland'!$C85,'Input - Iceland'!$B$2:$B$200,0)),"")</f>
        <v>0</v>
      </c>
      <c r="L85" s="20">
        <f>IFERROR(INDEX('Input - Iceland'!K$2:K$200,MATCH('Calculations - Iceland'!$C85,'Input - Iceland'!$B$2:$B$200,0)),"")</f>
        <v>0</v>
      </c>
      <c r="M85" s="21" t="str">
        <f t="shared" si="64"/>
        <v/>
      </c>
      <c r="N85" s="21" t="str">
        <f t="shared" si="48"/>
        <v/>
      </c>
      <c r="O85" s="21">
        <f t="shared" si="65"/>
        <v>0</v>
      </c>
      <c r="P85" s="9">
        <f t="shared" si="79"/>
        <v>0</v>
      </c>
      <c r="Q85" s="9">
        <f t="shared" si="80"/>
        <v>0</v>
      </c>
      <c r="R85" s="22" t="str">
        <f>IFERROR(INDEX(Iceland!$Q$11:$Q$165,MATCH('Calculations - Iceland'!$C85,Iceland!$M$11:$M$165,0)),"")</f>
        <v/>
      </c>
      <c r="S85" s="22" t="str">
        <f>IFERROR(INDEX(Iceland!$R$11:$R$165,MATCH('Calculations - Iceland'!$C85,Iceland!$M$11:$M$165,0)),"")</f>
        <v/>
      </c>
      <c r="T85" s="16" t="e">
        <f t="shared" si="51"/>
        <v>#VALUE!</v>
      </c>
      <c r="U85" s="16" t="e">
        <f t="shared" si="66"/>
        <v>#VALUE!</v>
      </c>
      <c r="V85" s="16" t="e">
        <f t="shared" si="67"/>
        <v>#VALUE!</v>
      </c>
      <c r="W85" s="10" t="str">
        <f t="shared" si="52"/>
        <v>-</v>
      </c>
      <c r="X85" s="10" t="str">
        <f t="shared" si="53"/>
        <v>-</v>
      </c>
      <c r="Y85" s="13" t="str">
        <f t="shared" si="68"/>
        <v>-</v>
      </c>
      <c r="Z85" s="9" t="str">
        <f t="shared" si="54"/>
        <v>-</v>
      </c>
      <c r="AA85" s="16" t="str">
        <f t="shared" si="69"/>
        <v>-</v>
      </c>
      <c r="AB85" s="16" t="str">
        <f t="shared" si="55"/>
        <v>-</v>
      </c>
      <c r="AC85" s="16" t="str">
        <f t="shared" si="56"/>
        <v>-</v>
      </c>
      <c r="AD85" s="16" t="str">
        <f t="shared" si="70"/>
        <v>-</v>
      </c>
      <c r="AE85" s="16"/>
      <c r="AF85" s="31" t="str">
        <f>IFERROR(INDEX(Iceland!$P$11:$P$165,MATCH('Calculations - Iceland'!C85,Iceland!$M$11:$M$165,0)),"")</f>
        <v/>
      </c>
      <c r="AG85" s="23" t="str">
        <f t="shared" si="71"/>
        <v/>
      </c>
      <c r="AH85" s="23" t="str">
        <f t="shared" si="71"/>
        <v/>
      </c>
      <c r="AI85" s="9" t="str">
        <f t="shared" si="57"/>
        <v/>
      </c>
      <c r="AJ85" s="4" t="str">
        <f t="shared" si="58"/>
        <v/>
      </c>
      <c r="AK85" s="4"/>
      <c r="AL85" s="4"/>
      <c r="AM85" s="4"/>
      <c r="AN85" s="4"/>
      <c r="AO85" s="4"/>
      <c r="AP85" s="20" t="str">
        <f t="shared" si="59"/>
        <v>-</v>
      </c>
      <c r="AQ85" s="13" t="str">
        <f t="shared" si="72"/>
        <v>-</v>
      </c>
      <c r="AR85" s="13" t="str">
        <f t="shared" si="73"/>
        <v>-</v>
      </c>
      <c r="AS85" s="13" t="str">
        <f t="shared" si="60"/>
        <v>-</v>
      </c>
      <c r="AT85" s="16" t="str">
        <f t="shared" si="74"/>
        <v>-</v>
      </c>
      <c r="AU85" s="16" t="str">
        <f t="shared" si="61"/>
        <v>-</v>
      </c>
      <c r="AV85" s="16" t="str">
        <f t="shared" si="62"/>
        <v>-</v>
      </c>
      <c r="AW85" s="16" t="str">
        <f t="shared" si="75"/>
        <v>-</v>
      </c>
      <c r="AX85" s="13" t="str">
        <f t="shared" si="76"/>
        <v>-</v>
      </c>
      <c r="AY85" s="10" t="str">
        <f t="shared" si="77"/>
        <v>-</v>
      </c>
      <c r="AZ85" s="9" t="str">
        <f t="shared" si="78"/>
        <v>-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</row>
    <row r="86" spans="2:68" x14ac:dyDescent="0.3">
      <c r="B86" s="108" t="str">
        <f t="shared" si="63"/>
        <v/>
      </c>
      <c r="C86" s="108" t="str">
        <f t="shared" si="47"/>
        <v/>
      </c>
      <c r="D86" s="3"/>
      <c r="E86" s="3"/>
      <c r="F86" s="3"/>
      <c r="G86" s="20">
        <f>IFERROR(INDEX('Input - Iceland'!F$2:F$200,MATCH('Calculations - Iceland'!$C86,'Input - Iceland'!$B$2:$B$200,0)),"")</f>
        <v>0</v>
      </c>
      <c r="H86" s="20">
        <f>IFERROR(INDEX('Input - Iceland'!G$2:G$200,MATCH('Calculations - Iceland'!$C86,'Input - Iceland'!$B$2:$B$200,0)),"")</f>
        <v>0</v>
      </c>
      <c r="I86" s="21">
        <f>IFERROR(INDEX('Input - Iceland'!H$2:H$200,MATCH('Calculations - Iceland'!$C86,'Input - Iceland'!$B$2:$B$200,0)),"")</f>
        <v>0</v>
      </c>
      <c r="J86" s="21">
        <f>IFERROR(INDEX('Input - Iceland'!I$2:I$200,MATCH('Calculations - Iceland'!$C86,'Input - Iceland'!$B$2:$B$200,0)),"")</f>
        <v>0</v>
      </c>
      <c r="K86" s="20">
        <f>IFERROR(INDEX('Input - Iceland'!J$2:J$200,MATCH('Calculations - Iceland'!$C86,'Input - Iceland'!$B$2:$B$200,0)),"")</f>
        <v>0</v>
      </c>
      <c r="L86" s="20">
        <f>IFERROR(INDEX('Input - Iceland'!K$2:K$200,MATCH('Calculations - Iceland'!$C86,'Input - Iceland'!$B$2:$B$200,0)),"")</f>
        <v>0</v>
      </c>
      <c r="M86" s="21" t="str">
        <f t="shared" si="64"/>
        <v/>
      </c>
      <c r="N86" s="21" t="str">
        <f t="shared" si="48"/>
        <v/>
      </c>
      <c r="O86" s="21">
        <f t="shared" si="65"/>
        <v>0</v>
      </c>
      <c r="P86" s="9">
        <f t="shared" si="79"/>
        <v>0</v>
      </c>
      <c r="Q86" s="9">
        <f t="shared" si="80"/>
        <v>0</v>
      </c>
      <c r="R86" s="22" t="str">
        <f>IFERROR(INDEX(Iceland!$Q$11:$Q$165,MATCH('Calculations - Iceland'!$C86,Iceland!$M$11:$M$165,0)),"")</f>
        <v/>
      </c>
      <c r="S86" s="22" t="str">
        <f>IFERROR(INDEX(Iceland!$R$11:$R$165,MATCH('Calculations - Iceland'!$C86,Iceland!$M$11:$M$165,0)),"")</f>
        <v/>
      </c>
      <c r="T86" s="16" t="e">
        <f t="shared" si="51"/>
        <v>#VALUE!</v>
      </c>
      <c r="U86" s="16" t="e">
        <f t="shared" si="66"/>
        <v>#VALUE!</v>
      </c>
      <c r="V86" s="16" t="e">
        <f t="shared" si="67"/>
        <v>#VALUE!</v>
      </c>
      <c r="W86" s="10" t="str">
        <f t="shared" si="52"/>
        <v>-</v>
      </c>
      <c r="X86" s="10" t="str">
        <f t="shared" si="53"/>
        <v>-</v>
      </c>
      <c r="Y86" s="13" t="str">
        <f t="shared" si="68"/>
        <v>-</v>
      </c>
      <c r="Z86" s="9" t="str">
        <f t="shared" si="54"/>
        <v>-</v>
      </c>
      <c r="AA86" s="16" t="str">
        <f t="shared" si="69"/>
        <v>-</v>
      </c>
      <c r="AB86" s="16" t="str">
        <f t="shared" si="55"/>
        <v>-</v>
      </c>
      <c r="AC86" s="16" t="str">
        <f t="shared" si="56"/>
        <v>-</v>
      </c>
      <c r="AD86" s="16" t="str">
        <f t="shared" si="70"/>
        <v>-</v>
      </c>
      <c r="AE86" s="16"/>
      <c r="AF86" s="31" t="str">
        <f>IFERROR(INDEX(Iceland!$P$11:$P$165,MATCH('Calculations - Iceland'!C86,Iceland!$M$11:$M$165,0)),"")</f>
        <v/>
      </c>
      <c r="AG86" s="23" t="str">
        <f t="shared" si="71"/>
        <v/>
      </c>
      <c r="AH86" s="23" t="str">
        <f t="shared" si="71"/>
        <v/>
      </c>
      <c r="AI86" s="9" t="str">
        <f t="shared" si="57"/>
        <v/>
      </c>
      <c r="AJ86" s="4" t="str">
        <f t="shared" si="58"/>
        <v/>
      </c>
      <c r="AK86" s="4"/>
      <c r="AL86" s="4"/>
      <c r="AM86" s="4"/>
      <c r="AN86" s="4"/>
      <c r="AO86" s="4"/>
      <c r="AP86" s="20" t="str">
        <f t="shared" si="59"/>
        <v>-</v>
      </c>
      <c r="AQ86" s="13" t="str">
        <f t="shared" si="72"/>
        <v>-</v>
      </c>
      <c r="AR86" s="13" t="str">
        <f t="shared" si="73"/>
        <v>-</v>
      </c>
      <c r="AS86" s="13" t="str">
        <f t="shared" si="60"/>
        <v>-</v>
      </c>
      <c r="AT86" s="16" t="str">
        <f t="shared" si="74"/>
        <v>-</v>
      </c>
      <c r="AU86" s="16" t="str">
        <f t="shared" si="61"/>
        <v>-</v>
      </c>
      <c r="AV86" s="16" t="str">
        <f t="shared" si="62"/>
        <v>-</v>
      </c>
      <c r="AW86" s="16" t="str">
        <f t="shared" si="75"/>
        <v>-</v>
      </c>
      <c r="AX86" s="13" t="str">
        <f t="shared" si="76"/>
        <v>-</v>
      </c>
      <c r="AY86" s="10" t="str">
        <f t="shared" si="77"/>
        <v>-</v>
      </c>
      <c r="AZ86" s="9" t="str">
        <f t="shared" si="78"/>
        <v>-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</row>
    <row r="87" spans="2:68" x14ac:dyDescent="0.3">
      <c r="B87" s="108" t="str">
        <f t="shared" si="63"/>
        <v/>
      </c>
      <c r="C87" s="108" t="str">
        <f t="shared" si="47"/>
        <v/>
      </c>
      <c r="D87" s="3"/>
      <c r="E87" s="3"/>
      <c r="F87" s="3"/>
      <c r="G87" s="20">
        <f>IFERROR(INDEX('Input - Iceland'!F$2:F$200,MATCH('Calculations - Iceland'!$C87,'Input - Iceland'!$B$2:$B$200,0)),"")</f>
        <v>0</v>
      </c>
      <c r="H87" s="20">
        <f>IFERROR(INDEX('Input - Iceland'!G$2:G$200,MATCH('Calculations - Iceland'!$C87,'Input - Iceland'!$B$2:$B$200,0)),"")</f>
        <v>0</v>
      </c>
      <c r="I87" s="21">
        <f>IFERROR(INDEX('Input - Iceland'!H$2:H$200,MATCH('Calculations - Iceland'!$C87,'Input - Iceland'!$B$2:$B$200,0)),"")</f>
        <v>0</v>
      </c>
      <c r="J87" s="21">
        <f>IFERROR(INDEX('Input - Iceland'!I$2:I$200,MATCH('Calculations - Iceland'!$C87,'Input - Iceland'!$B$2:$B$200,0)),"")</f>
        <v>0</v>
      </c>
      <c r="K87" s="20">
        <f>IFERROR(INDEX('Input - Iceland'!J$2:J$200,MATCH('Calculations - Iceland'!$C87,'Input - Iceland'!$B$2:$B$200,0)),"")</f>
        <v>0</v>
      </c>
      <c r="L87" s="20">
        <f>IFERROR(INDEX('Input - Iceland'!K$2:K$200,MATCH('Calculations - Iceland'!$C87,'Input - Iceland'!$B$2:$B$200,0)),"")</f>
        <v>0</v>
      </c>
      <c r="M87" s="21" t="str">
        <f t="shared" si="64"/>
        <v/>
      </c>
      <c r="N87" s="21" t="str">
        <f t="shared" si="48"/>
        <v/>
      </c>
      <c r="O87" s="21">
        <f t="shared" si="65"/>
        <v>0</v>
      </c>
      <c r="P87" s="9">
        <f t="shared" si="79"/>
        <v>0</v>
      </c>
      <c r="Q87" s="9">
        <f t="shared" si="80"/>
        <v>0</v>
      </c>
      <c r="R87" s="22" t="str">
        <f>IFERROR(INDEX(Iceland!$Q$11:$Q$165,MATCH('Calculations - Iceland'!$C87,Iceland!$M$11:$M$165,0)),"")</f>
        <v/>
      </c>
      <c r="S87" s="22" t="str">
        <f>IFERROR(INDEX(Iceland!$R$11:$R$165,MATCH('Calculations - Iceland'!$C87,Iceland!$M$11:$M$165,0)),"")</f>
        <v/>
      </c>
      <c r="T87" s="16" t="e">
        <f t="shared" si="51"/>
        <v>#VALUE!</v>
      </c>
      <c r="U87" s="16" t="e">
        <f t="shared" si="66"/>
        <v>#VALUE!</v>
      </c>
      <c r="V87" s="16" t="e">
        <f t="shared" si="67"/>
        <v>#VALUE!</v>
      </c>
      <c r="W87" s="10" t="str">
        <f t="shared" si="52"/>
        <v>-</v>
      </c>
      <c r="X87" s="10" t="str">
        <f t="shared" si="53"/>
        <v>-</v>
      </c>
      <c r="Y87" s="13" t="str">
        <f t="shared" si="68"/>
        <v>-</v>
      </c>
      <c r="Z87" s="9" t="str">
        <f t="shared" si="54"/>
        <v>-</v>
      </c>
      <c r="AA87" s="16" t="str">
        <f t="shared" si="69"/>
        <v>-</v>
      </c>
      <c r="AB87" s="16" t="str">
        <f t="shared" si="55"/>
        <v>-</v>
      </c>
      <c r="AC87" s="16" t="str">
        <f t="shared" si="56"/>
        <v>-</v>
      </c>
      <c r="AD87" s="16" t="str">
        <f t="shared" si="70"/>
        <v>-</v>
      </c>
      <c r="AE87" s="16"/>
      <c r="AF87" s="31" t="str">
        <f>IFERROR(INDEX(Iceland!$P$11:$P$165,MATCH('Calculations - Iceland'!C87,Iceland!$M$11:$M$165,0)),"")</f>
        <v/>
      </c>
      <c r="AG87" s="23" t="str">
        <f t="shared" si="71"/>
        <v/>
      </c>
      <c r="AH87" s="23" t="str">
        <f t="shared" si="71"/>
        <v/>
      </c>
      <c r="AI87" s="9" t="str">
        <f t="shared" si="57"/>
        <v/>
      </c>
      <c r="AJ87" s="4" t="str">
        <f t="shared" si="58"/>
        <v/>
      </c>
      <c r="AK87" s="4"/>
      <c r="AL87" s="4"/>
      <c r="AM87" s="4"/>
      <c r="AN87" s="4"/>
      <c r="AO87" s="4"/>
      <c r="AP87" s="20" t="str">
        <f t="shared" si="59"/>
        <v>-</v>
      </c>
      <c r="AQ87" s="13" t="str">
        <f t="shared" si="72"/>
        <v>-</v>
      </c>
      <c r="AR87" s="13" t="str">
        <f t="shared" si="73"/>
        <v>-</v>
      </c>
      <c r="AS87" s="13" t="str">
        <f t="shared" si="60"/>
        <v>-</v>
      </c>
      <c r="AT87" s="16" t="str">
        <f t="shared" si="74"/>
        <v>-</v>
      </c>
      <c r="AU87" s="16" t="str">
        <f t="shared" si="61"/>
        <v>-</v>
      </c>
      <c r="AV87" s="16" t="str">
        <f t="shared" si="62"/>
        <v>-</v>
      </c>
      <c r="AW87" s="16" t="str">
        <f t="shared" si="75"/>
        <v>-</v>
      </c>
      <c r="AX87" s="13" t="str">
        <f t="shared" si="76"/>
        <v>-</v>
      </c>
      <c r="AY87" s="10" t="str">
        <f t="shared" si="77"/>
        <v>-</v>
      </c>
      <c r="AZ87" s="9" t="str">
        <f t="shared" si="78"/>
        <v>-</v>
      </c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</row>
    <row r="88" spans="2:68" x14ac:dyDescent="0.3">
      <c r="B88" s="108" t="str">
        <f t="shared" si="63"/>
        <v/>
      </c>
      <c r="C88" s="108" t="str">
        <f t="shared" si="47"/>
        <v/>
      </c>
      <c r="D88" s="3"/>
      <c r="E88" s="3"/>
      <c r="F88" s="3"/>
      <c r="G88" s="20">
        <f>IFERROR(INDEX('Input - Iceland'!F$2:F$200,MATCH('Calculations - Iceland'!$C88,'Input - Iceland'!$B$2:$B$200,0)),"")</f>
        <v>0</v>
      </c>
      <c r="H88" s="20">
        <f>IFERROR(INDEX('Input - Iceland'!G$2:G$200,MATCH('Calculations - Iceland'!$C88,'Input - Iceland'!$B$2:$B$200,0)),"")</f>
        <v>0</v>
      </c>
      <c r="I88" s="21">
        <f>IFERROR(INDEX('Input - Iceland'!H$2:H$200,MATCH('Calculations - Iceland'!$C88,'Input - Iceland'!$B$2:$B$200,0)),"")</f>
        <v>0</v>
      </c>
      <c r="J88" s="21">
        <f>IFERROR(INDEX('Input - Iceland'!I$2:I$200,MATCH('Calculations - Iceland'!$C88,'Input - Iceland'!$B$2:$B$200,0)),"")</f>
        <v>0</v>
      </c>
      <c r="K88" s="20">
        <f>IFERROR(INDEX('Input - Iceland'!J$2:J$200,MATCH('Calculations - Iceland'!$C88,'Input - Iceland'!$B$2:$B$200,0)),"")</f>
        <v>0</v>
      </c>
      <c r="L88" s="20">
        <f>IFERROR(INDEX('Input - Iceland'!K$2:K$200,MATCH('Calculations - Iceland'!$C88,'Input - Iceland'!$B$2:$B$200,0)),"")</f>
        <v>0</v>
      </c>
      <c r="M88" s="21" t="str">
        <f t="shared" si="64"/>
        <v/>
      </c>
      <c r="N88" s="21" t="str">
        <f t="shared" si="48"/>
        <v/>
      </c>
      <c r="O88" s="21">
        <f t="shared" si="65"/>
        <v>0</v>
      </c>
      <c r="P88" s="9">
        <f t="shared" si="79"/>
        <v>0</v>
      </c>
      <c r="Q88" s="9">
        <f t="shared" si="80"/>
        <v>0</v>
      </c>
      <c r="R88" s="22" t="str">
        <f>IFERROR(INDEX(Iceland!$Q$11:$Q$165,MATCH('Calculations - Iceland'!$C88,Iceland!$M$11:$M$165,0)),"")</f>
        <v/>
      </c>
      <c r="S88" s="22" t="str">
        <f>IFERROR(INDEX(Iceland!$R$11:$R$165,MATCH('Calculations - Iceland'!$C88,Iceland!$M$11:$M$165,0)),"")</f>
        <v/>
      </c>
      <c r="T88" s="16" t="e">
        <f t="shared" si="51"/>
        <v>#VALUE!</v>
      </c>
      <c r="U88" s="16" t="e">
        <f t="shared" si="66"/>
        <v>#VALUE!</v>
      </c>
      <c r="V88" s="16" t="e">
        <f t="shared" si="67"/>
        <v>#VALUE!</v>
      </c>
      <c r="W88" s="10" t="str">
        <f t="shared" si="52"/>
        <v>-</v>
      </c>
      <c r="X88" s="10" t="str">
        <f t="shared" si="53"/>
        <v>-</v>
      </c>
      <c r="Y88" s="13" t="str">
        <f t="shared" si="68"/>
        <v>-</v>
      </c>
      <c r="Z88" s="9" t="str">
        <f t="shared" si="54"/>
        <v>-</v>
      </c>
      <c r="AA88" s="16" t="str">
        <f t="shared" si="69"/>
        <v>-</v>
      </c>
      <c r="AB88" s="16" t="str">
        <f t="shared" si="55"/>
        <v>-</v>
      </c>
      <c r="AC88" s="16" t="str">
        <f t="shared" si="56"/>
        <v>-</v>
      </c>
      <c r="AD88" s="16" t="str">
        <f t="shared" si="70"/>
        <v>-</v>
      </c>
      <c r="AE88" s="16"/>
      <c r="AF88" s="31" t="str">
        <f>IFERROR(INDEX(Iceland!$P$11:$P$165,MATCH('Calculations - Iceland'!C88,Iceland!$M$11:$M$165,0)),"")</f>
        <v/>
      </c>
      <c r="AG88" s="23" t="str">
        <f t="shared" si="71"/>
        <v/>
      </c>
      <c r="AH88" s="23" t="str">
        <f t="shared" si="71"/>
        <v/>
      </c>
      <c r="AI88" s="9" t="str">
        <f t="shared" si="57"/>
        <v/>
      </c>
      <c r="AJ88" s="4" t="str">
        <f t="shared" si="58"/>
        <v/>
      </c>
      <c r="AK88" s="4"/>
      <c r="AL88" s="4"/>
      <c r="AM88" s="4"/>
      <c r="AN88" s="4"/>
      <c r="AO88" s="4"/>
      <c r="AP88" s="20" t="str">
        <f t="shared" si="59"/>
        <v>-</v>
      </c>
      <c r="AQ88" s="13" t="str">
        <f t="shared" si="72"/>
        <v>-</v>
      </c>
      <c r="AR88" s="13" t="str">
        <f t="shared" si="73"/>
        <v>-</v>
      </c>
      <c r="AS88" s="13" t="str">
        <f t="shared" si="60"/>
        <v>-</v>
      </c>
      <c r="AT88" s="16" t="str">
        <f t="shared" si="74"/>
        <v>-</v>
      </c>
      <c r="AU88" s="16" t="str">
        <f t="shared" si="61"/>
        <v>-</v>
      </c>
      <c r="AV88" s="16" t="str">
        <f t="shared" si="62"/>
        <v>-</v>
      </c>
      <c r="AW88" s="16" t="str">
        <f t="shared" si="75"/>
        <v>-</v>
      </c>
      <c r="AX88" s="13" t="str">
        <f t="shared" si="76"/>
        <v>-</v>
      </c>
      <c r="AY88" s="10" t="str">
        <f t="shared" si="77"/>
        <v>-</v>
      </c>
      <c r="AZ88" s="9" t="str">
        <f t="shared" si="78"/>
        <v>-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</row>
    <row r="89" spans="2:68" x14ac:dyDescent="0.3">
      <c r="B89" s="108" t="str">
        <f t="shared" si="63"/>
        <v/>
      </c>
      <c r="C89" s="108" t="str">
        <f t="shared" si="47"/>
        <v/>
      </c>
      <c r="D89" s="3"/>
      <c r="E89" s="3"/>
      <c r="F89" s="3"/>
      <c r="G89" s="20">
        <f>IFERROR(INDEX('Input - Iceland'!F$2:F$200,MATCH('Calculations - Iceland'!$C89,'Input - Iceland'!$B$2:$B$200,0)),"")</f>
        <v>0</v>
      </c>
      <c r="H89" s="20">
        <f>IFERROR(INDEX('Input - Iceland'!G$2:G$200,MATCH('Calculations - Iceland'!$C89,'Input - Iceland'!$B$2:$B$200,0)),"")</f>
        <v>0</v>
      </c>
      <c r="I89" s="21">
        <f>IFERROR(INDEX('Input - Iceland'!H$2:H$200,MATCH('Calculations - Iceland'!$C89,'Input - Iceland'!$B$2:$B$200,0)),"")</f>
        <v>0</v>
      </c>
      <c r="J89" s="21">
        <f>IFERROR(INDEX('Input - Iceland'!I$2:I$200,MATCH('Calculations - Iceland'!$C89,'Input - Iceland'!$B$2:$B$200,0)),"")</f>
        <v>0</v>
      </c>
      <c r="K89" s="20">
        <f>IFERROR(INDEX('Input - Iceland'!J$2:J$200,MATCH('Calculations - Iceland'!$C89,'Input - Iceland'!$B$2:$B$200,0)),"")</f>
        <v>0</v>
      </c>
      <c r="L89" s="20">
        <f>IFERROR(INDEX('Input - Iceland'!K$2:K$200,MATCH('Calculations - Iceland'!$C89,'Input - Iceland'!$B$2:$B$200,0)),"")</f>
        <v>0</v>
      </c>
      <c r="M89" s="21" t="str">
        <f t="shared" si="64"/>
        <v/>
      </c>
      <c r="N89" s="21" t="str">
        <f t="shared" si="48"/>
        <v/>
      </c>
      <c r="O89" s="21">
        <f t="shared" si="65"/>
        <v>0</v>
      </c>
      <c r="P89" s="9">
        <f t="shared" si="79"/>
        <v>0</v>
      </c>
      <c r="Q89" s="9">
        <f t="shared" si="80"/>
        <v>0</v>
      </c>
      <c r="R89" s="22" t="str">
        <f>IFERROR(INDEX(Iceland!$Q$11:$Q$165,MATCH('Calculations - Iceland'!$C89,Iceland!$M$11:$M$165,0)),"")</f>
        <v/>
      </c>
      <c r="S89" s="22" t="str">
        <f>IFERROR(INDEX(Iceland!$R$11:$R$165,MATCH('Calculations - Iceland'!$C89,Iceland!$M$11:$M$165,0)),"")</f>
        <v/>
      </c>
      <c r="T89" s="16" t="e">
        <f t="shared" si="51"/>
        <v>#VALUE!</v>
      </c>
      <c r="U89" s="16" t="e">
        <f t="shared" si="66"/>
        <v>#VALUE!</v>
      </c>
      <c r="V89" s="16" t="e">
        <f t="shared" si="67"/>
        <v>#VALUE!</v>
      </c>
      <c r="W89" s="10" t="str">
        <f t="shared" si="52"/>
        <v>-</v>
      </c>
      <c r="X89" s="10" t="str">
        <f t="shared" si="53"/>
        <v>-</v>
      </c>
      <c r="Y89" s="13" t="str">
        <f t="shared" si="68"/>
        <v>-</v>
      </c>
      <c r="Z89" s="9" t="str">
        <f t="shared" si="54"/>
        <v>-</v>
      </c>
      <c r="AA89" s="16" t="str">
        <f t="shared" si="69"/>
        <v>-</v>
      </c>
      <c r="AB89" s="16" t="str">
        <f t="shared" si="55"/>
        <v>-</v>
      </c>
      <c r="AC89" s="16" t="str">
        <f t="shared" si="56"/>
        <v>-</v>
      </c>
      <c r="AD89" s="16" t="str">
        <f t="shared" si="70"/>
        <v>-</v>
      </c>
      <c r="AE89" s="16"/>
      <c r="AF89" s="31" t="str">
        <f>IFERROR(INDEX(Iceland!$P$11:$P$165,MATCH('Calculations - Iceland'!C89,Iceland!$M$11:$M$165,0)),"")</f>
        <v/>
      </c>
      <c r="AG89" s="23" t="str">
        <f t="shared" si="71"/>
        <v/>
      </c>
      <c r="AH89" s="23" t="str">
        <f t="shared" si="71"/>
        <v/>
      </c>
      <c r="AI89" s="9" t="str">
        <f t="shared" si="57"/>
        <v/>
      </c>
      <c r="AJ89" s="4" t="str">
        <f t="shared" si="58"/>
        <v/>
      </c>
      <c r="AK89" s="4"/>
      <c r="AL89" s="4"/>
      <c r="AM89" s="4"/>
      <c r="AN89" s="4"/>
      <c r="AO89" s="4"/>
      <c r="AP89" s="20" t="str">
        <f t="shared" si="59"/>
        <v>-</v>
      </c>
      <c r="AQ89" s="13" t="str">
        <f t="shared" si="72"/>
        <v>-</v>
      </c>
      <c r="AR89" s="13" t="str">
        <f t="shared" si="73"/>
        <v>-</v>
      </c>
      <c r="AS89" s="13" t="str">
        <f t="shared" si="60"/>
        <v>-</v>
      </c>
      <c r="AT89" s="16" t="str">
        <f t="shared" si="74"/>
        <v>-</v>
      </c>
      <c r="AU89" s="16" t="str">
        <f t="shared" si="61"/>
        <v>-</v>
      </c>
      <c r="AV89" s="16" t="str">
        <f t="shared" si="62"/>
        <v>-</v>
      </c>
      <c r="AW89" s="16" t="str">
        <f t="shared" si="75"/>
        <v>-</v>
      </c>
      <c r="AX89" s="13" t="str">
        <f t="shared" si="76"/>
        <v>-</v>
      </c>
      <c r="AY89" s="10" t="str">
        <f t="shared" si="77"/>
        <v>-</v>
      </c>
      <c r="AZ89" s="9" t="str">
        <f t="shared" si="78"/>
        <v>-</v>
      </c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</row>
    <row r="90" spans="2:68" x14ac:dyDescent="0.3">
      <c r="B90" s="108" t="str">
        <f t="shared" si="63"/>
        <v/>
      </c>
      <c r="C90" s="108" t="str">
        <f t="shared" si="47"/>
        <v/>
      </c>
      <c r="D90" s="3"/>
      <c r="E90" s="3"/>
      <c r="F90" s="3"/>
      <c r="G90" s="20">
        <f>IFERROR(INDEX('Input - Iceland'!F$2:F$200,MATCH('Calculations - Iceland'!$C90,'Input - Iceland'!$B$2:$B$200,0)),"")</f>
        <v>0</v>
      </c>
      <c r="H90" s="20">
        <f>IFERROR(INDEX('Input - Iceland'!G$2:G$200,MATCH('Calculations - Iceland'!$C90,'Input - Iceland'!$B$2:$B$200,0)),"")</f>
        <v>0</v>
      </c>
      <c r="I90" s="21">
        <f>IFERROR(INDEX('Input - Iceland'!H$2:H$200,MATCH('Calculations - Iceland'!$C90,'Input - Iceland'!$B$2:$B$200,0)),"")</f>
        <v>0</v>
      </c>
      <c r="J90" s="21">
        <f>IFERROR(INDEX('Input - Iceland'!I$2:I$200,MATCH('Calculations - Iceland'!$C90,'Input - Iceland'!$B$2:$B$200,0)),"")</f>
        <v>0</v>
      </c>
      <c r="K90" s="20">
        <f>IFERROR(INDEX('Input - Iceland'!J$2:J$200,MATCH('Calculations - Iceland'!$C90,'Input - Iceland'!$B$2:$B$200,0)),"")</f>
        <v>0</v>
      </c>
      <c r="L90" s="20">
        <f>IFERROR(INDEX('Input - Iceland'!K$2:K$200,MATCH('Calculations - Iceland'!$C90,'Input - Iceland'!$B$2:$B$200,0)),"")</f>
        <v>0</v>
      </c>
      <c r="M90" s="21" t="str">
        <f t="shared" si="64"/>
        <v/>
      </c>
      <c r="N90" s="21" t="str">
        <f t="shared" si="48"/>
        <v/>
      </c>
      <c r="O90" s="21">
        <f t="shared" si="65"/>
        <v>0</v>
      </c>
      <c r="P90" s="9">
        <f t="shared" si="79"/>
        <v>0</v>
      </c>
      <c r="Q90" s="9">
        <f t="shared" si="80"/>
        <v>0</v>
      </c>
      <c r="R90" s="22" t="str">
        <f>IFERROR(INDEX(Iceland!$Q$11:$Q$165,MATCH('Calculations - Iceland'!$C90,Iceland!$M$11:$M$165,0)),"")</f>
        <v/>
      </c>
      <c r="S90" s="22" t="str">
        <f>IFERROR(INDEX(Iceland!$R$11:$R$165,MATCH('Calculations - Iceland'!$C90,Iceland!$M$11:$M$165,0)),"")</f>
        <v/>
      </c>
      <c r="T90" s="16" t="e">
        <f t="shared" si="51"/>
        <v>#VALUE!</v>
      </c>
      <c r="U90" s="16" t="e">
        <f t="shared" si="66"/>
        <v>#VALUE!</v>
      </c>
      <c r="V90" s="16" t="e">
        <f t="shared" si="67"/>
        <v>#VALUE!</v>
      </c>
      <c r="W90" s="10" t="str">
        <f t="shared" si="52"/>
        <v>-</v>
      </c>
      <c r="X90" s="10" t="str">
        <f t="shared" si="53"/>
        <v>-</v>
      </c>
      <c r="Y90" s="13" t="str">
        <f t="shared" si="68"/>
        <v>-</v>
      </c>
      <c r="Z90" s="9" t="str">
        <f t="shared" si="54"/>
        <v>-</v>
      </c>
      <c r="AA90" s="16" t="str">
        <f t="shared" si="69"/>
        <v>-</v>
      </c>
      <c r="AB90" s="16" t="str">
        <f t="shared" si="55"/>
        <v>-</v>
      </c>
      <c r="AC90" s="16" t="str">
        <f t="shared" si="56"/>
        <v>-</v>
      </c>
      <c r="AD90" s="16" t="str">
        <f t="shared" si="70"/>
        <v>-</v>
      </c>
      <c r="AE90" s="16"/>
      <c r="AF90" s="31" t="str">
        <f>IFERROR(INDEX(Iceland!$P$11:$P$165,MATCH('Calculations - Iceland'!C90,Iceland!$M$11:$M$165,0)),"")</f>
        <v/>
      </c>
      <c r="AG90" s="23" t="str">
        <f t="shared" si="71"/>
        <v/>
      </c>
      <c r="AH90" s="23" t="str">
        <f t="shared" si="71"/>
        <v/>
      </c>
      <c r="AI90" s="9" t="str">
        <f t="shared" si="57"/>
        <v/>
      </c>
      <c r="AJ90" s="4" t="str">
        <f t="shared" si="58"/>
        <v/>
      </c>
      <c r="AK90" s="4"/>
      <c r="AL90" s="4"/>
      <c r="AM90" s="4"/>
      <c r="AN90" s="4"/>
      <c r="AO90" s="4"/>
      <c r="AP90" s="20" t="str">
        <f t="shared" si="59"/>
        <v>-</v>
      </c>
      <c r="AQ90" s="13" t="str">
        <f t="shared" si="72"/>
        <v>-</v>
      </c>
      <c r="AR90" s="13" t="str">
        <f t="shared" si="73"/>
        <v>-</v>
      </c>
      <c r="AS90" s="13" t="str">
        <f t="shared" si="60"/>
        <v>-</v>
      </c>
      <c r="AT90" s="16" t="str">
        <f t="shared" si="74"/>
        <v>-</v>
      </c>
      <c r="AU90" s="16" t="str">
        <f t="shared" si="61"/>
        <v>-</v>
      </c>
      <c r="AV90" s="16" t="str">
        <f t="shared" si="62"/>
        <v>-</v>
      </c>
      <c r="AW90" s="16" t="str">
        <f t="shared" si="75"/>
        <v>-</v>
      </c>
      <c r="AX90" s="13" t="str">
        <f t="shared" si="76"/>
        <v>-</v>
      </c>
      <c r="AY90" s="10" t="str">
        <f t="shared" si="77"/>
        <v>-</v>
      </c>
      <c r="AZ90" s="9" t="str">
        <f t="shared" si="78"/>
        <v>-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</row>
    <row r="91" spans="2:68" x14ac:dyDescent="0.3">
      <c r="B91" s="108" t="str">
        <f t="shared" si="63"/>
        <v/>
      </c>
      <c r="C91" s="108" t="str">
        <f t="shared" si="47"/>
        <v/>
      </c>
      <c r="D91" s="3"/>
      <c r="E91" s="3"/>
      <c r="F91" s="3"/>
      <c r="G91" s="20">
        <f>IFERROR(INDEX('Input - Iceland'!F$2:F$200,MATCH('Calculations - Iceland'!$C91,'Input - Iceland'!$B$2:$B$200,0)),"")</f>
        <v>0</v>
      </c>
      <c r="H91" s="20">
        <f>IFERROR(INDEX('Input - Iceland'!G$2:G$200,MATCH('Calculations - Iceland'!$C91,'Input - Iceland'!$B$2:$B$200,0)),"")</f>
        <v>0</v>
      </c>
      <c r="I91" s="21">
        <f>IFERROR(INDEX('Input - Iceland'!H$2:H$200,MATCH('Calculations - Iceland'!$C91,'Input - Iceland'!$B$2:$B$200,0)),"")</f>
        <v>0</v>
      </c>
      <c r="J91" s="21">
        <f>IFERROR(INDEX('Input - Iceland'!I$2:I$200,MATCH('Calculations - Iceland'!$C91,'Input - Iceland'!$B$2:$B$200,0)),"")</f>
        <v>0</v>
      </c>
      <c r="K91" s="20">
        <f>IFERROR(INDEX('Input - Iceland'!J$2:J$200,MATCH('Calculations - Iceland'!$C91,'Input - Iceland'!$B$2:$B$200,0)),"")</f>
        <v>0</v>
      </c>
      <c r="L91" s="20">
        <f>IFERROR(INDEX('Input - Iceland'!K$2:K$200,MATCH('Calculations - Iceland'!$C91,'Input - Iceland'!$B$2:$B$200,0)),"")</f>
        <v>0</v>
      </c>
      <c r="M91" s="21" t="str">
        <f t="shared" si="64"/>
        <v/>
      </c>
      <c r="N91" s="21" t="str">
        <f t="shared" si="48"/>
        <v/>
      </c>
      <c r="O91" s="21">
        <f t="shared" si="65"/>
        <v>0</v>
      </c>
      <c r="P91" s="9">
        <f t="shared" si="79"/>
        <v>0</v>
      </c>
      <c r="Q91" s="9">
        <f t="shared" si="80"/>
        <v>0</v>
      </c>
      <c r="R91" s="22" t="str">
        <f>IFERROR(INDEX(Iceland!$Q$11:$Q$165,MATCH('Calculations - Iceland'!$C91,Iceland!$M$11:$M$165,0)),"")</f>
        <v/>
      </c>
      <c r="S91" s="22" t="str">
        <f>IFERROR(INDEX(Iceland!$R$11:$R$165,MATCH('Calculations - Iceland'!$C91,Iceland!$M$11:$M$165,0)),"")</f>
        <v/>
      </c>
      <c r="T91" s="16" t="e">
        <f t="shared" si="51"/>
        <v>#VALUE!</v>
      </c>
      <c r="U91" s="16" t="e">
        <f t="shared" si="66"/>
        <v>#VALUE!</v>
      </c>
      <c r="V91" s="16" t="e">
        <f t="shared" si="67"/>
        <v>#VALUE!</v>
      </c>
      <c r="W91" s="10" t="str">
        <f t="shared" si="52"/>
        <v>-</v>
      </c>
      <c r="X91" s="10" t="str">
        <f t="shared" si="53"/>
        <v>-</v>
      </c>
      <c r="Y91" s="13" t="str">
        <f t="shared" si="68"/>
        <v>-</v>
      </c>
      <c r="Z91" s="9" t="str">
        <f t="shared" si="54"/>
        <v>-</v>
      </c>
      <c r="AA91" s="16" t="str">
        <f t="shared" si="69"/>
        <v>-</v>
      </c>
      <c r="AB91" s="16" t="str">
        <f t="shared" si="55"/>
        <v>-</v>
      </c>
      <c r="AC91" s="16" t="str">
        <f t="shared" si="56"/>
        <v>-</v>
      </c>
      <c r="AD91" s="16" t="str">
        <f t="shared" si="70"/>
        <v>-</v>
      </c>
      <c r="AE91" s="16"/>
      <c r="AF91" s="31" t="str">
        <f>IFERROR(INDEX(Iceland!$P$11:$P$165,MATCH('Calculations - Iceland'!C91,Iceland!$M$11:$M$165,0)),"")</f>
        <v/>
      </c>
      <c r="AG91" s="23" t="str">
        <f t="shared" si="71"/>
        <v/>
      </c>
      <c r="AH91" s="23" t="str">
        <f t="shared" si="71"/>
        <v/>
      </c>
      <c r="AI91" s="9" t="str">
        <f t="shared" si="57"/>
        <v/>
      </c>
      <c r="AJ91" s="4" t="str">
        <f t="shared" si="58"/>
        <v/>
      </c>
      <c r="AK91" s="4"/>
      <c r="AL91" s="4"/>
      <c r="AM91" s="4"/>
      <c r="AN91" s="4"/>
      <c r="AO91" s="4"/>
      <c r="AP91" s="20" t="str">
        <f t="shared" si="59"/>
        <v>-</v>
      </c>
      <c r="AQ91" s="13" t="str">
        <f t="shared" si="72"/>
        <v>-</v>
      </c>
      <c r="AR91" s="13" t="str">
        <f t="shared" si="73"/>
        <v>-</v>
      </c>
      <c r="AS91" s="13" t="str">
        <f t="shared" si="60"/>
        <v>-</v>
      </c>
      <c r="AT91" s="16" t="str">
        <f t="shared" si="74"/>
        <v>-</v>
      </c>
      <c r="AU91" s="16" t="str">
        <f t="shared" si="61"/>
        <v>-</v>
      </c>
      <c r="AV91" s="16" t="str">
        <f t="shared" si="62"/>
        <v>-</v>
      </c>
      <c r="AW91" s="16" t="str">
        <f t="shared" si="75"/>
        <v>-</v>
      </c>
      <c r="AX91" s="13" t="str">
        <f t="shared" si="76"/>
        <v>-</v>
      </c>
      <c r="AY91" s="10" t="str">
        <f t="shared" si="77"/>
        <v>-</v>
      </c>
      <c r="AZ91" s="9" t="str">
        <f t="shared" si="78"/>
        <v>-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</row>
    <row r="92" spans="2:68" x14ac:dyDescent="0.3">
      <c r="B92" s="108" t="str">
        <f t="shared" si="63"/>
        <v/>
      </c>
      <c r="C92" s="108" t="str">
        <f t="shared" si="47"/>
        <v/>
      </c>
      <c r="D92" s="3"/>
      <c r="E92" s="3"/>
      <c r="F92" s="3"/>
      <c r="G92" s="20">
        <f>IFERROR(INDEX('Input - Iceland'!F$2:F$200,MATCH('Calculations - Iceland'!$C92,'Input - Iceland'!$B$2:$B$200,0)),"")</f>
        <v>0</v>
      </c>
      <c r="H92" s="20">
        <f>IFERROR(INDEX('Input - Iceland'!G$2:G$200,MATCH('Calculations - Iceland'!$C92,'Input - Iceland'!$B$2:$B$200,0)),"")</f>
        <v>0</v>
      </c>
      <c r="I92" s="21">
        <f>IFERROR(INDEX('Input - Iceland'!H$2:H$200,MATCH('Calculations - Iceland'!$C92,'Input - Iceland'!$B$2:$B$200,0)),"")</f>
        <v>0</v>
      </c>
      <c r="J92" s="21">
        <f>IFERROR(INDEX('Input - Iceland'!I$2:I$200,MATCH('Calculations - Iceland'!$C92,'Input - Iceland'!$B$2:$B$200,0)),"")</f>
        <v>0</v>
      </c>
      <c r="K92" s="20">
        <f>IFERROR(INDEX('Input - Iceland'!J$2:J$200,MATCH('Calculations - Iceland'!$C92,'Input - Iceland'!$B$2:$B$200,0)),"")</f>
        <v>0</v>
      </c>
      <c r="L92" s="20">
        <f>IFERROR(INDEX('Input - Iceland'!K$2:K$200,MATCH('Calculations - Iceland'!$C92,'Input - Iceland'!$B$2:$B$200,0)),"")</f>
        <v>0</v>
      </c>
      <c r="M92" s="21" t="str">
        <f t="shared" si="64"/>
        <v/>
      </c>
      <c r="N92" s="21" t="str">
        <f t="shared" si="48"/>
        <v/>
      </c>
      <c r="O92" s="21">
        <f t="shared" si="65"/>
        <v>0</v>
      </c>
      <c r="P92" s="9">
        <f t="shared" si="79"/>
        <v>0</v>
      </c>
      <c r="Q92" s="9">
        <f t="shared" si="80"/>
        <v>0</v>
      </c>
      <c r="R92" s="22" t="str">
        <f>IFERROR(INDEX(Iceland!$Q$11:$Q$165,MATCH('Calculations - Iceland'!$C92,Iceland!$M$11:$M$165,0)),"")</f>
        <v/>
      </c>
      <c r="S92" s="22" t="str">
        <f>IFERROR(INDEX(Iceland!$R$11:$R$165,MATCH('Calculations - Iceland'!$C92,Iceland!$M$11:$M$165,0)),"")</f>
        <v/>
      </c>
      <c r="T92" s="16" t="e">
        <f t="shared" si="51"/>
        <v>#VALUE!</v>
      </c>
      <c r="U92" s="16" t="e">
        <f t="shared" si="66"/>
        <v>#VALUE!</v>
      </c>
      <c r="V92" s="16" t="e">
        <f t="shared" si="67"/>
        <v>#VALUE!</v>
      </c>
      <c r="W92" s="10" t="str">
        <f t="shared" si="52"/>
        <v>-</v>
      </c>
      <c r="X92" s="10" t="str">
        <f t="shared" si="53"/>
        <v>-</v>
      </c>
      <c r="Y92" s="13" t="str">
        <f t="shared" si="68"/>
        <v>-</v>
      </c>
      <c r="Z92" s="9" t="str">
        <f t="shared" si="54"/>
        <v>-</v>
      </c>
      <c r="AA92" s="16" t="str">
        <f t="shared" si="69"/>
        <v>-</v>
      </c>
      <c r="AB92" s="16" t="str">
        <f t="shared" si="55"/>
        <v>-</v>
      </c>
      <c r="AC92" s="16" t="str">
        <f t="shared" si="56"/>
        <v>-</v>
      </c>
      <c r="AD92" s="16" t="str">
        <f t="shared" si="70"/>
        <v>-</v>
      </c>
      <c r="AE92" s="16"/>
      <c r="AF92" s="31" t="str">
        <f>IFERROR(INDEX(Iceland!$P$11:$P$165,MATCH('Calculations - Iceland'!C92,Iceland!$M$11:$M$165,0)),"")</f>
        <v/>
      </c>
      <c r="AG92" s="23" t="str">
        <f t="shared" si="71"/>
        <v/>
      </c>
      <c r="AH92" s="23" t="str">
        <f t="shared" si="71"/>
        <v/>
      </c>
      <c r="AI92" s="9" t="str">
        <f t="shared" si="57"/>
        <v/>
      </c>
      <c r="AJ92" s="4" t="str">
        <f t="shared" si="58"/>
        <v/>
      </c>
      <c r="AK92" s="4"/>
      <c r="AL92" s="4"/>
      <c r="AM92" s="4"/>
      <c r="AN92" s="4"/>
      <c r="AO92" s="4"/>
      <c r="AP92" s="20" t="str">
        <f t="shared" si="59"/>
        <v>-</v>
      </c>
      <c r="AQ92" s="13" t="str">
        <f t="shared" si="72"/>
        <v>-</v>
      </c>
      <c r="AR92" s="13" t="str">
        <f t="shared" si="73"/>
        <v>-</v>
      </c>
      <c r="AS92" s="13" t="str">
        <f t="shared" si="60"/>
        <v>-</v>
      </c>
      <c r="AT92" s="16" t="str">
        <f t="shared" si="74"/>
        <v>-</v>
      </c>
      <c r="AU92" s="16" t="str">
        <f t="shared" si="61"/>
        <v>-</v>
      </c>
      <c r="AV92" s="16" t="str">
        <f t="shared" si="62"/>
        <v>-</v>
      </c>
      <c r="AW92" s="16" t="str">
        <f t="shared" si="75"/>
        <v>-</v>
      </c>
      <c r="AX92" s="13" t="str">
        <f t="shared" si="76"/>
        <v>-</v>
      </c>
      <c r="AY92" s="10" t="str">
        <f t="shared" si="77"/>
        <v>-</v>
      </c>
      <c r="AZ92" s="9" t="str">
        <f t="shared" si="78"/>
        <v>-</v>
      </c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</row>
    <row r="93" spans="2:68" x14ac:dyDescent="0.3">
      <c r="B93" s="108" t="str">
        <f t="shared" si="63"/>
        <v/>
      </c>
      <c r="C93" s="108" t="str">
        <f t="shared" si="47"/>
        <v/>
      </c>
      <c r="D93" s="3"/>
      <c r="E93" s="3"/>
      <c r="F93" s="3"/>
      <c r="G93" s="20">
        <f>IFERROR(INDEX('Input - Iceland'!F$2:F$200,MATCH('Calculations - Iceland'!$C93,'Input - Iceland'!$B$2:$B$200,0)),"")</f>
        <v>0</v>
      </c>
      <c r="H93" s="20">
        <f>IFERROR(INDEX('Input - Iceland'!G$2:G$200,MATCH('Calculations - Iceland'!$C93,'Input - Iceland'!$B$2:$B$200,0)),"")</f>
        <v>0</v>
      </c>
      <c r="I93" s="21">
        <f>IFERROR(INDEX('Input - Iceland'!H$2:H$200,MATCH('Calculations - Iceland'!$C93,'Input - Iceland'!$B$2:$B$200,0)),"")</f>
        <v>0</v>
      </c>
      <c r="J93" s="21">
        <f>IFERROR(INDEX('Input - Iceland'!I$2:I$200,MATCH('Calculations - Iceland'!$C93,'Input - Iceland'!$B$2:$B$200,0)),"")</f>
        <v>0</v>
      </c>
      <c r="K93" s="20">
        <f>IFERROR(INDEX('Input - Iceland'!J$2:J$200,MATCH('Calculations - Iceland'!$C93,'Input - Iceland'!$B$2:$B$200,0)),"")</f>
        <v>0</v>
      </c>
      <c r="L93" s="20">
        <f>IFERROR(INDEX('Input - Iceland'!K$2:K$200,MATCH('Calculations - Iceland'!$C93,'Input - Iceland'!$B$2:$B$200,0)),"")</f>
        <v>0</v>
      </c>
      <c r="M93" s="21" t="str">
        <f t="shared" si="64"/>
        <v/>
      </c>
      <c r="N93" s="21" t="str">
        <f t="shared" si="48"/>
        <v/>
      </c>
      <c r="O93" s="21">
        <f t="shared" si="65"/>
        <v>0</v>
      </c>
      <c r="P93" s="9">
        <f t="shared" si="79"/>
        <v>0</v>
      </c>
      <c r="Q93" s="9">
        <f t="shared" si="80"/>
        <v>0</v>
      </c>
      <c r="R93" s="22" t="str">
        <f>IFERROR(INDEX(Iceland!$Q$11:$Q$165,MATCH('Calculations - Iceland'!$C93,Iceland!$M$11:$M$165,0)),"")</f>
        <v/>
      </c>
      <c r="S93" s="22" t="str">
        <f>IFERROR(INDEX(Iceland!$R$11:$R$165,MATCH('Calculations - Iceland'!$C93,Iceland!$M$11:$M$165,0)),"")</f>
        <v/>
      </c>
      <c r="T93" s="16" t="e">
        <f t="shared" si="51"/>
        <v>#VALUE!</v>
      </c>
      <c r="U93" s="16" t="e">
        <f t="shared" si="66"/>
        <v>#VALUE!</v>
      </c>
      <c r="V93" s="16" t="e">
        <f t="shared" si="67"/>
        <v>#VALUE!</v>
      </c>
      <c r="W93" s="10" t="str">
        <f t="shared" si="52"/>
        <v>-</v>
      </c>
      <c r="X93" s="10" t="str">
        <f t="shared" si="53"/>
        <v>-</v>
      </c>
      <c r="Y93" s="13" t="str">
        <f t="shared" si="68"/>
        <v>-</v>
      </c>
      <c r="Z93" s="9" t="str">
        <f t="shared" si="54"/>
        <v>-</v>
      </c>
      <c r="AA93" s="16" t="str">
        <f t="shared" si="69"/>
        <v>-</v>
      </c>
      <c r="AB93" s="16" t="str">
        <f t="shared" si="55"/>
        <v>-</v>
      </c>
      <c r="AC93" s="16" t="str">
        <f t="shared" si="56"/>
        <v>-</v>
      </c>
      <c r="AD93" s="16" t="str">
        <f t="shared" si="70"/>
        <v>-</v>
      </c>
      <c r="AE93" s="16"/>
      <c r="AF93" s="31" t="str">
        <f>IFERROR(INDEX(Iceland!$P$11:$P$165,MATCH('Calculations - Iceland'!C93,Iceland!$M$11:$M$165,0)),"")</f>
        <v/>
      </c>
      <c r="AG93" s="23" t="str">
        <f t="shared" si="71"/>
        <v/>
      </c>
      <c r="AH93" s="23" t="str">
        <f t="shared" si="71"/>
        <v/>
      </c>
      <c r="AI93" s="9" t="str">
        <f t="shared" si="57"/>
        <v/>
      </c>
      <c r="AJ93" s="4" t="str">
        <f t="shared" si="58"/>
        <v/>
      </c>
      <c r="AK93" s="4"/>
      <c r="AL93" s="4"/>
      <c r="AM93" s="4"/>
      <c r="AN93" s="4"/>
      <c r="AO93" s="4"/>
      <c r="AP93" s="20" t="str">
        <f t="shared" si="59"/>
        <v>-</v>
      </c>
      <c r="AQ93" s="13" t="str">
        <f t="shared" si="72"/>
        <v>-</v>
      </c>
      <c r="AR93" s="13" t="str">
        <f t="shared" si="73"/>
        <v>-</v>
      </c>
      <c r="AS93" s="13" t="str">
        <f t="shared" si="60"/>
        <v>-</v>
      </c>
      <c r="AT93" s="16" t="str">
        <f t="shared" si="74"/>
        <v>-</v>
      </c>
      <c r="AU93" s="16" t="str">
        <f t="shared" si="61"/>
        <v>-</v>
      </c>
      <c r="AV93" s="16" t="str">
        <f t="shared" si="62"/>
        <v>-</v>
      </c>
      <c r="AW93" s="16" t="str">
        <f t="shared" si="75"/>
        <v>-</v>
      </c>
      <c r="AX93" s="13" t="str">
        <f t="shared" si="76"/>
        <v>-</v>
      </c>
      <c r="AY93" s="10" t="str">
        <f t="shared" si="77"/>
        <v>-</v>
      </c>
      <c r="AZ93" s="9" t="str">
        <f t="shared" si="78"/>
        <v>-</v>
      </c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</row>
    <row r="94" spans="2:68" x14ac:dyDescent="0.3">
      <c r="B94" s="108" t="str">
        <f t="shared" si="63"/>
        <v/>
      </c>
      <c r="C94" s="108" t="str">
        <f t="shared" si="47"/>
        <v/>
      </c>
      <c r="D94" s="3"/>
      <c r="E94" s="3"/>
      <c r="F94" s="3"/>
      <c r="G94" s="20">
        <f>IFERROR(INDEX('Input - Iceland'!F$2:F$200,MATCH('Calculations - Iceland'!$C94,'Input - Iceland'!$B$2:$B$200,0)),"")</f>
        <v>0</v>
      </c>
      <c r="H94" s="20">
        <f>IFERROR(INDEX('Input - Iceland'!G$2:G$200,MATCH('Calculations - Iceland'!$C94,'Input - Iceland'!$B$2:$B$200,0)),"")</f>
        <v>0</v>
      </c>
      <c r="I94" s="21">
        <f>IFERROR(INDEX('Input - Iceland'!H$2:H$200,MATCH('Calculations - Iceland'!$C94,'Input - Iceland'!$B$2:$B$200,0)),"")</f>
        <v>0</v>
      </c>
      <c r="J94" s="21">
        <f>IFERROR(INDEX('Input - Iceland'!I$2:I$200,MATCH('Calculations - Iceland'!$C94,'Input - Iceland'!$B$2:$B$200,0)),"")</f>
        <v>0</v>
      </c>
      <c r="K94" s="20">
        <f>IFERROR(INDEX('Input - Iceland'!J$2:J$200,MATCH('Calculations - Iceland'!$C94,'Input - Iceland'!$B$2:$B$200,0)),"")</f>
        <v>0</v>
      </c>
      <c r="L94" s="20">
        <f>IFERROR(INDEX('Input - Iceland'!K$2:K$200,MATCH('Calculations - Iceland'!$C94,'Input - Iceland'!$B$2:$B$200,0)),"")</f>
        <v>0</v>
      </c>
      <c r="M94" s="21" t="str">
        <f t="shared" si="64"/>
        <v/>
      </c>
      <c r="N94" s="21" t="str">
        <f t="shared" si="48"/>
        <v/>
      </c>
      <c r="O94" s="21">
        <f t="shared" si="65"/>
        <v>0</v>
      </c>
      <c r="P94" s="9">
        <f t="shared" si="79"/>
        <v>0</v>
      </c>
      <c r="Q94" s="9">
        <f t="shared" si="80"/>
        <v>0</v>
      </c>
      <c r="R94" s="22" t="str">
        <f>IFERROR(INDEX(Iceland!$Q$11:$Q$165,MATCH('Calculations - Iceland'!$C94,Iceland!$M$11:$M$165,0)),"")</f>
        <v/>
      </c>
      <c r="S94" s="22" t="str">
        <f>IFERROR(INDEX(Iceland!$R$11:$R$165,MATCH('Calculations - Iceland'!$C94,Iceland!$M$11:$M$165,0)),"")</f>
        <v/>
      </c>
      <c r="T94" s="16" t="e">
        <f t="shared" si="51"/>
        <v>#VALUE!</v>
      </c>
      <c r="U94" s="16" t="e">
        <f t="shared" si="66"/>
        <v>#VALUE!</v>
      </c>
      <c r="V94" s="16" t="e">
        <f t="shared" si="67"/>
        <v>#VALUE!</v>
      </c>
      <c r="W94" s="10" t="str">
        <f t="shared" si="52"/>
        <v>-</v>
      </c>
      <c r="X94" s="10" t="str">
        <f t="shared" si="53"/>
        <v>-</v>
      </c>
      <c r="Y94" s="13" t="str">
        <f t="shared" si="68"/>
        <v>-</v>
      </c>
      <c r="Z94" s="9" t="str">
        <f t="shared" si="54"/>
        <v>-</v>
      </c>
      <c r="AA94" s="16" t="str">
        <f t="shared" si="69"/>
        <v>-</v>
      </c>
      <c r="AB94" s="16" t="str">
        <f t="shared" si="55"/>
        <v>-</v>
      </c>
      <c r="AC94" s="16" t="str">
        <f t="shared" si="56"/>
        <v>-</v>
      </c>
      <c r="AD94" s="16" t="str">
        <f t="shared" si="70"/>
        <v>-</v>
      </c>
      <c r="AE94" s="16"/>
      <c r="AF94" s="31" t="str">
        <f>IFERROR(INDEX(Iceland!$P$11:$P$165,MATCH('Calculations - Iceland'!C94,Iceland!$M$11:$M$165,0)),"")</f>
        <v/>
      </c>
      <c r="AG94" s="23" t="str">
        <f t="shared" si="71"/>
        <v/>
      </c>
      <c r="AH94" s="23" t="str">
        <f t="shared" si="71"/>
        <v/>
      </c>
      <c r="AI94" s="9" t="str">
        <f t="shared" si="57"/>
        <v/>
      </c>
      <c r="AJ94" s="4" t="str">
        <f t="shared" si="58"/>
        <v/>
      </c>
      <c r="AK94" s="4"/>
      <c r="AL94" s="4"/>
      <c r="AM94" s="4"/>
      <c r="AN94" s="4"/>
      <c r="AO94" s="4"/>
      <c r="AP94" s="20" t="str">
        <f t="shared" si="59"/>
        <v>-</v>
      </c>
      <c r="AQ94" s="13" t="str">
        <f t="shared" si="72"/>
        <v>-</v>
      </c>
      <c r="AR94" s="13" t="str">
        <f t="shared" si="73"/>
        <v>-</v>
      </c>
      <c r="AS94" s="13" t="str">
        <f t="shared" si="60"/>
        <v>-</v>
      </c>
      <c r="AT94" s="16" t="str">
        <f t="shared" si="74"/>
        <v>-</v>
      </c>
      <c r="AU94" s="16" t="str">
        <f t="shared" si="61"/>
        <v>-</v>
      </c>
      <c r="AV94" s="16" t="str">
        <f t="shared" si="62"/>
        <v>-</v>
      </c>
      <c r="AW94" s="16" t="str">
        <f t="shared" si="75"/>
        <v>-</v>
      </c>
      <c r="AX94" s="13" t="str">
        <f t="shared" si="76"/>
        <v>-</v>
      </c>
      <c r="AY94" s="10" t="str">
        <f t="shared" si="77"/>
        <v>-</v>
      </c>
      <c r="AZ94" s="9" t="str">
        <f t="shared" si="78"/>
        <v>-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</row>
    <row r="95" spans="2:68" x14ac:dyDescent="0.3">
      <c r="B95" s="108" t="str">
        <f t="shared" si="63"/>
        <v/>
      </c>
      <c r="C95" s="108" t="str">
        <f t="shared" si="47"/>
        <v/>
      </c>
      <c r="D95" s="3"/>
      <c r="E95" s="3"/>
      <c r="F95" s="3"/>
      <c r="G95" s="20">
        <f>IFERROR(INDEX('Input - Iceland'!F$2:F$200,MATCH('Calculations - Iceland'!$C95,'Input - Iceland'!$B$2:$B$200,0)),"")</f>
        <v>0</v>
      </c>
      <c r="H95" s="20">
        <f>IFERROR(INDEX('Input - Iceland'!G$2:G$200,MATCH('Calculations - Iceland'!$C95,'Input - Iceland'!$B$2:$B$200,0)),"")</f>
        <v>0</v>
      </c>
      <c r="I95" s="21">
        <f>IFERROR(INDEX('Input - Iceland'!H$2:H$200,MATCH('Calculations - Iceland'!$C95,'Input - Iceland'!$B$2:$B$200,0)),"")</f>
        <v>0</v>
      </c>
      <c r="J95" s="21">
        <f>IFERROR(INDEX('Input - Iceland'!I$2:I$200,MATCH('Calculations - Iceland'!$C95,'Input - Iceland'!$B$2:$B$200,0)),"")</f>
        <v>0</v>
      </c>
      <c r="K95" s="20">
        <f>IFERROR(INDEX('Input - Iceland'!J$2:J$200,MATCH('Calculations - Iceland'!$C95,'Input - Iceland'!$B$2:$B$200,0)),"")</f>
        <v>0</v>
      </c>
      <c r="L95" s="20">
        <f>IFERROR(INDEX('Input - Iceland'!K$2:K$200,MATCH('Calculations - Iceland'!$C95,'Input - Iceland'!$B$2:$B$200,0)),"")</f>
        <v>0</v>
      </c>
      <c r="M95" s="21" t="str">
        <f t="shared" si="64"/>
        <v/>
      </c>
      <c r="N95" s="21" t="str">
        <f t="shared" si="48"/>
        <v/>
      </c>
      <c r="O95" s="21">
        <f t="shared" si="65"/>
        <v>0</v>
      </c>
      <c r="P95" s="9">
        <f t="shared" si="79"/>
        <v>0</v>
      </c>
      <c r="Q95" s="9">
        <f t="shared" si="80"/>
        <v>0</v>
      </c>
      <c r="R95" s="22" t="str">
        <f>IFERROR(INDEX(Iceland!$Q$11:$Q$165,MATCH('Calculations - Iceland'!$C95,Iceland!$M$11:$M$165,0)),"")</f>
        <v/>
      </c>
      <c r="S95" s="22" t="str">
        <f>IFERROR(INDEX(Iceland!$R$11:$R$165,MATCH('Calculations - Iceland'!$C95,Iceland!$M$11:$M$165,0)),"")</f>
        <v/>
      </c>
      <c r="T95" s="16" t="e">
        <f t="shared" si="51"/>
        <v>#VALUE!</v>
      </c>
      <c r="U95" s="16" t="e">
        <f t="shared" si="66"/>
        <v>#VALUE!</v>
      </c>
      <c r="V95" s="16" t="e">
        <f t="shared" si="67"/>
        <v>#VALUE!</v>
      </c>
      <c r="W95" s="10" t="str">
        <f t="shared" si="52"/>
        <v>-</v>
      </c>
      <c r="X95" s="10" t="str">
        <f t="shared" si="53"/>
        <v>-</v>
      </c>
      <c r="Y95" s="13" t="str">
        <f t="shared" si="68"/>
        <v>-</v>
      </c>
      <c r="Z95" s="9" t="str">
        <f t="shared" si="54"/>
        <v>-</v>
      </c>
      <c r="AA95" s="16" t="str">
        <f t="shared" si="69"/>
        <v>-</v>
      </c>
      <c r="AB95" s="16" t="str">
        <f t="shared" si="55"/>
        <v>-</v>
      </c>
      <c r="AC95" s="16" t="str">
        <f t="shared" si="56"/>
        <v>-</v>
      </c>
      <c r="AD95" s="16" t="str">
        <f t="shared" si="70"/>
        <v>-</v>
      </c>
      <c r="AE95" s="16"/>
      <c r="AF95" s="31" t="str">
        <f>IFERROR(INDEX(Iceland!$P$11:$P$165,MATCH('Calculations - Iceland'!C95,Iceland!$M$11:$M$165,0)),"")</f>
        <v/>
      </c>
      <c r="AG95" s="23" t="str">
        <f t="shared" si="71"/>
        <v/>
      </c>
      <c r="AH95" s="23" t="str">
        <f t="shared" si="71"/>
        <v/>
      </c>
      <c r="AI95" s="9" t="str">
        <f t="shared" si="57"/>
        <v/>
      </c>
      <c r="AJ95" s="4" t="str">
        <f t="shared" si="58"/>
        <v/>
      </c>
      <c r="AK95" s="4"/>
      <c r="AL95" s="4"/>
      <c r="AM95" s="4"/>
      <c r="AN95" s="4"/>
      <c r="AO95" s="4"/>
      <c r="AP95" s="20" t="str">
        <f t="shared" si="59"/>
        <v>-</v>
      </c>
      <c r="AQ95" s="13" t="str">
        <f t="shared" si="72"/>
        <v>-</v>
      </c>
      <c r="AR95" s="13" t="str">
        <f t="shared" si="73"/>
        <v>-</v>
      </c>
      <c r="AS95" s="13" t="str">
        <f t="shared" si="60"/>
        <v>-</v>
      </c>
      <c r="AT95" s="16" t="str">
        <f t="shared" si="74"/>
        <v>-</v>
      </c>
      <c r="AU95" s="16" t="str">
        <f t="shared" si="61"/>
        <v>-</v>
      </c>
      <c r="AV95" s="16" t="str">
        <f t="shared" si="62"/>
        <v>-</v>
      </c>
      <c r="AW95" s="16" t="str">
        <f t="shared" si="75"/>
        <v>-</v>
      </c>
      <c r="AX95" s="13" t="str">
        <f t="shared" si="76"/>
        <v>-</v>
      </c>
      <c r="AY95" s="10" t="str">
        <f t="shared" si="77"/>
        <v>-</v>
      </c>
      <c r="AZ95" s="9" t="str">
        <f t="shared" si="78"/>
        <v>-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</row>
    <row r="96" spans="2:68" x14ac:dyDescent="0.3">
      <c r="B96" s="108" t="str">
        <f t="shared" si="63"/>
        <v/>
      </c>
      <c r="C96" s="108" t="str">
        <f t="shared" ref="C96:C159" si="81">IFERROR(D96&amp;E96&amp;F96,"")</f>
        <v/>
      </c>
      <c r="D96" s="3"/>
      <c r="E96" s="3"/>
      <c r="F96" s="3"/>
      <c r="G96" s="20">
        <f>IFERROR(INDEX('Input - Iceland'!F$2:F$200,MATCH('Calculations - Iceland'!$C96,'Input - Iceland'!$B$2:$B$200,0)),"")</f>
        <v>0</v>
      </c>
      <c r="H96" s="20">
        <f>IFERROR(INDEX('Input - Iceland'!G$2:G$200,MATCH('Calculations - Iceland'!$C96,'Input - Iceland'!$B$2:$B$200,0)),"")</f>
        <v>0</v>
      </c>
      <c r="I96" s="21">
        <f>IFERROR(INDEX('Input - Iceland'!H$2:H$200,MATCH('Calculations - Iceland'!$C96,'Input - Iceland'!$B$2:$B$200,0)),"")</f>
        <v>0</v>
      </c>
      <c r="J96" s="21">
        <f>IFERROR(INDEX('Input - Iceland'!I$2:I$200,MATCH('Calculations - Iceland'!$C96,'Input - Iceland'!$B$2:$B$200,0)),"")</f>
        <v>0</v>
      </c>
      <c r="K96" s="20">
        <f>IFERROR(INDEX('Input - Iceland'!J$2:J$200,MATCH('Calculations - Iceland'!$C96,'Input - Iceland'!$B$2:$B$200,0)),"")</f>
        <v>0</v>
      </c>
      <c r="L96" s="20">
        <f>IFERROR(INDEX('Input - Iceland'!K$2:K$200,MATCH('Calculations - Iceland'!$C96,'Input - Iceland'!$B$2:$B$200,0)),"")</f>
        <v>0</v>
      </c>
      <c r="M96" s="21" t="str">
        <f t="shared" si="64"/>
        <v/>
      </c>
      <c r="N96" s="21" t="str">
        <f t="shared" ref="N96:N159" si="82">IFERROR(K96/L96,"")</f>
        <v/>
      </c>
      <c r="O96" s="21">
        <f t="shared" si="65"/>
        <v>0</v>
      </c>
      <c r="P96" s="9">
        <f t="shared" si="79"/>
        <v>0</v>
      </c>
      <c r="Q96" s="9">
        <f t="shared" si="80"/>
        <v>0</v>
      </c>
      <c r="R96" s="22" t="str">
        <f>IFERROR(INDEX(Iceland!$Q$11:$Q$165,MATCH('Calculations - Iceland'!$C96,Iceland!$M$11:$M$165,0)),"")</f>
        <v/>
      </c>
      <c r="S96" s="22" t="str">
        <f>IFERROR(INDEX(Iceland!$R$11:$R$165,MATCH('Calculations - Iceland'!$C96,Iceland!$M$11:$M$165,0)),"")</f>
        <v/>
      </c>
      <c r="T96" s="16" t="e">
        <f t="shared" ref="T96:T159" si="83">R96*G96</f>
        <v>#VALUE!</v>
      </c>
      <c r="U96" s="16" t="e">
        <f t="shared" si="66"/>
        <v>#VALUE!</v>
      </c>
      <c r="V96" s="16" t="e">
        <f t="shared" si="67"/>
        <v>#VALUE!</v>
      </c>
      <c r="W96" s="10" t="str">
        <f t="shared" ref="W96:W159" si="84">IFERROR(V96/H96,"-")</f>
        <v>-</v>
      </c>
      <c r="X96" s="10" t="str">
        <f t="shared" ref="X96:X159" si="85">IFERROR((J96+M96)*H96*0.5,"-")</f>
        <v>-</v>
      </c>
      <c r="Y96" s="13" t="str">
        <f t="shared" si="68"/>
        <v>-</v>
      </c>
      <c r="Z96" s="9" t="str">
        <f t="shared" ref="Z96:Z159" si="86">IFERROR(Y96-P96,"-")</f>
        <v>-</v>
      </c>
      <c r="AA96" s="16" t="str">
        <f t="shared" si="69"/>
        <v>-</v>
      </c>
      <c r="AB96" s="16" t="str">
        <f t="shared" ref="AB96:AB159" si="87">IFERROR(AA96/M96,"-")</f>
        <v>-</v>
      </c>
      <c r="AC96" s="16" t="str">
        <f t="shared" ref="AC96:AC159" si="88">IFERROR(R96*AA96,"-")</f>
        <v>-</v>
      </c>
      <c r="AD96" s="16" t="str">
        <f t="shared" si="70"/>
        <v>-</v>
      </c>
      <c r="AE96" s="16"/>
      <c r="AF96" s="31" t="str">
        <f>IFERROR(INDEX(Iceland!$P$11:$P$165,MATCH('Calculations - Iceland'!C96,Iceland!$M$11:$M$165,0)),"")</f>
        <v/>
      </c>
      <c r="AG96" s="23" t="str">
        <f t="shared" si="71"/>
        <v/>
      </c>
      <c r="AH96" s="23" t="str">
        <f t="shared" si="71"/>
        <v/>
      </c>
      <c r="AI96" s="9" t="str">
        <f t="shared" ref="AI96:AI159" si="89">IFERROR((AF96-M96)/M96,"")</f>
        <v/>
      </c>
      <c r="AJ96" s="4" t="str">
        <f t="shared" ref="AJ96:AJ159" si="90">IFERROR(MAX((1+AI96*O96/5)*H96,0),"")</f>
        <v/>
      </c>
      <c r="AK96" s="4"/>
      <c r="AL96" s="4"/>
      <c r="AM96" s="4"/>
      <c r="AN96" s="4"/>
      <c r="AO96" s="4"/>
      <c r="AP96" s="20" t="str">
        <f t="shared" ref="AP96:AP159" si="91">IFERROR(0.5*(J96+AF96)*AJ96,"-")</f>
        <v>-</v>
      </c>
      <c r="AQ96" s="13" t="str">
        <f t="shared" si="72"/>
        <v>-</v>
      </c>
      <c r="AR96" s="13" t="str">
        <f t="shared" si="73"/>
        <v>-</v>
      </c>
      <c r="AS96" s="13" t="str">
        <f t="shared" ref="AS96:AS159" si="92">IFERROR(AR96-P96,"-")</f>
        <v>-</v>
      </c>
      <c r="AT96" s="16" t="str">
        <f t="shared" si="74"/>
        <v>-</v>
      </c>
      <c r="AU96" s="16" t="str">
        <f t="shared" ref="AU96:AU159" si="93">IFERROR(AT96/AF96,"-")</f>
        <v>-</v>
      </c>
      <c r="AV96" s="16" t="str">
        <f t="shared" ref="AV96:AV159" si="94">IFERROR(AG96*AT96,"-")</f>
        <v>-</v>
      </c>
      <c r="AW96" s="16" t="str">
        <f t="shared" si="75"/>
        <v>-</v>
      </c>
      <c r="AX96" s="13" t="str">
        <f t="shared" si="76"/>
        <v>-</v>
      </c>
      <c r="AY96" s="10" t="str">
        <f t="shared" si="77"/>
        <v>-</v>
      </c>
      <c r="AZ96" s="9" t="str">
        <f t="shared" si="78"/>
        <v>-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</row>
    <row r="97" spans="2:68" x14ac:dyDescent="0.3">
      <c r="B97" s="108" t="str">
        <f t="shared" ref="B97:B160" si="95">IFERROR(D97&amp;E97,"")</f>
        <v/>
      </c>
      <c r="C97" s="108" t="str">
        <f t="shared" si="81"/>
        <v/>
      </c>
      <c r="D97" s="3"/>
      <c r="E97" s="3"/>
      <c r="F97" s="3"/>
      <c r="G97" s="20">
        <f>IFERROR(INDEX('Input - Iceland'!F$2:F$200,MATCH('Calculations - Iceland'!$C97,'Input - Iceland'!$B$2:$B$200,0)),"")</f>
        <v>0</v>
      </c>
      <c r="H97" s="20">
        <f>IFERROR(INDEX('Input - Iceland'!G$2:G$200,MATCH('Calculations - Iceland'!$C97,'Input - Iceland'!$B$2:$B$200,0)),"")</f>
        <v>0</v>
      </c>
      <c r="I97" s="21">
        <f>IFERROR(INDEX('Input - Iceland'!H$2:H$200,MATCH('Calculations - Iceland'!$C97,'Input - Iceland'!$B$2:$B$200,0)),"")</f>
        <v>0</v>
      </c>
      <c r="J97" s="21">
        <f>IFERROR(INDEX('Input - Iceland'!I$2:I$200,MATCH('Calculations - Iceland'!$C97,'Input - Iceland'!$B$2:$B$200,0)),"")</f>
        <v>0</v>
      </c>
      <c r="K97" s="20">
        <f>IFERROR(INDEX('Input - Iceland'!J$2:J$200,MATCH('Calculations - Iceland'!$C97,'Input - Iceland'!$B$2:$B$200,0)),"")</f>
        <v>0</v>
      </c>
      <c r="L97" s="20">
        <f>IFERROR(INDEX('Input - Iceland'!K$2:K$200,MATCH('Calculations - Iceland'!$C97,'Input - Iceland'!$B$2:$B$200,0)),"")</f>
        <v>0</v>
      </c>
      <c r="M97" s="21" t="str">
        <f t="shared" ref="M97:M160" si="96">IFERROR(G97/H97,"")</f>
        <v/>
      </c>
      <c r="N97" s="21" t="str">
        <f t="shared" si="82"/>
        <v/>
      </c>
      <c r="O97" s="21">
        <f t="shared" ref="O97:O160" si="97">IFERROR((M97/(M97-J97)*5),0)</f>
        <v>0</v>
      </c>
      <c r="P97" s="9">
        <f t="shared" si="79"/>
        <v>0</v>
      </c>
      <c r="Q97" s="9">
        <f t="shared" si="80"/>
        <v>0</v>
      </c>
      <c r="R97" s="22" t="str">
        <f>IFERROR(INDEX(Iceland!$Q$11:$Q$165,MATCH('Calculations - Iceland'!$C97,Iceland!$M$11:$M$165,0)),"")</f>
        <v/>
      </c>
      <c r="S97" s="22" t="str">
        <f>IFERROR(INDEX(Iceland!$R$11:$R$165,MATCH('Calculations - Iceland'!$C97,Iceland!$M$11:$M$165,0)),"")</f>
        <v/>
      </c>
      <c r="T97" s="16" t="e">
        <f t="shared" si="83"/>
        <v>#VALUE!</v>
      </c>
      <c r="U97" s="16" t="e">
        <f t="shared" ref="U97:U160" si="98">S97*T97</f>
        <v>#VALUE!</v>
      </c>
      <c r="V97" s="16" t="e">
        <f t="shared" ref="V97:V160" si="99">T97-U97</f>
        <v>#VALUE!</v>
      </c>
      <c r="W97" s="10" t="str">
        <f t="shared" si="84"/>
        <v>-</v>
      </c>
      <c r="X97" s="10" t="str">
        <f t="shared" si="85"/>
        <v>-</v>
      </c>
      <c r="Y97" s="13" t="str">
        <f t="shared" ref="Y97:Y160" si="100">IFERROR(X97/$X$30,"-")</f>
        <v>-</v>
      </c>
      <c r="Z97" s="9" t="str">
        <f t="shared" si="86"/>
        <v>-</v>
      </c>
      <c r="AA97" s="16" t="str">
        <f t="shared" ref="AA97:AA160" si="101">IFERROR(Y97*$G$30,"-")</f>
        <v>-</v>
      </c>
      <c r="AB97" s="16" t="str">
        <f t="shared" si="87"/>
        <v>-</v>
      </c>
      <c r="AC97" s="16" t="str">
        <f t="shared" si="88"/>
        <v>-</v>
      </c>
      <c r="AD97" s="16" t="str">
        <f t="shared" ref="AD97:AD160" si="102">IFERROR(AC97-(W97)*AB97,"-")</f>
        <v>-</v>
      </c>
      <c r="AE97" s="16"/>
      <c r="AF97" s="31" t="str">
        <f>IFERROR(INDEX(Iceland!$P$11:$P$165,MATCH('Calculations - Iceland'!C97,Iceland!$M$11:$M$165,0)),"")</f>
        <v/>
      </c>
      <c r="AG97" s="23" t="str">
        <f t="shared" ref="AG97:AH160" si="103">R97</f>
        <v/>
      </c>
      <c r="AH97" s="23" t="str">
        <f t="shared" si="103"/>
        <v/>
      </c>
      <c r="AI97" s="9" t="str">
        <f t="shared" si="89"/>
        <v/>
      </c>
      <c r="AJ97" s="4" t="str">
        <f t="shared" si="90"/>
        <v/>
      </c>
      <c r="AK97" s="4"/>
      <c r="AL97" s="4"/>
      <c r="AM97" s="4"/>
      <c r="AN97" s="4"/>
      <c r="AO97" s="4"/>
      <c r="AP97" s="20" t="str">
        <f t="shared" si="91"/>
        <v>-</v>
      </c>
      <c r="AQ97" s="13" t="str">
        <f t="shared" ref="AQ97:AQ160" si="104">IFERROR(AP97/AP$30,"-")</f>
        <v>-</v>
      </c>
      <c r="AR97" s="13" t="str">
        <f t="shared" ref="AR97:AR160" si="105">IFERROR(AQ97*$P$30,"-")</f>
        <v>-</v>
      </c>
      <c r="AS97" s="13" t="str">
        <f t="shared" si="92"/>
        <v>-</v>
      </c>
      <c r="AT97" s="16" t="str">
        <f t="shared" ref="AT97:AT160" si="106">IFERROR(AR97*AO$32,"-")</f>
        <v>-</v>
      </c>
      <c r="AU97" s="16" t="str">
        <f t="shared" si="93"/>
        <v>-</v>
      </c>
      <c r="AV97" s="16" t="str">
        <f t="shared" si="94"/>
        <v>-</v>
      </c>
      <c r="AW97" s="16" t="str">
        <f t="shared" ref="AW97:AW160" si="107">IFERROR(AV97-(W97*AU97),"-")</f>
        <v>-</v>
      </c>
      <c r="AX97" s="13" t="str">
        <f t="shared" ref="AX97:AX160" si="108">IFERROR(AU97/SUMIFS($AU$32:$AU$229,$B$32:$B$229,$B97),"-")</f>
        <v>-</v>
      </c>
      <c r="AY97" s="10" t="str">
        <f t="shared" ref="AY97:AY160" si="109">IFERROR(AX97*INDEX($AU$4:$AU$24,MATCH($B97,$D$4:$D$24,0)),"-")</f>
        <v>-</v>
      </c>
      <c r="AZ97" s="9" t="str">
        <f t="shared" ref="AZ97:AZ160" si="110">IFERROR(AY97/SUM($AY$32:$AY$229),"-")</f>
        <v>-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</row>
    <row r="98" spans="2:68" x14ac:dyDescent="0.3">
      <c r="B98" s="108" t="str">
        <f t="shared" si="95"/>
        <v/>
      </c>
      <c r="C98" s="108" t="str">
        <f t="shared" si="81"/>
        <v/>
      </c>
      <c r="D98" s="3"/>
      <c r="E98" s="3"/>
      <c r="F98" s="3"/>
      <c r="G98" s="20">
        <f>IFERROR(INDEX('Input - Iceland'!F$2:F$200,MATCH('Calculations - Iceland'!$C98,'Input - Iceland'!$B$2:$B$200,0)),"")</f>
        <v>0</v>
      </c>
      <c r="H98" s="20">
        <f>IFERROR(INDEX('Input - Iceland'!G$2:G$200,MATCH('Calculations - Iceland'!$C98,'Input - Iceland'!$B$2:$B$200,0)),"")</f>
        <v>0</v>
      </c>
      <c r="I98" s="21">
        <f>IFERROR(INDEX('Input - Iceland'!H$2:H$200,MATCH('Calculations - Iceland'!$C98,'Input - Iceland'!$B$2:$B$200,0)),"")</f>
        <v>0</v>
      </c>
      <c r="J98" s="21">
        <f>IFERROR(INDEX('Input - Iceland'!I$2:I$200,MATCH('Calculations - Iceland'!$C98,'Input - Iceland'!$B$2:$B$200,0)),"")</f>
        <v>0</v>
      </c>
      <c r="K98" s="20">
        <f>IFERROR(INDEX('Input - Iceland'!J$2:J$200,MATCH('Calculations - Iceland'!$C98,'Input - Iceland'!$B$2:$B$200,0)),"")</f>
        <v>0</v>
      </c>
      <c r="L98" s="20">
        <f>IFERROR(INDEX('Input - Iceland'!K$2:K$200,MATCH('Calculations - Iceland'!$C98,'Input - Iceland'!$B$2:$B$200,0)),"")</f>
        <v>0</v>
      </c>
      <c r="M98" s="21" t="str">
        <f t="shared" si="96"/>
        <v/>
      </c>
      <c r="N98" s="21" t="str">
        <f t="shared" si="82"/>
        <v/>
      </c>
      <c r="O98" s="21">
        <f t="shared" si="97"/>
        <v>0</v>
      </c>
      <c r="P98" s="9">
        <f t="shared" si="79"/>
        <v>0</v>
      </c>
      <c r="Q98" s="9">
        <f t="shared" si="80"/>
        <v>0</v>
      </c>
      <c r="R98" s="22" t="str">
        <f>IFERROR(INDEX(Iceland!$Q$11:$Q$165,MATCH('Calculations - Iceland'!$C98,Iceland!$M$11:$M$165,0)),"")</f>
        <v/>
      </c>
      <c r="S98" s="22" t="str">
        <f>IFERROR(INDEX(Iceland!$R$11:$R$165,MATCH('Calculations - Iceland'!$C98,Iceland!$M$11:$M$165,0)),"")</f>
        <v/>
      </c>
      <c r="T98" s="16" t="e">
        <f t="shared" si="83"/>
        <v>#VALUE!</v>
      </c>
      <c r="U98" s="16" t="e">
        <f t="shared" si="98"/>
        <v>#VALUE!</v>
      </c>
      <c r="V98" s="16" t="e">
        <f t="shared" si="99"/>
        <v>#VALUE!</v>
      </c>
      <c r="W98" s="10" t="str">
        <f t="shared" si="84"/>
        <v>-</v>
      </c>
      <c r="X98" s="10" t="str">
        <f t="shared" si="85"/>
        <v>-</v>
      </c>
      <c r="Y98" s="13" t="str">
        <f t="shared" si="100"/>
        <v>-</v>
      </c>
      <c r="Z98" s="9" t="str">
        <f t="shared" si="86"/>
        <v>-</v>
      </c>
      <c r="AA98" s="16" t="str">
        <f t="shared" si="101"/>
        <v>-</v>
      </c>
      <c r="AB98" s="16" t="str">
        <f t="shared" si="87"/>
        <v>-</v>
      </c>
      <c r="AC98" s="16" t="str">
        <f t="shared" si="88"/>
        <v>-</v>
      </c>
      <c r="AD98" s="16" t="str">
        <f t="shared" si="102"/>
        <v>-</v>
      </c>
      <c r="AE98" s="16"/>
      <c r="AF98" s="31" t="str">
        <f>IFERROR(INDEX(Iceland!$P$11:$P$165,MATCH('Calculations - Iceland'!C98,Iceland!$M$11:$M$165,0)),"")</f>
        <v/>
      </c>
      <c r="AG98" s="23" t="str">
        <f t="shared" si="103"/>
        <v/>
      </c>
      <c r="AH98" s="23" t="str">
        <f t="shared" si="103"/>
        <v/>
      </c>
      <c r="AI98" s="9" t="str">
        <f t="shared" si="89"/>
        <v/>
      </c>
      <c r="AJ98" s="4" t="str">
        <f t="shared" si="90"/>
        <v/>
      </c>
      <c r="AK98" s="4"/>
      <c r="AL98" s="4"/>
      <c r="AM98" s="4"/>
      <c r="AN98" s="4"/>
      <c r="AO98" s="4"/>
      <c r="AP98" s="20" t="str">
        <f t="shared" si="91"/>
        <v>-</v>
      </c>
      <c r="AQ98" s="13" t="str">
        <f t="shared" si="104"/>
        <v>-</v>
      </c>
      <c r="AR98" s="13" t="str">
        <f t="shared" si="105"/>
        <v>-</v>
      </c>
      <c r="AS98" s="13" t="str">
        <f t="shared" si="92"/>
        <v>-</v>
      </c>
      <c r="AT98" s="16" t="str">
        <f t="shared" si="106"/>
        <v>-</v>
      </c>
      <c r="AU98" s="16" t="str">
        <f t="shared" si="93"/>
        <v>-</v>
      </c>
      <c r="AV98" s="16" t="str">
        <f t="shared" si="94"/>
        <v>-</v>
      </c>
      <c r="AW98" s="16" t="str">
        <f t="shared" si="107"/>
        <v>-</v>
      </c>
      <c r="AX98" s="13" t="str">
        <f t="shared" si="108"/>
        <v>-</v>
      </c>
      <c r="AY98" s="10" t="str">
        <f t="shared" si="109"/>
        <v>-</v>
      </c>
      <c r="AZ98" s="9" t="str">
        <f t="shared" si="110"/>
        <v>-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</row>
    <row r="99" spans="2:68" x14ac:dyDescent="0.3">
      <c r="B99" s="108" t="str">
        <f t="shared" si="95"/>
        <v/>
      </c>
      <c r="C99" s="108" t="str">
        <f t="shared" si="81"/>
        <v/>
      </c>
      <c r="D99" s="3"/>
      <c r="E99" s="3"/>
      <c r="F99" s="3"/>
      <c r="G99" s="20">
        <f>IFERROR(INDEX('Input - Iceland'!F$2:F$200,MATCH('Calculations - Iceland'!$C99,'Input - Iceland'!$B$2:$B$200,0)),"")</f>
        <v>0</v>
      </c>
      <c r="H99" s="20">
        <f>IFERROR(INDEX('Input - Iceland'!G$2:G$200,MATCH('Calculations - Iceland'!$C99,'Input - Iceland'!$B$2:$B$200,0)),"")</f>
        <v>0</v>
      </c>
      <c r="I99" s="21">
        <f>IFERROR(INDEX('Input - Iceland'!H$2:H$200,MATCH('Calculations - Iceland'!$C99,'Input - Iceland'!$B$2:$B$200,0)),"")</f>
        <v>0</v>
      </c>
      <c r="J99" s="21">
        <f>IFERROR(INDEX('Input - Iceland'!I$2:I$200,MATCH('Calculations - Iceland'!$C99,'Input - Iceland'!$B$2:$B$200,0)),"")</f>
        <v>0</v>
      </c>
      <c r="K99" s="20">
        <f>IFERROR(INDEX('Input - Iceland'!J$2:J$200,MATCH('Calculations - Iceland'!$C99,'Input - Iceland'!$B$2:$B$200,0)),"")</f>
        <v>0</v>
      </c>
      <c r="L99" s="20">
        <f>IFERROR(INDEX('Input - Iceland'!K$2:K$200,MATCH('Calculations - Iceland'!$C99,'Input - Iceland'!$B$2:$B$200,0)),"")</f>
        <v>0</v>
      </c>
      <c r="M99" s="21" t="str">
        <f t="shared" si="96"/>
        <v/>
      </c>
      <c r="N99" s="21" t="str">
        <f t="shared" si="82"/>
        <v/>
      </c>
      <c r="O99" s="21">
        <f t="shared" si="97"/>
        <v>0</v>
      </c>
      <c r="P99" s="9">
        <f t="shared" si="79"/>
        <v>0</v>
      </c>
      <c r="Q99" s="9">
        <f t="shared" si="80"/>
        <v>0</v>
      </c>
      <c r="R99" s="22" t="str">
        <f>IFERROR(INDEX(Iceland!$Q$11:$Q$165,MATCH('Calculations - Iceland'!$C99,Iceland!$M$11:$M$165,0)),"")</f>
        <v/>
      </c>
      <c r="S99" s="22" t="str">
        <f>IFERROR(INDEX(Iceland!$R$11:$R$165,MATCH('Calculations - Iceland'!$C99,Iceland!$M$11:$M$165,0)),"")</f>
        <v/>
      </c>
      <c r="T99" s="16" t="e">
        <f t="shared" si="83"/>
        <v>#VALUE!</v>
      </c>
      <c r="U99" s="16" t="e">
        <f t="shared" si="98"/>
        <v>#VALUE!</v>
      </c>
      <c r="V99" s="16" t="e">
        <f t="shared" si="99"/>
        <v>#VALUE!</v>
      </c>
      <c r="W99" s="10" t="str">
        <f t="shared" si="84"/>
        <v>-</v>
      </c>
      <c r="X99" s="10" t="str">
        <f t="shared" si="85"/>
        <v>-</v>
      </c>
      <c r="Y99" s="13" t="str">
        <f t="shared" si="100"/>
        <v>-</v>
      </c>
      <c r="Z99" s="9" t="str">
        <f t="shared" si="86"/>
        <v>-</v>
      </c>
      <c r="AA99" s="16" t="str">
        <f t="shared" si="101"/>
        <v>-</v>
      </c>
      <c r="AB99" s="16" t="str">
        <f t="shared" si="87"/>
        <v>-</v>
      </c>
      <c r="AC99" s="16" t="str">
        <f t="shared" si="88"/>
        <v>-</v>
      </c>
      <c r="AD99" s="16" t="str">
        <f t="shared" si="102"/>
        <v>-</v>
      </c>
      <c r="AE99" s="16"/>
      <c r="AF99" s="31" t="str">
        <f>IFERROR(INDEX(Iceland!$P$11:$P$165,MATCH('Calculations - Iceland'!C99,Iceland!$M$11:$M$165,0)),"")</f>
        <v/>
      </c>
      <c r="AG99" s="23" t="str">
        <f t="shared" si="103"/>
        <v/>
      </c>
      <c r="AH99" s="23" t="str">
        <f t="shared" si="103"/>
        <v/>
      </c>
      <c r="AI99" s="9" t="str">
        <f t="shared" si="89"/>
        <v/>
      </c>
      <c r="AJ99" s="4" t="str">
        <f t="shared" si="90"/>
        <v/>
      </c>
      <c r="AK99" s="4"/>
      <c r="AL99" s="4"/>
      <c r="AM99" s="4"/>
      <c r="AN99" s="4"/>
      <c r="AO99" s="4"/>
      <c r="AP99" s="20" t="str">
        <f t="shared" si="91"/>
        <v>-</v>
      </c>
      <c r="AQ99" s="13" t="str">
        <f t="shared" si="104"/>
        <v>-</v>
      </c>
      <c r="AR99" s="13" t="str">
        <f t="shared" si="105"/>
        <v>-</v>
      </c>
      <c r="AS99" s="13" t="str">
        <f t="shared" si="92"/>
        <v>-</v>
      </c>
      <c r="AT99" s="16" t="str">
        <f t="shared" si="106"/>
        <v>-</v>
      </c>
      <c r="AU99" s="16" t="str">
        <f t="shared" si="93"/>
        <v>-</v>
      </c>
      <c r="AV99" s="16" t="str">
        <f t="shared" si="94"/>
        <v>-</v>
      </c>
      <c r="AW99" s="16" t="str">
        <f t="shared" si="107"/>
        <v>-</v>
      </c>
      <c r="AX99" s="13" t="str">
        <f t="shared" si="108"/>
        <v>-</v>
      </c>
      <c r="AY99" s="10" t="str">
        <f t="shared" si="109"/>
        <v>-</v>
      </c>
      <c r="AZ99" s="9" t="str">
        <f t="shared" si="110"/>
        <v>-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</row>
    <row r="100" spans="2:68" x14ac:dyDescent="0.3">
      <c r="B100" s="108" t="str">
        <f t="shared" si="95"/>
        <v/>
      </c>
      <c r="C100" s="108" t="str">
        <f t="shared" si="81"/>
        <v/>
      </c>
      <c r="D100" s="3"/>
      <c r="E100" s="3"/>
      <c r="F100" s="3"/>
      <c r="G100" s="20">
        <f>IFERROR(INDEX('Input - Iceland'!F$2:F$200,MATCH('Calculations - Iceland'!$C100,'Input - Iceland'!$B$2:$B$200,0)),"")</f>
        <v>0</v>
      </c>
      <c r="H100" s="20">
        <f>IFERROR(INDEX('Input - Iceland'!G$2:G$200,MATCH('Calculations - Iceland'!$C100,'Input - Iceland'!$B$2:$B$200,0)),"")</f>
        <v>0</v>
      </c>
      <c r="I100" s="21">
        <f>IFERROR(INDEX('Input - Iceland'!H$2:H$200,MATCH('Calculations - Iceland'!$C100,'Input - Iceland'!$B$2:$B$200,0)),"")</f>
        <v>0</v>
      </c>
      <c r="J100" s="21">
        <f>IFERROR(INDEX('Input - Iceland'!I$2:I$200,MATCH('Calculations - Iceland'!$C100,'Input - Iceland'!$B$2:$B$200,0)),"")</f>
        <v>0</v>
      </c>
      <c r="K100" s="20">
        <f>IFERROR(INDEX('Input - Iceland'!J$2:J$200,MATCH('Calculations - Iceland'!$C100,'Input - Iceland'!$B$2:$B$200,0)),"")</f>
        <v>0</v>
      </c>
      <c r="L100" s="20">
        <f>IFERROR(INDEX('Input - Iceland'!K$2:K$200,MATCH('Calculations - Iceland'!$C100,'Input - Iceland'!$B$2:$B$200,0)),"")</f>
        <v>0</v>
      </c>
      <c r="M100" s="21" t="str">
        <f t="shared" si="96"/>
        <v/>
      </c>
      <c r="N100" s="21" t="str">
        <f t="shared" si="82"/>
        <v/>
      </c>
      <c r="O100" s="21">
        <f t="shared" si="97"/>
        <v>0</v>
      </c>
      <c r="P100" s="9">
        <f t="shared" si="79"/>
        <v>0</v>
      </c>
      <c r="Q100" s="9">
        <f t="shared" si="80"/>
        <v>0</v>
      </c>
      <c r="R100" s="22" t="str">
        <f>IFERROR(INDEX(Iceland!$Q$11:$Q$165,MATCH('Calculations - Iceland'!$C100,Iceland!$M$11:$M$165,0)),"")</f>
        <v/>
      </c>
      <c r="S100" s="22" t="str">
        <f>IFERROR(INDEX(Iceland!$R$11:$R$165,MATCH('Calculations - Iceland'!$C100,Iceland!$M$11:$M$165,0)),"")</f>
        <v/>
      </c>
      <c r="T100" s="16" t="e">
        <f t="shared" si="83"/>
        <v>#VALUE!</v>
      </c>
      <c r="U100" s="16" t="e">
        <f t="shared" si="98"/>
        <v>#VALUE!</v>
      </c>
      <c r="V100" s="16" t="e">
        <f t="shared" si="99"/>
        <v>#VALUE!</v>
      </c>
      <c r="W100" s="10" t="str">
        <f t="shared" si="84"/>
        <v>-</v>
      </c>
      <c r="X100" s="10" t="str">
        <f t="shared" si="85"/>
        <v>-</v>
      </c>
      <c r="Y100" s="13" t="str">
        <f t="shared" si="100"/>
        <v>-</v>
      </c>
      <c r="Z100" s="9" t="str">
        <f t="shared" si="86"/>
        <v>-</v>
      </c>
      <c r="AA100" s="16" t="str">
        <f t="shared" si="101"/>
        <v>-</v>
      </c>
      <c r="AB100" s="16" t="str">
        <f t="shared" si="87"/>
        <v>-</v>
      </c>
      <c r="AC100" s="16" t="str">
        <f t="shared" si="88"/>
        <v>-</v>
      </c>
      <c r="AD100" s="16" t="str">
        <f t="shared" si="102"/>
        <v>-</v>
      </c>
      <c r="AE100" s="16"/>
      <c r="AF100" s="31" t="str">
        <f>IFERROR(INDEX(Iceland!$P$11:$P$165,MATCH('Calculations - Iceland'!C100,Iceland!$M$11:$M$165,0)),"")</f>
        <v/>
      </c>
      <c r="AG100" s="23" t="str">
        <f t="shared" si="103"/>
        <v/>
      </c>
      <c r="AH100" s="23" t="str">
        <f t="shared" si="103"/>
        <v/>
      </c>
      <c r="AI100" s="9" t="str">
        <f t="shared" si="89"/>
        <v/>
      </c>
      <c r="AJ100" s="4" t="str">
        <f t="shared" si="90"/>
        <v/>
      </c>
      <c r="AK100" s="4"/>
      <c r="AL100" s="4"/>
      <c r="AM100" s="4"/>
      <c r="AN100" s="4"/>
      <c r="AO100" s="4"/>
      <c r="AP100" s="20" t="str">
        <f t="shared" si="91"/>
        <v>-</v>
      </c>
      <c r="AQ100" s="13" t="str">
        <f t="shared" si="104"/>
        <v>-</v>
      </c>
      <c r="AR100" s="13" t="str">
        <f t="shared" si="105"/>
        <v>-</v>
      </c>
      <c r="AS100" s="13" t="str">
        <f t="shared" si="92"/>
        <v>-</v>
      </c>
      <c r="AT100" s="16" t="str">
        <f t="shared" si="106"/>
        <v>-</v>
      </c>
      <c r="AU100" s="16" t="str">
        <f t="shared" si="93"/>
        <v>-</v>
      </c>
      <c r="AV100" s="16" t="str">
        <f t="shared" si="94"/>
        <v>-</v>
      </c>
      <c r="AW100" s="16" t="str">
        <f t="shared" si="107"/>
        <v>-</v>
      </c>
      <c r="AX100" s="13" t="str">
        <f t="shared" si="108"/>
        <v>-</v>
      </c>
      <c r="AY100" s="10" t="str">
        <f t="shared" si="109"/>
        <v>-</v>
      </c>
      <c r="AZ100" s="9" t="str">
        <f t="shared" si="110"/>
        <v>-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</row>
    <row r="101" spans="2:68" x14ac:dyDescent="0.3">
      <c r="B101" s="108" t="str">
        <f t="shared" si="95"/>
        <v/>
      </c>
      <c r="C101" s="108" t="str">
        <f t="shared" si="81"/>
        <v/>
      </c>
      <c r="D101" s="3"/>
      <c r="E101" s="3"/>
      <c r="F101" s="3"/>
      <c r="G101" s="20">
        <f>IFERROR(INDEX('Input - Iceland'!F$2:F$200,MATCH('Calculations - Iceland'!$C101,'Input - Iceland'!$B$2:$B$200,0)),"")</f>
        <v>0</v>
      </c>
      <c r="H101" s="20">
        <f>IFERROR(INDEX('Input - Iceland'!G$2:G$200,MATCH('Calculations - Iceland'!$C101,'Input - Iceland'!$B$2:$B$200,0)),"")</f>
        <v>0</v>
      </c>
      <c r="I101" s="21">
        <f>IFERROR(INDEX('Input - Iceland'!H$2:H$200,MATCH('Calculations - Iceland'!$C101,'Input - Iceland'!$B$2:$B$200,0)),"")</f>
        <v>0</v>
      </c>
      <c r="J101" s="21">
        <f>IFERROR(INDEX('Input - Iceland'!I$2:I$200,MATCH('Calculations - Iceland'!$C101,'Input - Iceland'!$B$2:$B$200,0)),"")</f>
        <v>0</v>
      </c>
      <c r="K101" s="20">
        <f>IFERROR(INDEX('Input - Iceland'!J$2:J$200,MATCH('Calculations - Iceland'!$C101,'Input - Iceland'!$B$2:$B$200,0)),"")</f>
        <v>0</v>
      </c>
      <c r="L101" s="20">
        <f>IFERROR(INDEX('Input - Iceland'!K$2:K$200,MATCH('Calculations - Iceland'!$C101,'Input - Iceland'!$B$2:$B$200,0)),"")</f>
        <v>0</v>
      </c>
      <c r="M101" s="21" t="str">
        <f t="shared" si="96"/>
        <v/>
      </c>
      <c r="N101" s="21" t="str">
        <f t="shared" si="82"/>
        <v/>
      </c>
      <c r="O101" s="21">
        <f t="shared" si="97"/>
        <v>0</v>
      </c>
      <c r="P101" s="9">
        <f t="shared" si="79"/>
        <v>0</v>
      </c>
      <c r="Q101" s="9">
        <f t="shared" si="80"/>
        <v>0</v>
      </c>
      <c r="R101" s="22" t="str">
        <f>IFERROR(INDEX(Iceland!$Q$11:$Q$165,MATCH('Calculations - Iceland'!$C101,Iceland!$M$11:$M$165,0)),"")</f>
        <v/>
      </c>
      <c r="S101" s="22" t="str">
        <f>IFERROR(INDEX(Iceland!$R$11:$R$165,MATCH('Calculations - Iceland'!$C101,Iceland!$M$11:$M$165,0)),"")</f>
        <v/>
      </c>
      <c r="T101" s="16" t="e">
        <f t="shared" si="83"/>
        <v>#VALUE!</v>
      </c>
      <c r="U101" s="16" t="e">
        <f t="shared" si="98"/>
        <v>#VALUE!</v>
      </c>
      <c r="V101" s="16" t="e">
        <f t="shared" si="99"/>
        <v>#VALUE!</v>
      </c>
      <c r="W101" s="10" t="str">
        <f t="shared" si="84"/>
        <v>-</v>
      </c>
      <c r="X101" s="10" t="str">
        <f t="shared" si="85"/>
        <v>-</v>
      </c>
      <c r="Y101" s="13" t="str">
        <f t="shared" si="100"/>
        <v>-</v>
      </c>
      <c r="Z101" s="9" t="str">
        <f t="shared" si="86"/>
        <v>-</v>
      </c>
      <c r="AA101" s="16" t="str">
        <f t="shared" si="101"/>
        <v>-</v>
      </c>
      <c r="AB101" s="16" t="str">
        <f t="shared" si="87"/>
        <v>-</v>
      </c>
      <c r="AC101" s="16" t="str">
        <f t="shared" si="88"/>
        <v>-</v>
      </c>
      <c r="AD101" s="16" t="str">
        <f t="shared" si="102"/>
        <v>-</v>
      </c>
      <c r="AE101" s="16"/>
      <c r="AF101" s="31" t="str">
        <f>IFERROR(INDEX(Iceland!$P$11:$P$165,MATCH('Calculations - Iceland'!C101,Iceland!$M$11:$M$165,0)),"")</f>
        <v/>
      </c>
      <c r="AG101" s="23" t="str">
        <f t="shared" si="103"/>
        <v/>
      </c>
      <c r="AH101" s="23" t="str">
        <f t="shared" si="103"/>
        <v/>
      </c>
      <c r="AI101" s="9" t="str">
        <f t="shared" si="89"/>
        <v/>
      </c>
      <c r="AJ101" s="4" t="str">
        <f t="shared" si="90"/>
        <v/>
      </c>
      <c r="AK101" s="4"/>
      <c r="AL101" s="4"/>
      <c r="AM101" s="4"/>
      <c r="AN101" s="4"/>
      <c r="AO101" s="4"/>
      <c r="AP101" s="20" t="str">
        <f t="shared" si="91"/>
        <v>-</v>
      </c>
      <c r="AQ101" s="13" t="str">
        <f t="shared" si="104"/>
        <v>-</v>
      </c>
      <c r="AR101" s="13" t="str">
        <f t="shared" si="105"/>
        <v>-</v>
      </c>
      <c r="AS101" s="13" t="str">
        <f t="shared" si="92"/>
        <v>-</v>
      </c>
      <c r="AT101" s="16" t="str">
        <f t="shared" si="106"/>
        <v>-</v>
      </c>
      <c r="AU101" s="16" t="str">
        <f t="shared" si="93"/>
        <v>-</v>
      </c>
      <c r="AV101" s="16" t="str">
        <f t="shared" si="94"/>
        <v>-</v>
      </c>
      <c r="AW101" s="16" t="str">
        <f t="shared" si="107"/>
        <v>-</v>
      </c>
      <c r="AX101" s="13" t="str">
        <f t="shared" si="108"/>
        <v>-</v>
      </c>
      <c r="AY101" s="10" t="str">
        <f t="shared" si="109"/>
        <v>-</v>
      </c>
      <c r="AZ101" s="9" t="str">
        <f t="shared" si="110"/>
        <v>-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</row>
    <row r="102" spans="2:68" x14ac:dyDescent="0.3">
      <c r="B102" s="108" t="str">
        <f t="shared" si="95"/>
        <v/>
      </c>
      <c r="C102" s="108" t="str">
        <f t="shared" si="81"/>
        <v/>
      </c>
      <c r="D102" s="3"/>
      <c r="E102" s="3"/>
      <c r="F102" s="3"/>
      <c r="G102" s="20">
        <f>IFERROR(INDEX('Input - Iceland'!F$2:F$200,MATCH('Calculations - Iceland'!$C102,'Input - Iceland'!$B$2:$B$200,0)),"")</f>
        <v>0</v>
      </c>
      <c r="H102" s="20">
        <f>IFERROR(INDEX('Input - Iceland'!G$2:G$200,MATCH('Calculations - Iceland'!$C102,'Input - Iceland'!$B$2:$B$200,0)),"")</f>
        <v>0</v>
      </c>
      <c r="I102" s="21">
        <f>IFERROR(INDEX('Input - Iceland'!H$2:H$200,MATCH('Calculations - Iceland'!$C102,'Input - Iceland'!$B$2:$B$200,0)),"")</f>
        <v>0</v>
      </c>
      <c r="J102" s="21">
        <f>IFERROR(INDEX('Input - Iceland'!I$2:I$200,MATCH('Calculations - Iceland'!$C102,'Input - Iceland'!$B$2:$B$200,0)),"")</f>
        <v>0</v>
      </c>
      <c r="K102" s="20">
        <f>IFERROR(INDEX('Input - Iceland'!J$2:J$200,MATCH('Calculations - Iceland'!$C102,'Input - Iceland'!$B$2:$B$200,0)),"")</f>
        <v>0</v>
      </c>
      <c r="L102" s="20">
        <f>IFERROR(INDEX('Input - Iceland'!K$2:K$200,MATCH('Calculations - Iceland'!$C102,'Input - Iceland'!$B$2:$B$200,0)),"")</f>
        <v>0</v>
      </c>
      <c r="M102" s="21" t="str">
        <f t="shared" si="96"/>
        <v/>
      </c>
      <c r="N102" s="21" t="str">
        <f t="shared" si="82"/>
        <v/>
      </c>
      <c r="O102" s="21">
        <f t="shared" si="97"/>
        <v>0</v>
      </c>
      <c r="P102" s="9">
        <f t="shared" si="79"/>
        <v>0</v>
      </c>
      <c r="Q102" s="9">
        <f t="shared" si="80"/>
        <v>0</v>
      </c>
      <c r="R102" s="22" t="str">
        <f>IFERROR(INDEX(Iceland!$Q$11:$Q$165,MATCH('Calculations - Iceland'!$C102,Iceland!$M$11:$M$165,0)),"")</f>
        <v/>
      </c>
      <c r="S102" s="22" t="str">
        <f>IFERROR(INDEX(Iceland!$R$11:$R$165,MATCH('Calculations - Iceland'!$C102,Iceland!$M$11:$M$165,0)),"")</f>
        <v/>
      </c>
      <c r="T102" s="16" t="e">
        <f t="shared" si="83"/>
        <v>#VALUE!</v>
      </c>
      <c r="U102" s="16" t="e">
        <f t="shared" si="98"/>
        <v>#VALUE!</v>
      </c>
      <c r="V102" s="16" t="e">
        <f t="shared" si="99"/>
        <v>#VALUE!</v>
      </c>
      <c r="W102" s="10" t="str">
        <f t="shared" si="84"/>
        <v>-</v>
      </c>
      <c r="X102" s="10" t="str">
        <f t="shared" si="85"/>
        <v>-</v>
      </c>
      <c r="Y102" s="13" t="str">
        <f t="shared" si="100"/>
        <v>-</v>
      </c>
      <c r="Z102" s="9" t="str">
        <f t="shared" si="86"/>
        <v>-</v>
      </c>
      <c r="AA102" s="16" t="str">
        <f t="shared" si="101"/>
        <v>-</v>
      </c>
      <c r="AB102" s="16" t="str">
        <f t="shared" si="87"/>
        <v>-</v>
      </c>
      <c r="AC102" s="16" t="str">
        <f t="shared" si="88"/>
        <v>-</v>
      </c>
      <c r="AD102" s="16" t="str">
        <f t="shared" si="102"/>
        <v>-</v>
      </c>
      <c r="AE102" s="16"/>
      <c r="AF102" s="31" t="str">
        <f>IFERROR(INDEX(Iceland!$P$11:$P$165,MATCH('Calculations - Iceland'!C102,Iceland!$M$11:$M$165,0)),"")</f>
        <v/>
      </c>
      <c r="AG102" s="23" t="str">
        <f t="shared" si="103"/>
        <v/>
      </c>
      <c r="AH102" s="23" t="str">
        <f t="shared" si="103"/>
        <v/>
      </c>
      <c r="AI102" s="9" t="str">
        <f t="shared" si="89"/>
        <v/>
      </c>
      <c r="AJ102" s="4" t="str">
        <f t="shared" si="90"/>
        <v/>
      </c>
      <c r="AK102" s="4"/>
      <c r="AL102" s="4"/>
      <c r="AM102" s="4"/>
      <c r="AN102" s="4"/>
      <c r="AO102" s="4"/>
      <c r="AP102" s="20" t="str">
        <f t="shared" si="91"/>
        <v>-</v>
      </c>
      <c r="AQ102" s="13" t="str">
        <f t="shared" si="104"/>
        <v>-</v>
      </c>
      <c r="AR102" s="13" t="str">
        <f t="shared" si="105"/>
        <v>-</v>
      </c>
      <c r="AS102" s="13" t="str">
        <f t="shared" si="92"/>
        <v>-</v>
      </c>
      <c r="AT102" s="16" t="str">
        <f t="shared" si="106"/>
        <v>-</v>
      </c>
      <c r="AU102" s="16" t="str">
        <f t="shared" si="93"/>
        <v>-</v>
      </c>
      <c r="AV102" s="16" t="str">
        <f t="shared" si="94"/>
        <v>-</v>
      </c>
      <c r="AW102" s="16" t="str">
        <f t="shared" si="107"/>
        <v>-</v>
      </c>
      <c r="AX102" s="13" t="str">
        <f t="shared" si="108"/>
        <v>-</v>
      </c>
      <c r="AY102" s="10" t="str">
        <f t="shared" si="109"/>
        <v>-</v>
      </c>
      <c r="AZ102" s="9" t="str">
        <f t="shared" si="110"/>
        <v>-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</row>
    <row r="103" spans="2:68" x14ac:dyDescent="0.3">
      <c r="B103" s="108" t="str">
        <f t="shared" si="95"/>
        <v/>
      </c>
      <c r="C103" s="108" t="str">
        <f t="shared" si="81"/>
        <v/>
      </c>
      <c r="D103" s="3"/>
      <c r="E103" s="3"/>
      <c r="F103" s="3"/>
      <c r="G103" s="20">
        <f>IFERROR(INDEX('Input - Iceland'!F$2:F$200,MATCH('Calculations - Iceland'!$C103,'Input - Iceland'!$B$2:$B$200,0)),"")</f>
        <v>0</v>
      </c>
      <c r="H103" s="20">
        <f>IFERROR(INDEX('Input - Iceland'!G$2:G$200,MATCH('Calculations - Iceland'!$C103,'Input - Iceland'!$B$2:$B$200,0)),"")</f>
        <v>0</v>
      </c>
      <c r="I103" s="21">
        <f>IFERROR(INDEX('Input - Iceland'!H$2:H$200,MATCH('Calculations - Iceland'!$C103,'Input - Iceland'!$B$2:$B$200,0)),"")</f>
        <v>0</v>
      </c>
      <c r="J103" s="21">
        <f>IFERROR(INDEX('Input - Iceland'!I$2:I$200,MATCH('Calculations - Iceland'!$C103,'Input - Iceland'!$B$2:$B$200,0)),"")</f>
        <v>0</v>
      </c>
      <c r="K103" s="20">
        <f>IFERROR(INDEX('Input - Iceland'!J$2:J$200,MATCH('Calculations - Iceland'!$C103,'Input - Iceland'!$B$2:$B$200,0)),"")</f>
        <v>0</v>
      </c>
      <c r="L103" s="20">
        <f>IFERROR(INDEX('Input - Iceland'!K$2:K$200,MATCH('Calculations - Iceland'!$C103,'Input - Iceland'!$B$2:$B$200,0)),"")</f>
        <v>0</v>
      </c>
      <c r="M103" s="21" t="str">
        <f t="shared" si="96"/>
        <v/>
      </c>
      <c r="N103" s="21" t="str">
        <f t="shared" si="82"/>
        <v/>
      </c>
      <c r="O103" s="21">
        <f t="shared" si="97"/>
        <v>0</v>
      </c>
      <c r="P103" s="9">
        <f t="shared" si="79"/>
        <v>0</v>
      </c>
      <c r="Q103" s="9">
        <f t="shared" si="80"/>
        <v>0</v>
      </c>
      <c r="R103" s="22" t="str">
        <f>IFERROR(INDEX(Iceland!$Q$11:$Q$165,MATCH('Calculations - Iceland'!$C103,Iceland!$M$11:$M$165,0)),"")</f>
        <v/>
      </c>
      <c r="S103" s="22" t="str">
        <f>IFERROR(INDEX(Iceland!$R$11:$R$165,MATCH('Calculations - Iceland'!$C103,Iceland!$M$11:$M$165,0)),"")</f>
        <v/>
      </c>
      <c r="T103" s="16" t="e">
        <f t="shared" si="83"/>
        <v>#VALUE!</v>
      </c>
      <c r="U103" s="16" t="e">
        <f t="shared" si="98"/>
        <v>#VALUE!</v>
      </c>
      <c r="V103" s="16" t="e">
        <f t="shared" si="99"/>
        <v>#VALUE!</v>
      </c>
      <c r="W103" s="10" t="str">
        <f t="shared" si="84"/>
        <v>-</v>
      </c>
      <c r="X103" s="10" t="str">
        <f t="shared" si="85"/>
        <v>-</v>
      </c>
      <c r="Y103" s="13" t="str">
        <f t="shared" si="100"/>
        <v>-</v>
      </c>
      <c r="Z103" s="9" t="str">
        <f t="shared" si="86"/>
        <v>-</v>
      </c>
      <c r="AA103" s="16" t="str">
        <f t="shared" si="101"/>
        <v>-</v>
      </c>
      <c r="AB103" s="16" t="str">
        <f t="shared" si="87"/>
        <v>-</v>
      </c>
      <c r="AC103" s="16" t="str">
        <f t="shared" si="88"/>
        <v>-</v>
      </c>
      <c r="AD103" s="16" t="str">
        <f t="shared" si="102"/>
        <v>-</v>
      </c>
      <c r="AE103" s="16"/>
      <c r="AF103" s="31" t="str">
        <f>IFERROR(INDEX(Iceland!$P$11:$P$165,MATCH('Calculations - Iceland'!C103,Iceland!$M$11:$M$165,0)),"")</f>
        <v/>
      </c>
      <c r="AG103" s="23" t="str">
        <f t="shared" si="103"/>
        <v/>
      </c>
      <c r="AH103" s="23" t="str">
        <f t="shared" si="103"/>
        <v/>
      </c>
      <c r="AI103" s="9" t="str">
        <f t="shared" si="89"/>
        <v/>
      </c>
      <c r="AJ103" s="4" t="str">
        <f t="shared" si="90"/>
        <v/>
      </c>
      <c r="AK103" s="4"/>
      <c r="AL103" s="4"/>
      <c r="AM103" s="4"/>
      <c r="AN103" s="4"/>
      <c r="AO103" s="4"/>
      <c r="AP103" s="20" t="str">
        <f t="shared" si="91"/>
        <v>-</v>
      </c>
      <c r="AQ103" s="13" t="str">
        <f t="shared" si="104"/>
        <v>-</v>
      </c>
      <c r="AR103" s="13" t="str">
        <f t="shared" si="105"/>
        <v>-</v>
      </c>
      <c r="AS103" s="13" t="str">
        <f t="shared" si="92"/>
        <v>-</v>
      </c>
      <c r="AT103" s="16" t="str">
        <f t="shared" si="106"/>
        <v>-</v>
      </c>
      <c r="AU103" s="16" t="str">
        <f t="shared" si="93"/>
        <v>-</v>
      </c>
      <c r="AV103" s="16" t="str">
        <f t="shared" si="94"/>
        <v>-</v>
      </c>
      <c r="AW103" s="16" t="str">
        <f t="shared" si="107"/>
        <v>-</v>
      </c>
      <c r="AX103" s="13" t="str">
        <f t="shared" si="108"/>
        <v>-</v>
      </c>
      <c r="AY103" s="10" t="str">
        <f t="shared" si="109"/>
        <v>-</v>
      </c>
      <c r="AZ103" s="9" t="str">
        <f t="shared" si="110"/>
        <v>-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</row>
    <row r="104" spans="2:68" x14ac:dyDescent="0.3">
      <c r="B104" s="108" t="str">
        <f t="shared" si="95"/>
        <v/>
      </c>
      <c r="C104" s="108" t="str">
        <f t="shared" si="81"/>
        <v/>
      </c>
      <c r="D104" s="3"/>
      <c r="E104" s="3"/>
      <c r="F104" s="3"/>
      <c r="G104" s="20">
        <f>IFERROR(INDEX('Input - Iceland'!F$2:F$200,MATCH('Calculations - Iceland'!$C104,'Input - Iceland'!$B$2:$B$200,0)),"")</f>
        <v>0</v>
      </c>
      <c r="H104" s="20">
        <f>IFERROR(INDEX('Input - Iceland'!G$2:G$200,MATCH('Calculations - Iceland'!$C104,'Input - Iceland'!$B$2:$B$200,0)),"")</f>
        <v>0</v>
      </c>
      <c r="I104" s="21">
        <f>IFERROR(INDEX('Input - Iceland'!H$2:H$200,MATCH('Calculations - Iceland'!$C104,'Input - Iceland'!$B$2:$B$200,0)),"")</f>
        <v>0</v>
      </c>
      <c r="J104" s="21">
        <f>IFERROR(INDEX('Input - Iceland'!I$2:I$200,MATCH('Calculations - Iceland'!$C104,'Input - Iceland'!$B$2:$B$200,0)),"")</f>
        <v>0</v>
      </c>
      <c r="K104" s="20">
        <f>IFERROR(INDEX('Input - Iceland'!J$2:J$200,MATCH('Calculations - Iceland'!$C104,'Input - Iceland'!$B$2:$B$200,0)),"")</f>
        <v>0</v>
      </c>
      <c r="L104" s="20">
        <f>IFERROR(INDEX('Input - Iceland'!K$2:K$200,MATCH('Calculations - Iceland'!$C104,'Input - Iceland'!$B$2:$B$200,0)),"")</f>
        <v>0</v>
      </c>
      <c r="M104" s="21" t="str">
        <f t="shared" si="96"/>
        <v/>
      </c>
      <c r="N104" s="21" t="str">
        <f t="shared" si="82"/>
        <v/>
      </c>
      <c r="O104" s="21">
        <f t="shared" si="97"/>
        <v>0</v>
      </c>
      <c r="P104" s="9">
        <f t="shared" si="79"/>
        <v>0</v>
      </c>
      <c r="Q104" s="9">
        <f t="shared" si="80"/>
        <v>0</v>
      </c>
      <c r="R104" s="22" t="str">
        <f>IFERROR(INDEX(Iceland!$Q$11:$Q$165,MATCH('Calculations - Iceland'!$C104,Iceland!$M$11:$M$165,0)),"")</f>
        <v/>
      </c>
      <c r="S104" s="22" t="str">
        <f>IFERROR(INDEX(Iceland!$R$11:$R$165,MATCH('Calculations - Iceland'!$C104,Iceland!$M$11:$M$165,0)),"")</f>
        <v/>
      </c>
      <c r="T104" s="16" t="e">
        <f t="shared" si="83"/>
        <v>#VALUE!</v>
      </c>
      <c r="U104" s="16" t="e">
        <f t="shared" si="98"/>
        <v>#VALUE!</v>
      </c>
      <c r="V104" s="16" t="e">
        <f t="shared" si="99"/>
        <v>#VALUE!</v>
      </c>
      <c r="W104" s="10" t="str">
        <f t="shared" si="84"/>
        <v>-</v>
      </c>
      <c r="X104" s="10" t="str">
        <f t="shared" si="85"/>
        <v>-</v>
      </c>
      <c r="Y104" s="13" t="str">
        <f t="shared" si="100"/>
        <v>-</v>
      </c>
      <c r="Z104" s="9" t="str">
        <f t="shared" si="86"/>
        <v>-</v>
      </c>
      <c r="AA104" s="16" t="str">
        <f t="shared" si="101"/>
        <v>-</v>
      </c>
      <c r="AB104" s="16" t="str">
        <f t="shared" si="87"/>
        <v>-</v>
      </c>
      <c r="AC104" s="16" t="str">
        <f t="shared" si="88"/>
        <v>-</v>
      </c>
      <c r="AD104" s="16" t="str">
        <f t="shared" si="102"/>
        <v>-</v>
      </c>
      <c r="AE104" s="16"/>
      <c r="AF104" s="31" t="str">
        <f>IFERROR(INDEX(Iceland!$P$11:$P$165,MATCH('Calculations - Iceland'!C104,Iceland!$M$11:$M$165,0)),"")</f>
        <v/>
      </c>
      <c r="AG104" s="23" t="str">
        <f t="shared" si="103"/>
        <v/>
      </c>
      <c r="AH104" s="23" t="str">
        <f t="shared" si="103"/>
        <v/>
      </c>
      <c r="AI104" s="9" t="str">
        <f t="shared" si="89"/>
        <v/>
      </c>
      <c r="AJ104" s="4" t="str">
        <f t="shared" si="90"/>
        <v/>
      </c>
      <c r="AK104" s="4"/>
      <c r="AL104" s="4"/>
      <c r="AM104" s="4"/>
      <c r="AN104" s="4"/>
      <c r="AO104" s="4"/>
      <c r="AP104" s="20" t="str">
        <f t="shared" si="91"/>
        <v>-</v>
      </c>
      <c r="AQ104" s="13" t="str">
        <f t="shared" si="104"/>
        <v>-</v>
      </c>
      <c r="AR104" s="13" t="str">
        <f t="shared" si="105"/>
        <v>-</v>
      </c>
      <c r="AS104" s="13" t="str">
        <f t="shared" si="92"/>
        <v>-</v>
      </c>
      <c r="AT104" s="16" t="str">
        <f t="shared" si="106"/>
        <v>-</v>
      </c>
      <c r="AU104" s="16" t="str">
        <f t="shared" si="93"/>
        <v>-</v>
      </c>
      <c r="AV104" s="16" t="str">
        <f t="shared" si="94"/>
        <v>-</v>
      </c>
      <c r="AW104" s="16" t="str">
        <f t="shared" si="107"/>
        <v>-</v>
      </c>
      <c r="AX104" s="13" t="str">
        <f t="shared" si="108"/>
        <v>-</v>
      </c>
      <c r="AY104" s="10" t="str">
        <f t="shared" si="109"/>
        <v>-</v>
      </c>
      <c r="AZ104" s="9" t="str">
        <f t="shared" si="110"/>
        <v>-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</row>
    <row r="105" spans="2:68" x14ac:dyDescent="0.3">
      <c r="B105" s="108" t="str">
        <f t="shared" si="95"/>
        <v/>
      </c>
      <c r="C105" s="108" t="str">
        <f t="shared" si="81"/>
        <v/>
      </c>
      <c r="D105" s="3"/>
      <c r="E105" s="3"/>
      <c r="F105" s="3"/>
      <c r="G105" s="20">
        <f>IFERROR(INDEX('Input - Iceland'!F$2:F$200,MATCH('Calculations - Iceland'!$C105,'Input - Iceland'!$B$2:$B$200,0)),"")</f>
        <v>0</v>
      </c>
      <c r="H105" s="20">
        <f>IFERROR(INDEX('Input - Iceland'!G$2:G$200,MATCH('Calculations - Iceland'!$C105,'Input - Iceland'!$B$2:$B$200,0)),"")</f>
        <v>0</v>
      </c>
      <c r="I105" s="21">
        <f>IFERROR(INDEX('Input - Iceland'!H$2:H$200,MATCH('Calculations - Iceland'!$C105,'Input - Iceland'!$B$2:$B$200,0)),"")</f>
        <v>0</v>
      </c>
      <c r="J105" s="21">
        <f>IFERROR(INDEX('Input - Iceland'!I$2:I$200,MATCH('Calculations - Iceland'!$C105,'Input - Iceland'!$B$2:$B$200,0)),"")</f>
        <v>0</v>
      </c>
      <c r="K105" s="20">
        <f>IFERROR(INDEX('Input - Iceland'!J$2:J$200,MATCH('Calculations - Iceland'!$C105,'Input - Iceland'!$B$2:$B$200,0)),"")</f>
        <v>0</v>
      </c>
      <c r="L105" s="20">
        <f>IFERROR(INDEX('Input - Iceland'!K$2:K$200,MATCH('Calculations - Iceland'!$C105,'Input - Iceland'!$B$2:$B$200,0)),"")</f>
        <v>0</v>
      </c>
      <c r="M105" s="21" t="str">
        <f t="shared" si="96"/>
        <v/>
      </c>
      <c r="N105" s="21" t="str">
        <f t="shared" si="82"/>
        <v/>
      </c>
      <c r="O105" s="21">
        <f t="shared" si="97"/>
        <v>0</v>
      </c>
      <c r="P105" s="9">
        <f t="shared" si="79"/>
        <v>0</v>
      </c>
      <c r="Q105" s="9">
        <f t="shared" si="80"/>
        <v>0</v>
      </c>
      <c r="R105" s="22" t="str">
        <f>IFERROR(INDEX(Iceland!$Q$11:$Q$165,MATCH('Calculations - Iceland'!$C105,Iceland!$M$11:$M$165,0)),"")</f>
        <v/>
      </c>
      <c r="S105" s="22" t="str">
        <f>IFERROR(INDEX(Iceland!$R$11:$R$165,MATCH('Calculations - Iceland'!$C105,Iceland!$M$11:$M$165,0)),"")</f>
        <v/>
      </c>
      <c r="T105" s="16" t="e">
        <f t="shared" si="83"/>
        <v>#VALUE!</v>
      </c>
      <c r="U105" s="16" t="e">
        <f t="shared" si="98"/>
        <v>#VALUE!</v>
      </c>
      <c r="V105" s="16" t="e">
        <f t="shared" si="99"/>
        <v>#VALUE!</v>
      </c>
      <c r="W105" s="10" t="str">
        <f t="shared" si="84"/>
        <v>-</v>
      </c>
      <c r="X105" s="10" t="str">
        <f t="shared" si="85"/>
        <v>-</v>
      </c>
      <c r="Y105" s="13" t="str">
        <f t="shared" si="100"/>
        <v>-</v>
      </c>
      <c r="Z105" s="9" t="str">
        <f t="shared" si="86"/>
        <v>-</v>
      </c>
      <c r="AA105" s="16" t="str">
        <f t="shared" si="101"/>
        <v>-</v>
      </c>
      <c r="AB105" s="16" t="str">
        <f t="shared" si="87"/>
        <v>-</v>
      </c>
      <c r="AC105" s="16" t="str">
        <f t="shared" si="88"/>
        <v>-</v>
      </c>
      <c r="AD105" s="16" t="str">
        <f t="shared" si="102"/>
        <v>-</v>
      </c>
      <c r="AE105" s="16"/>
      <c r="AF105" s="31" t="str">
        <f>IFERROR(INDEX(Iceland!$P$11:$P$165,MATCH('Calculations - Iceland'!C105,Iceland!$M$11:$M$165,0)),"")</f>
        <v/>
      </c>
      <c r="AG105" s="23" t="str">
        <f t="shared" si="103"/>
        <v/>
      </c>
      <c r="AH105" s="23" t="str">
        <f t="shared" si="103"/>
        <v/>
      </c>
      <c r="AI105" s="9" t="str">
        <f t="shared" si="89"/>
        <v/>
      </c>
      <c r="AJ105" s="4" t="str">
        <f t="shared" si="90"/>
        <v/>
      </c>
      <c r="AK105" s="4"/>
      <c r="AL105" s="4"/>
      <c r="AM105" s="4"/>
      <c r="AN105" s="4"/>
      <c r="AO105" s="4"/>
      <c r="AP105" s="20" t="str">
        <f t="shared" si="91"/>
        <v>-</v>
      </c>
      <c r="AQ105" s="13" t="str">
        <f t="shared" si="104"/>
        <v>-</v>
      </c>
      <c r="AR105" s="13" t="str">
        <f t="shared" si="105"/>
        <v>-</v>
      </c>
      <c r="AS105" s="13" t="str">
        <f t="shared" si="92"/>
        <v>-</v>
      </c>
      <c r="AT105" s="16" t="str">
        <f t="shared" si="106"/>
        <v>-</v>
      </c>
      <c r="AU105" s="16" t="str">
        <f t="shared" si="93"/>
        <v>-</v>
      </c>
      <c r="AV105" s="16" t="str">
        <f t="shared" si="94"/>
        <v>-</v>
      </c>
      <c r="AW105" s="16" t="str">
        <f t="shared" si="107"/>
        <v>-</v>
      </c>
      <c r="AX105" s="13" t="str">
        <f t="shared" si="108"/>
        <v>-</v>
      </c>
      <c r="AY105" s="10" t="str">
        <f t="shared" si="109"/>
        <v>-</v>
      </c>
      <c r="AZ105" s="9" t="str">
        <f t="shared" si="110"/>
        <v>-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</row>
    <row r="106" spans="2:68" x14ac:dyDescent="0.3">
      <c r="B106" s="108" t="str">
        <f t="shared" si="95"/>
        <v/>
      </c>
      <c r="C106" s="108" t="str">
        <f t="shared" si="81"/>
        <v/>
      </c>
      <c r="D106" s="3"/>
      <c r="E106" s="3"/>
      <c r="F106" s="3"/>
      <c r="G106" s="20">
        <f>IFERROR(INDEX('Input - Iceland'!F$2:F$200,MATCH('Calculations - Iceland'!$C106,'Input - Iceland'!$B$2:$B$200,0)),"")</f>
        <v>0</v>
      </c>
      <c r="H106" s="20">
        <f>IFERROR(INDEX('Input - Iceland'!G$2:G$200,MATCH('Calculations - Iceland'!$C106,'Input - Iceland'!$B$2:$B$200,0)),"")</f>
        <v>0</v>
      </c>
      <c r="I106" s="21">
        <f>IFERROR(INDEX('Input - Iceland'!H$2:H$200,MATCH('Calculations - Iceland'!$C106,'Input - Iceland'!$B$2:$B$200,0)),"")</f>
        <v>0</v>
      </c>
      <c r="J106" s="21">
        <f>IFERROR(INDEX('Input - Iceland'!I$2:I$200,MATCH('Calculations - Iceland'!$C106,'Input - Iceland'!$B$2:$B$200,0)),"")</f>
        <v>0</v>
      </c>
      <c r="K106" s="20">
        <f>IFERROR(INDEX('Input - Iceland'!J$2:J$200,MATCH('Calculations - Iceland'!$C106,'Input - Iceland'!$B$2:$B$200,0)),"")</f>
        <v>0</v>
      </c>
      <c r="L106" s="20">
        <f>IFERROR(INDEX('Input - Iceland'!K$2:K$200,MATCH('Calculations - Iceland'!$C106,'Input - Iceland'!$B$2:$B$200,0)),"")</f>
        <v>0</v>
      </c>
      <c r="M106" s="21" t="str">
        <f t="shared" si="96"/>
        <v/>
      </c>
      <c r="N106" s="21" t="str">
        <f t="shared" si="82"/>
        <v/>
      </c>
      <c r="O106" s="21">
        <f t="shared" si="97"/>
        <v>0</v>
      </c>
      <c r="P106" s="9">
        <f t="shared" si="79"/>
        <v>0</v>
      </c>
      <c r="Q106" s="9">
        <f t="shared" si="80"/>
        <v>0</v>
      </c>
      <c r="R106" s="22" t="str">
        <f>IFERROR(INDEX(Iceland!$Q$11:$Q$165,MATCH('Calculations - Iceland'!$C106,Iceland!$M$11:$M$165,0)),"")</f>
        <v/>
      </c>
      <c r="S106" s="22" t="str">
        <f>IFERROR(INDEX(Iceland!$R$11:$R$165,MATCH('Calculations - Iceland'!$C106,Iceland!$M$11:$M$165,0)),"")</f>
        <v/>
      </c>
      <c r="T106" s="16" t="e">
        <f t="shared" si="83"/>
        <v>#VALUE!</v>
      </c>
      <c r="U106" s="16" t="e">
        <f t="shared" si="98"/>
        <v>#VALUE!</v>
      </c>
      <c r="V106" s="16" t="e">
        <f t="shared" si="99"/>
        <v>#VALUE!</v>
      </c>
      <c r="W106" s="10" t="str">
        <f t="shared" si="84"/>
        <v>-</v>
      </c>
      <c r="X106" s="10" t="str">
        <f t="shared" si="85"/>
        <v>-</v>
      </c>
      <c r="Y106" s="13" t="str">
        <f t="shared" si="100"/>
        <v>-</v>
      </c>
      <c r="Z106" s="9" t="str">
        <f t="shared" si="86"/>
        <v>-</v>
      </c>
      <c r="AA106" s="16" t="str">
        <f t="shared" si="101"/>
        <v>-</v>
      </c>
      <c r="AB106" s="16" t="str">
        <f t="shared" si="87"/>
        <v>-</v>
      </c>
      <c r="AC106" s="16" t="str">
        <f t="shared" si="88"/>
        <v>-</v>
      </c>
      <c r="AD106" s="16" t="str">
        <f t="shared" si="102"/>
        <v>-</v>
      </c>
      <c r="AE106" s="16"/>
      <c r="AF106" s="31" t="str">
        <f>IFERROR(INDEX(Iceland!$P$11:$P$165,MATCH('Calculations - Iceland'!C106,Iceland!$M$11:$M$165,0)),"")</f>
        <v/>
      </c>
      <c r="AG106" s="23" t="str">
        <f t="shared" si="103"/>
        <v/>
      </c>
      <c r="AH106" s="23" t="str">
        <f t="shared" si="103"/>
        <v/>
      </c>
      <c r="AI106" s="9" t="str">
        <f t="shared" si="89"/>
        <v/>
      </c>
      <c r="AJ106" s="4" t="str">
        <f t="shared" si="90"/>
        <v/>
      </c>
      <c r="AK106" s="4"/>
      <c r="AL106" s="4"/>
      <c r="AM106" s="4"/>
      <c r="AN106" s="4"/>
      <c r="AO106" s="4"/>
      <c r="AP106" s="20" t="str">
        <f t="shared" si="91"/>
        <v>-</v>
      </c>
      <c r="AQ106" s="13" t="str">
        <f t="shared" si="104"/>
        <v>-</v>
      </c>
      <c r="AR106" s="13" t="str">
        <f t="shared" si="105"/>
        <v>-</v>
      </c>
      <c r="AS106" s="13" t="str">
        <f t="shared" si="92"/>
        <v>-</v>
      </c>
      <c r="AT106" s="16" t="str">
        <f t="shared" si="106"/>
        <v>-</v>
      </c>
      <c r="AU106" s="16" t="str">
        <f t="shared" si="93"/>
        <v>-</v>
      </c>
      <c r="AV106" s="16" t="str">
        <f t="shared" si="94"/>
        <v>-</v>
      </c>
      <c r="AW106" s="16" t="str">
        <f t="shared" si="107"/>
        <v>-</v>
      </c>
      <c r="AX106" s="13" t="str">
        <f t="shared" si="108"/>
        <v>-</v>
      </c>
      <c r="AY106" s="10" t="str">
        <f t="shared" si="109"/>
        <v>-</v>
      </c>
      <c r="AZ106" s="9" t="str">
        <f t="shared" si="110"/>
        <v>-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</row>
    <row r="107" spans="2:68" x14ac:dyDescent="0.3">
      <c r="B107" s="108" t="str">
        <f t="shared" si="95"/>
        <v/>
      </c>
      <c r="C107" s="108" t="str">
        <f t="shared" si="81"/>
        <v/>
      </c>
      <c r="D107" s="3"/>
      <c r="E107" s="3"/>
      <c r="F107" s="3"/>
      <c r="G107" s="20">
        <f>IFERROR(INDEX('Input - Iceland'!F$2:F$200,MATCH('Calculations - Iceland'!$C107,'Input - Iceland'!$B$2:$B$200,0)),"")</f>
        <v>0</v>
      </c>
      <c r="H107" s="20">
        <f>IFERROR(INDEX('Input - Iceland'!G$2:G$200,MATCH('Calculations - Iceland'!$C107,'Input - Iceland'!$B$2:$B$200,0)),"")</f>
        <v>0</v>
      </c>
      <c r="I107" s="21">
        <f>IFERROR(INDEX('Input - Iceland'!H$2:H$200,MATCH('Calculations - Iceland'!$C107,'Input - Iceland'!$B$2:$B$200,0)),"")</f>
        <v>0</v>
      </c>
      <c r="J107" s="21">
        <f>IFERROR(INDEX('Input - Iceland'!I$2:I$200,MATCH('Calculations - Iceland'!$C107,'Input - Iceland'!$B$2:$B$200,0)),"")</f>
        <v>0</v>
      </c>
      <c r="K107" s="20">
        <f>IFERROR(INDEX('Input - Iceland'!J$2:J$200,MATCH('Calculations - Iceland'!$C107,'Input - Iceland'!$B$2:$B$200,0)),"")</f>
        <v>0</v>
      </c>
      <c r="L107" s="20">
        <f>IFERROR(INDEX('Input - Iceland'!K$2:K$200,MATCH('Calculations - Iceland'!$C107,'Input - Iceland'!$B$2:$B$200,0)),"")</f>
        <v>0</v>
      </c>
      <c r="M107" s="21" t="str">
        <f t="shared" si="96"/>
        <v/>
      </c>
      <c r="N107" s="21" t="str">
        <f t="shared" si="82"/>
        <v/>
      </c>
      <c r="O107" s="21">
        <f t="shared" si="97"/>
        <v>0</v>
      </c>
      <c r="P107" s="9">
        <f t="shared" si="79"/>
        <v>0</v>
      </c>
      <c r="Q107" s="9">
        <f t="shared" si="80"/>
        <v>0</v>
      </c>
      <c r="R107" s="22" t="str">
        <f>IFERROR(INDEX(Iceland!$Q$11:$Q$165,MATCH('Calculations - Iceland'!$C107,Iceland!$M$11:$M$165,0)),"")</f>
        <v/>
      </c>
      <c r="S107" s="22" t="str">
        <f>IFERROR(INDEX(Iceland!$R$11:$R$165,MATCH('Calculations - Iceland'!$C107,Iceland!$M$11:$M$165,0)),"")</f>
        <v/>
      </c>
      <c r="T107" s="16" t="e">
        <f t="shared" si="83"/>
        <v>#VALUE!</v>
      </c>
      <c r="U107" s="16" t="e">
        <f t="shared" si="98"/>
        <v>#VALUE!</v>
      </c>
      <c r="V107" s="16" t="e">
        <f t="shared" si="99"/>
        <v>#VALUE!</v>
      </c>
      <c r="W107" s="10" t="str">
        <f t="shared" si="84"/>
        <v>-</v>
      </c>
      <c r="X107" s="10" t="str">
        <f t="shared" si="85"/>
        <v>-</v>
      </c>
      <c r="Y107" s="13" t="str">
        <f t="shared" si="100"/>
        <v>-</v>
      </c>
      <c r="Z107" s="9" t="str">
        <f t="shared" si="86"/>
        <v>-</v>
      </c>
      <c r="AA107" s="16" t="str">
        <f t="shared" si="101"/>
        <v>-</v>
      </c>
      <c r="AB107" s="16" t="str">
        <f t="shared" si="87"/>
        <v>-</v>
      </c>
      <c r="AC107" s="16" t="str">
        <f t="shared" si="88"/>
        <v>-</v>
      </c>
      <c r="AD107" s="16" t="str">
        <f t="shared" si="102"/>
        <v>-</v>
      </c>
      <c r="AE107" s="16"/>
      <c r="AF107" s="31" t="str">
        <f>IFERROR(INDEX(Iceland!$P$11:$P$165,MATCH('Calculations - Iceland'!C107,Iceland!$M$11:$M$165,0)),"")</f>
        <v/>
      </c>
      <c r="AG107" s="23" t="str">
        <f t="shared" si="103"/>
        <v/>
      </c>
      <c r="AH107" s="23" t="str">
        <f t="shared" si="103"/>
        <v/>
      </c>
      <c r="AI107" s="9" t="str">
        <f t="shared" si="89"/>
        <v/>
      </c>
      <c r="AJ107" s="4" t="str">
        <f t="shared" si="90"/>
        <v/>
      </c>
      <c r="AK107" s="4"/>
      <c r="AL107" s="4"/>
      <c r="AM107" s="4"/>
      <c r="AN107" s="4"/>
      <c r="AO107" s="4"/>
      <c r="AP107" s="20" t="str">
        <f t="shared" si="91"/>
        <v>-</v>
      </c>
      <c r="AQ107" s="13" t="str">
        <f t="shared" si="104"/>
        <v>-</v>
      </c>
      <c r="AR107" s="13" t="str">
        <f t="shared" si="105"/>
        <v>-</v>
      </c>
      <c r="AS107" s="13" t="str">
        <f t="shared" si="92"/>
        <v>-</v>
      </c>
      <c r="AT107" s="16" t="str">
        <f t="shared" si="106"/>
        <v>-</v>
      </c>
      <c r="AU107" s="16" t="str">
        <f t="shared" si="93"/>
        <v>-</v>
      </c>
      <c r="AV107" s="16" t="str">
        <f t="shared" si="94"/>
        <v>-</v>
      </c>
      <c r="AW107" s="16" t="str">
        <f t="shared" si="107"/>
        <v>-</v>
      </c>
      <c r="AX107" s="13" t="str">
        <f t="shared" si="108"/>
        <v>-</v>
      </c>
      <c r="AY107" s="10" t="str">
        <f t="shared" si="109"/>
        <v>-</v>
      </c>
      <c r="AZ107" s="9" t="str">
        <f t="shared" si="110"/>
        <v>-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</row>
    <row r="108" spans="2:68" x14ac:dyDescent="0.3">
      <c r="B108" s="108" t="str">
        <f t="shared" si="95"/>
        <v/>
      </c>
      <c r="C108" s="108" t="str">
        <f t="shared" si="81"/>
        <v/>
      </c>
      <c r="D108" s="3"/>
      <c r="E108" s="3"/>
      <c r="F108" s="3"/>
      <c r="G108" s="20">
        <f>IFERROR(INDEX('Input - Iceland'!F$2:F$200,MATCH('Calculations - Iceland'!$C108,'Input - Iceland'!$B$2:$B$200,0)),"")</f>
        <v>0</v>
      </c>
      <c r="H108" s="20">
        <f>IFERROR(INDEX('Input - Iceland'!G$2:G$200,MATCH('Calculations - Iceland'!$C108,'Input - Iceland'!$B$2:$B$200,0)),"")</f>
        <v>0</v>
      </c>
      <c r="I108" s="21">
        <f>IFERROR(INDEX('Input - Iceland'!H$2:H$200,MATCH('Calculations - Iceland'!$C108,'Input - Iceland'!$B$2:$B$200,0)),"")</f>
        <v>0</v>
      </c>
      <c r="J108" s="21">
        <f>IFERROR(INDEX('Input - Iceland'!I$2:I$200,MATCH('Calculations - Iceland'!$C108,'Input - Iceland'!$B$2:$B$200,0)),"")</f>
        <v>0</v>
      </c>
      <c r="K108" s="20">
        <f>IFERROR(INDEX('Input - Iceland'!J$2:J$200,MATCH('Calculations - Iceland'!$C108,'Input - Iceland'!$B$2:$B$200,0)),"")</f>
        <v>0</v>
      </c>
      <c r="L108" s="20">
        <f>IFERROR(INDEX('Input - Iceland'!K$2:K$200,MATCH('Calculations - Iceland'!$C108,'Input - Iceland'!$B$2:$B$200,0)),"")</f>
        <v>0</v>
      </c>
      <c r="M108" s="21" t="str">
        <f t="shared" si="96"/>
        <v/>
      </c>
      <c r="N108" s="21" t="str">
        <f t="shared" si="82"/>
        <v/>
      </c>
      <c r="O108" s="21">
        <f t="shared" si="97"/>
        <v>0</v>
      </c>
      <c r="P108" s="9">
        <f t="shared" si="79"/>
        <v>0</v>
      </c>
      <c r="Q108" s="9">
        <f t="shared" si="80"/>
        <v>0</v>
      </c>
      <c r="R108" s="22" t="str">
        <f>IFERROR(INDEX(Iceland!$Q$11:$Q$165,MATCH('Calculations - Iceland'!$C108,Iceland!$M$11:$M$165,0)),"")</f>
        <v/>
      </c>
      <c r="S108" s="22" t="str">
        <f>IFERROR(INDEX(Iceland!$R$11:$R$165,MATCH('Calculations - Iceland'!$C108,Iceland!$M$11:$M$165,0)),"")</f>
        <v/>
      </c>
      <c r="T108" s="16" t="e">
        <f t="shared" si="83"/>
        <v>#VALUE!</v>
      </c>
      <c r="U108" s="16" t="e">
        <f t="shared" si="98"/>
        <v>#VALUE!</v>
      </c>
      <c r="V108" s="16" t="e">
        <f t="shared" si="99"/>
        <v>#VALUE!</v>
      </c>
      <c r="W108" s="10" t="str">
        <f t="shared" si="84"/>
        <v>-</v>
      </c>
      <c r="X108" s="10" t="str">
        <f t="shared" si="85"/>
        <v>-</v>
      </c>
      <c r="Y108" s="13" t="str">
        <f t="shared" si="100"/>
        <v>-</v>
      </c>
      <c r="Z108" s="9" t="str">
        <f t="shared" si="86"/>
        <v>-</v>
      </c>
      <c r="AA108" s="16" t="str">
        <f t="shared" si="101"/>
        <v>-</v>
      </c>
      <c r="AB108" s="16" t="str">
        <f t="shared" si="87"/>
        <v>-</v>
      </c>
      <c r="AC108" s="16" t="str">
        <f t="shared" si="88"/>
        <v>-</v>
      </c>
      <c r="AD108" s="16" t="str">
        <f t="shared" si="102"/>
        <v>-</v>
      </c>
      <c r="AE108" s="16"/>
      <c r="AF108" s="31" t="str">
        <f>IFERROR(INDEX(Iceland!$P$11:$P$165,MATCH('Calculations - Iceland'!C108,Iceland!$M$11:$M$165,0)),"")</f>
        <v/>
      </c>
      <c r="AG108" s="23" t="str">
        <f t="shared" si="103"/>
        <v/>
      </c>
      <c r="AH108" s="23" t="str">
        <f t="shared" si="103"/>
        <v/>
      </c>
      <c r="AI108" s="9" t="str">
        <f t="shared" si="89"/>
        <v/>
      </c>
      <c r="AJ108" s="4" t="str">
        <f t="shared" si="90"/>
        <v/>
      </c>
      <c r="AK108" s="4"/>
      <c r="AL108" s="4"/>
      <c r="AM108" s="4"/>
      <c r="AN108" s="4"/>
      <c r="AO108" s="4"/>
      <c r="AP108" s="20" t="str">
        <f t="shared" si="91"/>
        <v>-</v>
      </c>
      <c r="AQ108" s="13" t="str">
        <f t="shared" si="104"/>
        <v>-</v>
      </c>
      <c r="AR108" s="13" t="str">
        <f t="shared" si="105"/>
        <v>-</v>
      </c>
      <c r="AS108" s="13" t="str">
        <f t="shared" si="92"/>
        <v>-</v>
      </c>
      <c r="AT108" s="16" t="str">
        <f t="shared" si="106"/>
        <v>-</v>
      </c>
      <c r="AU108" s="16" t="str">
        <f t="shared" si="93"/>
        <v>-</v>
      </c>
      <c r="AV108" s="16" t="str">
        <f t="shared" si="94"/>
        <v>-</v>
      </c>
      <c r="AW108" s="16" t="str">
        <f t="shared" si="107"/>
        <v>-</v>
      </c>
      <c r="AX108" s="13" t="str">
        <f t="shared" si="108"/>
        <v>-</v>
      </c>
      <c r="AY108" s="10" t="str">
        <f t="shared" si="109"/>
        <v>-</v>
      </c>
      <c r="AZ108" s="9" t="str">
        <f t="shared" si="110"/>
        <v>-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</row>
    <row r="109" spans="2:68" x14ac:dyDescent="0.3">
      <c r="B109" s="108" t="str">
        <f t="shared" si="95"/>
        <v/>
      </c>
      <c r="C109" s="108" t="str">
        <f t="shared" si="81"/>
        <v/>
      </c>
      <c r="D109" s="3"/>
      <c r="E109" s="3"/>
      <c r="F109" s="3"/>
      <c r="G109" s="20">
        <f>IFERROR(INDEX('Input - Iceland'!F$2:F$200,MATCH('Calculations - Iceland'!$C109,'Input - Iceland'!$B$2:$B$200,0)),"")</f>
        <v>0</v>
      </c>
      <c r="H109" s="20">
        <f>IFERROR(INDEX('Input - Iceland'!G$2:G$200,MATCH('Calculations - Iceland'!$C109,'Input - Iceland'!$B$2:$B$200,0)),"")</f>
        <v>0</v>
      </c>
      <c r="I109" s="21">
        <f>IFERROR(INDEX('Input - Iceland'!H$2:H$200,MATCH('Calculations - Iceland'!$C109,'Input - Iceland'!$B$2:$B$200,0)),"")</f>
        <v>0</v>
      </c>
      <c r="J109" s="21">
        <f>IFERROR(INDEX('Input - Iceland'!I$2:I$200,MATCH('Calculations - Iceland'!$C109,'Input - Iceland'!$B$2:$B$200,0)),"")</f>
        <v>0</v>
      </c>
      <c r="K109" s="20">
        <f>IFERROR(INDEX('Input - Iceland'!J$2:J$200,MATCH('Calculations - Iceland'!$C109,'Input - Iceland'!$B$2:$B$200,0)),"")</f>
        <v>0</v>
      </c>
      <c r="L109" s="20">
        <f>IFERROR(INDEX('Input - Iceland'!K$2:K$200,MATCH('Calculations - Iceland'!$C109,'Input - Iceland'!$B$2:$B$200,0)),"")</f>
        <v>0</v>
      </c>
      <c r="M109" s="21" t="str">
        <f t="shared" si="96"/>
        <v/>
      </c>
      <c r="N109" s="21" t="str">
        <f t="shared" si="82"/>
        <v/>
      </c>
      <c r="O109" s="21">
        <f t="shared" si="97"/>
        <v>0</v>
      </c>
      <c r="P109" s="9">
        <f t="shared" si="79"/>
        <v>0</v>
      </c>
      <c r="Q109" s="9">
        <f t="shared" si="80"/>
        <v>0</v>
      </c>
      <c r="R109" s="22" t="str">
        <f>IFERROR(INDEX(Iceland!$Q$11:$Q$165,MATCH('Calculations - Iceland'!$C109,Iceland!$M$11:$M$165,0)),"")</f>
        <v/>
      </c>
      <c r="S109" s="22" t="str">
        <f>IFERROR(INDEX(Iceland!$R$11:$R$165,MATCH('Calculations - Iceland'!$C109,Iceland!$M$11:$M$165,0)),"")</f>
        <v/>
      </c>
      <c r="T109" s="16" t="e">
        <f t="shared" si="83"/>
        <v>#VALUE!</v>
      </c>
      <c r="U109" s="16" t="e">
        <f t="shared" si="98"/>
        <v>#VALUE!</v>
      </c>
      <c r="V109" s="16" t="e">
        <f t="shared" si="99"/>
        <v>#VALUE!</v>
      </c>
      <c r="W109" s="10" t="str">
        <f t="shared" si="84"/>
        <v>-</v>
      </c>
      <c r="X109" s="10" t="str">
        <f t="shared" si="85"/>
        <v>-</v>
      </c>
      <c r="Y109" s="13" t="str">
        <f t="shared" si="100"/>
        <v>-</v>
      </c>
      <c r="Z109" s="9" t="str">
        <f t="shared" si="86"/>
        <v>-</v>
      </c>
      <c r="AA109" s="16" t="str">
        <f t="shared" si="101"/>
        <v>-</v>
      </c>
      <c r="AB109" s="16" t="str">
        <f t="shared" si="87"/>
        <v>-</v>
      </c>
      <c r="AC109" s="16" t="str">
        <f t="shared" si="88"/>
        <v>-</v>
      </c>
      <c r="AD109" s="16" t="str">
        <f t="shared" si="102"/>
        <v>-</v>
      </c>
      <c r="AE109" s="16"/>
      <c r="AF109" s="31" t="str">
        <f>IFERROR(INDEX(Iceland!$P$11:$P$165,MATCH('Calculations - Iceland'!C109,Iceland!$M$11:$M$165,0)),"")</f>
        <v/>
      </c>
      <c r="AG109" s="23" t="str">
        <f t="shared" si="103"/>
        <v/>
      </c>
      <c r="AH109" s="23" t="str">
        <f t="shared" si="103"/>
        <v/>
      </c>
      <c r="AI109" s="9" t="str">
        <f t="shared" si="89"/>
        <v/>
      </c>
      <c r="AJ109" s="4" t="str">
        <f t="shared" si="90"/>
        <v/>
      </c>
      <c r="AK109" s="4"/>
      <c r="AL109" s="4"/>
      <c r="AM109" s="4"/>
      <c r="AN109" s="4"/>
      <c r="AO109" s="4"/>
      <c r="AP109" s="20" t="str">
        <f t="shared" si="91"/>
        <v>-</v>
      </c>
      <c r="AQ109" s="13" t="str">
        <f t="shared" si="104"/>
        <v>-</v>
      </c>
      <c r="AR109" s="13" t="str">
        <f t="shared" si="105"/>
        <v>-</v>
      </c>
      <c r="AS109" s="13" t="str">
        <f t="shared" si="92"/>
        <v>-</v>
      </c>
      <c r="AT109" s="16" t="str">
        <f t="shared" si="106"/>
        <v>-</v>
      </c>
      <c r="AU109" s="16" t="str">
        <f t="shared" si="93"/>
        <v>-</v>
      </c>
      <c r="AV109" s="16" t="str">
        <f t="shared" si="94"/>
        <v>-</v>
      </c>
      <c r="AW109" s="16" t="str">
        <f t="shared" si="107"/>
        <v>-</v>
      </c>
      <c r="AX109" s="13" t="str">
        <f t="shared" si="108"/>
        <v>-</v>
      </c>
      <c r="AY109" s="10" t="str">
        <f t="shared" si="109"/>
        <v>-</v>
      </c>
      <c r="AZ109" s="9" t="str">
        <f t="shared" si="110"/>
        <v>-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</row>
    <row r="110" spans="2:68" x14ac:dyDescent="0.3">
      <c r="B110" s="108" t="str">
        <f t="shared" si="95"/>
        <v/>
      </c>
      <c r="C110" s="108" t="str">
        <f t="shared" si="81"/>
        <v/>
      </c>
      <c r="D110" s="3"/>
      <c r="E110" s="3"/>
      <c r="F110" s="3"/>
      <c r="G110" s="20">
        <f>IFERROR(INDEX('Input - Iceland'!F$2:F$200,MATCH('Calculations - Iceland'!$C110,'Input - Iceland'!$B$2:$B$200,0)),"")</f>
        <v>0</v>
      </c>
      <c r="H110" s="20">
        <f>IFERROR(INDEX('Input - Iceland'!G$2:G$200,MATCH('Calculations - Iceland'!$C110,'Input - Iceland'!$B$2:$B$200,0)),"")</f>
        <v>0</v>
      </c>
      <c r="I110" s="21">
        <f>IFERROR(INDEX('Input - Iceland'!H$2:H$200,MATCH('Calculations - Iceland'!$C110,'Input - Iceland'!$B$2:$B$200,0)),"")</f>
        <v>0</v>
      </c>
      <c r="J110" s="21">
        <f>IFERROR(INDEX('Input - Iceland'!I$2:I$200,MATCH('Calculations - Iceland'!$C110,'Input - Iceland'!$B$2:$B$200,0)),"")</f>
        <v>0</v>
      </c>
      <c r="K110" s="20">
        <f>IFERROR(INDEX('Input - Iceland'!J$2:J$200,MATCH('Calculations - Iceland'!$C110,'Input - Iceland'!$B$2:$B$200,0)),"")</f>
        <v>0</v>
      </c>
      <c r="L110" s="20">
        <f>IFERROR(INDEX('Input - Iceland'!K$2:K$200,MATCH('Calculations - Iceland'!$C110,'Input - Iceland'!$B$2:$B$200,0)),"")</f>
        <v>0</v>
      </c>
      <c r="M110" s="21" t="str">
        <f t="shared" si="96"/>
        <v/>
      </c>
      <c r="N110" s="21" t="str">
        <f t="shared" si="82"/>
        <v/>
      </c>
      <c r="O110" s="21">
        <f t="shared" si="97"/>
        <v>0</v>
      </c>
      <c r="P110" s="9">
        <f t="shared" si="79"/>
        <v>0</v>
      </c>
      <c r="Q110" s="9">
        <f t="shared" si="80"/>
        <v>0</v>
      </c>
      <c r="R110" s="22" t="str">
        <f>IFERROR(INDEX(Iceland!$Q$11:$Q$165,MATCH('Calculations - Iceland'!$C110,Iceland!$M$11:$M$165,0)),"")</f>
        <v/>
      </c>
      <c r="S110" s="22" t="str">
        <f>IFERROR(INDEX(Iceland!$R$11:$R$165,MATCH('Calculations - Iceland'!$C110,Iceland!$M$11:$M$165,0)),"")</f>
        <v/>
      </c>
      <c r="T110" s="16" t="e">
        <f t="shared" si="83"/>
        <v>#VALUE!</v>
      </c>
      <c r="U110" s="16" t="e">
        <f t="shared" si="98"/>
        <v>#VALUE!</v>
      </c>
      <c r="V110" s="16" t="e">
        <f t="shared" si="99"/>
        <v>#VALUE!</v>
      </c>
      <c r="W110" s="10" t="str">
        <f t="shared" si="84"/>
        <v>-</v>
      </c>
      <c r="X110" s="10" t="str">
        <f t="shared" si="85"/>
        <v>-</v>
      </c>
      <c r="Y110" s="13" t="str">
        <f t="shared" si="100"/>
        <v>-</v>
      </c>
      <c r="Z110" s="9" t="str">
        <f t="shared" si="86"/>
        <v>-</v>
      </c>
      <c r="AA110" s="16" t="str">
        <f t="shared" si="101"/>
        <v>-</v>
      </c>
      <c r="AB110" s="16" t="str">
        <f t="shared" si="87"/>
        <v>-</v>
      </c>
      <c r="AC110" s="16" t="str">
        <f t="shared" si="88"/>
        <v>-</v>
      </c>
      <c r="AD110" s="16" t="str">
        <f t="shared" si="102"/>
        <v>-</v>
      </c>
      <c r="AE110" s="16"/>
      <c r="AF110" s="31" t="str">
        <f>IFERROR(INDEX(Iceland!$P$11:$P$165,MATCH('Calculations - Iceland'!C110,Iceland!$M$11:$M$165,0)),"")</f>
        <v/>
      </c>
      <c r="AG110" s="23" t="str">
        <f t="shared" si="103"/>
        <v/>
      </c>
      <c r="AH110" s="23" t="str">
        <f t="shared" si="103"/>
        <v/>
      </c>
      <c r="AI110" s="9" t="str">
        <f t="shared" si="89"/>
        <v/>
      </c>
      <c r="AJ110" s="4" t="str">
        <f t="shared" si="90"/>
        <v/>
      </c>
      <c r="AK110" s="4"/>
      <c r="AL110" s="4"/>
      <c r="AM110" s="4"/>
      <c r="AN110" s="4"/>
      <c r="AO110" s="4"/>
      <c r="AP110" s="20" t="str">
        <f t="shared" si="91"/>
        <v>-</v>
      </c>
      <c r="AQ110" s="13" t="str">
        <f t="shared" si="104"/>
        <v>-</v>
      </c>
      <c r="AR110" s="13" t="str">
        <f t="shared" si="105"/>
        <v>-</v>
      </c>
      <c r="AS110" s="13" t="str">
        <f t="shared" si="92"/>
        <v>-</v>
      </c>
      <c r="AT110" s="16" t="str">
        <f t="shared" si="106"/>
        <v>-</v>
      </c>
      <c r="AU110" s="16" t="str">
        <f t="shared" si="93"/>
        <v>-</v>
      </c>
      <c r="AV110" s="16" t="str">
        <f t="shared" si="94"/>
        <v>-</v>
      </c>
      <c r="AW110" s="16" t="str">
        <f t="shared" si="107"/>
        <v>-</v>
      </c>
      <c r="AX110" s="13" t="str">
        <f t="shared" si="108"/>
        <v>-</v>
      </c>
      <c r="AY110" s="10" t="str">
        <f t="shared" si="109"/>
        <v>-</v>
      </c>
      <c r="AZ110" s="9" t="str">
        <f t="shared" si="110"/>
        <v>-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</row>
    <row r="111" spans="2:68" x14ac:dyDescent="0.3">
      <c r="B111" s="108" t="str">
        <f t="shared" si="95"/>
        <v/>
      </c>
      <c r="C111" s="108" t="str">
        <f t="shared" si="81"/>
        <v/>
      </c>
      <c r="D111" s="3"/>
      <c r="E111" s="3"/>
      <c r="F111" s="3"/>
      <c r="G111" s="20">
        <f>IFERROR(INDEX('Input - Iceland'!F$2:F$200,MATCH('Calculations - Iceland'!$C111,'Input - Iceland'!$B$2:$B$200,0)),"")</f>
        <v>0</v>
      </c>
      <c r="H111" s="20">
        <f>IFERROR(INDEX('Input - Iceland'!G$2:G$200,MATCH('Calculations - Iceland'!$C111,'Input - Iceland'!$B$2:$B$200,0)),"")</f>
        <v>0</v>
      </c>
      <c r="I111" s="21">
        <f>IFERROR(INDEX('Input - Iceland'!H$2:H$200,MATCH('Calculations - Iceland'!$C111,'Input - Iceland'!$B$2:$B$200,0)),"")</f>
        <v>0</v>
      </c>
      <c r="J111" s="21">
        <f>IFERROR(INDEX('Input - Iceland'!I$2:I$200,MATCH('Calculations - Iceland'!$C111,'Input - Iceland'!$B$2:$B$200,0)),"")</f>
        <v>0</v>
      </c>
      <c r="K111" s="20">
        <f>IFERROR(INDEX('Input - Iceland'!J$2:J$200,MATCH('Calculations - Iceland'!$C111,'Input - Iceland'!$B$2:$B$200,0)),"")</f>
        <v>0</v>
      </c>
      <c r="L111" s="20">
        <f>IFERROR(INDEX('Input - Iceland'!K$2:K$200,MATCH('Calculations - Iceland'!$C111,'Input - Iceland'!$B$2:$B$200,0)),"")</f>
        <v>0</v>
      </c>
      <c r="M111" s="21" t="str">
        <f t="shared" si="96"/>
        <v/>
      </c>
      <c r="N111" s="21" t="str">
        <f t="shared" si="82"/>
        <v/>
      </c>
      <c r="O111" s="21">
        <f t="shared" si="97"/>
        <v>0</v>
      </c>
      <c r="P111" s="9">
        <f t="shared" si="79"/>
        <v>0</v>
      </c>
      <c r="Q111" s="9">
        <f t="shared" si="80"/>
        <v>0</v>
      </c>
      <c r="R111" s="22" t="str">
        <f>IFERROR(INDEX(Iceland!$Q$11:$Q$165,MATCH('Calculations - Iceland'!$C111,Iceland!$M$11:$M$165,0)),"")</f>
        <v/>
      </c>
      <c r="S111" s="22" t="str">
        <f>IFERROR(INDEX(Iceland!$R$11:$R$165,MATCH('Calculations - Iceland'!$C111,Iceland!$M$11:$M$165,0)),"")</f>
        <v/>
      </c>
      <c r="T111" s="16" t="e">
        <f t="shared" si="83"/>
        <v>#VALUE!</v>
      </c>
      <c r="U111" s="16" t="e">
        <f t="shared" si="98"/>
        <v>#VALUE!</v>
      </c>
      <c r="V111" s="16" t="e">
        <f t="shared" si="99"/>
        <v>#VALUE!</v>
      </c>
      <c r="W111" s="10" t="str">
        <f t="shared" si="84"/>
        <v>-</v>
      </c>
      <c r="X111" s="10" t="str">
        <f t="shared" si="85"/>
        <v>-</v>
      </c>
      <c r="Y111" s="13" t="str">
        <f t="shared" si="100"/>
        <v>-</v>
      </c>
      <c r="Z111" s="9" t="str">
        <f t="shared" si="86"/>
        <v>-</v>
      </c>
      <c r="AA111" s="16" t="str">
        <f t="shared" si="101"/>
        <v>-</v>
      </c>
      <c r="AB111" s="16" t="str">
        <f t="shared" si="87"/>
        <v>-</v>
      </c>
      <c r="AC111" s="16" t="str">
        <f t="shared" si="88"/>
        <v>-</v>
      </c>
      <c r="AD111" s="16" t="str">
        <f t="shared" si="102"/>
        <v>-</v>
      </c>
      <c r="AE111" s="16"/>
      <c r="AF111" s="31" t="str">
        <f>IFERROR(INDEX(Iceland!$P$11:$P$165,MATCH('Calculations - Iceland'!C111,Iceland!$M$11:$M$165,0)),"")</f>
        <v/>
      </c>
      <c r="AG111" s="23" t="str">
        <f t="shared" si="103"/>
        <v/>
      </c>
      <c r="AH111" s="23" t="str">
        <f t="shared" si="103"/>
        <v/>
      </c>
      <c r="AI111" s="9" t="str">
        <f t="shared" si="89"/>
        <v/>
      </c>
      <c r="AJ111" s="4" t="str">
        <f t="shared" si="90"/>
        <v/>
      </c>
      <c r="AK111" s="4"/>
      <c r="AL111" s="4"/>
      <c r="AM111" s="4"/>
      <c r="AN111" s="4"/>
      <c r="AO111" s="4"/>
      <c r="AP111" s="20" t="str">
        <f t="shared" si="91"/>
        <v>-</v>
      </c>
      <c r="AQ111" s="13" t="str">
        <f t="shared" si="104"/>
        <v>-</v>
      </c>
      <c r="AR111" s="13" t="str">
        <f t="shared" si="105"/>
        <v>-</v>
      </c>
      <c r="AS111" s="13" t="str">
        <f t="shared" si="92"/>
        <v>-</v>
      </c>
      <c r="AT111" s="16" t="str">
        <f t="shared" si="106"/>
        <v>-</v>
      </c>
      <c r="AU111" s="16" t="str">
        <f t="shared" si="93"/>
        <v>-</v>
      </c>
      <c r="AV111" s="16" t="str">
        <f t="shared" si="94"/>
        <v>-</v>
      </c>
      <c r="AW111" s="16" t="str">
        <f t="shared" si="107"/>
        <v>-</v>
      </c>
      <c r="AX111" s="13" t="str">
        <f t="shared" si="108"/>
        <v>-</v>
      </c>
      <c r="AY111" s="10" t="str">
        <f t="shared" si="109"/>
        <v>-</v>
      </c>
      <c r="AZ111" s="9" t="str">
        <f t="shared" si="110"/>
        <v>-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</row>
    <row r="112" spans="2:68" x14ac:dyDescent="0.3">
      <c r="B112" s="108" t="str">
        <f t="shared" si="95"/>
        <v/>
      </c>
      <c r="C112" s="108" t="str">
        <f t="shared" si="81"/>
        <v/>
      </c>
      <c r="D112" s="3"/>
      <c r="E112" s="3"/>
      <c r="F112" s="3"/>
      <c r="G112" s="20">
        <f>IFERROR(INDEX('Input - Iceland'!F$2:F$200,MATCH('Calculations - Iceland'!$C112,'Input - Iceland'!$B$2:$B$200,0)),"")</f>
        <v>0</v>
      </c>
      <c r="H112" s="20">
        <f>IFERROR(INDEX('Input - Iceland'!G$2:G$200,MATCH('Calculations - Iceland'!$C112,'Input - Iceland'!$B$2:$B$200,0)),"")</f>
        <v>0</v>
      </c>
      <c r="I112" s="21">
        <f>IFERROR(INDEX('Input - Iceland'!H$2:H$200,MATCH('Calculations - Iceland'!$C112,'Input - Iceland'!$B$2:$B$200,0)),"")</f>
        <v>0</v>
      </c>
      <c r="J112" s="21">
        <f>IFERROR(INDEX('Input - Iceland'!I$2:I$200,MATCH('Calculations - Iceland'!$C112,'Input - Iceland'!$B$2:$B$200,0)),"")</f>
        <v>0</v>
      </c>
      <c r="K112" s="20">
        <f>IFERROR(INDEX('Input - Iceland'!J$2:J$200,MATCH('Calculations - Iceland'!$C112,'Input - Iceland'!$B$2:$B$200,0)),"")</f>
        <v>0</v>
      </c>
      <c r="L112" s="20">
        <f>IFERROR(INDEX('Input - Iceland'!K$2:K$200,MATCH('Calculations - Iceland'!$C112,'Input - Iceland'!$B$2:$B$200,0)),"")</f>
        <v>0</v>
      </c>
      <c r="M112" s="21" t="str">
        <f t="shared" si="96"/>
        <v/>
      </c>
      <c r="N112" s="21" t="str">
        <f t="shared" si="82"/>
        <v/>
      </c>
      <c r="O112" s="21">
        <f t="shared" si="97"/>
        <v>0</v>
      </c>
      <c r="P112" s="9">
        <f t="shared" si="79"/>
        <v>0</v>
      </c>
      <c r="Q112" s="9">
        <f t="shared" si="80"/>
        <v>0</v>
      </c>
      <c r="R112" s="22" t="str">
        <f>IFERROR(INDEX(Iceland!$Q$11:$Q$165,MATCH('Calculations - Iceland'!$C112,Iceland!$M$11:$M$165,0)),"")</f>
        <v/>
      </c>
      <c r="S112" s="22" t="str">
        <f>IFERROR(INDEX(Iceland!$R$11:$R$165,MATCH('Calculations - Iceland'!$C112,Iceland!$M$11:$M$165,0)),"")</f>
        <v/>
      </c>
      <c r="T112" s="16" t="e">
        <f t="shared" si="83"/>
        <v>#VALUE!</v>
      </c>
      <c r="U112" s="16" t="e">
        <f t="shared" si="98"/>
        <v>#VALUE!</v>
      </c>
      <c r="V112" s="16" t="e">
        <f t="shared" si="99"/>
        <v>#VALUE!</v>
      </c>
      <c r="W112" s="10" t="str">
        <f t="shared" si="84"/>
        <v>-</v>
      </c>
      <c r="X112" s="10" t="str">
        <f t="shared" si="85"/>
        <v>-</v>
      </c>
      <c r="Y112" s="13" t="str">
        <f t="shared" si="100"/>
        <v>-</v>
      </c>
      <c r="Z112" s="9" t="str">
        <f t="shared" si="86"/>
        <v>-</v>
      </c>
      <c r="AA112" s="16" t="str">
        <f t="shared" si="101"/>
        <v>-</v>
      </c>
      <c r="AB112" s="16" t="str">
        <f t="shared" si="87"/>
        <v>-</v>
      </c>
      <c r="AC112" s="16" t="str">
        <f t="shared" si="88"/>
        <v>-</v>
      </c>
      <c r="AD112" s="16" t="str">
        <f t="shared" si="102"/>
        <v>-</v>
      </c>
      <c r="AE112" s="16"/>
      <c r="AF112" s="31" t="str">
        <f>IFERROR(INDEX(Iceland!$P$11:$P$165,MATCH('Calculations - Iceland'!C112,Iceland!$M$11:$M$165,0)),"")</f>
        <v/>
      </c>
      <c r="AG112" s="23" t="str">
        <f t="shared" si="103"/>
        <v/>
      </c>
      <c r="AH112" s="23" t="str">
        <f t="shared" si="103"/>
        <v/>
      </c>
      <c r="AI112" s="9" t="str">
        <f t="shared" si="89"/>
        <v/>
      </c>
      <c r="AJ112" s="4" t="str">
        <f t="shared" si="90"/>
        <v/>
      </c>
      <c r="AK112" s="4"/>
      <c r="AL112" s="4"/>
      <c r="AM112" s="4"/>
      <c r="AN112" s="4"/>
      <c r="AO112" s="4"/>
      <c r="AP112" s="20" t="str">
        <f t="shared" si="91"/>
        <v>-</v>
      </c>
      <c r="AQ112" s="13" t="str">
        <f t="shared" si="104"/>
        <v>-</v>
      </c>
      <c r="AR112" s="13" t="str">
        <f t="shared" si="105"/>
        <v>-</v>
      </c>
      <c r="AS112" s="13" t="str">
        <f t="shared" si="92"/>
        <v>-</v>
      </c>
      <c r="AT112" s="16" t="str">
        <f t="shared" si="106"/>
        <v>-</v>
      </c>
      <c r="AU112" s="16" t="str">
        <f t="shared" si="93"/>
        <v>-</v>
      </c>
      <c r="AV112" s="16" t="str">
        <f t="shared" si="94"/>
        <v>-</v>
      </c>
      <c r="AW112" s="16" t="str">
        <f t="shared" si="107"/>
        <v>-</v>
      </c>
      <c r="AX112" s="13" t="str">
        <f t="shared" si="108"/>
        <v>-</v>
      </c>
      <c r="AY112" s="10" t="str">
        <f t="shared" si="109"/>
        <v>-</v>
      </c>
      <c r="AZ112" s="9" t="str">
        <f t="shared" si="110"/>
        <v>-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</row>
    <row r="113" spans="2:68" x14ac:dyDescent="0.3">
      <c r="B113" s="108" t="str">
        <f t="shared" si="95"/>
        <v/>
      </c>
      <c r="C113" s="108" t="str">
        <f t="shared" si="81"/>
        <v/>
      </c>
      <c r="D113" s="3"/>
      <c r="E113" s="3"/>
      <c r="F113" s="3"/>
      <c r="G113" s="20">
        <f>IFERROR(INDEX('Input - Iceland'!F$2:F$200,MATCH('Calculations - Iceland'!$C113,'Input - Iceland'!$B$2:$B$200,0)),"")</f>
        <v>0</v>
      </c>
      <c r="H113" s="20">
        <f>IFERROR(INDEX('Input - Iceland'!G$2:G$200,MATCH('Calculations - Iceland'!$C113,'Input - Iceland'!$B$2:$B$200,0)),"")</f>
        <v>0</v>
      </c>
      <c r="I113" s="21">
        <f>IFERROR(INDEX('Input - Iceland'!H$2:H$200,MATCH('Calculations - Iceland'!$C113,'Input - Iceland'!$B$2:$B$200,0)),"")</f>
        <v>0</v>
      </c>
      <c r="J113" s="21">
        <f>IFERROR(INDEX('Input - Iceland'!I$2:I$200,MATCH('Calculations - Iceland'!$C113,'Input - Iceland'!$B$2:$B$200,0)),"")</f>
        <v>0</v>
      </c>
      <c r="K113" s="20">
        <f>IFERROR(INDEX('Input - Iceland'!J$2:J$200,MATCH('Calculations - Iceland'!$C113,'Input - Iceland'!$B$2:$B$200,0)),"")</f>
        <v>0</v>
      </c>
      <c r="L113" s="20">
        <f>IFERROR(INDEX('Input - Iceland'!K$2:K$200,MATCH('Calculations - Iceland'!$C113,'Input - Iceland'!$B$2:$B$200,0)),"")</f>
        <v>0</v>
      </c>
      <c r="M113" s="21" t="str">
        <f t="shared" si="96"/>
        <v/>
      </c>
      <c r="N113" s="21" t="str">
        <f t="shared" si="82"/>
        <v/>
      </c>
      <c r="O113" s="21">
        <f t="shared" si="97"/>
        <v>0</v>
      </c>
      <c r="P113" s="9">
        <f t="shared" si="79"/>
        <v>0</v>
      </c>
      <c r="Q113" s="9">
        <f t="shared" si="80"/>
        <v>0</v>
      </c>
      <c r="R113" s="22" t="str">
        <f>IFERROR(INDEX(Iceland!$Q$11:$Q$165,MATCH('Calculations - Iceland'!$C113,Iceland!$M$11:$M$165,0)),"")</f>
        <v/>
      </c>
      <c r="S113" s="22" t="str">
        <f>IFERROR(INDEX(Iceland!$R$11:$R$165,MATCH('Calculations - Iceland'!$C113,Iceland!$M$11:$M$165,0)),"")</f>
        <v/>
      </c>
      <c r="T113" s="16" t="e">
        <f t="shared" si="83"/>
        <v>#VALUE!</v>
      </c>
      <c r="U113" s="16" t="e">
        <f t="shared" si="98"/>
        <v>#VALUE!</v>
      </c>
      <c r="V113" s="16" t="e">
        <f t="shared" si="99"/>
        <v>#VALUE!</v>
      </c>
      <c r="W113" s="10" t="str">
        <f t="shared" si="84"/>
        <v>-</v>
      </c>
      <c r="X113" s="10" t="str">
        <f t="shared" si="85"/>
        <v>-</v>
      </c>
      <c r="Y113" s="13" t="str">
        <f t="shared" si="100"/>
        <v>-</v>
      </c>
      <c r="Z113" s="9" t="str">
        <f t="shared" si="86"/>
        <v>-</v>
      </c>
      <c r="AA113" s="16" t="str">
        <f t="shared" si="101"/>
        <v>-</v>
      </c>
      <c r="AB113" s="16" t="str">
        <f t="shared" si="87"/>
        <v>-</v>
      </c>
      <c r="AC113" s="16" t="str">
        <f t="shared" si="88"/>
        <v>-</v>
      </c>
      <c r="AD113" s="16" t="str">
        <f t="shared" si="102"/>
        <v>-</v>
      </c>
      <c r="AE113" s="16"/>
      <c r="AF113" s="31" t="str">
        <f>IFERROR(INDEX(Iceland!$P$11:$P$165,MATCH('Calculations - Iceland'!C113,Iceland!$M$11:$M$165,0)),"")</f>
        <v/>
      </c>
      <c r="AG113" s="23" t="str">
        <f t="shared" si="103"/>
        <v/>
      </c>
      <c r="AH113" s="23" t="str">
        <f t="shared" si="103"/>
        <v/>
      </c>
      <c r="AI113" s="9" t="str">
        <f t="shared" si="89"/>
        <v/>
      </c>
      <c r="AJ113" s="4" t="str">
        <f t="shared" si="90"/>
        <v/>
      </c>
      <c r="AK113" s="4"/>
      <c r="AL113" s="4"/>
      <c r="AM113" s="4"/>
      <c r="AN113" s="4"/>
      <c r="AO113" s="4"/>
      <c r="AP113" s="20" t="str">
        <f t="shared" si="91"/>
        <v>-</v>
      </c>
      <c r="AQ113" s="13" t="str">
        <f t="shared" si="104"/>
        <v>-</v>
      </c>
      <c r="AR113" s="13" t="str">
        <f t="shared" si="105"/>
        <v>-</v>
      </c>
      <c r="AS113" s="13" t="str">
        <f t="shared" si="92"/>
        <v>-</v>
      </c>
      <c r="AT113" s="16" t="str">
        <f t="shared" si="106"/>
        <v>-</v>
      </c>
      <c r="AU113" s="16" t="str">
        <f t="shared" si="93"/>
        <v>-</v>
      </c>
      <c r="AV113" s="16" t="str">
        <f t="shared" si="94"/>
        <v>-</v>
      </c>
      <c r="AW113" s="16" t="str">
        <f t="shared" si="107"/>
        <v>-</v>
      </c>
      <c r="AX113" s="13" t="str">
        <f t="shared" si="108"/>
        <v>-</v>
      </c>
      <c r="AY113" s="10" t="str">
        <f t="shared" si="109"/>
        <v>-</v>
      </c>
      <c r="AZ113" s="9" t="str">
        <f t="shared" si="110"/>
        <v>-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</row>
    <row r="114" spans="2:68" x14ac:dyDescent="0.3">
      <c r="B114" s="108" t="str">
        <f t="shared" si="95"/>
        <v/>
      </c>
      <c r="C114" s="108" t="str">
        <f t="shared" si="81"/>
        <v/>
      </c>
      <c r="D114" s="3"/>
      <c r="E114" s="3"/>
      <c r="F114" s="3"/>
      <c r="G114" s="20">
        <f>IFERROR(INDEX('Input - Iceland'!F$2:F$200,MATCH('Calculations - Iceland'!$C114,'Input - Iceland'!$B$2:$B$200,0)),"")</f>
        <v>0</v>
      </c>
      <c r="H114" s="20">
        <f>IFERROR(INDEX('Input - Iceland'!G$2:G$200,MATCH('Calculations - Iceland'!$C114,'Input - Iceland'!$B$2:$B$200,0)),"")</f>
        <v>0</v>
      </c>
      <c r="I114" s="21">
        <f>IFERROR(INDEX('Input - Iceland'!H$2:H$200,MATCH('Calculations - Iceland'!$C114,'Input - Iceland'!$B$2:$B$200,0)),"")</f>
        <v>0</v>
      </c>
      <c r="J114" s="21">
        <f>IFERROR(INDEX('Input - Iceland'!I$2:I$200,MATCH('Calculations - Iceland'!$C114,'Input - Iceland'!$B$2:$B$200,0)),"")</f>
        <v>0</v>
      </c>
      <c r="K114" s="20">
        <f>IFERROR(INDEX('Input - Iceland'!J$2:J$200,MATCH('Calculations - Iceland'!$C114,'Input - Iceland'!$B$2:$B$200,0)),"")</f>
        <v>0</v>
      </c>
      <c r="L114" s="20">
        <f>IFERROR(INDEX('Input - Iceland'!K$2:K$200,MATCH('Calculations - Iceland'!$C114,'Input - Iceland'!$B$2:$B$200,0)),"")</f>
        <v>0</v>
      </c>
      <c r="M114" s="21" t="str">
        <f t="shared" si="96"/>
        <v/>
      </c>
      <c r="N114" s="21" t="str">
        <f t="shared" si="82"/>
        <v/>
      </c>
      <c r="O114" s="21">
        <f t="shared" si="97"/>
        <v>0</v>
      </c>
      <c r="P114" s="9">
        <f t="shared" si="79"/>
        <v>0</v>
      </c>
      <c r="Q114" s="9">
        <f t="shared" si="80"/>
        <v>0</v>
      </c>
      <c r="R114" s="22" t="str">
        <f>IFERROR(INDEX(Iceland!$Q$11:$Q$165,MATCH('Calculations - Iceland'!$C114,Iceland!$M$11:$M$165,0)),"")</f>
        <v/>
      </c>
      <c r="S114" s="22" t="str">
        <f>IFERROR(INDEX(Iceland!$R$11:$R$165,MATCH('Calculations - Iceland'!$C114,Iceland!$M$11:$M$165,0)),"")</f>
        <v/>
      </c>
      <c r="T114" s="16" t="e">
        <f t="shared" si="83"/>
        <v>#VALUE!</v>
      </c>
      <c r="U114" s="16" t="e">
        <f t="shared" si="98"/>
        <v>#VALUE!</v>
      </c>
      <c r="V114" s="16" t="e">
        <f t="shared" si="99"/>
        <v>#VALUE!</v>
      </c>
      <c r="W114" s="10" t="str">
        <f t="shared" si="84"/>
        <v>-</v>
      </c>
      <c r="X114" s="10" t="str">
        <f t="shared" si="85"/>
        <v>-</v>
      </c>
      <c r="Y114" s="13" t="str">
        <f t="shared" si="100"/>
        <v>-</v>
      </c>
      <c r="Z114" s="9" t="str">
        <f t="shared" si="86"/>
        <v>-</v>
      </c>
      <c r="AA114" s="16" t="str">
        <f t="shared" si="101"/>
        <v>-</v>
      </c>
      <c r="AB114" s="16" t="str">
        <f t="shared" si="87"/>
        <v>-</v>
      </c>
      <c r="AC114" s="16" t="str">
        <f t="shared" si="88"/>
        <v>-</v>
      </c>
      <c r="AD114" s="16" t="str">
        <f t="shared" si="102"/>
        <v>-</v>
      </c>
      <c r="AE114" s="16"/>
      <c r="AF114" s="31" t="str">
        <f>IFERROR(INDEX(Iceland!$P$11:$P$165,MATCH('Calculations - Iceland'!C114,Iceland!$M$11:$M$165,0)),"")</f>
        <v/>
      </c>
      <c r="AG114" s="23" t="str">
        <f t="shared" si="103"/>
        <v/>
      </c>
      <c r="AH114" s="23" t="str">
        <f t="shared" si="103"/>
        <v/>
      </c>
      <c r="AI114" s="9" t="str">
        <f t="shared" si="89"/>
        <v/>
      </c>
      <c r="AJ114" s="4" t="str">
        <f t="shared" si="90"/>
        <v/>
      </c>
      <c r="AK114" s="4"/>
      <c r="AL114" s="4"/>
      <c r="AM114" s="4"/>
      <c r="AN114" s="4"/>
      <c r="AO114" s="4"/>
      <c r="AP114" s="20" t="str">
        <f t="shared" si="91"/>
        <v>-</v>
      </c>
      <c r="AQ114" s="13" t="str">
        <f t="shared" si="104"/>
        <v>-</v>
      </c>
      <c r="AR114" s="13" t="str">
        <f t="shared" si="105"/>
        <v>-</v>
      </c>
      <c r="AS114" s="13" t="str">
        <f t="shared" si="92"/>
        <v>-</v>
      </c>
      <c r="AT114" s="16" t="str">
        <f t="shared" si="106"/>
        <v>-</v>
      </c>
      <c r="AU114" s="16" t="str">
        <f t="shared" si="93"/>
        <v>-</v>
      </c>
      <c r="AV114" s="16" t="str">
        <f t="shared" si="94"/>
        <v>-</v>
      </c>
      <c r="AW114" s="16" t="str">
        <f t="shared" si="107"/>
        <v>-</v>
      </c>
      <c r="AX114" s="13" t="str">
        <f t="shared" si="108"/>
        <v>-</v>
      </c>
      <c r="AY114" s="10" t="str">
        <f t="shared" si="109"/>
        <v>-</v>
      </c>
      <c r="AZ114" s="9" t="str">
        <f t="shared" si="110"/>
        <v>-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</row>
    <row r="115" spans="2:68" x14ac:dyDescent="0.3">
      <c r="B115" s="108" t="str">
        <f t="shared" si="95"/>
        <v/>
      </c>
      <c r="C115" s="108" t="str">
        <f t="shared" si="81"/>
        <v/>
      </c>
      <c r="D115" s="3"/>
      <c r="E115" s="3"/>
      <c r="F115" s="3"/>
      <c r="G115" s="20">
        <f>IFERROR(INDEX('Input - Iceland'!F$2:F$200,MATCH('Calculations - Iceland'!$C115,'Input - Iceland'!$B$2:$B$200,0)),"")</f>
        <v>0</v>
      </c>
      <c r="H115" s="20">
        <f>IFERROR(INDEX('Input - Iceland'!G$2:G$200,MATCH('Calculations - Iceland'!$C115,'Input - Iceland'!$B$2:$B$200,0)),"")</f>
        <v>0</v>
      </c>
      <c r="I115" s="21">
        <f>IFERROR(INDEX('Input - Iceland'!H$2:H$200,MATCH('Calculations - Iceland'!$C115,'Input - Iceland'!$B$2:$B$200,0)),"")</f>
        <v>0</v>
      </c>
      <c r="J115" s="21">
        <f>IFERROR(INDEX('Input - Iceland'!I$2:I$200,MATCH('Calculations - Iceland'!$C115,'Input - Iceland'!$B$2:$B$200,0)),"")</f>
        <v>0</v>
      </c>
      <c r="K115" s="20">
        <f>IFERROR(INDEX('Input - Iceland'!J$2:J$200,MATCH('Calculations - Iceland'!$C115,'Input - Iceland'!$B$2:$B$200,0)),"")</f>
        <v>0</v>
      </c>
      <c r="L115" s="20">
        <f>IFERROR(INDEX('Input - Iceland'!K$2:K$200,MATCH('Calculations - Iceland'!$C115,'Input - Iceland'!$B$2:$B$200,0)),"")</f>
        <v>0</v>
      </c>
      <c r="M115" s="21" t="str">
        <f t="shared" si="96"/>
        <v/>
      </c>
      <c r="N115" s="21" t="str">
        <f t="shared" si="82"/>
        <v/>
      </c>
      <c r="O115" s="21">
        <f t="shared" si="97"/>
        <v>0</v>
      </c>
      <c r="P115" s="9">
        <f t="shared" si="79"/>
        <v>0</v>
      </c>
      <c r="Q115" s="9">
        <f t="shared" si="80"/>
        <v>0</v>
      </c>
      <c r="R115" s="22" t="str">
        <f>IFERROR(INDEX(Iceland!$Q$11:$Q$165,MATCH('Calculations - Iceland'!$C115,Iceland!$M$11:$M$165,0)),"")</f>
        <v/>
      </c>
      <c r="S115" s="22" t="str">
        <f>IFERROR(INDEX(Iceland!$R$11:$R$165,MATCH('Calculations - Iceland'!$C115,Iceland!$M$11:$M$165,0)),"")</f>
        <v/>
      </c>
      <c r="T115" s="16" t="e">
        <f t="shared" si="83"/>
        <v>#VALUE!</v>
      </c>
      <c r="U115" s="16" t="e">
        <f t="shared" si="98"/>
        <v>#VALUE!</v>
      </c>
      <c r="V115" s="16" t="e">
        <f t="shared" si="99"/>
        <v>#VALUE!</v>
      </c>
      <c r="W115" s="10" t="str">
        <f t="shared" si="84"/>
        <v>-</v>
      </c>
      <c r="X115" s="10" t="str">
        <f t="shared" si="85"/>
        <v>-</v>
      </c>
      <c r="Y115" s="13" t="str">
        <f t="shared" si="100"/>
        <v>-</v>
      </c>
      <c r="Z115" s="9" t="str">
        <f t="shared" si="86"/>
        <v>-</v>
      </c>
      <c r="AA115" s="16" t="str">
        <f t="shared" si="101"/>
        <v>-</v>
      </c>
      <c r="AB115" s="16" t="str">
        <f t="shared" si="87"/>
        <v>-</v>
      </c>
      <c r="AC115" s="16" t="str">
        <f t="shared" si="88"/>
        <v>-</v>
      </c>
      <c r="AD115" s="16" t="str">
        <f t="shared" si="102"/>
        <v>-</v>
      </c>
      <c r="AE115" s="16"/>
      <c r="AF115" s="31" t="str">
        <f>IFERROR(INDEX(Iceland!$P$11:$P$165,MATCH('Calculations - Iceland'!C115,Iceland!$M$11:$M$165,0)),"")</f>
        <v/>
      </c>
      <c r="AG115" s="23" t="str">
        <f t="shared" si="103"/>
        <v/>
      </c>
      <c r="AH115" s="23" t="str">
        <f t="shared" si="103"/>
        <v/>
      </c>
      <c r="AI115" s="9" t="str">
        <f t="shared" si="89"/>
        <v/>
      </c>
      <c r="AJ115" s="4" t="str">
        <f t="shared" si="90"/>
        <v/>
      </c>
      <c r="AK115" s="4"/>
      <c r="AL115" s="4"/>
      <c r="AM115" s="4"/>
      <c r="AN115" s="4"/>
      <c r="AO115" s="4"/>
      <c r="AP115" s="20" t="str">
        <f t="shared" si="91"/>
        <v>-</v>
      </c>
      <c r="AQ115" s="13" t="str">
        <f t="shared" si="104"/>
        <v>-</v>
      </c>
      <c r="AR115" s="13" t="str">
        <f t="shared" si="105"/>
        <v>-</v>
      </c>
      <c r="AS115" s="13" t="str">
        <f t="shared" si="92"/>
        <v>-</v>
      </c>
      <c r="AT115" s="16" t="str">
        <f t="shared" si="106"/>
        <v>-</v>
      </c>
      <c r="AU115" s="16" t="str">
        <f t="shared" si="93"/>
        <v>-</v>
      </c>
      <c r="AV115" s="16" t="str">
        <f t="shared" si="94"/>
        <v>-</v>
      </c>
      <c r="AW115" s="16" t="str">
        <f t="shared" si="107"/>
        <v>-</v>
      </c>
      <c r="AX115" s="13" t="str">
        <f t="shared" si="108"/>
        <v>-</v>
      </c>
      <c r="AY115" s="10" t="str">
        <f t="shared" si="109"/>
        <v>-</v>
      </c>
      <c r="AZ115" s="9" t="str">
        <f t="shared" si="110"/>
        <v>-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</row>
    <row r="116" spans="2:68" x14ac:dyDescent="0.3">
      <c r="B116" s="108" t="str">
        <f t="shared" si="95"/>
        <v/>
      </c>
      <c r="C116" s="108" t="str">
        <f t="shared" si="81"/>
        <v/>
      </c>
      <c r="D116" s="3"/>
      <c r="E116" s="3"/>
      <c r="F116" s="3"/>
      <c r="G116" s="20">
        <f>IFERROR(INDEX('Input - Iceland'!F$2:F$200,MATCH('Calculations - Iceland'!$C116,'Input - Iceland'!$B$2:$B$200,0)),"")</f>
        <v>0</v>
      </c>
      <c r="H116" s="20">
        <f>IFERROR(INDEX('Input - Iceland'!G$2:G$200,MATCH('Calculations - Iceland'!$C116,'Input - Iceland'!$B$2:$B$200,0)),"")</f>
        <v>0</v>
      </c>
      <c r="I116" s="21">
        <f>IFERROR(INDEX('Input - Iceland'!H$2:H$200,MATCH('Calculations - Iceland'!$C116,'Input - Iceland'!$B$2:$B$200,0)),"")</f>
        <v>0</v>
      </c>
      <c r="J116" s="21">
        <f>IFERROR(INDEX('Input - Iceland'!I$2:I$200,MATCH('Calculations - Iceland'!$C116,'Input - Iceland'!$B$2:$B$200,0)),"")</f>
        <v>0</v>
      </c>
      <c r="K116" s="20">
        <f>IFERROR(INDEX('Input - Iceland'!J$2:J$200,MATCH('Calculations - Iceland'!$C116,'Input - Iceland'!$B$2:$B$200,0)),"")</f>
        <v>0</v>
      </c>
      <c r="L116" s="20">
        <f>IFERROR(INDEX('Input - Iceland'!K$2:K$200,MATCH('Calculations - Iceland'!$C116,'Input - Iceland'!$B$2:$B$200,0)),"")</f>
        <v>0</v>
      </c>
      <c r="M116" s="21" t="str">
        <f t="shared" si="96"/>
        <v/>
      </c>
      <c r="N116" s="21" t="str">
        <f t="shared" si="82"/>
        <v/>
      </c>
      <c r="O116" s="21">
        <f t="shared" si="97"/>
        <v>0</v>
      </c>
      <c r="P116" s="9">
        <f t="shared" si="79"/>
        <v>0</v>
      </c>
      <c r="Q116" s="9">
        <f t="shared" si="80"/>
        <v>0</v>
      </c>
      <c r="R116" s="22" t="str">
        <f>IFERROR(INDEX(Iceland!$Q$11:$Q$165,MATCH('Calculations - Iceland'!$C116,Iceland!$M$11:$M$165,0)),"")</f>
        <v/>
      </c>
      <c r="S116" s="22" t="str">
        <f>IFERROR(INDEX(Iceland!$R$11:$R$165,MATCH('Calculations - Iceland'!$C116,Iceland!$M$11:$M$165,0)),"")</f>
        <v/>
      </c>
      <c r="T116" s="16" t="e">
        <f t="shared" si="83"/>
        <v>#VALUE!</v>
      </c>
      <c r="U116" s="16" t="e">
        <f t="shared" si="98"/>
        <v>#VALUE!</v>
      </c>
      <c r="V116" s="16" t="e">
        <f t="shared" si="99"/>
        <v>#VALUE!</v>
      </c>
      <c r="W116" s="10" t="str">
        <f t="shared" si="84"/>
        <v>-</v>
      </c>
      <c r="X116" s="10" t="str">
        <f t="shared" si="85"/>
        <v>-</v>
      </c>
      <c r="Y116" s="13" t="str">
        <f t="shared" si="100"/>
        <v>-</v>
      </c>
      <c r="Z116" s="9" t="str">
        <f t="shared" si="86"/>
        <v>-</v>
      </c>
      <c r="AA116" s="16" t="str">
        <f t="shared" si="101"/>
        <v>-</v>
      </c>
      <c r="AB116" s="16" t="str">
        <f t="shared" si="87"/>
        <v>-</v>
      </c>
      <c r="AC116" s="16" t="str">
        <f t="shared" si="88"/>
        <v>-</v>
      </c>
      <c r="AD116" s="16" t="str">
        <f t="shared" si="102"/>
        <v>-</v>
      </c>
      <c r="AE116" s="16"/>
      <c r="AF116" s="31" t="str">
        <f>IFERROR(INDEX(Iceland!$P$11:$P$165,MATCH('Calculations - Iceland'!C116,Iceland!$M$11:$M$165,0)),"")</f>
        <v/>
      </c>
      <c r="AG116" s="23" t="str">
        <f t="shared" si="103"/>
        <v/>
      </c>
      <c r="AH116" s="23" t="str">
        <f t="shared" si="103"/>
        <v/>
      </c>
      <c r="AI116" s="9" t="str">
        <f t="shared" si="89"/>
        <v/>
      </c>
      <c r="AJ116" s="4" t="str">
        <f t="shared" si="90"/>
        <v/>
      </c>
      <c r="AK116" s="4"/>
      <c r="AL116" s="4"/>
      <c r="AM116" s="4"/>
      <c r="AN116" s="4"/>
      <c r="AO116" s="4"/>
      <c r="AP116" s="20" t="str">
        <f t="shared" si="91"/>
        <v>-</v>
      </c>
      <c r="AQ116" s="13" t="str">
        <f t="shared" si="104"/>
        <v>-</v>
      </c>
      <c r="AR116" s="13" t="str">
        <f t="shared" si="105"/>
        <v>-</v>
      </c>
      <c r="AS116" s="13" t="str">
        <f t="shared" si="92"/>
        <v>-</v>
      </c>
      <c r="AT116" s="16" t="str">
        <f t="shared" si="106"/>
        <v>-</v>
      </c>
      <c r="AU116" s="16" t="str">
        <f t="shared" si="93"/>
        <v>-</v>
      </c>
      <c r="AV116" s="16" t="str">
        <f t="shared" si="94"/>
        <v>-</v>
      </c>
      <c r="AW116" s="16" t="str">
        <f t="shared" si="107"/>
        <v>-</v>
      </c>
      <c r="AX116" s="13" t="str">
        <f t="shared" si="108"/>
        <v>-</v>
      </c>
      <c r="AY116" s="10" t="str">
        <f t="shared" si="109"/>
        <v>-</v>
      </c>
      <c r="AZ116" s="9" t="str">
        <f t="shared" si="110"/>
        <v>-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</row>
    <row r="117" spans="2:68" x14ac:dyDescent="0.3">
      <c r="B117" s="108" t="str">
        <f t="shared" si="95"/>
        <v/>
      </c>
      <c r="C117" s="108" t="str">
        <f t="shared" si="81"/>
        <v/>
      </c>
      <c r="D117" s="3"/>
      <c r="E117" s="3"/>
      <c r="F117" s="3"/>
      <c r="G117" s="20">
        <f>IFERROR(INDEX('Input - Iceland'!F$2:F$200,MATCH('Calculations - Iceland'!$C117,'Input - Iceland'!$B$2:$B$200,0)),"")</f>
        <v>0</v>
      </c>
      <c r="H117" s="20">
        <f>IFERROR(INDEX('Input - Iceland'!G$2:G$200,MATCH('Calculations - Iceland'!$C117,'Input - Iceland'!$B$2:$B$200,0)),"")</f>
        <v>0</v>
      </c>
      <c r="I117" s="21">
        <f>IFERROR(INDEX('Input - Iceland'!H$2:H$200,MATCH('Calculations - Iceland'!$C117,'Input - Iceland'!$B$2:$B$200,0)),"")</f>
        <v>0</v>
      </c>
      <c r="J117" s="21">
        <f>IFERROR(INDEX('Input - Iceland'!I$2:I$200,MATCH('Calculations - Iceland'!$C117,'Input - Iceland'!$B$2:$B$200,0)),"")</f>
        <v>0</v>
      </c>
      <c r="K117" s="20">
        <f>IFERROR(INDEX('Input - Iceland'!J$2:J$200,MATCH('Calculations - Iceland'!$C117,'Input - Iceland'!$B$2:$B$200,0)),"")</f>
        <v>0</v>
      </c>
      <c r="L117" s="20">
        <f>IFERROR(INDEX('Input - Iceland'!K$2:K$200,MATCH('Calculations - Iceland'!$C117,'Input - Iceland'!$B$2:$B$200,0)),"")</f>
        <v>0</v>
      </c>
      <c r="M117" s="21" t="str">
        <f t="shared" si="96"/>
        <v/>
      </c>
      <c r="N117" s="21" t="str">
        <f t="shared" si="82"/>
        <v/>
      </c>
      <c r="O117" s="21">
        <f t="shared" si="97"/>
        <v>0</v>
      </c>
      <c r="P117" s="9">
        <f t="shared" si="79"/>
        <v>0</v>
      </c>
      <c r="Q117" s="9">
        <f t="shared" si="80"/>
        <v>0</v>
      </c>
      <c r="R117" s="22" t="str">
        <f>IFERROR(INDEX(Iceland!$Q$11:$Q$165,MATCH('Calculations - Iceland'!$C117,Iceland!$M$11:$M$165,0)),"")</f>
        <v/>
      </c>
      <c r="S117" s="22" t="str">
        <f>IFERROR(INDEX(Iceland!$R$11:$R$165,MATCH('Calculations - Iceland'!$C117,Iceland!$M$11:$M$165,0)),"")</f>
        <v/>
      </c>
      <c r="T117" s="16" t="e">
        <f t="shared" si="83"/>
        <v>#VALUE!</v>
      </c>
      <c r="U117" s="16" t="e">
        <f t="shared" si="98"/>
        <v>#VALUE!</v>
      </c>
      <c r="V117" s="16" t="e">
        <f t="shared" si="99"/>
        <v>#VALUE!</v>
      </c>
      <c r="W117" s="10" t="str">
        <f t="shared" si="84"/>
        <v>-</v>
      </c>
      <c r="X117" s="10" t="str">
        <f t="shared" si="85"/>
        <v>-</v>
      </c>
      <c r="Y117" s="13" t="str">
        <f t="shared" si="100"/>
        <v>-</v>
      </c>
      <c r="Z117" s="9" t="str">
        <f t="shared" si="86"/>
        <v>-</v>
      </c>
      <c r="AA117" s="16" t="str">
        <f t="shared" si="101"/>
        <v>-</v>
      </c>
      <c r="AB117" s="16" t="str">
        <f t="shared" si="87"/>
        <v>-</v>
      </c>
      <c r="AC117" s="16" t="str">
        <f t="shared" si="88"/>
        <v>-</v>
      </c>
      <c r="AD117" s="16" t="str">
        <f t="shared" si="102"/>
        <v>-</v>
      </c>
      <c r="AE117" s="16"/>
      <c r="AF117" s="31" t="str">
        <f>IFERROR(INDEX(Iceland!$P$11:$P$165,MATCH('Calculations - Iceland'!C117,Iceland!$M$11:$M$165,0)),"")</f>
        <v/>
      </c>
      <c r="AG117" s="23" t="str">
        <f t="shared" si="103"/>
        <v/>
      </c>
      <c r="AH117" s="23" t="str">
        <f t="shared" si="103"/>
        <v/>
      </c>
      <c r="AI117" s="9" t="str">
        <f t="shared" si="89"/>
        <v/>
      </c>
      <c r="AJ117" s="4" t="str">
        <f t="shared" si="90"/>
        <v/>
      </c>
      <c r="AK117" s="4"/>
      <c r="AL117" s="4"/>
      <c r="AM117" s="4"/>
      <c r="AN117" s="4"/>
      <c r="AO117" s="4"/>
      <c r="AP117" s="20" t="str">
        <f t="shared" si="91"/>
        <v>-</v>
      </c>
      <c r="AQ117" s="13" t="str">
        <f t="shared" si="104"/>
        <v>-</v>
      </c>
      <c r="AR117" s="13" t="str">
        <f t="shared" si="105"/>
        <v>-</v>
      </c>
      <c r="AS117" s="13" t="str">
        <f t="shared" si="92"/>
        <v>-</v>
      </c>
      <c r="AT117" s="16" t="str">
        <f t="shared" si="106"/>
        <v>-</v>
      </c>
      <c r="AU117" s="16" t="str">
        <f t="shared" si="93"/>
        <v>-</v>
      </c>
      <c r="AV117" s="16" t="str">
        <f t="shared" si="94"/>
        <v>-</v>
      </c>
      <c r="AW117" s="16" t="str">
        <f t="shared" si="107"/>
        <v>-</v>
      </c>
      <c r="AX117" s="13" t="str">
        <f t="shared" si="108"/>
        <v>-</v>
      </c>
      <c r="AY117" s="10" t="str">
        <f t="shared" si="109"/>
        <v>-</v>
      </c>
      <c r="AZ117" s="9" t="str">
        <f t="shared" si="110"/>
        <v>-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</row>
    <row r="118" spans="2:68" x14ac:dyDescent="0.3">
      <c r="B118" s="108" t="str">
        <f t="shared" si="95"/>
        <v/>
      </c>
      <c r="C118" s="108" t="str">
        <f t="shared" si="81"/>
        <v/>
      </c>
      <c r="D118" s="3"/>
      <c r="E118" s="3"/>
      <c r="F118" s="3"/>
      <c r="G118" s="20">
        <f>IFERROR(INDEX('Input - Iceland'!F$2:F$200,MATCH('Calculations - Iceland'!$C118,'Input - Iceland'!$B$2:$B$200,0)),"")</f>
        <v>0</v>
      </c>
      <c r="H118" s="20">
        <f>IFERROR(INDEX('Input - Iceland'!G$2:G$200,MATCH('Calculations - Iceland'!$C118,'Input - Iceland'!$B$2:$B$200,0)),"")</f>
        <v>0</v>
      </c>
      <c r="I118" s="21">
        <f>IFERROR(INDEX('Input - Iceland'!H$2:H$200,MATCH('Calculations - Iceland'!$C118,'Input - Iceland'!$B$2:$B$200,0)),"")</f>
        <v>0</v>
      </c>
      <c r="J118" s="21">
        <f>IFERROR(INDEX('Input - Iceland'!I$2:I$200,MATCH('Calculations - Iceland'!$C118,'Input - Iceland'!$B$2:$B$200,0)),"")</f>
        <v>0</v>
      </c>
      <c r="K118" s="20">
        <f>IFERROR(INDEX('Input - Iceland'!J$2:J$200,MATCH('Calculations - Iceland'!$C118,'Input - Iceland'!$B$2:$B$200,0)),"")</f>
        <v>0</v>
      </c>
      <c r="L118" s="20">
        <f>IFERROR(INDEX('Input - Iceland'!K$2:K$200,MATCH('Calculations - Iceland'!$C118,'Input - Iceland'!$B$2:$B$200,0)),"")</f>
        <v>0</v>
      </c>
      <c r="M118" s="21" t="str">
        <f t="shared" si="96"/>
        <v/>
      </c>
      <c r="N118" s="21" t="str">
        <f t="shared" si="82"/>
        <v/>
      </c>
      <c r="O118" s="21">
        <f t="shared" si="97"/>
        <v>0</v>
      </c>
      <c r="P118" s="9">
        <f t="shared" si="79"/>
        <v>0</v>
      </c>
      <c r="Q118" s="9">
        <f t="shared" si="80"/>
        <v>0</v>
      </c>
      <c r="R118" s="22" t="str">
        <f>IFERROR(INDEX(Iceland!$Q$11:$Q$165,MATCH('Calculations - Iceland'!$C118,Iceland!$M$11:$M$165,0)),"")</f>
        <v/>
      </c>
      <c r="S118" s="22" t="str">
        <f>IFERROR(INDEX(Iceland!$R$11:$R$165,MATCH('Calculations - Iceland'!$C118,Iceland!$M$11:$M$165,0)),"")</f>
        <v/>
      </c>
      <c r="T118" s="16" t="e">
        <f t="shared" si="83"/>
        <v>#VALUE!</v>
      </c>
      <c r="U118" s="16" t="e">
        <f t="shared" si="98"/>
        <v>#VALUE!</v>
      </c>
      <c r="V118" s="16" t="e">
        <f t="shared" si="99"/>
        <v>#VALUE!</v>
      </c>
      <c r="W118" s="10" t="str">
        <f t="shared" si="84"/>
        <v>-</v>
      </c>
      <c r="X118" s="10" t="str">
        <f t="shared" si="85"/>
        <v>-</v>
      </c>
      <c r="Y118" s="13" t="str">
        <f t="shared" si="100"/>
        <v>-</v>
      </c>
      <c r="Z118" s="9" t="str">
        <f t="shared" si="86"/>
        <v>-</v>
      </c>
      <c r="AA118" s="16" t="str">
        <f t="shared" si="101"/>
        <v>-</v>
      </c>
      <c r="AB118" s="16" t="str">
        <f t="shared" si="87"/>
        <v>-</v>
      </c>
      <c r="AC118" s="16" t="str">
        <f t="shared" si="88"/>
        <v>-</v>
      </c>
      <c r="AD118" s="16" t="str">
        <f t="shared" si="102"/>
        <v>-</v>
      </c>
      <c r="AE118" s="16"/>
      <c r="AF118" s="31" t="str">
        <f>IFERROR(INDEX(Iceland!$P$11:$P$165,MATCH('Calculations - Iceland'!C118,Iceland!$M$11:$M$165,0)),"")</f>
        <v/>
      </c>
      <c r="AG118" s="23" t="str">
        <f t="shared" si="103"/>
        <v/>
      </c>
      <c r="AH118" s="23" t="str">
        <f t="shared" si="103"/>
        <v/>
      </c>
      <c r="AI118" s="9" t="str">
        <f t="shared" si="89"/>
        <v/>
      </c>
      <c r="AJ118" s="4" t="str">
        <f t="shared" si="90"/>
        <v/>
      </c>
      <c r="AK118" s="4"/>
      <c r="AL118" s="4"/>
      <c r="AM118" s="4"/>
      <c r="AN118" s="4"/>
      <c r="AO118" s="4"/>
      <c r="AP118" s="20" t="str">
        <f t="shared" si="91"/>
        <v>-</v>
      </c>
      <c r="AQ118" s="13" t="str">
        <f t="shared" si="104"/>
        <v>-</v>
      </c>
      <c r="AR118" s="13" t="str">
        <f t="shared" si="105"/>
        <v>-</v>
      </c>
      <c r="AS118" s="13" t="str">
        <f t="shared" si="92"/>
        <v>-</v>
      </c>
      <c r="AT118" s="16" t="str">
        <f t="shared" si="106"/>
        <v>-</v>
      </c>
      <c r="AU118" s="16" t="str">
        <f t="shared" si="93"/>
        <v>-</v>
      </c>
      <c r="AV118" s="16" t="str">
        <f t="shared" si="94"/>
        <v>-</v>
      </c>
      <c r="AW118" s="16" t="str">
        <f t="shared" si="107"/>
        <v>-</v>
      </c>
      <c r="AX118" s="13" t="str">
        <f t="shared" si="108"/>
        <v>-</v>
      </c>
      <c r="AY118" s="10" t="str">
        <f t="shared" si="109"/>
        <v>-</v>
      </c>
      <c r="AZ118" s="9" t="str">
        <f t="shared" si="110"/>
        <v>-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</row>
    <row r="119" spans="2:68" x14ac:dyDescent="0.3">
      <c r="B119" s="108" t="str">
        <f t="shared" si="95"/>
        <v/>
      </c>
      <c r="C119" s="108" t="str">
        <f t="shared" si="81"/>
        <v/>
      </c>
      <c r="D119" s="3"/>
      <c r="E119" s="3"/>
      <c r="F119" s="3"/>
      <c r="G119" s="20">
        <f>IFERROR(INDEX('Input - Iceland'!F$2:F$200,MATCH('Calculations - Iceland'!$C119,'Input - Iceland'!$B$2:$B$200,0)),"")</f>
        <v>0</v>
      </c>
      <c r="H119" s="20">
        <f>IFERROR(INDEX('Input - Iceland'!G$2:G$200,MATCH('Calculations - Iceland'!$C119,'Input - Iceland'!$B$2:$B$200,0)),"")</f>
        <v>0</v>
      </c>
      <c r="I119" s="21">
        <f>IFERROR(INDEX('Input - Iceland'!H$2:H$200,MATCH('Calculations - Iceland'!$C119,'Input - Iceland'!$B$2:$B$200,0)),"")</f>
        <v>0</v>
      </c>
      <c r="J119" s="21">
        <f>IFERROR(INDEX('Input - Iceland'!I$2:I$200,MATCH('Calculations - Iceland'!$C119,'Input - Iceland'!$B$2:$B$200,0)),"")</f>
        <v>0</v>
      </c>
      <c r="K119" s="20">
        <f>IFERROR(INDEX('Input - Iceland'!J$2:J$200,MATCH('Calculations - Iceland'!$C119,'Input - Iceland'!$B$2:$B$200,0)),"")</f>
        <v>0</v>
      </c>
      <c r="L119" s="20">
        <f>IFERROR(INDEX('Input - Iceland'!K$2:K$200,MATCH('Calculations - Iceland'!$C119,'Input - Iceland'!$B$2:$B$200,0)),"")</f>
        <v>0</v>
      </c>
      <c r="M119" s="21" t="str">
        <f t="shared" si="96"/>
        <v/>
      </c>
      <c r="N119" s="21" t="str">
        <f t="shared" si="82"/>
        <v/>
      </c>
      <c r="O119" s="21">
        <f t="shared" si="97"/>
        <v>0</v>
      </c>
      <c r="P119" s="9">
        <f t="shared" si="79"/>
        <v>0</v>
      </c>
      <c r="Q119" s="9">
        <f t="shared" si="80"/>
        <v>0</v>
      </c>
      <c r="R119" s="22" t="str">
        <f>IFERROR(INDEX(Iceland!$Q$11:$Q$165,MATCH('Calculations - Iceland'!$C119,Iceland!$M$11:$M$165,0)),"")</f>
        <v/>
      </c>
      <c r="S119" s="22" t="str">
        <f>IFERROR(INDEX(Iceland!$R$11:$R$165,MATCH('Calculations - Iceland'!$C119,Iceland!$M$11:$M$165,0)),"")</f>
        <v/>
      </c>
      <c r="T119" s="16" t="e">
        <f t="shared" si="83"/>
        <v>#VALUE!</v>
      </c>
      <c r="U119" s="16" t="e">
        <f t="shared" si="98"/>
        <v>#VALUE!</v>
      </c>
      <c r="V119" s="16" t="e">
        <f t="shared" si="99"/>
        <v>#VALUE!</v>
      </c>
      <c r="W119" s="10" t="str">
        <f t="shared" si="84"/>
        <v>-</v>
      </c>
      <c r="X119" s="10" t="str">
        <f t="shared" si="85"/>
        <v>-</v>
      </c>
      <c r="Y119" s="13" t="str">
        <f t="shared" si="100"/>
        <v>-</v>
      </c>
      <c r="Z119" s="9" t="str">
        <f t="shared" si="86"/>
        <v>-</v>
      </c>
      <c r="AA119" s="16" t="str">
        <f t="shared" si="101"/>
        <v>-</v>
      </c>
      <c r="AB119" s="16" t="str">
        <f t="shared" si="87"/>
        <v>-</v>
      </c>
      <c r="AC119" s="16" t="str">
        <f t="shared" si="88"/>
        <v>-</v>
      </c>
      <c r="AD119" s="16" t="str">
        <f t="shared" si="102"/>
        <v>-</v>
      </c>
      <c r="AE119" s="16"/>
      <c r="AF119" s="31" t="str">
        <f>IFERROR(INDEX(Iceland!$P$11:$P$165,MATCH('Calculations - Iceland'!C119,Iceland!$M$11:$M$165,0)),"")</f>
        <v/>
      </c>
      <c r="AG119" s="23" t="str">
        <f t="shared" si="103"/>
        <v/>
      </c>
      <c r="AH119" s="23" t="str">
        <f t="shared" si="103"/>
        <v/>
      </c>
      <c r="AI119" s="9" t="str">
        <f t="shared" si="89"/>
        <v/>
      </c>
      <c r="AJ119" s="4" t="str">
        <f t="shared" si="90"/>
        <v/>
      </c>
      <c r="AK119" s="4"/>
      <c r="AL119" s="4"/>
      <c r="AM119" s="4"/>
      <c r="AN119" s="4"/>
      <c r="AO119" s="4"/>
      <c r="AP119" s="20" t="str">
        <f t="shared" si="91"/>
        <v>-</v>
      </c>
      <c r="AQ119" s="13" t="str">
        <f t="shared" si="104"/>
        <v>-</v>
      </c>
      <c r="AR119" s="13" t="str">
        <f t="shared" si="105"/>
        <v>-</v>
      </c>
      <c r="AS119" s="13" t="str">
        <f t="shared" si="92"/>
        <v>-</v>
      </c>
      <c r="AT119" s="16" t="str">
        <f t="shared" si="106"/>
        <v>-</v>
      </c>
      <c r="AU119" s="16" t="str">
        <f t="shared" si="93"/>
        <v>-</v>
      </c>
      <c r="AV119" s="16" t="str">
        <f t="shared" si="94"/>
        <v>-</v>
      </c>
      <c r="AW119" s="16" t="str">
        <f t="shared" si="107"/>
        <v>-</v>
      </c>
      <c r="AX119" s="13" t="str">
        <f t="shared" si="108"/>
        <v>-</v>
      </c>
      <c r="AY119" s="10" t="str">
        <f t="shared" si="109"/>
        <v>-</v>
      </c>
      <c r="AZ119" s="9" t="str">
        <f t="shared" si="110"/>
        <v>-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</row>
    <row r="120" spans="2:68" x14ac:dyDescent="0.3">
      <c r="B120" s="108" t="str">
        <f t="shared" si="95"/>
        <v/>
      </c>
      <c r="C120" s="108" t="str">
        <f t="shared" si="81"/>
        <v/>
      </c>
      <c r="D120" s="3"/>
      <c r="E120" s="3"/>
      <c r="F120" s="3"/>
      <c r="G120" s="20">
        <f>IFERROR(INDEX('Input - Iceland'!F$2:F$200,MATCH('Calculations - Iceland'!$C120,'Input - Iceland'!$B$2:$B$200,0)),"")</f>
        <v>0</v>
      </c>
      <c r="H120" s="20">
        <f>IFERROR(INDEX('Input - Iceland'!G$2:G$200,MATCH('Calculations - Iceland'!$C120,'Input - Iceland'!$B$2:$B$200,0)),"")</f>
        <v>0</v>
      </c>
      <c r="I120" s="21">
        <f>IFERROR(INDEX('Input - Iceland'!H$2:H$200,MATCH('Calculations - Iceland'!$C120,'Input - Iceland'!$B$2:$B$200,0)),"")</f>
        <v>0</v>
      </c>
      <c r="J120" s="21">
        <f>IFERROR(INDEX('Input - Iceland'!I$2:I$200,MATCH('Calculations - Iceland'!$C120,'Input - Iceland'!$B$2:$B$200,0)),"")</f>
        <v>0</v>
      </c>
      <c r="K120" s="20">
        <f>IFERROR(INDEX('Input - Iceland'!J$2:J$200,MATCH('Calculations - Iceland'!$C120,'Input - Iceland'!$B$2:$B$200,0)),"")</f>
        <v>0</v>
      </c>
      <c r="L120" s="20">
        <f>IFERROR(INDEX('Input - Iceland'!K$2:K$200,MATCH('Calculations - Iceland'!$C120,'Input - Iceland'!$B$2:$B$200,0)),"")</f>
        <v>0</v>
      </c>
      <c r="M120" s="21" t="str">
        <f t="shared" si="96"/>
        <v/>
      </c>
      <c r="N120" s="21" t="str">
        <f t="shared" si="82"/>
        <v/>
      </c>
      <c r="O120" s="21">
        <f t="shared" si="97"/>
        <v>0</v>
      </c>
      <c r="P120" s="9">
        <f t="shared" si="79"/>
        <v>0</v>
      </c>
      <c r="Q120" s="9">
        <f t="shared" si="80"/>
        <v>0</v>
      </c>
      <c r="R120" s="22" t="str">
        <f>IFERROR(INDEX(Iceland!$Q$11:$Q$165,MATCH('Calculations - Iceland'!$C120,Iceland!$M$11:$M$165,0)),"")</f>
        <v/>
      </c>
      <c r="S120" s="22" t="str">
        <f>IFERROR(INDEX(Iceland!$R$11:$R$165,MATCH('Calculations - Iceland'!$C120,Iceland!$M$11:$M$165,0)),"")</f>
        <v/>
      </c>
      <c r="T120" s="16" t="e">
        <f t="shared" si="83"/>
        <v>#VALUE!</v>
      </c>
      <c r="U120" s="16" t="e">
        <f t="shared" si="98"/>
        <v>#VALUE!</v>
      </c>
      <c r="V120" s="16" t="e">
        <f t="shared" si="99"/>
        <v>#VALUE!</v>
      </c>
      <c r="W120" s="10" t="str">
        <f t="shared" si="84"/>
        <v>-</v>
      </c>
      <c r="X120" s="10" t="str">
        <f t="shared" si="85"/>
        <v>-</v>
      </c>
      <c r="Y120" s="13" t="str">
        <f t="shared" si="100"/>
        <v>-</v>
      </c>
      <c r="Z120" s="9" t="str">
        <f t="shared" si="86"/>
        <v>-</v>
      </c>
      <c r="AA120" s="16" t="str">
        <f t="shared" si="101"/>
        <v>-</v>
      </c>
      <c r="AB120" s="16" t="str">
        <f t="shared" si="87"/>
        <v>-</v>
      </c>
      <c r="AC120" s="16" t="str">
        <f t="shared" si="88"/>
        <v>-</v>
      </c>
      <c r="AD120" s="16" t="str">
        <f t="shared" si="102"/>
        <v>-</v>
      </c>
      <c r="AE120" s="16"/>
      <c r="AF120" s="31" t="str">
        <f>IFERROR(INDEX(Iceland!$P$11:$P$165,MATCH('Calculations - Iceland'!C120,Iceland!$M$11:$M$165,0)),"")</f>
        <v/>
      </c>
      <c r="AG120" s="23" t="str">
        <f t="shared" si="103"/>
        <v/>
      </c>
      <c r="AH120" s="23" t="str">
        <f t="shared" si="103"/>
        <v/>
      </c>
      <c r="AI120" s="9" t="str">
        <f t="shared" si="89"/>
        <v/>
      </c>
      <c r="AJ120" s="4" t="str">
        <f t="shared" si="90"/>
        <v/>
      </c>
      <c r="AK120" s="4"/>
      <c r="AL120" s="4"/>
      <c r="AM120" s="4"/>
      <c r="AN120" s="4"/>
      <c r="AO120" s="4"/>
      <c r="AP120" s="20" t="str">
        <f t="shared" si="91"/>
        <v>-</v>
      </c>
      <c r="AQ120" s="13" t="str">
        <f t="shared" si="104"/>
        <v>-</v>
      </c>
      <c r="AR120" s="13" t="str">
        <f t="shared" si="105"/>
        <v>-</v>
      </c>
      <c r="AS120" s="13" t="str">
        <f t="shared" si="92"/>
        <v>-</v>
      </c>
      <c r="AT120" s="16" t="str">
        <f t="shared" si="106"/>
        <v>-</v>
      </c>
      <c r="AU120" s="16" t="str">
        <f t="shared" si="93"/>
        <v>-</v>
      </c>
      <c r="AV120" s="16" t="str">
        <f t="shared" si="94"/>
        <v>-</v>
      </c>
      <c r="AW120" s="16" t="str">
        <f t="shared" si="107"/>
        <v>-</v>
      </c>
      <c r="AX120" s="13" t="str">
        <f t="shared" si="108"/>
        <v>-</v>
      </c>
      <c r="AY120" s="10" t="str">
        <f t="shared" si="109"/>
        <v>-</v>
      </c>
      <c r="AZ120" s="9" t="str">
        <f t="shared" si="110"/>
        <v>-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</row>
    <row r="121" spans="2:68" x14ac:dyDescent="0.3">
      <c r="B121" s="108" t="str">
        <f t="shared" si="95"/>
        <v/>
      </c>
      <c r="C121" s="108" t="str">
        <f t="shared" si="81"/>
        <v/>
      </c>
      <c r="D121" s="3"/>
      <c r="E121" s="3"/>
      <c r="F121" s="3"/>
      <c r="G121" s="20">
        <f>IFERROR(INDEX('Input - Iceland'!F$2:F$200,MATCH('Calculations - Iceland'!$C121,'Input - Iceland'!$B$2:$B$200,0)),"")</f>
        <v>0</v>
      </c>
      <c r="H121" s="20">
        <f>IFERROR(INDEX('Input - Iceland'!G$2:G$200,MATCH('Calculations - Iceland'!$C121,'Input - Iceland'!$B$2:$B$200,0)),"")</f>
        <v>0</v>
      </c>
      <c r="I121" s="21">
        <f>IFERROR(INDEX('Input - Iceland'!H$2:H$200,MATCH('Calculations - Iceland'!$C121,'Input - Iceland'!$B$2:$B$200,0)),"")</f>
        <v>0</v>
      </c>
      <c r="J121" s="21">
        <f>IFERROR(INDEX('Input - Iceland'!I$2:I$200,MATCH('Calculations - Iceland'!$C121,'Input - Iceland'!$B$2:$B$200,0)),"")</f>
        <v>0</v>
      </c>
      <c r="K121" s="20">
        <f>IFERROR(INDEX('Input - Iceland'!J$2:J$200,MATCH('Calculations - Iceland'!$C121,'Input - Iceland'!$B$2:$B$200,0)),"")</f>
        <v>0</v>
      </c>
      <c r="L121" s="20">
        <f>IFERROR(INDEX('Input - Iceland'!K$2:K$200,MATCH('Calculations - Iceland'!$C121,'Input - Iceland'!$B$2:$B$200,0)),"")</f>
        <v>0</v>
      </c>
      <c r="M121" s="21" t="str">
        <f t="shared" si="96"/>
        <v/>
      </c>
      <c r="N121" s="21" t="str">
        <f t="shared" si="82"/>
        <v/>
      </c>
      <c r="O121" s="21">
        <f t="shared" si="97"/>
        <v>0</v>
      </c>
      <c r="P121" s="9">
        <f t="shared" si="79"/>
        <v>0</v>
      </c>
      <c r="Q121" s="9">
        <f t="shared" si="80"/>
        <v>0</v>
      </c>
      <c r="R121" s="22" t="str">
        <f>IFERROR(INDEX(Iceland!$Q$11:$Q$165,MATCH('Calculations - Iceland'!$C121,Iceland!$M$11:$M$165,0)),"")</f>
        <v/>
      </c>
      <c r="S121" s="22" t="str">
        <f>IFERROR(INDEX(Iceland!$R$11:$R$165,MATCH('Calculations - Iceland'!$C121,Iceland!$M$11:$M$165,0)),"")</f>
        <v/>
      </c>
      <c r="T121" s="16" t="e">
        <f t="shared" si="83"/>
        <v>#VALUE!</v>
      </c>
      <c r="U121" s="16" t="e">
        <f t="shared" si="98"/>
        <v>#VALUE!</v>
      </c>
      <c r="V121" s="16" t="e">
        <f t="shared" si="99"/>
        <v>#VALUE!</v>
      </c>
      <c r="W121" s="10" t="str">
        <f t="shared" si="84"/>
        <v>-</v>
      </c>
      <c r="X121" s="10" t="str">
        <f t="shared" si="85"/>
        <v>-</v>
      </c>
      <c r="Y121" s="13" t="str">
        <f t="shared" si="100"/>
        <v>-</v>
      </c>
      <c r="Z121" s="9" t="str">
        <f t="shared" si="86"/>
        <v>-</v>
      </c>
      <c r="AA121" s="16" t="str">
        <f t="shared" si="101"/>
        <v>-</v>
      </c>
      <c r="AB121" s="16" t="str">
        <f t="shared" si="87"/>
        <v>-</v>
      </c>
      <c r="AC121" s="16" t="str">
        <f t="shared" si="88"/>
        <v>-</v>
      </c>
      <c r="AD121" s="16" t="str">
        <f t="shared" si="102"/>
        <v>-</v>
      </c>
      <c r="AE121" s="16"/>
      <c r="AF121" s="31" t="str">
        <f>IFERROR(INDEX(Iceland!$P$11:$P$165,MATCH('Calculations - Iceland'!C121,Iceland!$M$11:$M$165,0)),"")</f>
        <v/>
      </c>
      <c r="AG121" s="23" t="str">
        <f t="shared" si="103"/>
        <v/>
      </c>
      <c r="AH121" s="23" t="str">
        <f t="shared" si="103"/>
        <v/>
      </c>
      <c r="AI121" s="9" t="str">
        <f t="shared" si="89"/>
        <v/>
      </c>
      <c r="AJ121" s="4" t="str">
        <f t="shared" si="90"/>
        <v/>
      </c>
      <c r="AK121" s="4"/>
      <c r="AL121" s="4"/>
      <c r="AM121" s="4"/>
      <c r="AN121" s="4"/>
      <c r="AO121" s="4"/>
      <c r="AP121" s="20" t="str">
        <f t="shared" si="91"/>
        <v>-</v>
      </c>
      <c r="AQ121" s="13" t="str">
        <f t="shared" si="104"/>
        <v>-</v>
      </c>
      <c r="AR121" s="13" t="str">
        <f t="shared" si="105"/>
        <v>-</v>
      </c>
      <c r="AS121" s="13" t="str">
        <f t="shared" si="92"/>
        <v>-</v>
      </c>
      <c r="AT121" s="16" t="str">
        <f t="shared" si="106"/>
        <v>-</v>
      </c>
      <c r="AU121" s="16" t="str">
        <f t="shared" si="93"/>
        <v>-</v>
      </c>
      <c r="AV121" s="16" t="str">
        <f t="shared" si="94"/>
        <v>-</v>
      </c>
      <c r="AW121" s="16" t="str">
        <f t="shared" si="107"/>
        <v>-</v>
      </c>
      <c r="AX121" s="13" t="str">
        <f t="shared" si="108"/>
        <v>-</v>
      </c>
      <c r="AY121" s="10" t="str">
        <f t="shared" si="109"/>
        <v>-</v>
      </c>
      <c r="AZ121" s="9" t="str">
        <f t="shared" si="110"/>
        <v>-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</row>
    <row r="122" spans="2:68" x14ac:dyDescent="0.3">
      <c r="B122" s="108" t="str">
        <f t="shared" si="95"/>
        <v/>
      </c>
      <c r="C122" s="108" t="str">
        <f t="shared" si="81"/>
        <v/>
      </c>
      <c r="D122" s="3"/>
      <c r="E122" s="3"/>
      <c r="F122" s="3"/>
      <c r="G122" s="20">
        <f>IFERROR(INDEX('Input - Iceland'!F$2:F$200,MATCH('Calculations - Iceland'!$C122,'Input - Iceland'!$B$2:$B$200,0)),"")</f>
        <v>0</v>
      </c>
      <c r="H122" s="20">
        <f>IFERROR(INDEX('Input - Iceland'!G$2:G$200,MATCH('Calculations - Iceland'!$C122,'Input - Iceland'!$B$2:$B$200,0)),"")</f>
        <v>0</v>
      </c>
      <c r="I122" s="21">
        <f>IFERROR(INDEX('Input - Iceland'!H$2:H$200,MATCH('Calculations - Iceland'!$C122,'Input - Iceland'!$B$2:$B$200,0)),"")</f>
        <v>0</v>
      </c>
      <c r="J122" s="21">
        <f>IFERROR(INDEX('Input - Iceland'!I$2:I$200,MATCH('Calculations - Iceland'!$C122,'Input - Iceland'!$B$2:$B$200,0)),"")</f>
        <v>0</v>
      </c>
      <c r="K122" s="20">
        <f>IFERROR(INDEX('Input - Iceland'!J$2:J$200,MATCH('Calculations - Iceland'!$C122,'Input - Iceland'!$B$2:$B$200,0)),"")</f>
        <v>0</v>
      </c>
      <c r="L122" s="20">
        <f>IFERROR(INDEX('Input - Iceland'!K$2:K$200,MATCH('Calculations - Iceland'!$C122,'Input - Iceland'!$B$2:$B$200,0)),"")</f>
        <v>0</v>
      </c>
      <c r="M122" s="21" t="str">
        <f t="shared" si="96"/>
        <v/>
      </c>
      <c r="N122" s="21" t="str">
        <f t="shared" si="82"/>
        <v/>
      </c>
      <c r="O122" s="21">
        <f t="shared" si="97"/>
        <v>0</v>
      </c>
      <c r="P122" s="9">
        <f t="shared" si="79"/>
        <v>0</v>
      </c>
      <c r="Q122" s="9">
        <f t="shared" si="80"/>
        <v>0</v>
      </c>
      <c r="R122" s="22" t="str">
        <f>IFERROR(INDEX(Iceland!$Q$11:$Q$165,MATCH('Calculations - Iceland'!$C122,Iceland!$M$11:$M$165,0)),"")</f>
        <v/>
      </c>
      <c r="S122" s="22" t="str">
        <f>IFERROR(INDEX(Iceland!$R$11:$R$165,MATCH('Calculations - Iceland'!$C122,Iceland!$M$11:$M$165,0)),"")</f>
        <v/>
      </c>
      <c r="T122" s="16" t="e">
        <f t="shared" si="83"/>
        <v>#VALUE!</v>
      </c>
      <c r="U122" s="16" t="e">
        <f t="shared" si="98"/>
        <v>#VALUE!</v>
      </c>
      <c r="V122" s="16" t="e">
        <f t="shared" si="99"/>
        <v>#VALUE!</v>
      </c>
      <c r="W122" s="10" t="str">
        <f t="shared" si="84"/>
        <v>-</v>
      </c>
      <c r="X122" s="10" t="str">
        <f t="shared" si="85"/>
        <v>-</v>
      </c>
      <c r="Y122" s="13" t="str">
        <f t="shared" si="100"/>
        <v>-</v>
      </c>
      <c r="Z122" s="9" t="str">
        <f t="shared" si="86"/>
        <v>-</v>
      </c>
      <c r="AA122" s="16" t="str">
        <f t="shared" si="101"/>
        <v>-</v>
      </c>
      <c r="AB122" s="16" t="str">
        <f t="shared" si="87"/>
        <v>-</v>
      </c>
      <c r="AC122" s="16" t="str">
        <f t="shared" si="88"/>
        <v>-</v>
      </c>
      <c r="AD122" s="16" t="str">
        <f t="shared" si="102"/>
        <v>-</v>
      </c>
      <c r="AE122" s="16"/>
      <c r="AF122" s="31" t="str">
        <f>IFERROR(INDEX(Iceland!$P$11:$P$165,MATCH('Calculations - Iceland'!C122,Iceland!$M$11:$M$165,0)),"")</f>
        <v/>
      </c>
      <c r="AG122" s="23" t="str">
        <f t="shared" si="103"/>
        <v/>
      </c>
      <c r="AH122" s="23" t="str">
        <f t="shared" si="103"/>
        <v/>
      </c>
      <c r="AI122" s="9" t="str">
        <f t="shared" si="89"/>
        <v/>
      </c>
      <c r="AJ122" s="4" t="str">
        <f t="shared" si="90"/>
        <v/>
      </c>
      <c r="AK122" s="4"/>
      <c r="AL122" s="4"/>
      <c r="AM122" s="4"/>
      <c r="AN122" s="4"/>
      <c r="AO122" s="4"/>
      <c r="AP122" s="20" t="str">
        <f t="shared" si="91"/>
        <v>-</v>
      </c>
      <c r="AQ122" s="13" t="str">
        <f t="shared" si="104"/>
        <v>-</v>
      </c>
      <c r="AR122" s="13" t="str">
        <f t="shared" si="105"/>
        <v>-</v>
      </c>
      <c r="AS122" s="13" t="str">
        <f t="shared" si="92"/>
        <v>-</v>
      </c>
      <c r="AT122" s="16" t="str">
        <f t="shared" si="106"/>
        <v>-</v>
      </c>
      <c r="AU122" s="16" t="str">
        <f t="shared" si="93"/>
        <v>-</v>
      </c>
      <c r="AV122" s="16" t="str">
        <f t="shared" si="94"/>
        <v>-</v>
      </c>
      <c r="AW122" s="16" t="str">
        <f t="shared" si="107"/>
        <v>-</v>
      </c>
      <c r="AX122" s="13" t="str">
        <f t="shared" si="108"/>
        <v>-</v>
      </c>
      <c r="AY122" s="10" t="str">
        <f t="shared" si="109"/>
        <v>-</v>
      </c>
      <c r="AZ122" s="9" t="str">
        <f t="shared" si="110"/>
        <v>-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</row>
    <row r="123" spans="2:68" x14ac:dyDescent="0.3">
      <c r="B123" s="108" t="str">
        <f t="shared" si="95"/>
        <v/>
      </c>
      <c r="C123" s="108" t="str">
        <f t="shared" si="81"/>
        <v/>
      </c>
      <c r="D123" s="3"/>
      <c r="E123" s="3"/>
      <c r="F123" s="3"/>
      <c r="G123" s="20">
        <f>IFERROR(INDEX('Input - Iceland'!F$2:F$200,MATCH('Calculations - Iceland'!$C123,'Input - Iceland'!$B$2:$B$200,0)),"")</f>
        <v>0</v>
      </c>
      <c r="H123" s="20">
        <f>IFERROR(INDEX('Input - Iceland'!G$2:G$200,MATCH('Calculations - Iceland'!$C123,'Input - Iceland'!$B$2:$B$200,0)),"")</f>
        <v>0</v>
      </c>
      <c r="I123" s="21">
        <f>IFERROR(INDEX('Input - Iceland'!H$2:H$200,MATCH('Calculations - Iceland'!$C123,'Input - Iceland'!$B$2:$B$200,0)),"")</f>
        <v>0</v>
      </c>
      <c r="J123" s="21">
        <f>IFERROR(INDEX('Input - Iceland'!I$2:I$200,MATCH('Calculations - Iceland'!$C123,'Input - Iceland'!$B$2:$B$200,0)),"")</f>
        <v>0</v>
      </c>
      <c r="K123" s="20">
        <f>IFERROR(INDEX('Input - Iceland'!J$2:J$200,MATCH('Calculations - Iceland'!$C123,'Input - Iceland'!$B$2:$B$200,0)),"")</f>
        <v>0</v>
      </c>
      <c r="L123" s="20">
        <f>IFERROR(INDEX('Input - Iceland'!K$2:K$200,MATCH('Calculations - Iceland'!$C123,'Input - Iceland'!$B$2:$B$200,0)),"")</f>
        <v>0</v>
      </c>
      <c r="M123" s="21" t="str">
        <f t="shared" si="96"/>
        <v/>
      </c>
      <c r="N123" s="21" t="str">
        <f t="shared" si="82"/>
        <v/>
      </c>
      <c r="O123" s="21">
        <f t="shared" si="97"/>
        <v>0</v>
      </c>
      <c r="P123" s="9">
        <f t="shared" si="79"/>
        <v>0</v>
      </c>
      <c r="Q123" s="9">
        <f t="shared" si="80"/>
        <v>0</v>
      </c>
      <c r="R123" s="22" t="str">
        <f>IFERROR(INDEX(Iceland!$Q$11:$Q$165,MATCH('Calculations - Iceland'!$C123,Iceland!$M$11:$M$165,0)),"")</f>
        <v/>
      </c>
      <c r="S123" s="22" t="str">
        <f>IFERROR(INDEX(Iceland!$R$11:$R$165,MATCH('Calculations - Iceland'!$C123,Iceland!$M$11:$M$165,0)),"")</f>
        <v/>
      </c>
      <c r="T123" s="16" t="e">
        <f t="shared" si="83"/>
        <v>#VALUE!</v>
      </c>
      <c r="U123" s="16" t="e">
        <f t="shared" si="98"/>
        <v>#VALUE!</v>
      </c>
      <c r="V123" s="16" t="e">
        <f t="shared" si="99"/>
        <v>#VALUE!</v>
      </c>
      <c r="W123" s="10" t="str">
        <f t="shared" si="84"/>
        <v>-</v>
      </c>
      <c r="X123" s="10" t="str">
        <f t="shared" si="85"/>
        <v>-</v>
      </c>
      <c r="Y123" s="13" t="str">
        <f t="shared" si="100"/>
        <v>-</v>
      </c>
      <c r="Z123" s="9" t="str">
        <f t="shared" si="86"/>
        <v>-</v>
      </c>
      <c r="AA123" s="16" t="str">
        <f t="shared" si="101"/>
        <v>-</v>
      </c>
      <c r="AB123" s="16" t="str">
        <f t="shared" si="87"/>
        <v>-</v>
      </c>
      <c r="AC123" s="16" t="str">
        <f t="shared" si="88"/>
        <v>-</v>
      </c>
      <c r="AD123" s="16" t="str">
        <f t="shared" si="102"/>
        <v>-</v>
      </c>
      <c r="AE123" s="16"/>
      <c r="AF123" s="31" t="str">
        <f>IFERROR(INDEX(Iceland!$P$11:$P$165,MATCH('Calculations - Iceland'!C123,Iceland!$M$11:$M$165,0)),"")</f>
        <v/>
      </c>
      <c r="AG123" s="23" t="str">
        <f t="shared" si="103"/>
        <v/>
      </c>
      <c r="AH123" s="23" t="str">
        <f t="shared" si="103"/>
        <v/>
      </c>
      <c r="AI123" s="9" t="str">
        <f t="shared" si="89"/>
        <v/>
      </c>
      <c r="AJ123" s="4" t="str">
        <f t="shared" si="90"/>
        <v/>
      </c>
      <c r="AK123" s="4"/>
      <c r="AL123" s="4"/>
      <c r="AM123" s="4"/>
      <c r="AN123" s="4"/>
      <c r="AO123" s="4"/>
      <c r="AP123" s="20" t="str">
        <f t="shared" si="91"/>
        <v>-</v>
      </c>
      <c r="AQ123" s="13" t="str">
        <f t="shared" si="104"/>
        <v>-</v>
      </c>
      <c r="AR123" s="13" t="str">
        <f t="shared" si="105"/>
        <v>-</v>
      </c>
      <c r="AS123" s="13" t="str">
        <f t="shared" si="92"/>
        <v>-</v>
      </c>
      <c r="AT123" s="16" t="str">
        <f t="shared" si="106"/>
        <v>-</v>
      </c>
      <c r="AU123" s="16" t="str">
        <f t="shared" si="93"/>
        <v>-</v>
      </c>
      <c r="AV123" s="16" t="str">
        <f t="shared" si="94"/>
        <v>-</v>
      </c>
      <c r="AW123" s="16" t="str">
        <f t="shared" si="107"/>
        <v>-</v>
      </c>
      <c r="AX123" s="13" t="str">
        <f t="shared" si="108"/>
        <v>-</v>
      </c>
      <c r="AY123" s="10" t="str">
        <f t="shared" si="109"/>
        <v>-</v>
      </c>
      <c r="AZ123" s="9" t="str">
        <f t="shared" si="110"/>
        <v>-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</row>
    <row r="124" spans="2:68" x14ac:dyDescent="0.3">
      <c r="B124" s="108" t="str">
        <f t="shared" si="95"/>
        <v/>
      </c>
      <c r="C124" s="108" t="str">
        <f t="shared" si="81"/>
        <v/>
      </c>
      <c r="D124" s="3"/>
      <c r="E124" s="3"/>
      <c r="F124" s="3"/>
      <c r="G124" s="20">
        <f>IFERROR(INDEX('Input - Iceland'!F$2:F$200,MATCH('Calculations - Iceland'!$C124,'Input - Iceland'!$B$2:$B$200,0)),"")</f>
        <v>0</v>
      </c>
      <c r="H124" s="20">
        <f>IFERROR(INDEX('Input - Iceland'!G$2:G$200,MATCH('Calculations - Iceland'!$C124,'Input - Iceland'!$B$2:$B$200,0)),"")</f>
        <v>0</v>
      </c>
      <c r="I124" s="21">
        <f>IFERROR(INDEX('Input - Iceland'!H$2:H$200,MATCH('Calculations - Iceland'!$C124,'Input - Iceland'!$B$2:$B$200,0)),"")</f>
        <v>0</v>
      </c>
      <c r="J124" s="21">
        <f>IFERROR(INDEX('Input - Iceland'!I$2:I$200,MATCH('Calculations - Iceland'!$C124,'Input - Iceland'!$B$2:$B$200,0)),"")</f>
        <v>0</v>
      </c>
      <c r="K124" s="20">
        <f>IFERROR(INDEX('Input - Iceland'!J$2:J$200,MATCH('Calculations - Iceland'!$C124,'Input - Iceland'!$B$2:$B$200,0)),"")</f>
        <v>0</v>
      </c>
      <c r="L124" s="20">
        <f>IFERROR(INDEX('Input - Iceland'!K$2:K$200,MATCH('Calculations - Iceland'!$C124,'Input - Iceland'!$B$2:$B$200,0)),"")</f>
        <v>0</v>
      </c>
      <c r="M124" s="21" t="str">
        <f t="shared" si="96"/>
        <v/>
      </c>
      <c r="N124" s="21" t="str">
        <f t="shared" si="82"/>
        <v/>
      </c>
      <c r="O124" s="21">
        <f t="shared" si="97"/>
        <v>0</v>
      </c>
      <c r="P124" s="9">
        <f t="shared" si="79"/>
        <v>0</v>
      </c>
      <c r="Q124" s="9">
        <f t="shared" si="80"/>
        <v>0</v>
      </c>
      <c r="R124" s="22" t="str">
        <f>IFERROR(INDEX(Iceland!$Q$11:$Q$165,MATCH('Calculations - Iceland'!$C124,Iceland!$M$11:$M$165,0)),"")</f>
        <v/>
      </c>
      <c r="S124" s="22" t="str">
        <f>IFERROR(INDEX(Iceland!$R$11:$R$165,MATCH('Calculations - Iceland'!$C124,Iceland!$M$11:$M$165,0)),"")</f>
        <v/>
      </c>
      <c r="T124" s="16" t="e">
        <f t="shared" si="83"/>
        <v>#VALUE!</v>
      </c>
      <c r="U124" s="16" t="e">
        <f t="shared" si="98"/>
        <v>#VALUE!</v>
      </c>
      <c r="V124" s="16" t="e">
        <f t="shared" si="99"/>
        <v>#VALUE!</v>
      </c>
      <c r="W124" s="10" t="str">
        <f t="shared" si="84"/>
        <v>-</v>
      </c>
      <c r="X124" s="10" t="str">
        <f t="shared" si="85"/>
        <v>-</v>
      </c>
      <c r="Y124" s="13" t="str">
        <f t="shared" si="100"/>
        <v>-</v>
      </c>
      <c r="Z124" s="9" t="str">
        <f t="shared" si="86"/>
        <v>-</v>
      </c>
      <c r="AA124" s="16" t="str">
        <f t="shared" si="101"/>
        <v>-</v>
      </c>
      <c r="AB124" s="16" t="str">
        <f t="shared" si="87"/>
        <v>-</v>
      </c>
      <c r="AC124" s="16" t="str">
        <f t="shared" si="88"/>
        <v>-</v>
      </c>
      <c r="AD124" s="16" t="str">
        <f t="shared" si="102"/>
        <v>-</v>
      </c>
      <c r="AE124" s="16"/>
      <c r="AF124" s="31" t="str">
        <f>IFERROR(INDEX(Iceland!$P$11:$P$165,MATCH('Calculations - Iceland'!C124,Iceland!$M$11:$M$165,0)),"")</f>
        <v/>
      </c>
      <c r="AG124" s="23" t="str">
        <f t="shared" si="103"/>
        <v/>
      </c>
      <c r="AH124" s="23" t="str">
        <f t="shared" si="103"/>
        <v/>
      </c>
      <c r="AI124" s="9" t="str">
        <f t="shared" si="89"/>
        <v/>
      </c>
      <c r="AJ124" s="4" t="str">
        <f t="shared" si="90"/>
        <v/>
      </c>
      <c r="AK124" s="4"/>
      <c r="AL124" s="4"/>
      <c r="AM124" s="4"/>
      <c r="AN124" s="4"/>
      <c r="AO124" s="4"/>
      <c r="AP124" s="20" t="str">
        <f t="shared" si="91"/>
        <v>-</v>
      </c>
      <c r="AQ124" s="13" t="str">
        <f t="shared" si="104"/>
        <v>-</v>
      </c>
      <c r="AR124" s="13" t="str">
        <f t="shared" si="105"/>
        <v>-</v>
      </c>
      <c r="AS124" s="13" t="str">
        <f t="shared" si="92"/>
        <v>-</v>
      </c>
      <c r="AT124" s="16" t="str">
        <f t="shared" si="106"/>
        <v>-</v>
      </c>
      <c r="AU124" s="16" t="str">
        <f t="shared" si="93"/>
        <v>-</v>
      </c>
      <c r="AV124" s="16" t="str">
        <f t="shared" si="94"/>
        <v>-</v>
      </c>
      <c r="AW124" s="16" t="str">
        <f t="shared" si="107"/>
        <v>-</v>
      </c>
      <c r="AX124" s="13" t="str">
        <f t="shared" si="108"/>
        <v>-</v>
      </c>
      <c r="AY124" s="10" t="str">
        <f t="shared" si="109"/>
        <v>-</v>
      </c>
      <c r="AZ124" s="9" t="str">
        <f t="shared" si="110"/>
        <v>-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</row>
    <row r="125" spans="2:68" x14ac:dyDescent="0.3">
      <c r="B125" s="108" t="str">
        <f t="shared" si="95"/>
        <v/>
      </c>
      <c r="C125" s="108" t="str">
        <f t="shared" si="81"/>
        <v/>
      </c>
      <c r="D125" s="3"/>
      <c r="E125" s="3"/>
      <c r="F125" s="3"/>
      <c r="G125" s="20">
        <f>IFERROR(INDEX('Input - Iceland'!F$2:F$200,MATCH('Calculations - Iceland'!$C125,'Input - Iceland'!$B$2:$B$200,0)),"")</f>
        <v>0</v>
      </c>
      <c r="H125" s="20">
        <f>IFERROR(INDEX('Input - Iceland'!G$2:G$200,MATCH('Calculations - Iceland'!$C125,'Input - Iceland'!$B$2:$B$200,0)),"")</f>
        <v>0</v>
      </c>
      <c r="I125" s="21">
        <f>IFERROR(INDEX('Input - Iceland'!H$2:H$200,MATCH('Calculations - Iceland'!$C125,'Input - Iceland'!$B$2:$B$200,0)),"")</f>
        <v>0</v>
      </c>
      <c r="J125" s="21">
        <f>IFERROR(INDEX('Input - Iceland'!I$2:I$200,MATCH('Calculations - Iceland'!$C125,'Input - Iceland'!$B$2:$B$200,0)),"")</f>
        <v>0</v>
      </c>
      <c r="K125" s="20">
        <f>IFERROR(INDEX('Input - Iceland'!J$2:J$200,MATCH('Calculations - Iceland'!$C125,'Input - Iceland'!$B$2:$B$200,0)),"")</f>
        <v>0</v>
      </c>
      <c r="L125" s="20">
        <f>IFERROR(INDEX('Input - Iceland'!K$2:K$200,MATCH('Calculations - Iceland'!$C125,'Input - Iceland'!$B$2:$B$200,0)),"")</f>
        <v>0</v>
      </c>
      <c r="M125" s="21" t="str">
        <f t="shared" si="96"/>
        <v/>
      </c>
      <c r="N125" s="21" t="str">
        <f t="shared" si="82"/>
        <v/>
      </c>
      <c r="O125" s="21">
        <f t="shared" si="97"/>
        <v>0</v>
      </c>
      <c r="P125" s="9">
        <f t="shared" si="79"/>
        <v>0</v>
      </c>
      <c r="Q125" s="9">
        <f t="shared" si="80"/>
        <v>0</v>
      </c>
      <c r="R125" s="22" t="str">
        <f>IFERROR(INDEX(Iceland!$Q$11:$Q$165,MATCH('Calculations - Iceland'!$C125,Iceland!$M$11:$M$165,0)),"")</f>
        <v/>
      </c>
      <c r="S125" s="22" t="str">
        <f>IFERROR(INDEX(Iceland!$R$11:$R$165,MATCH('Calculations - Iceland'!$C125,Iceland!$M$11:$M$165,0)),"")</f>
        <v/>
      </c>
      <c r="T125" s="16" t="e">
        <f t="shared" si="83"/>
        <v>#VALUE!</v>
      </c>
      <c r="U125" s="16" t="e">
        <f t="shared" si="98"/>
        <v>#VALUE!</v>
      </c>
      <c r="V125" s="16" t="e">
        <f t="shared" si="99"/>
        <v>#VALUE!</v>
      </c>
      <c r="W125" s="10" t="str">
        <f t="shared" si="84"/>
        <v>-</v>
      </c>
      <c r="X125" s="10" t="str">
        <f t="shared" si="85"/>
        <v>-</v>
      </c>
      <c r="Y125" s="13" t="str">
        <f t="shared" si="100"/>
        <v>-</v>
      </c>
      <c r="Z125" s="9" t="str">
        <f t="shared" si="86"/>
        <v>-</v>
      </c>
      <c r="AA125" s="16" t="str">
        <f t="shared" si="101"/>
        <v>-</v>
      </c>
      <c r="AB125" s="16" t="str">
        <f t="shared" si="87"/>
        <v>-</v>
      </c>
      <c r="AC125" s="16" t="str">
        <f t="shared" si="88"/>
        <v>-</v>
      </c>
      <c r="AD125" s="16" t="str">
        <f t="shared" si="102"/>
        <v>-</v>
      </c>
      <c r="AE125" s="16"/>
      <c r="AF125" s="31" t="str">
        <f>IFERROR(INDEX(Iceland!$P$11:$P$165,MATCH('Calculations - Iceland'!C125,Iceland!$M$11:$M$165,0)),"")</f>
        <v/>
      </c>
      <c r="AG125" s="23" t="str">
        <f t="shared" si="103"/>
        <v/>
      </c>
      <c r="AH125" s="23" t="str">
        <f t="shared" si="103"/>
        <v/>
      </c>
      <c r="AI125" s="9" t="str">
        <f t="shared" si="89"/>
        <v/>
      </c>
      <c r="AJ125" s="4" t="str">
        <f t="shared" si="90"/>
        <v/>
      </c>
      <c r="AK125" s="4"/>
      <c r="AL125" s="4"/>
      <c r="AM125" s="4"/>
      <c r="AN125" s="4"/>
      <c r="AO125" s="4"/>
      <c r="AP125" s="20" t="str">
        <f t="shared" si="91"/>
        <v>-</v>
      </c>
      <c r="AQ125" s="13" t="str">
        <f t="shared" si="104"/>
        <v>-</v>
      </c>
      <c r="AR125" s="13" t="str">
        <f t="shared" si="105"/>
        <v>-</v>
      </c>
      <c r="AS125" s="13" t="str">
        <f t="shared" si="92"/>
        <v>-</v>
      </c>
      <c r="AT125" s="16" t="str">
        <f t="shared" si="106"/>
        <v>-</v>
      </c>
      <c r="AU125" s="16" t="str">
        <f t="shared" si="93"/>
        <v>-</v>
      </c>
      <c r="AV125" s="16" t="str">
        <f t="shared" si="94"/>
        <v>-</v>
      </c>
      <c r="AW125" s="16" t="str">
        <f t="shared" si="107"/>
        <v>-</v>
      </c>
      <c r="AX125" s="13" t="str">
        <f t="shared" si="108"/>
        <v>-</v>
      </c>
      <c r="AY125" s="10" t="str">
        <f t="shared" si="109"/>
        <v>-</v>
      </c>
      <c r="AZ125" s="9" t="str">
        <f t="shared" si="110"/>
        <v>-</v>
      </c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</row>
    <row r="126" spans="2:68" x14ac:dyDescent="0.3">
      <c r="B126" s="108" t="str">
        <f t="shared" si="95"/>
        <v/>
      </c>
      <c r="C126" s="108" t="str">
        <f t="shared" si="81"/>
        <v/>
      </c>
      <c r="D126" s="3"/>
      <c r="E126" s="3"/>
      <c r="F126" s="3"/>
      <c r="G126" s="20">
        <f>IFERROR(INDEX('Input - Iceland'!F$2:F$200,MATCH('Calculations - Iceland'!$C126,'Input - Iceland'!$B$2:$B$200,0)),"")</f>
        <v>0</v>
      </c>
      <c r="H126" s="20">
        <f>IFERROR(INDEX('Input - Iceland'!G$2:G$200,MATCH('Calculations - Iceland'!$C126,'Input - Iceland'!$B$2:$B$200,0)),"")</f>
        <v>0</v>
      </c>
      <c r="I126" s="21">
        <f>IFERROR(INDEX('Input - Iceland'!H$2:H$200,MATCH('Calculations - Iceland'!$C126,'Input - Iceland'!$B$2:$B$200,0)),"")</f>
        <v>0</v>
      </c>
      <c r="J126" s="21">
        <f>IFERROR(INDEX('Input - Iceland'!I$2:I$200,MATCH('Calculations - Iceland'!$C126,'Input - Iceland'!$B$2:$B$200,0)),"")</f>
        <v>0</v>
      </c>
      <c r="K126" s="20">
        <f>IFERROR(INDEX('Input - Iceland'!J$2:J$200,MATCH('Calculations - Iceland'!$C126,'Input - Iceland'!$B$2:$B$200,0)),"")</f>
        <v>0</v>
      </c>
      <c r="L126" s="20">
        <f>IFERROR(INDEX('Input - Iceland'!K$2:K$200,MATCH('Calculations - Iceland'!$C126,'Input - Iceland'!$B$2:$B$200,0)),"")</f>
        <v>0</v>
      </c>
      <c r="M126" s="21" t="str">
        <f t="shared" si="96"/>
        <v/>
      </c>
      <c r="N126" s="21" t="str">
        <f t="shared" si="82"/>
        <v/>
      </c>
      <c r="O126" s="21">
        <f t="shared" si="97"/>
        <v>0</v>
      </c>
      <c r="P126" s="9">
        <f t="shared" si="79"/>
        <v>0</v>
      </c>
      <c r="Q126" s="9">
        <f t="shared" si="80"/>
        <v>0</v>
      </c>
      <c r="R126" s="22" t="str">
        <f>IFERROR(INDEX(Iceland!$Q$11:$Q$165,MATCH('Calculations - Iceland'!$C126,Iceland!$M$11:$M$165,0)),"")</f>
        <v/>
      </c>
      <c r="S126" s="22" t="str">
        <f>IFERROR(INDEX(Iceland!$R$11:$R$165,MATCH('Calculations - Iceland'!$C126,Iceland!$M$11:$M$165,0)),"")</f>
        <v/>
      </c>
      <c r="T126" s="16" t="e">
        <f t="shared" si="83"/>
        <v>#VALUE!</v>
      </c>
      <c r="U126" s="16" t="e">
        <f t="shared" si="98"/>
        <v>#VALUE!</v>
      </c>
      <c r="V126" s="16" t="e">
        <f t="shared" si="99"/>
        <v>#VALUE!</v>
      </c>
      <c r="W126" s="10" t="str">
        <f t="shared" si="84"/>
        <v>-</v>
      </c>
      <c r="X126" s="10" t="str">
        <f t="shared" si="85"/>
        <v>-</v>
      </c>
      <c r="Y126" s="13" t="str">
        <f t="shared" si="100"/>
        <v>-</v>
      </c>
      <c r="Z126" s="9" t="str">
        <f t="shared" si="86"/>
        <v>-</v>
      </c>
      <c r="AA126" s="16" t="str">
        <f t="shared" si="101"/>
        <v>-</v>
      </c>
      <c r="AB126" s="16" t="str">
        <f t="shared" si="87"/>
        <v>-</v>
      </c>
      <c r="AC126" s="16" t="str">
        <f t="shared" si="88"/>
        <v>-</v>
      </c>
      <c r="AD126" s="16" t="str">
        <f t="shared" si="102"/>
        <v>-</v>
      </c>
      <c r="AE126" s="16"/>
      <c r="AF126" s="31" t="str">
        <f>IFERROR(INDEX(Iceland!$P$11:$P$165,MATCH('Calculations - Iceland'!C126,Iceland!$M$11:$M$165,0)),"")</f>
        <v/>
      </c>
      <c r="AG126" s="23" t="str">
        <f t="shared" si="103"/>
        <v/>
      </c>
      <c r="AH126" s="23" t="str">
        <f t="shared" si="103"/>
        <v/>
      </c>
      <c r="AI126" s="9" t="str">
        <f t="shared" si="89"/>
        <v/>
      </c>
      <c r="AJ126" s="4" t="str">
        <f t="shared" si="90"/>
        <v/>
      </c>
      <c r="AK126" s="4"/>
      <c r="AL126" s="4"/>
      <c r="AM126" s="4"/>
      <c r="AN126" s="4"/>
      <c r="AO126" s="4"/>
      <c r="AP126" s="20" t="str">
        <f t="shared" si="91"/>
        <v>-</v>
      </c>
      <c r="AQ126" s="13" t="str">
        <f t="shared" si="104"/>
        <v>-</v>
      </c>
      <c r="AR126" s="13" t="str">
        <f t="shared" si="105"/>
        <v>-</v>
      </c>
      <c r="AS126" s="13" t="str">
        <f t="shared" si="92"/>
        <v>-</v>
      </c>
      <c r="AT126" s="16" t="str">
        <f t="shared" si="106"/>
        <v>-</v>
      </c>
      <c r="AU126" s="16" t="str">
        <f t="shared" si="93"/>
        <v>-</v>
      </c>
      <c r="AV126" s="16" t="str">
        <f t="shared" si="94"/>
        <v>-</v>
      </c>
      <c r="AW126" s="16" t="str">
        <f t="shared" si="107"/>
        <v>-</v>
      </c>
      <c r="AX126" s="13" t="str">
        <f t="shared" si="108"/>
        <v>-</v>
      </c>
      <c r="AY126" s="10" t="str">
        <f t="shared" si="109"/>
        <v>-</v>
      </c>
      <c r="AZ126" s="9" t="str">
        <f t="shared" si="110"/>
        <v>-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</row>
    <row r="127" spans="2:68" x14ac:dyDescent="0.3">
      <c r="B127" s="108" t="str">
        <f t="shared" si="95"/>
        <v/>
      </c>
      <c r="C127" s="108" t="str">
        <f t="shared" si="81"/>
        <v/>
      </c>
      <c r="D127" s="3"/>
      <c r="E127" s="3"/>
      <c r="F127" s="3"/>
      <c r="G127" s="20">
        <f>IFERROR(INDEX('Input - Iceland'!F$2:F$200,MATCH('Calculations - Iceland'!$C127,'Input - Iceland'!$B$2:$B$200,0)),"")</f>
        <v>0</v>
      </c>
      <c r="H127" s="20">
        <f>IFERROR(INDEX('Input - Iceland'!G$2:G$200,MATCH('Calculations - Iceland'!$C127,'Input - Iceland'!$B$2:$B$200,0)),"")</f>
        <v>0</v>
      </c>
      <c r="I127" s="21">
        <f>IFERROR(INDEX('Input - Iceland'!H$2:H$200,MATCH('Calculations - Iceland'!$C127,'Input - Iceland'!$B$2:$B$200,0)),"")</f>
        <v>0</v>
      </c>
      <c r="J127" s="21">
        <f>IFERROR(INDEX('Input - Iceland'!I$2:I$200,MATCH('Calculations - Iceland'!$C127,'Input - Iceland'!$B$2:$B$200,0)),"")</f>
        <v>0</v>
      </c>
      <c r="K127" s="20">
        <f>IFERROR(INDEX('Input - Iceland'!J$2:J$200,MATCH('Calculations - Iceland'!$C127,'Input - Iceland'!$B$2:$B$200,0)),"")</f>
        <v>0</v>
      </c>
      <c r="L127" s="20">
        <f>IFERROR(INDEX('Input - Iceland'!K$2:K$200,MATCH('Calculations - Iceland'!$C127,'Input - Iceland'!$B$2:$B$200,0)),"")</f>
        <v>0</v>
      </c>
      <c r="M127" s="21" t="str">
        <f t="shared" si="96"/>
        <v/>
      </c>
      <c r="N127" s="21" t="str">
        <f t="shared" si="82"/>
        <v/>
      </c>
      <c r="O127" s="21">
        <f t="shared" si="97"/>
        <v>0</v>
      </c>
      <c r="P127" s="9">
        <f t="shared" si="79"/>
        <v>0</v>
      </c>
      <c r="Q127" s="9">
        <f t="shared" si="80"/>
        <v>0</v>
      </c>
      <c r="R127" s="22" t="str">
        <f>IFERROR(INDEX(Iceland!$Q$11:$Q$165,MATCH('Calculations - Iceland'!$C127,Iceland!$M$11:$M$165,0)),"")</f>
        <v/>
      </c>
      <c r="S127" s="22" t="str">
        <f>IFERROR(INDEX(Iceland!$R$11:$R$165,MATCH('Calculations - Iceland'!$C127,Iceland!$M$11:$M$165,0)),"")</f>
        <v/>
      </c>
      <c r="T127" s="16" t="e">
        <f t="shared" si="83"/>
        <v>#VALUE!</v>
      </c>
      <c r="U127" s="16" t="e">
        <f t="shared" si="98"/>
        <v>#VALUE!</v>
      </c>
      <c r="V127" s="16" t="e">
        <f t="shared" si="99"/>
        <v>#VALUE!</v>
      </c>
      <c r="W127" s="10" t="str">
        <f t="shared" si="84"/>
        <v>-</v>
      </c>
      <c r="X127" s="10" t="str">
        <f t="shared" si="85"/>
        <v>-</v>
      </c>
      <c r="Y127" s="13" t="str">
        <f t="shared" si="100"/>
        <v>-</v>
      </c>
      <c r="Z127" s="9" t="str">
        <f t="shared" si="86"/>
        <v>-</v>
      </c>
      <c r="AA127" s="16" t="str">
        <f t="shared" si="101"/>
        <v>-</v>
      </c>
      <c r="AB127" s="16" t="str">
        <f t="shared" si="87"/>
        <v>-</v>
      </c>
      <c r="AC127" s="16" t="str">
        <f t="shared" si="88"/>
        <v>-</v>
      </c>
      <c r="AD127" s="16" t="str">
        <f t="shared" si="102"/>
        <v>-</v>
      </c>
      <c r="AE127" s="16"/>
      <c r="AF127" s="31" t="str">
        <f>IFERROR(INDEX(Iceland!$P$11:$P$165,MATCH('Calculations - Iceland'!C127,Iceland!$M$11:$M$165,0)),"")</f>
        <v/>
      </c>
      <c r="AG127" s="23" t="str">
        <f t="shared" si="103"/>
        <v/>
      </c>
      <c r="AH127" s="23" t="str">
        <f t="shared" si="103"/>
        <v/>
      </c>
      <c r="AI127" s="9" t="str">
        <f t="shared" si="89"/>
        <v/>
      </c>
      <c r="AJ127" s="4" t="str">
        <f t="shared" si="90"/>
        <v/>
      </c>
      <c r="AK127" s="4"/>
      <c r="AL127" s="4"/>
      <c r="AM127" s="4"/>
      <c r="AN127" s="4"/>
      <c r="AO127" s="4"/>
      <c r="AP127" s="20" t="str">
        <f t="shared" si="91"/>
        <v>-</v>
      </c>
      <c r="AQ127" s="13" t="str">
        <f t="shared" si="104"/>
        <v>-</v>
      </c>
      <c r="AR127" s="13" t="str">
        <f t="shared" si="105"/>
        <v>-</v>
      </c>
      <c r="AS127" s="13" t="str">
        <f t="shared" si="92"/>
        <v>-</v>
      </c>
      <c r="AT127" s="16" t="str">
        <f t="shared" si="106"/>
        <v>-</v>
      </c>
      <c r="AU127" s="16" t="str">
        <f t="shared" si="93"/>
        <v>-</v>
      </c>
      <c r="AV127" s="16" t="str">
        <f t="shared" si="94"/>
        <v>-</v>
      </c>
      <c r="AW127" s="16" t="str">
        <f t="shared" si="107"/>
        <v>-</v>
      </c>
      <c r="AX127" s="13" t="str">
        <f t="shared" si="108"/>
        <v>-</v>
      </c>
      <c r="AY127" s="10" t="str">
        <f t="shared" si="109"/>
        <v>-</v>
      </c>
      <c r="AZ127" s="9" t="str">
        <f t="shared" si="110"/>
        <v>-</v>
      </c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</row>
    <row r="128" spans="2:68" x14ac:dyDescent="0.3">
      <c r="B128" s="108" t="str">
        <f t="shared" si="95"/>
        <v/>
      </c>
      <c r="C128" s="108" t="str">
        <f t="shared" si="81"/>
        <v/>
      </c>
      <c r="D128" s="3"/>
      <c r="E128" s="3"/>
      <c r="F128" s="3"/>
      <c r="G128" s="20">
        <f>IFERROR(INDEX('Input - Iceland'!F$2:F$200,MATCH('Calculations - Iceland'!$C128,'Input - Iceland'!$B$2:$B$200,0)),"")</f>
        <v>0</v>
      </c>
      <c r="H128" s="20">
        <f>IFERROR(INDEX('Input - Iceland'!G$2:G$200,MATCH('Calculations - Iceland'!$C128,'Input - Iceland'!$B$2:$B$200,0)),"")</f>
        <v>0</v>
      </c>
      <c r="I128" s="21">
        <f>IFERROR(INDEX('Input - Iceland'!H$2:H$200,MATCH('Calculations - Iceland'!$C128,'Input - Iceland'!$B$2:$B$200,0)),"")</f>
        <v>0</v>
      </c>
      <c r="J128" s="21">
        <f>IFERROR(INDEX('Input - Iceland'!I$2:I$200,MATCH('Calculations - Iceland'!$C128,'Input - Iceland'!$B$2:$B$200,0)),"")</f>
        <v>0</v>
      </c>
      <c r="K128" s="20">
        <f>IFERROR(INDEX('Input - Iceland'!J$2:J$200,MATCH('Calculations - Iceland'!$C128,'Input - Iceland'!$B$2:$B$200,0)),"")</f>
        <v>0</v>
      </c>
      <c r="L128" s="20">
        <f>IFERROR(INDEX('Input - Iceland'!K$2:K$200,MATCH('Calculations - Iceland'!$C128,'Input - Iceland'!$B$2:$B$200,0)),"")</f>
        <v>0</v>
      </c>
      <c r="M128" s="21" t="str">
        <f t="shared" si="96"/>
        <v/>
      </c>
      <c r="N128" s="21" t="str">
        <f t="shared" si="82"/>
        <v/>
      </c>
      <c r="O128" s="21">
        <f t="shared" si="97"/>
        <v>0</v>
      </c>
      <c r="P128" s="9">
        <f t="shared" ref="P128:P191" si="111">G128/SUM(G$32:G$229)</f>
        <v>0</v>
      </c>
      <c r="Q128" s="9">
        <f t="shared" ref="Q128:Q191" si="112">H128/SUM(H$32:H$229)</f>
        <v>0</v>
      </c>
      <c r="R128" s="22" t="str">
        <f>IFERROR(INDEX(Iceland!$Q$11:$Q$165,MATCH('Calculations - Iceland'!$C128,Iceland!$M$11:$M$165,0)),"")</f>
        <v/>
      </c>
      <c r="S128" s="22" t="str">
        <f>IFERROR(INDEX(Iceland!$R$11:$R$165,MATCH('Calculations - Iceland'!$C128,Iceland!$M$11:$M$165,0)),"")</f>
        <v/>
      </c>
      <c r="T128" s="16" t="e">
        <f t="shared" si="83"/>
        <v>#VALUE!</v>
      </c>
      <c r="U128" s="16" t="e">
        <f t="shared" si="98"/>
        <v>#VALUE!</v>
      </c>
      <c r="V128" s="16" t="e">
        <f t="shared" si="99"/>
        <v>#VALUE!</v>
      </c>
      <c r="W128" s="10" t="str">
        <f t="shared" si="84"/>
        <v>-</v>
      </c>
      <c r="X128" s="10" t="str">
        <f t="shared" si="85"/>
        <v>-</v>
      </c>
      <c r="Y128" s="13" t="str">
        <f t="shared" si="100"/>
        <v>-</v>
      </c>
      <c r="Z128" s="9" t="str">
        <f t="shared" si="86"/>
        <v>-</v>
      </c>
      <c r="AA128" s="16" t="str">
        <f t="shared" si="101"/>
        <v>-</v>
      </c>
      <c r="AB128" s="16" t="str">
        <f t="shared" si="87"/>
        <v>-</v>
      </c>
      <c r="AC128" s="16" t="str">
        <f t="shared" si="88"/>
        <v>-</v>
      </c>
      <c r="AD128" s="16" t="str">
        <f t="shared" si="102"/>
        <v>-</v>
      </c>
      <c r="AE128" s="16"/>
      <c r="AF128" s="31" t="str">
        <f>IFERROR(INDEX(Iceland!$P$11:$P$165,MATCH('Calculations - Iceland'!C128,Iceland!$M$11:$M$165,0)),"")</f>
        <v/>
      </c>
      <c r="AG128" s="23" t="str">
        <f t="shared" si="103"/>
        <v/>
      </c>
      <c r="AH128" s="23" t="str">
        <f t="shared" si="103"/>
        <v/>
      </c>
      <c r="AI128" s="9" t="str">
        <f t="shared" si="89"/>
        <v/>
      </c>
      <c r="AJ128" s="4" t="str">
        <f t="shared" si="90"/>
        <v/>
      </c>
      <c r="AK128" s="4"/>
      <c r="AL128" s="4"/>
      <c r="AM128" s="4"/>
      <c r="AN128" s="4"/>
      <c r="AO128" s="4"/>
      <c r="AP128" s="20" t="str">
        <f t="shared" si="91"/>
        <v>-</v>
      </c>
      <c r="AQ128" s="13" t="str">
        <f t="shared" si="104"/>
        <v>-</v>
      </c>
      <c r="AR128" s="13" t="str">
        <f t="shared" si="105"/>
        <v>-</v>
      </c>
      <c r="AS128" s="13" t="str">
        <f t="shared" si="92"/>
        <v>-</v>
      </c>
      <c r="AT128" s="16" t="str">
        <f t="shared" si="106"/>
        <v>-</v>
      </c>
      <c r="AU128" s="16" t="str">
        <f t="shared" si="93"/>
        <v>-</v>
      </c>
      <c r="AV128" s="16" t="str">
        <f t="shared" si="94"/>
        <v>-</v>
      </c>
      <c r="AW128" s="16" t="str">
        <f t="shared" si="107"/>
        <v>-</v>
      </c>
      <c r="AX128" s="13" t="str">
        <f t="shared" si="108"/>
        <v>-</v>
      </c>
      <c r="AY128" s="10" t="str">
        <f t="shared" si="109"/>
        <v>-</v>
      </c>
      <c r="AZ128" s="9" t="str">
        <f t="shared" si="110"/>
        <v>-</v>
      </c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</row>
    <row r="129" spans="2:68" x14ac:dyDescent="0.3">
      <c r="B129" s="108" t="str">
        <f t="shared" si="95"/>
        <v/>
      </c>
      <c r="C129" s="108" t="str">
        <f t="shared" si="81"/>
        <v/>
      </c>
      <c r="D129" s="3"/>
      <c r="E129" s="3"/>
      <c r="F129" s="3"/>
      <c r="G129" s="20">
        <f>IFERROR(INDEX('Input - Iceland'!F$2:F$200,MATCH('Calculations - Iceland'!$C129,'Input - Iceland'!$B$2:$B$200,0)),"")</f>
        <v>0</v>
      </c>
      <c r="H129" s="20">
        <f>IFERROR(INDEX('Input - Iceland'!G$2:G$200,MATCH('Calculations - Iceland'!$C129,'Input - Iceland'!$B$2:$B$200,0)),"")</f>
        <v>0</v>
      </c>
      <c r="I129" s="21">
        <f>IFERROR(INDEX('Input - Iceland'!H$2:H$200,MATCH('Calculations - Iceland'!$C129,'Input - Iceland'!$B$2:$B$200,0)),"")</f>
        <v>0</v>
      </c>
      <c r="J129" s="21">
        <f>IFERROR(INDEX('Input - Iceland'!I$2:I$200,MATCH('Calculations - Iceland'!$C129,'Input - Iceland'!$B$2:$B$200,0)),"")</f>
        <v>0</v>
      </c>
      <c r="K129" s="20">
        <f>IFERROR(INDEX('Input - Iceland'!J$2:J$200,MATCH('Calculations - Iceland'!$C129,'Input - Iceland'!$B$2:$B$200,0)),"")</f>
        <v>0</v>
      </c>
      <c r="L129" s="20">
        <f>IFERROR(INDEX('Input - Iceland'!K$2:K$200,MATCH('Calculations - Iceland'!$C129,'Input - Iceland'!$B$2:$B$200,0)),"")</f>
        <v>0</v>
      </c>
      <c r="M129" s="21" t="str">
        <f t="shared" si="96"/>
        <v/>
      </c>
      <c r="N129" s="21" t="str">
        <f t="shared" si="82"/>
        <v/>
      </c>
      <c r="O129" s="21">
        <f t="shared" si="97"/>
        <v>0</v>
      </c>
      <c r="P129" s="9">
        <f t="shared" si="111"/>
        <v>0</v>
      </c>
      <c r="Q129" s="9">
        <f t="shared" si="112"/>
        <v>0</v>
      </c>
      <c r="R129" s="22" t="str">
        <f>IFERROR(INDEX(Iceland!$Q$11:$Q$165,MATCH('Calculations - Iceland'!$C129,Iceland!$M$11:$M$165,0)),"")</f>
        <v/>
      </c>
      <c r="S129" s="22" t="str">
        <f>IFERROR(INDEX(Iceland!$R$11:$R$165,MATCH('Calculations - Iceland'!$C129,Iceland!$M$11:$M$165,0)),"")</f>
        <v/>
      </c>
      <c r="T129" s="16" t="e">
        <f t="shared" si="83"/>
        <v>#VALUE!</v>
      </c>
      <c r="U129" s="16" t="e">
        <f t="shared" si="98"/>
        <v>#VALUE!</v>
      </c>
      <c r="V129" s="16" t="e">
        <f t="shared" si="99"/>
        <v>#VALUE!</v>
      </c>
      <c r="W129" s="10" t="str">
        <f t="shared" si="84"/>
        <v>-</v>
      </c>
      <c r="X129" s="10" t="str">
        <f t="shared" si="85"/>
        <v>-</v>
      </c>
      <c r="Y129" s="13" t="str">
        <f t="shared" si="100"/>
        <v>-</v>
      </c>
      <c r="Z129" s="9" t="str">
        <f t="shared" si="86"/>
        <v>-</v>
      </c>
      <c r="AA129" s="16" t="str">
        <f t="shared" si="101"/>
        <v>-</v>
      </c>
      <c r="AB129" s="16" t="str">
        <f t="shared" si="87"/>
        <v>-</v>
      </c>
      <c r="AC129" s="16" t="str">
        <f t="shared" si="88"/>
        <v>-</v>
      </c>
      <c r="AD129" s="16" t="str">
        <f t="shared" si="102"/>
        <v>-</v>
      </c>
      <c r="AE129" s="16"/>
      <c r="AF129" s="31" t="str">
        <f>IFERROR(INDEX(Iceland!$P$11:$P$165,MATCH('Calculations - Iceland'!C129,Iceland!$M$11:$M$165,0)),"")</f>
        <v/>
      </c>
      <c r="AG129" s="23" t="str">
        <f t="shared" si="103"/>
        <v/>
      </c>
      <c r="AH129" s="23" t="str">
        <f t="shared" si="103"/>
        <v/>
      </c>
      <c r="AI129" s="9" t="str">
        <f t="shared" si="89"/>
        <v/>
      </c>
      <c r="AJ129" s="4" t="str">
        <f t="shared" si="90"/>
        <v/>
      </c>
      <c r="AK129" s="4"/>
      <c r="AL129" s="4"/>
      <c r="AM129" s="4"/>
      <c r="AN129" s="4"/>
      <c r="AO129" s="4"/>
      <c r="AP129" s="20" t="str">
        <f t="shared" si="91"/>
        <v>-</v>
      </c>
      <c r="AQ129" s="13" t="str">
        <f t="shared" si="104"/>
        <v>-</v>
      </c>
      <c r="AR129" s="13" t="str">
        <f t="shared" si="105"/>
        <v>-</v>
      </c>
      <c r="AS129" s="13" t="str">
        <f t="shared" si="92"/>
        <v>-</v>
      </c>
      <c r="AT129" s="16" t="str">
        <f t="shared" si="106"/>
        <v>-</v>
      </c>
      <c r="AU129" s="16" t="str">
        <f t="shared" si="93"/>
        <v>-</v>
      </c>
      <c r="AV129" s="16" t="str">
        <f t="shared" si="94"/>
        <v>-</v>
      </c>
      <c r="AW129" s="16" t="str">
        <f t="shared" si="107"/>
        <v>-</v>
      </c>
      <c r="AX129" s="13" t="str">
        <f t="shared" si="108"/>
        <v>-</v>
      </c>
      <c r="AY129" s="10" t="str">
        <f t="shared" si="109"/>
        <v>-</v>
      </c>
      <c r="AZ129" s="9" t="str">
        <f t="shared" si="110"/>
        <v>-</v>
      </c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</row>
    <row r="130" spans="2:68" x14ac:dyDescent="0.3">
      <c r="B130" s="108" t="str">
        <f t="shared" si="95"/>
        <v/>
      </c>
      <c r="C130" s="108" t="str">
        <f t="shared" si="81"/>
        <v/>
      </c>
      <c r="D130" s="3"/>
      <c r="E130" s="3"/>
      <c r="F130" s="3"/>
      <c r="G130" s="20">
        <f>IFERROR(INDEX('Input - Iceland'!F$2:F$200,MATCH('Calculations - Iceland'!$C130,'Input - Iceland'!$B$2:$B$200,0)),"")</f>
        <v>0</v>
      </c>
      <c r="H130" s="20">
        <f>IFERROR(INDEX('Input - Iceland'!G$2:G$200,MATCH('Calculations - Iceland'!$C130,'Input - Iceland'!$B$2:$B$200,0)),"")</f>
        <v>0</v>
      </c>
      <c r="I130" s="21">
        <f>IFERROR(INDEX('Input - Iceland'!H$2:H$200,MATCH('Calculations - Iceland'!$C130,'Input - Iceland'!$B$2:$B$200,0)),"")</f>
        <v>0</v>
      </c>
      <c r="J130" s="21">
        <f>IFERROR(INDEX('Input - Iceland'!I$2:I$200,MATCH('Calculations - Iceland'!$C130,'Input - Iceland'!$B$2:$B$200,0)),"")</f>
        <v>0</v>
      </c>
      <c r="K130" s="20">
        <f>IFERROR(INDEX('Input - Iceland'!J$2:J$200,MATCH('Calculations - Iceland'!$C130,'Input - Iceland'!$B$2:$B$200,0)),"")</f>
        <v>0</v>
      </c>
      <c r="L130" s="20">
        <f>IFERROR(INDEX('Input - Iceland'!K$2:K$200,MATCH('Calculations - Iceland'!$C130,'Input - Iceland'!$B$2:$B$200,0)),"")</f>
        <v>0</v>
      </c>
      <c r="M130" s="21" t="str">
        <f t="shared" si="96"/>
        <v/>
      </c>
      <c r="N130" s="21" t="str">
        <f t="shared" si="82"/>
        <v/>
      </c>
      <c r="O130" s="21">
        <f t="shared" si="97"/>
        <v>0</v>
      </c>
      <c r="P130" s="9">
        <f t="shared" si="111"/>
        <v>0</v>
      </c>
      <c r="Q130" s="9">
        <f t="shared" si="112"/>
        <v>0</v>
      </c>
      <c r="R130" s="22" t="str">
        <f>IFERROR(INDEX(Iceland!$Q$11:$Q$165,MATCH('Calculations - Iceland'!$C130,Iceland!$M$11:$M$165,0)),"")</f>
        <v/>
      </c>
      <c r="S130" s="22" t="str">
        <f>IFERROR(INDEX(Iceland!$R$11:$R$165,MATCH('Calculations - Iceland'!$C130,Iceland!$M$11:$M$165,0)),"")</f>
        <v/>
      </c>
      <c r="T130" s="16" t="e">
        <f t="shared" si="83"/>
        <v>#VALUE!</v>
      </c>
      <c r="U130" s="16" t="e">
        <f t="shared" si="98"/>
        <v>#VALUE!</v>
      </c>
      <c r="V130" s="16" t="e">
        <f t="shared" si="99"/>
        <v>#VALUE!</v>
      </c>
      <c r="W130" s="10" t="str">
        <f t="shared" si="84"/>
        <v>-</v>
      </c>
      <c r="X130" s="10" t="str">
        <f t="shared" si="85"/>
        <v>-</v>
      </c>
      <c r="Y130" s="13" t="str">
        <f t="shared" si="100"/>
        <v>-</v>
      </c>
      <c r="Z130" s="9" t="str">
        <f t="shared" si="86"/>
        <v>-</v>
      </c>
      <c r="AA130" s="16" t="str">
        <f t="shared" si="101"/>
        <v>-</v>
      </c>
      <c r="AB130" s="16" t="str">
        <f t="shared" si="87"/>
        <v>-</v>
      </c>
      <c r="AC130" s="16" t="str">
        <f t="shared" si="88"/>
        <v>-</v>
      </c>
      <c r="AD130" s="16" t="str">
        <f t="shared" si="102"/>
        <v>-</v>
      </c>
      <c r="AE130" s="16"/>
      <c r="AF130" s="31" t="str">
        <f>IFERROR(INDEX(Iceland!$P$11:$P$165,MATCH('Calculations - Iceland'!C130,Iceland!$M$11:$M$165,0)),"")</f>
        <v/>
      </c>
      <c r="AG130" s="23" t="str">
        <f t="shared" si="103"/>
        <v/>
      </c>
      <c r="AH130" s="23" t="str">
        <f t="shared" si="103"/>
        <v/>
      </c>
      <c r="AI130" s="9" t="str">
        <f t="shared" si="89"/>
        <v/>
      </c>
      <c r="AJ130" s="4" t="str">
        <f t="shared" si="90"/>
        <v/>
      </c>
      <c r="AK130" s="4"/>
      <c r="AL130" s="4"/>
      <c r="AM130" s="4"/>
      <c r="AN130" s="4"/>
      <c r="AO130" s="4"/>
      <c r="AP130" s="20" t="str">
        <f t="shared" si="91"/>
        <v>-</v>
      </c>
      <c r="AQ130" s="13" t="str">
        <f t="shared" si="104"/>
        <v>-</v>
      </c>
      <c r="AR130" s="13" t="str">
        <f t="shared" si="105"/>
        <v>-</v>
      </c>
      <c r="AS130" s="13" t="str">
        <f t="shared" si="92"/>
        <v>-</v>
      </c>
      <c r="AT130" s="16" t="str">
        <f t="shared" si="106"/>
        <v>-</v>
      </c>
      <c r="AU130" s="16" t="str">
        <f t="shared" si="93"/>
        <v>-</v>
      </c>
      <c r="AV130" s="16" t="str">
        <f t="shared" si="94"/>
        <v>-</v>
      </c>
      <c r="AW130" s="16" t="str">
        <f t="shared" si="107"/>
        <v>-</v>
      </c>
      <c r="AX130" s="13" t="str">
        <f t="shared" si="108"/>
        <v>-</v>
      </c>
      <c r="AY130" s="10" t="str">
        <f t="shared" si="109"/>
        <v>-</v>
      </c>
      <c r="AZ130" s="9" t="str">
        <f t="shared" si="110"/>
        <v>-</v>
      </c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</row>
    <row r="131" spans="2:68" x14ac:dyDescent="0.3">
      <c r="B131" s="108" t="str">
        <f t="shared" si="95"/>
        <v/>
      </c>
      <c r="C131" s="108" t="str">
        <f t="shared" si="81"/>
        <v/>
      </c>
      <c r="D131" s="3"/>
      <c r="E131" s="3"/>
      <c r="F131" s="3"/>
      <c r="G131" s="20">
        <f>IFERROR(INDEX('Input - Iceland'!F$2:F$200,MATCH('Calculations - Iceland'!$C131,'Input - Iceland'!$B$2:$B$200,0)),"")</f>
        <v>0</v>
      </c>
      <c r="H131" s="20">
        <f>IFERROR(INDEX('Input - Iceland'!G$2:G$200,MATCH('Calculations - Iceland'!$C131,'Input - Iceland'!$B$2:$B$200,0)),"")</f>
        <v>0</v>
      </c>
      <c r="I131" s="21">
        <f>IFERROR(INDEX('Input - Iceland'!H$2:H$200,MATCH('Calculations - Iceland'!$C131,'Input - Iceland'!$B$2:$B$200,0)),"")</f>
        <v>0</v>
      </c>
      <c r="J131" s="21">
        <f>IFERROR(INDEX('Input - Iceland'!I$2:I$200,MATCH('Calculations - Iceland'!$C131,'Input - Iceland'!$B$2:$B$200,0)),"")</f>
        <v>0</v>
      </c>
      <c r="K131" s="20">
        <f>IFERROR(INDEX('Input - Iceland'!J$2:J$200,MATCH('Calculations - Iceland'!$C131,'Input - Iceland'!$B$2:$B$200,0)),"")</f>
        <v>0</v>
      </c>
      <c r="L131" s="20">
        <f>IFERROR(INDEX('Input - Iceland'!K$2:K$200,MATCH('Calculations - Iceland'!$C131,'Input - Iceland'!$B$2:$B$200,0)),"")</f>
        <v>0</v>
      </c>
      <c r="M131" s="21" t="str">
        <f t="shared" si="96"/>
        <v/>
      </c>
      <c r="N131" s="21" t="str">
        <f t="shared" si="82"/>
        <v/>
      </c>
      <c r="O131" s="21">
        <f t="shared" si="97"/>
        <v>0</v>
      </c>
      <c r="P131" s="9">
        <f t="shared" si="111"/>
        <v>0</v>
      </c>
      <c r="Q131" s="9">
        <f t="shared" si="112"/>
        <v>0</v>
      </c>
      <c r="R131" s="22" t="str">
        <f>IFERROR(INDEX(Iceland!$Q$11:$Q$165,MATCH('Calculations - Iceland'!$C131,Iceland!$M$11:$M$165,0)),"")</f>
        <v/>
      </c>
      <c r="S131" s="22" t="str">
        <f>IFERROR(INDEX(Iceland!$R$11:$R$165,MATCH('Calculations - Iceland'!$C131,Iceland!$M$11:$M$165,0)),"")</f>
        <v/>
      </c>
      <c r="T131" s="16" t="e">
        <f t="shared" si="83"/>
        <v>#VALUE!</v>
      </c>
      <c r="U131" s="16" t="e">
        <f t="shared" si="98"/>
        <v>#VALUE!</v>
      </c>
      <c r="V131" s="16" t="e">
        <f t="shared" si="99"/>
        <v>#VALUE!</v>
      </c>
      <c r="W131" s="10" t="str">
        <f t="shared" si="84"/>
        <v>-</v>
      </c>
      <c r="X131" s="10" t="str">
        <f t="shared" si="85"/>
        <v>-</v>
      </c>
      <c r="Y131" s="13" t="str">
        <f t="shared" si="100"/>
        <v>-</v>
      </c>
      <c r="Z131" s="9" t="str">
        <f t="shared" si="86"/>
        <v>-</v>
      </c>
      <c r="AA131" s="16" t="str">
        <f t="shared" si="101"/>
        <v>-</v>
      </c>
      <c r="AB131" s="16" t="str">
        <f t="shared" si="87"/>
        <v>-</v>
      </c>
      <c r="AC131" s="16" t="str">
        <f t="shared" si="88"/>
        <v>-</v>
      </c>
      <c r="AD131" s="16" t="str">
        <f t="shared" si="102"/>
        <v>-</v>
      </c>
      <c r="AE131" s="16"/>
      <c r="AF131" s="31" t="str">
        <f>IFERROR(INDEX(Iceland!$P$11:$P$165,MATCH('Calculations - Iceland'!C131,Iceland!$M$11:$M$165,0)),"")</f>
        <v/>
      </c>
      <c r="AG131" s="23" t="str">
        <f t="shared" si="103"/>
        <v/>
      </c>
      <c r="AH131" s="23" t="str">
        <f t="shared" si="103"/>
        <v/>
      </c>
      <c r="AI131" s="9" t="str">
        <f t="shared" si="89"/>
        <v/>
      </c>
      <c r="AJ131" s="4" t="str">
        <f t="shared" si="90"/>
        <v/>
      </c>
      <c r="AK131" s="4"/>
      <c r="AL131" s="4"/>
      <c r="AM131" s="4"/>
      <c r="AN131" s="4"/>
      <c r="AO131" s="4"/>
      <c r="AP131" s="20" t="str">
        <f t="shared" si="91"/>
        <v>-</v>
      </c>
      <c r="AQ131" s="13" t="str">
        <f t="shared" si="104"/>
        <v>-</v>
      </c>
      <c r="AR131" s="13" t="str">
        <f t="shared" si="105"/>
        <v>-</v>
      </c>
      <c r="AS131" s="13" t="str">
        <f t="shared" si="92"/>
        <v>-</v>
      </c>
      <c r="AT131" s="16" t="str">
        <f t="shared" si="106"/>
        <v>-</v>
      </c>
      <c r="AU131" s="16" t="str">
        <f t="shared" si="93"/>
        <v>-</v>
      </c>
      <c r="AV131" s="16" t="str">
        <f t="shared" si="94"/>
        <v>-</v>
      </c>
      <c r="AW131" s="16" t="str">
        <f t="shared" si="107"/>
        <v>-</v>
      </c>
      <c r="AX131" s="13" t="str">
        <f t="shared" si="108"/>
        <v>-</v>
      </c>
      <c r="AY131" s="10" t="str">
        <f t="shared" si="109"/>
        <v>-</v>
      </c>
      <c r="AZ131" s="9" t="str">
        <f t="shared" si="110"/>
        <v>-</v>
      </c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</row>
    <row r="132" spans="2:68" x14ac:dyDescent="0.3">
      <c r="B132" s="108" t="str">
        <f t="shared" si="95"/>
        <v/>
      </c>
      <c r="C132" s="108" t="str">
        <f t="shared" si="81"/>
        <v/>
      </c>
      <c r="D132" s="3"/>
      <c r="E132" s="3"/>
      <c r="F132" s="3"/>
      <c r="G132" s="20">
        <f>IFERROR(INDEX('Input - Iceland'!F$2:F$200,MATCH('Calculations - Iceland'!$C132,'Input - Iceland'!$B$2:$B$200,0)),"")</f>
        <v>0</v>
      </c>
      <c r="H132" s="20">
        <f>IFERROR(INDEX('Input - Iceland'!G$2:G$200,MATCH('Calculations - Iceland'!$C132,'Input - Iceland'!$B$2:$B$200,0)),"")</f>
        <v>0</v>
      </c>
      <c r="I132" s="21">
        <f>IFERROR(INDEX('Input - Iceland'!H$2:H$200,MATCH('Calculations - Iceland'!$C132,'Input - Iceland'!$B$2:$B$200,0)),"")</f>
        <v>0</v>
      </c>
      <c r="J132" s="21">
        <f>IFERROR(INDEX('Input - Iceland'!I$2:I$200,MATCH('Calculations - Iceland'!$C132,'Input - Iceland'!$B$2:$B$200,0)),"")</f>
        <v>0</v>
      </c>
      <c r="K132" s="20">
        <f>IFERROR(INDEX('Input - Iceland'!J$2:J$200,MATCH('Calculations - Iceland'!$C132,'Input - Iceland'!$B$2:$B$200,0)),"")</f>
        <v>0</v>
      </c>
      <c r="L132" s="20">
        <f>IFERROR(INDEX('Input - Iceland'!K$2:K$200,MATCH('Calculations - Iceland'!$C132,'Input - Iceland'!$B$2:$B$200,0)),"")</f>
        <v>0</v>
      </c>
      <c r="M132" s="21" t="str">
        <f t="shared" si="96"/>
        <v/>
      </c>
      <c r="N132" s="21" t="str">
        <f t="shared" si="82"/>
        <v/>
      </c>
      <c r="O132" s="21">
        <f t="shared" si="97"/>
        <v>0</v>
      </c>
      <c r="P132" s="9">
        <f t="shared" si="111"/>
        <v>0</v>
      </c>
      <c r="Q132" s="9">
        <f t="shared" si="112"/>
        <v>0</v>
      </c>
      <c r="R132" s="22" t="str">
        <f>IFERROR(INDEX(Iceland!$Q$11:$Q$165,MATCH('Calculations - Iceland'!$C132,Iceland!$M$11:$M$165,0)),"")</f>
        <v/>
      </c>
      <c r="S132" s="22" t="str">
        <f>IFERROR(INDEX(Iceland!$R$11:$R$165,MATCH('Calculations - Iceland'!$C132,Iceland!$M$11:$M$165,0)),"")</f>
        <v/>
      </c>
      <c r="T132" s="16" t="e">
        <f t="shared" si="83"/>
        <v>#VALUE!</v>
      </c>
      <c r="U132" s="16" t="e">
        <f t="shared" si="98"/>
        <v>#VALUE!</v>
      </c>
      <c r="V132" s="16" t="e">
        <f t="shared" si="99"/>
        <v>#VALUE!</v>
      </c>
      <c r="W132" s="10" t="str">
        <f t="shared" si="84"/>
        <v>-</v>
      </c>
      <c r="X132" s="10" t="str">
        <f t="shared" si="85"/>
        <v>-</v>
      </c>
      <c r="Y132" s="13" t="str">
        <f t="shared" si="100"/>
        <v>-</v>
      </c>
      <c r="Z132" s="9" t="str">
        <f t="shared" si="86"/>
        <v>-</v>
      </c>
      <c r="AA132" s="16" t="str">
        <f t="shared" si="101"/>
        <v>-</v>
      </c>
      <c r="AB132" s="16" t="str">
        <f t="shared" si="87"/>
        <v>-</v>
      </c>
      <c r="AC132" s="16" t="str">
        <f t="shared" si="88"/>
        <v>-</v>
      </c>
      <c r="AD132" s="16" t="str">
        <f t="shared" si="102"/>
        <v>-</v>
      </c>
      <c r="AE132" s="16"/>
      <c r="AF132" s="31" t="str">
        <f>IFERROR(INDEX(Iceland!$P$11:$P$165,MATCH('Calculations - Iceland'!C132,Iceland!$M$11:$M$165,0)),"")</f>
        <v/>
      </c>
      <c r="AG132" s="23" t="str">
        <f t="shared" si="103"/>
        <v/>
      </c>
      <c r="AH132" s="23" t="str">
        <f t="shared" si="103"/>
        <v/>
      </c>
      <c r="AI132" s="9" t="str">
        <f t="shared" si="89"/>
        <v/>
      </c>
      <c r="AJ132" s="4" t="str">
        <f t="shared" si="90"/>
        <v/>
      </c>
      <c r="AK132" s="4"/>
      <c r="AL132" s="4"/>
      <c r="AM132" s="4"/>
      <c r="AN132" s="4"/>
      <c r="AO132" s="4"/>
      <c r="AP132" s="20" t="str">
        <f t="shared" si="91"/>
        <v>-</v>
      </c>
      <c r="AQ132" s="13" t="str">
        <f t="shared" si="104"/>
        <v>-</v>
      </c>
      <c r="AR132" s="13" t="str">
        <f t="shared" si="105"/>
        <v>-</v>
      </c>
      <c r="AS132" s="13" t="str">
        <f t="shared" si="92"/>
        <v>-</v>
      </c>
      <c r="AT132" s="16" t="str">
        <f t="shared" si="106"/>
        <v>-</v>
      </c>
      <c r="AU132" s="16" t="str">
        <f t="shared" si="93"/>
        <v>-</v>
      </c>
      <c r="AV132" s="16" t="str">
        <f t="shared" si="94"/>
        <v>-</v>
      </c>
      <c r="AW132" s="16" t="str">
        <f t="shared" si="107"/>
        <v>-</v>
      </c>
      <c r="AX132" s="13" t="str">
        <f t="shared" si="108"/>
        <v>-</v>
      </c>
      <c r="AY132" s="10" t="str">
        <f t="shared" si="109"/>
        <v>-</v>
      </c>
      <c r="AZ132" s="9" t="str">
        <f t="shared" si="110"/>
        <v>-</v>
      </c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</row>
    <row r="133" spans="2:68" x14ac:dyDescent="0.3">
      <c r="B133" s="108" t="str">
        <f t="shared" si="95"/>
        <v/>
      </c>
      <c r="C133" s="108" t="str">
        <f t="shared" si="81"/>
        <v/>
      </c>
      <c r="D133" s="3"/>
      <c r="E133" s="3"/>
      <c r="F133" s="3"/>
      <c r="G133" s="20">
        <f>IFERROR(INDEX('Input - Iceland'!F$2:F$200,MATCH('Calculations - Iceland'!$C133,'Input - Iceland'!$B$2:$B$200,0)),"")</f>
        <v>0</v>
      </c>
      <c r="H133" s="20">
        <f>IFERROR(INDEX('Input - Iceland'!G$2:G$200,MATCH('Calculations - Iceland'!$C133,'Input - Iceland'!$B$2:$B$200,0)),"")</f>
        <v>0</v>
      </c>
      <c r="I133" s="21">
        <f>IFERROR(INDEX('Input - Iceland'!H$2:H$200,MATCH('Calculations - Iceland'!$C133,'Input - Iceland'!$B$2:$B$200,0)),"")</f>
        <v>0</v>
      </c>
      <c r="J133" s="21">
        <f>IFERROR(INDEX('Input - Iceland'!I$2:I$200,MATCH('Calculations - Iceland'!$C133,'Input - Iceland'!$B$2:$B$200,0)),"")</f>
        <v>0</v>
      </c>
      <c r="K133" s="20">
        <f>IFERROR(INDEX('Input - Iceland'!J$2:J$200,MATCH('Calculations - Iceland'!$C133,'Input - Iceland'!$B$2:$B$200,0)),"")</f>
        <v>0</v>
      </c>
      <c r="L133" s="20">
        <f>IFERROR(INDEX('Input - Iceland'!K$2:K$200,MATCH('Calculations - Iceland'!$C133,'Input - Iceland'!$B$2:$B$200,0)),"")</f>
        <v>0</v>
      </c>
      <c r="M133" s="21" t="str">
        <f t="shared" si="96"/>
        <v/>
      </c>
      <c r="N133" s="21" t="str">
        <f t="shared" si="82"/>
        <v/>
      </c>
      <c r="O133" s="21">
        <f t="shared" si="97"/>
        <v>0</v>
      </c>
      <c r="P133" s="9">
        <f t="shared" si="111"/>
        <v>0</v>
      </c>
      <c r="Q133" s="9">
        <f t="shared" si="112"/>
        <v>0</v>
      </c>
      <c r="R133" s="22" t="str">
        <f>IFERROR(INDEX(Iceland!$Q$11:$Q$165,MATCH('Calculations - Iceland'!$C133,Iceland!$M$11:$M$165,0)),"")</f>
        <v/>
      </c>
      <c r="S133" s="22" t="str">
        <f>IFERROR(INDEX(Iceland!$R$11:$R$165,MATCH('Calculations - Iceland'!$C133,Iceland!$M$11:$M$165,0)),"")</f>
        <v/>
      </c>
      <c r="T133" s="16" t="e">
        <f t="shared" si="83"/>
        <v>#VALUE!</v>
      </c>
      <c r="U133" s="16" t="e">
        <f t="shared" si="98"/>
        <v>#VALUE!</v>
      </c>
      <c r="V133" s="16" t="e">
        <f t="shared" si="99"/>
        <v>#VALUE!</v>
      </c>
      <c r="W133" s="10" t="str">
        <f t="shared" si="84"/>
        <v>-</v>
      </c>
      <c r="X133" s="10" t="str">
        <f t="shared" si="85"/>
        <v>-</v>
      </c>
      <c r="Y133" s="13" t="str">
        <f t="shared" si="100"/>
        <v>-</v>
      </c>
      <c r="Z133" s="9" t="str">
        <f t="shared" si="86"/>
        <v>-</v>
      </c>
      <c r="AA133" s="16" t="str">
        <f t="shared" si="101"/>
        <v>-</v>
      </c>
      <c r="AB133" s="16" t="str">
        <f t="shared" si="87"/>
        <v>-</v>
      </c>
      <c r="AC133" s="16" t="str">
        <f t="shared" si="88"/>
        <v>-</v>
      </c>
      <c r="AD133" s="16" t="str">
        <f t="shared" si="102"/>
        <v>-</v>
      </c>
      <c r="AE133" s="16"/>
      <c r="AF133" s="31" t="str">
        <f>IFERROR(INDEX(Iceland!$P$11:$P$165,MATCH('Calculations - Iceland'!C133,Iceland!$M$11:$M$165,0)),"")</f>
        <v/>
      </c>
      <c r="AG133" s="23" t="str">
        <f t="shared" si="103"/>
        <v/>
      </c>
      <c r="AH133" s="23" t="str">
        <f t="shared" si="103"/>
        <v/>
      </c>
      <c r="AI133" s="9" t="str">
        <f t="shared" si="89"/>
        <v/>
      </c>
      <c r="AJ133" s="4" t="str">
        <f t="shared" si="90"/>
        <v/>
      </c>
      <c r="AK133" s="4"/>
      <c r="AL133" s="4"/>
      <c r="AM133" s="4"/>
      <c r="AN133" s="4"/>
      <c r="AO133" s="4"/>
      <c r="AP133" s="20" t="str">
        <f t="shared" si="91"/>
        <v>-</v>
      </c>
      <c r="AQ133" s="13" t="str">
        <f t="shared" si="104"/>
        <v>-</v>
      </c>
      <c r="AR133" s="13" t="str">
        <f t="shared" si="105"/>
        <v>-</v>
      </c>
      <c r="AS133" s="13" t="str">
        <f t="shared" si="92"/>
        <v>-</v>
      </c>
      <c r="AT133" s="16" t="str">
        <f t="shared" si="106"/>
        <v>-</v>
      </c>
      <c r="AU133" s="16" t="str">
        <f t="shared" si="93"/>
        <v>-</v>
      </c>
      <c r="AV133" s="16" t="str">
        <f t="shared" si="94"/>
        <v>-</v>
      </c>
      <c r="AW133" s="16" t="str">
        <f t="shared" si="107"/>
        <v>-</v>
      </c>
      <c r="AX133" s="13" t="str">
        <f t="shared" si="108"/>
        <v>-</v>
      </c>
      <c r="AY133" s="10" t="str">
        <f t="shared" si="109"/>
        <v>-</v>
      </c>
      <c r="AZ133" s="9" t="str">
        <f t="shared" si="110"/>
        <v>-</v>
      </c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</row>
    <row r="134" spans="2:68" x14ac:dyDescent="0.3">
      <c r="B134" s="108" t="str">
        <f t="shared" si="95"/>
        <v/>
      </c>
      <c r="C134" s="108" t="str">
        <f t="shared" si="81"/>
        <v/>
      </c>
      <c r="D134" s="3"/>
      <c r="E134" s="3"/>
      <c r="F134" s="3"/>
      <c r="G134" s="20">
        <f>IFERROR(INDEX('Input - Iceland'!F$2:F$200,MATCH('Calculations - Iceland'!$C134,'Input - Iceland'!$B$2:$B$200,0)),"")</f>
        <v>0</v>
      </c>
      <c r="H134" s="20">
        <f>IFERROR(INDEX('Input - Iceland'!G$2:G$200,MATCH('Calculations - Iceland'!$C134,'Input - Iceland'!$B$2:$B$200,0)),"")</f>
        <v>0</v>
      </c>
      <c r="I134" s="21">
        <f>IFERROR(INDEX('Input - Iceland'!H$2:H$200,MATCH('Calculations - Iceland'!$C134,'Input - Iceland'!$B$2:$B$200,0)),"")</f>
        <v>0</v>
      </c>
      <c r="J134" s="21">
        <f>IFERROR(INDEX('Input - Iceland'!I$2:I$200,MATCH('Calculations - Iceland'!$C134,'Input - Iceland'!$B$2:$B$200,0)),"")</f>
        <v>0</v>
      </c>
      <c r="K134" s="20">
        <f>IFERROR(INDEX('Input - Iceland'!J$2:J$200,MATCH('Calculations - Iceland'!$C134,'Input - Iceland'!$B$2:$B$200,0)),"")</f>
        <v>0</v>
      </c>
      <c r="L134" s="20">
        <f>IFERROR(INDEX('Input - Iceland'!K$2:K$200,MATCH('Calculations - Iceland'!$C134,'Input - Iceland'!$B$2:$B$200,0)),"")</f>
        <v>0</v>
      </c>
      <c r="M134" s="21" t="str">
        <f t="shared" si="96"/>
        <v/>
      </c>
      <c r="N134" s="21" t="str">
        <f t="shared" si="82"/>
        <v/>
      </c>
      <c r="O134" s="21">
        <f t="shared" si="97"/>
        <v>0</v>
      </c>
      <c r="P134" s="9">
        <f t="shared" si="111"/>
        <v>0</v>
      </c>
      <c r="Q134" s="9">
        <f t="shared" si="112"/>
        <v>0</v>
      </c>
      <c r="R134" s="22" t="str">
        <f>IFERROR(INDEX(Iceland!$Q$11:$Q$165,MATCH('Calculations - Iceland'!$C134,Iceland!$M$11:$M$165,0)),"")</f>
        <v/>
      </c>
      <c r="S134" s="22" t="str">
        <f>IFERROR(INDEX(Iceland!$R$11:$R$165,MATCH('Calculations - Iceland'!$C134,Iceland!$M$11:$M$165,0)),"")</f>
        <v/>
      </c>
      <c r="T134" s="16" t="e">
        <f t="shared" si="83"/>
        <v>#VALUE!</v>
      </c>
      <c r="U134" s="16" t="e">
        <f t="shared" si="98"/>
        <v>#VALUE!</v>
      </c>
      <c r="V134" s="16" t="e">
        <f t="shared" si="99"/>
        <v>#VALUE!</v>
      </c>
      <c r="W134" s="10" t="str">
        <f t="shared" si="84"/>
        <v>-</v>
      </c>
      <c r="X134" s="10" t="str">
        <f t="shared" si="85"/>
        <v>-</v>
      </c>
      <c r="Y134" s="13" t="str">
        <f t="shared" si="100"/>
        <v>-</v>
      </c>
      <c r="Z134" s="9" t="str">
        <f t="shared" si="86"/>
        <v>-</v>
      </c>
      <c r="AA134" s="16" t="str">
        <f t="shared" si="101"/>
        <v>-</v>
      </c>
      <c r="AB134" s="16" t="str">
        <f t="shared" si="87"/>
        <v>-</v>
      </c>
      <c r="AC134" s="16" t="str">
        <f t="shared" si="88"/>
        <v>-</v>
      </c>
      <c r="AD134" s="16" t="str">
        <f t="shared" si="102"/>
        <v>-</v>
      </c>
      <c r="AE134" s="16"/>
      <c r="AF134" s="31" t="str">
        <f>IFERROR(INDEX(Iceland!$P$11:$P$165,MATCH('Calculations - Iceland'!C134,Iceland!$M$11:$M$165,0)),"")</f>
        <v/>
      </c>
      <c r="AG134" s="23" t="str">
        <f t="shared" si="103"/>
        <v/>
      </c>
      <c r="AH134" s="23" t="str">
        <f t="shared" si="103"/>
        <v/>
      </c>
      <c r="AI134" s="9" t="str">
        <f t="shared" si="89"/>
        <v/>
      </c>
      <c r="AJ134" s="4" t="str">
        <f t="shared" si="90"/>
        <v/>
      </c>
      <c r="AK134" s="4"/>
      <c r="AL134" s="4"/>
      <c r="AM134" s="4"/>
      <c r="AN134" s="4"/>
      <c r="AO134" s="4"/>
      <c r="AP134" s="20" t="str">
        <f t="shared" si="91"/>
        <v>-</v>
      </c>
      <c r="AQ134" s="13" t="str">
        <f t="shared" si="104"/>
        <v>-</v>
      </c>
      <c r="AR134" s="13" t="str">
        <f t="shared" si="105"/>
        <v>-</v>
      </c>
      <c r="AS134" s="13" t="str">
        <f t="shared" si="92"/>
        <v>-</v>
      </c>
      <c r="AT134" s="16" t="str">
        <f t="shared" si="106"/>
        <v>-</v>
      </c>
      <c r="AU134" s="16" t="str">
        <f t="shared" si="93"/>
        <v>-</v>
      </c>
      <c r="AV134" s="16" t="str">
        <f t="shared" si="94"/>
        <v>-</v>
      </c>
      <c r="AW134" s="16" t="str">
        <f t="shared" si="107"/>
        <v>-</v>
      </c>
      <c r="AX134" s="13" t="str">
        <f t="shared" si="108"/>
        <v>-</v>
      </c>
      <c r="AY134" s="10" t="str">
        <f t="shared" si="109"/>
        <v>-</v>
      </c>
      <c r="AZ134" s="9" t="str">
        <f t="shared" si="110"/>
        <v>-</v>
      </c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</row>
    <row r="135" spans="2:68" x14ac:dyDescent="0.3">
      <c r="B135" s="108" t="str">
        <f t="shared" si="95"/>
        <v/>
      </c>
      <c r="C135" s="108" t="str">
        <f t="shared" si="81"/>
        <v/>
      </c>
      <c r="D135" s="3"/>
      <c r="E135" s="3"/>
      <c r="F135" s="3"/>
      <c r="G135" s="20">
        <f>IFERROR(INDEX('Input - Iceland'!F$2:F$200,MATCH('Calculations - Iceland'!$C135,'Input - Iceland'!$B$2:$B$200,0)),"")</f>
        <v>0</v>
      </c>
      <c r="H135" s="20">
        <f>IFERROR(INDEX('Input - Iceland'!G$2:G$200,MATCH('Calculations - Iceland'!$C135,'Input - Iceland'!$B$2:$B$200,0)),"")</f>
        <v>0</v>
      </c>
      <c r="I135" s="21">
        <f>IFERROR(INDEX('Input - Iceland'!H$2:H$200,MATCH('Calculations - Iceland'!$C135,'Input - Iceland'!$B$2:$B$200,0)),"")</f>
        <v>0</v>
      </c>
      <c r="J135" s="21">
        <f>IFERROR(INDEX('Input - Iceland'!I$2:I$200,MATCH('Calculations - Iceland'!$C135,'Input - Iceland'!$B$2:$B$200,0)),"")</f>
        <v>0</v>
      </c>
      <c r="K135" s="20">
        <f>IFERROR(INDEX('Input - Iceland'!J$2:J$200,MATCH('Calculations - Iceland'!$C135,'Input - Iceland'!$B$2:$B$200,0)),"")</f>
        <v>0</v>
      </c>
      <c r="L135" s="20">
        <f>IFERROR(INDEX('Input - Iceland'!K$2:K$200,MATCH('Calculations - Iceland'!$C135,'Input - Iceland'!$B$2:$B$200,0)),"")</f>
        <v>0</v>
      </c>
      <c r="M135" s="21" t="str">
        <f t="shared" si="96"/>
        <v/>
      </c>
      <c r="N135" s="21" t="str">
        <f t="shared" si="82"/>
        <v/>
      </c>
      <c r="O135" s="21">
        <f t="shared" si="97"/>
        <v>0</v>
      </c>
      <c r="P135" s="9">
        <f t="shared" si="111"/>
        <v>0</v>
      </c>
      <c r="Q135" s="9">
        <f t="shared" si="112"/>
        <v>0</v>
      </c>
      <c r="R135" s="22" t="str">
        <f>IFERROR(INDEX(Iceland!$Q$11:$Q$165,MATCH('Calculations - Iceland'!$C135,Iceland!$M$11:$M$165,0)),"")</f>
        <v/>
      </c>
      <c r="S135" s="22" t="str">
        <f>IFERROR(INDEX(Iceland!$R$11:$R$165,MATCH('Calculations - Iceland'!$C135,Iceland!$M$11:$M$165,0)),"")</f>
        <v/>
      </c>
      <c r="T135" s="16" t="e">
        <f t="shared" si="83"/>
        <v>#VALUE!</v>
      </c>
      <c r="U135" s="16" t="e">
        <f t="shared" si="98"/>
        <v>#VALUE!</v>
      </c>
      <c r="V135" s="16" t="e">
        <f t="shared" si="99"/>
        <v>#VALUE!</v>
      </c>
      <c r="W135" s="10" t="str">
        <f t="shared" si="84"/>
        <v>-</v>
      </c>
      <c r="X135" s="10" t="str">
        <f t="shared" si="85"/>
        <v>-</v>
      </c>
      <c r="Y135" s="13" t="str">
        <f t="shared" si="100"/>
        <v>-</v>
      </c>
      <c r="Z135" s="9" t="str">
        <f t="shared" si="86"/>
        <v>-</v>
      </c>
      <c r="AA135" s="16" t="str">
        <f t="shared" si="101"/>
        <v>-</v>
      </c>
      <c r="AB135" s="16" t="str">
        <f t="shared" si="87"/>
        <v>-</v>
      </c>
      <c r="AC135" s="16" t="str">
        <f t="shared" si="88"/>
        <v>-</v>
      </c>
      <c r="AD135" s="16" t="str">
        <f t="shared" si="102"/>
        <v>-</v>
      </c>
      <c r="AE135" s="16"/>
      <c r="AF135" s="31" t="str">
        <f>IFERROR(INDEX(Iceland!$P$11:$P$165,MATCH('Calculations - Iceland'!C135,Iceland!$M$11:$M$165,0)),"")</f>
        <v/>
      </c>
      <c r="AG135" s="23" t="str">
        <f t="shared" si="103"/>
        <v/>
      </c>
      <c r="AH135" s="23" t="str">
        <f t="shared" si="103"/>
        <v/>
      </c>
      <c r="AI135" s="9" t="str">
        <f t="shared" si="89"/>
        <v/>
      </c>
      <c r="AJ135" s="4" t="str">
        <f t="shared" si="90"/>
        <v/>
      </c>
      <c r="AK135" s="4"/>
      <c r="AL135" s="4"/>
      <c r="AM135" s="4"/>
      <c r="AN135" s="4"/>
      <c r="AO135" s="4"/>
      <c r="AP135" s="20" t="str">
        <f t="shared" si="91"/>
        <v>-</v>
      </c>
      <c r="AQ135" s="13" t="str">
        <f t="shared" si="104"/>
        <v>-</v>
      </c>
      <c r="AR135" s="13" t="str">
        <f t="shared" si="105"/>
        <v>-</v>
      </c>
      <c r="AS135" s="13" t="str">
        <f t="shared" si="92"/>
        <v>-</v>
      </c>
      <c r="AT135" s="16" t="str">
        <f t="shared" si="106"/>
        <v>-</v>
      </c>
      <c r="AU135" s="16" t="str">
        <f t="shared" si="93"/>
        <v>-</v>
      </c>
      <c r="AV135" s="16" t="str">
        <f t="shared" si="94"/>
        <v>-</v>
      </c>
      <c r="AW135" s="16" t="str">
        <f t="shared" si="107"/>
        <v>-</v>
      </c>
      <c r="AX135" s="13" t="str">
        <f t="shared" si="108"/>
        <v>-</v>
      </c>
      <c r="AY135" s="10" t="str">
        <f t="shared" si="109"/>
        <v>-</v>
      </c>
      <c r="AZ135" s="9" t="str">
        <f t="shared" si="110"/>
        <v>-</v>
      </c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</row>
    <row r="136" spans="2:68" x14ac:dyDescent="0.3">
      <c r="B136" s="108" t="str">
        <f t="shared" si="95"/>
        <v/>
      </c>
      <c r="C136" s="108" t="str">
        <f t="shared" si="81"/>
        <v/>
      </c>
      <c r="D136" s="3"/>
      <c r="E136" s="3"/>
      <c r="F136" s="3"/>
      <c r="G136" s="20">
        <f>IFERROR(INDEX('Input - Iceland'!F$2:F$200,MATCH('Calculations - Iceland'!$C136,'Input - Iceland'!$B$2:$B$200,0)),"")</f>
        <v>0</v>
      </c>
      <c r="H136" s="20">
        <f>IFERROR(INDEX('Input - Iceland'!G$2:G$200,MATCH('Calculations - Iceland'!$C136,'Input - Iceland'!$B$2:$B$200,0)),"")</f>
        <v>0</v>
      </c>
      <c r="I136" s="21">
        <f>IFERROR(INDEX('Input - Iceland'!H$2:H$200,MATCH('Calculations - Iceland'!$C136,'Input - Iceland'!$B$2:$B$200,0)),"")</f>
        <v>0</v>
      </c>
      <c r="J136" s="21">
        <f>IFERROR(INDEX('Input - Iceland'!I$2:I$200,MATCH('Calculations - Iceland'!$C136,'Input - Iceland'!$B$2:$B$200,0)),"")</f>
        <v>0</v>
      </c>
      <c r="K136" s="20">
        <f>IFERROR(INDEX('Input - Iceland'!J$2:J$200,MATCH('Calculations - Iceland'!$C136,'Input - Iceland'!$B$2:$B$200,0)),"")</f>
        <v>0</v>
      </c>
      <c r="L136" s="20">
        <f>IFERROR(INDEX('Input - Iceland'!K$2:K$200,MATCH('Calculations - Iceland'!$C136,'Input - Iceland'!$B$2:$B$200,0)),"")</f>
        <v>0</v>
      </c>
      <c r="M136" s="21" t="str">
        <f t="shared" si="96"/>
        <v/>
      </c>
      <c r="N136" s="21" t="str">
        <f t="shared" si="82"/>
        <v/>
      </c>
      <c r="O136" s="21">
        <f t="shared" si="97"/>
        <v>0</v>
      </c>
      <c r="P136" s="9">
        <f t="shared" si="111"/>
        <v>0</v>
      </c>
      <c r="Q136" s="9">
        <f t="shared" si="112"/>
        <v>0</v>
      </c>
      <c r="R136" s="22" t="str">
        <f>IFERROR(INDEX(Iceland!$Q$11:$Q$165,MATCH('Calculations - Iceland'!$C136,Iceland!$M$11:$M$165,0)),"")</f>
        <v/>
      </c>
      <c r="S136" s="22" t="str">
        <f>IFERROR(INDEX(Iceland!$R$11:$R$165,MATCH('Calculations - Iceland'!$C136,Iceland!$M$11:$M$165,0)),"")</f>
        <v/>
      </c>
      <c r="T136" s="16" t="e">
        <f t="shared" si="83"/>
        <v>#VALUE!</v>
      </c>
      <c r="U136" s="16" t="e">
        <f t="shared" si="98"/>
        <v>#VALUE!</v>
      </c>
      <c r="V136" s="16" t="e">
        <f t="shared" si="99"/>
        <v>#VALUE!</v>
      </c>
      <c r="W136" s="10" t="str">
        <f t="shared" si="84"/>
        <v>-</v>
      </c>
      <c r="X136" s="10" t="str">
        <f t="shared" si="85"/>
        <v>-</v>
      </c>
      <c r="Y136" s="13" t="str">
        <f t="shared" si="100"/>
        <v>-</v>
      </c>
      <c r="Z136" s="9" t="str">
        <f t="shared" si="86"/>
        <v>-</v>
      </c>
      <c r="AA136" s="16" t="str">
        <f t="shared" si="101"/>
        <v>-</v>
      </c>
      <c r="AB136" s="16" t="str">
        <f t="shared" si="87"/>
        <v>-</v>
      </c>
      <c r="AC136" s="16" t="str">
        <f t="shared" si="88"/>
        <v>-</v>
      </c>
      <c r="AD136" s="16" t="str">
        <f t="shared" si="102"/>
        <v>-</v>
      </c>
      <c r="AE136" s="16"/>
      <c r="AF136" s="31" t="str">
        <f>IFERROR(INDEX(Iceland!$P$11:$P$165,MATCH('Calculations - Iceland'!C136,Iceland!$M$11:$M$165,0)),"")</f>
        <v/>
      </c>
      <c r="AG136" s="23" t="str">
        <f t="shared" si="103"/>
        <v/>
      </c>
      <c r="AH136" s="23" t="str">
        <f t="shared" si="103"/>
        <v/>
      </c>
      <c r="AI136" s="9" t="str">
        <f t="shared" si="89"/>
        <v/>
      </c>
      <c r="AJ136" s="4" t="str">
        <f t="shared" si="90"/>
        <v/>
      </c>
      <c r="AK136" s="4"/>
      <c r="AL136" s="4"/>
      <c r="AM136" s="4"/>
      <c r="AN136" s="4"/>
      <c r="AO136" s="4"/>
      <c r="AP136" s="20" t="str">
        <f t="shared" si="91"/>
        <v>-</v>
      </c>
      <c r="AQ136" s="13" t="str">
        <f t="shared" si="104"/>
        <v>-</v>
      </c>
      <c r="AR136" s="13" t="str">
        <f t="shared" si="105"/>
        <v>-</v>
      </c>
      <c r="AS136" s="13" t="str">
        <f t="shared" si="92"/>
        <v>-</v>
      </c>
      <c r="AT136" s="16" t="str">
        <f t="shared" si="106"/>
        <v>-</v>
      </c>
      <c r="AU136" s="16" t="str">
        <f t="shared" si="93"/>
        <v>-</v>
      </c>
      <c r="AV136" s="16" t="str">
        <f t="shared" si="94"/>
        <v>-</v>
      </c>
      <c r="AW136" s="16" t="str">
        <f t="shared" si="107"/>
        <v>-</v>
      </c>
      <c r="AX136" s="13" t="str">
        <f t="shared" si="108"/>
        <v>-</v>
      </c>
      <c r="AY136" s="10" t="str">
        <f t="shared" si="109"/>
        <v>-</v>
      </c>
      <c r="AZ136" s="9" t="str">
        <f t="shared" si="110"/>
        <v>-</v>
      </c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</row>
    <row r="137" spans="2:68" x14ac:dyDescent="0.3">
      <c r="B137" s="108" t="str">
        <f t="shared" si="95"/>
        <v/>
      </c>
      <c r="C137" s="108" t="str">
        <f t="shared" si="81"/>
        <v/>
      </c>
      <c r="D137" s="3"/>
      <c r="E137" s="3"/>
      <c r="F137" s="3"/>
      <c r="G137" s="20">
        <f>IFERROR(INDEX('Input - Iceland'!F$2:F$200,MATCH('Calculations - Iceland'!$C137,'Input - Iceland'!$B$2:$B$200,0)),"")</f>
        <v>0</v>
      </c>
      <c r="H137" s="20">
        <f>IFERROR(INDEX('Input - Iceland'!G$2:G$200,MATCH('Calculations - Iceland'!$C137,'Input - Iceland'!$B$2:$B$200,0)),"")</f>
        <v>0</v>
      </c>
      <c r="I137" s="21">
        <f>IFERROR(INDEX('Input - Iceland'!H$2:H$200,MATCH('Calculations - Iceland'!$C137,'Input - Iceland'!$B$2:$B$200,0)),"")</f>
        <v>0</v>
      </c>
      <c r="J137" s="21">
        <f>IFERROR(INDEX('Input - Iceland'!I$2:I$200,MATCH('Calculations - Iceland'!$C137,'Input - Iceland'!$B$2:$B$200,0)),"")</f>
        <v>0</v>
      </c>
      <c r="K137" s="20">
        <f>IFERROR(INDEX('Input - Iceland'!J$2:J$200,MATCH('Calculations - Iceland'!$C137,'Input - Iceland'!$B$2:$B$200,0)),"")</f>
        <v>0</v>
      </c>
      <c r="L137" s="20">
        <f>IFERROR(INDEX('Input - Iceland'!K$2:K$200,MATCH('Calculations - Iceland'!$C137,'Input - Iceland'!$B$2:$B$200,0)),"")</f>
        <v>0</v>
      </c>
      <c r="M137" s="21" t="str">
        <f t="shared" si="96"/>
        <v/>
      </c>
      <c r="N137" s="21" t="str">
        <f t="shared" si="82"/>
        <v/>
      </c>
      <c r="O137" s="21">
        <f t="shared" si="97"/>
        <v>0</v>
      </c>
      <c r="P137" s="9">
        <f t="shared" si="111"/>
        <v>0</v>
      </c>
      <c r="Q137" s="9">
        <f t="shared" si="112"/>
        <v>0</v>
      </c>
      <c r="R137" s="22" t="str">
        <f>IFERROR(INDEX(Iceland!$Q$11:$Q$165,MATCH('Calculations - Iceland'!$C137,Iceland!$M$11:$M$165,0)),"")</f>
        <v/>
      </c>
      <c r="S137" s="22" t="str">
        <f>IFERROR(INDEX(Iceland!$R$11:$R$165,MATCH('Calculations - Iceland'!$C137,Iceland!$M$11:$M$165,0)),"")</f>
        <v/>
      </c>
      <c r="T137" s="16" t="e">
        <f t="shared" si="83"/>
        <v>#VALUE!</v>
      </c>
      <c r="U137" s="16" t="e">
        <f t="shared" si="98"/>
        <v>#VALUE!</v>
      </c>
      <c r="V137" s="16" t="e">
        <f t="shared" si="99"/>
        <v>#VALUE!</v>
      </c>
      <c r="W137" s="10" t="str">
        <f t="shared" si="84"/>
        <v>-</v>
      </c>
      <c r="X137" s="10" t="str">
        <f t="shared" si="85"/>
        <v>-</v>
      </c>
      <c r="Y137" s="13" t="str">
        <f t="shared" si="100"/>
        <v>-</v>
      </c>
      <c r="Z137" s="9" t="str">
        <f t="shared" si="86"/>
        <v>-</v>
      </c>
      <c r="AA137" s="16" t="str">
        <f t="shared" si="101"/>
        <v>-</v>
      </c>
      <c r="AB137" s="16" t="str">
        <f t="shared" si="87"/>
        <v>-</v>
      </c>
      <c r="AC137" s="16" t="str">
        <f t="shared" si="88"/>
        <v>-</v>
      </c>
      <c r="AD137" s="16" t="str">
        <f t="shared" si="102"/>
        <v>-</v>
      </c>
      <c r="AE137" s="16"/>
      <c r="AF137" s="31" t="str">
        <f>IFERROR(INDEX(Iceland!$P$11:$P$165,MATCH('Calculations - Iceland'!C137,Iceland!$M$11:$M$165,0)),"")</f>
        <v/>
      </c>
      <c r="AG137" s="23" t="str">
        <f t="shared" si="103"/>
        <v/>
      </c>
      <c r="AH137" s="23" t="str">
        <f t="shared" si="103"/>
        <v/>
      </c>
      <c r="AI137" s="9" t="str">
        <f t="shared" si="89"/>
        <v/>
      </c>
      <c r="AJ137" s="4" t="str">
        <f t="shared" si="90"/>
        <v/>
      </c>
      <c r="AK137" s="4"/>
      <c r="AL137" s="4"/>
      <c r="AM137" s="4"/>
      <c r="AN137" s="4"/>
      <c r="AO137" s="4"/>
      <c r="AP137" s="20" t="str">
        <f t="shared" si="91"/>
        <v>-</v>
      </c>
      <c r="AQ137" s="13" t="str">
        <f t="shared" si="104"/>
        <v>-</v>
      </c>
      <c r="AR137" s="13" t="str">
        <f t="shared" si="105"/>
        <v>-</v>
      </c>
      <c r="AS137" s="13" t="str">
        <f t="shared" si="92"/>
        <v>-</v>
      </c>
      <c r="AT137" s="16" t="str">
        <f t="shared" si="106"/>
        <v>-</v>
      </c>
      <c r="AU137" s="16" t="str">
        <f t="shared" si="93"/>
        <v>-</v>
      </c>
      <c r="AV137" s="16" t="str">
        <f t="shared" si="94"/>
        <v>-</v>
      </c>
      <c r="AW137" s="16" t="str">
        <f t="shared" si="107"/>
        <v>-</v>
      </c>
      <c r="AX137" s="13" t="str">
        <f t="shared" si="108"/>
        <v>-</v>
      </c>
      <c r="AY137" s="10" t="str">
        <f t="shared" si="109"/>
        <v>-</v>
      </c>
      <c r="AZ137" s="9" t="str">
        <f t="shared" si="110"/>
        <v>-</v>
      </c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</row>
    <row r="138" spans="2:68" x14ac:dyDescent="0.3">
      <c r="B138" s="108" t="str">
        <f t="shared" si="95"/>
        <v/>
      </c>
      <c r="C138" s="108" t="str">
        <f t="shared" si="81"/>
        <v/>
      </c>
      <c r="D138" s="3"/>
      <c r="E138" s="3"/>
      <c r="F138" s="3"/>
      <c r="G138" s="20">
        <f>IFERROR(INDEX('Input - Iceland'!F$2:F$200,MATCH('Calculations - Iceland'!$C138,'Input - Iceland'!$B$2:$B$200,0)),"")</f>
        <v>0</v>
      </c>
      <c r="H138" s="20">
        <f>IFERROR(INDEX('Input - Iceland'!G$2:G$200,MATCH('Calculations - Iceland'!$C138,'Input - Iceland'!$B$2:$B$200,0)),"")</f>
        <v>0</v>
      </c>
      <c r="I138" s="21">
        <f>IFERROR(INDEX('Input - Iceland'!H$2:H$200,MATCH('Calculations - Iceland'!$C138,'Input - Iceland'!$B$2:$B$200,0)),"")</f>
        <v>0</v>
      </c>
      <c r="J138" s="21">
        <f>IFERROR(INDEX('Input - Iceland'!I$2:I$200,MATCH('Calculations - Iceland'!$C138,'Input - Iceland'!$B$2:$B$200,0)),"")</f>
        <v>0</v>
      </c>
      <c r="K138" s="20">
        <f>IFERROR(INDEX('Input - Iceland'!J$2:J$200,MATCH('Calculations - Iceland'!$C138,'Input - Iceland'!$B$2:$B$200,0)),"")</f>
        <v>0</v>
      </c>
      <c r="L138" s="20">
        <f>IFERROR(INDEX('Input - Iceland'!K$2:K$200,MATCH('Calculations - Iceland'!$C138,'Input - Iceland'!$B$2:$B$200,0)),"")</f>
        <v>0</v>
      </c>
      <c r="M138" s="21" t="str">
        <f t="shared" si="96"/>
        <v/>
      </c>
      <c r="N138" s="21" t="str">
        <f t="shared" si="82"/>
        <v/>
      </c>
      <c r="O138" s="21">
        <f t="shared" si="97"/>
        <v>0</v>
      </c>
      <c r="P138" s="9">
        <f t="shared" si="111"/>
        <v>0</v>
      </c>
      <c r="Q138" s="9">
        <f t="shared" si="112"/>
        <v>0</v>
      </c>
      <c r="R138" s="22" t="str">
        <f>IFERROR(INDEX(Iceland!$Q$11:$Q$165,MATCH('Calculations - Iceland'!$C138,Iceland!$M$11:$M$165,0)),"")</f>
        <v/>
      </c>
      <c r="S138" s="22" t="str">
        <f>IFERROR(INDEX(Iceland!$R$11:$R$165,MATCH('Calculations - Iceland'!$C138,Iceland!$M$11:$M$165,0)),"")</f>
        <v/>
      </c>
      <c r="T138" s="16" t="e">
        <f t="shared" si="83"/>
        <v>#VALUE!</v>
      </c>
      <c r="U138" s="16" t="e">
        <f t="shared" si="98"/>
        <v>#VALUE!</v>
      </c>
      <c r="V138" s="16" t="e">
        <f t="shared" si="99"/>
        <v>#VALUE!</v>
      </c>
      <c r="W138" s="10" t="str">
        <f t="shared" si="84"/>
        <v>-</v>
      </c>
      <c r="X138" s="10" t="str">
        <f t="shared" si="85"/>
        <v>-</v>
      </c>
      <c r="Y138" s="13" t="str">
        <f t="shared" si="100"/>
        <v>-</v>
      </c>
      <c r="Z138" s="9" t="str">
        <f t="shared" si="86"/>
        <v>-</v>
      </c>
      <c r="AA138" s="16" t="str">
        <f t="shared" si="101"/>
        <v>-</v>
      </c>
      <c r="AB138" s="16" t="str">
        <f t="shared" si="87"/>
        <v>-</v>
      </c>
      <c r="AC138" s="16" t="str">
        <f t="shared" si="88"/>
        <v>-</v>
      </c>
      <c r="AD138" s="16" t="str">
        <f t="shared" si="102"/>
        <v>-</v>
      </c>
      <c r="AE138" s="16"/>
      <c r="AF138" s="31" t="str">
        <f>IFERROR(INDEX(Iceland!$P$11:$P$165,MATCH('Calculations - Iceland'!C138,Iceland!$M$11:$M$165,0)),"")</f>
        <v/>
      </c>
      <c r="AG138" s="23" t="str">
        <f t="shared" si="103"/>
        <v/>
      </c>
      <c r="AH138" s="23" t="str">
        <f t="shared" si="103"/>
        <v/>
      </c>
      <c r="AI138" s="9" t="str">
        <f t="shared" si="89"/>
        <v/>
      </c>
      <c r="AJ138" s="4" t="str">
        <f t="shared" si="90"/>
        <v/>
      </c>
      <c r="AK138" s="4"/>
      <c r="AL138" s="4"/>
      <c r="AM138" s="4"/>
      <c r="AN138" s="4"/>
      <c r="AO138" s="4"/>
      <c r="AP138" s="20" t="str">
        <f t="shared" si="91"/>
        <v>-</v>
      </c>
      <c r="AQ138" s="13" t="str">
        <f t="shared" si="104"/>
        <v>-</v>
      </c>
      <c r="AR138" s="13" t="str">
        <f t="shared" si="105"/>
        <v>-</v>
      </c>
      <c r="AS138" s="13" t="str">
        <f t="shared" si="92"/>
        <v>-</v>
      </c>
      <c r="AT138" s="16" t="str">
        <f t="shared" si="106"/>
        <v>-</v>
      </c>
      <c r="AU138" s="16" t="str">
        <f t="shared" si="93"/>
        <v>-</v>
      </c>
      <c r="AV138" s="16" t="str">
        <f t="shared" si="94"/>
        <v>-</v>
      </c>
      <c r="AW138" s="16" t="str">
        <f t="shared" si="107"/>
        <v>-</v>
      </c>
      <c r="AX138" s="13" t="str">
        <f t="shared" si="108"/>
        <v>-</v>
      </c>
      <c r="AY138" s="10" t="str">
        <f t="shared" si="109"/>
        <v>-</v>
      </c>
      <c r="AZ138" s="9" t="str">
        <f t="shared" si="110"/>
        <v>-</v>
      </c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</row>
    <row r="139" spans="2:68" x14ac:dyDescent="0.3">
      <c r="B139" s="108" t="str">
        <f t="shared" si="95"/>
        <v/>
      </c>
      <c r="C139" s="108" t="str">
        <f t="shared" si="81"/>
        <v/>
      </c>
      <c r="D139" s="3"/>
      <c r="E139" s="3"/>
      <c r="F139" s="3"/>
      <c r="G139" s="20">
        <f>IFERROR(INDEX('Input - Iceland'!F$2:F$200,MATCH('Calculations - Iceland'!$C139,'Input - Iceland'!$B$2:$B$200,0)),"")</f>
        <v>0</v>
      </c>
      <c r="H139" s="20">
        <f>IFERROR(INDEX('Input - Iceland'!G$2:G$200,MATCH('Calculations - Iceland'!$C139,'Input - Iceland'!$B$2:$B$200,0)),"")</f>
        <v>0</v>
      </c>
      <c r="I139" s="21">
        <f>IFERROR(INDEX('Input - Iceland'!H$2:H$200,MATCH('Calculations - Iceland'!$C139,'Input - Iceland'!$B$2:$B$200,0)),"")</f>
        <v>0</v>
      </c>
      <c r="J139" s="21">
        <f>IFERROR(INDEX('Input - Iceland'!I$2:I$200,MATCH('Calculations - Iceland'!$C139,'Input - Iceland'!$B$2:$B$200,0)),"")</f>
        <v>0</v>
      </c>
      <c r="K139" s="20">
        <f>IFERROR(INDEX('Input - Iceland'!J$2:J$200,MATCH('Calculations - Iceland'!$C139,'Input - Iceland'!$B$2:$B$200,0)),"")</f>
        <v>0</v>
      </c>
      <c r="L139" s="20">
        <f>IFERROR(INDEX('Input - Iceland'!K$2:K$200,MATCH('Calculations - Iceland'!$C139,'Input - Iceland'!$B$2:$B$200,0)),"")</f>
        <v>0</v>
      </c>
      <c r="M139" s="21" t="str">
        <f t="shared" si="96"/>
        <v/>
      </c>
      <c r="N139" s="21" t="str">
        <f t="shared" si="82"/>
        <v/>
      </c>
      <c r="O139" s="21">
        <f t="shared" si="97"/>
        <v>0</v>
      </c>
      <c r="P139" s="9">
        <f t="shared" si="111"/>
        <v>0</v>
      </c>
      <c r="Q139" s="9">
        <f t="shared" si="112"/>
        <v>0</v>
      </c>
      <c r="R139" s="22" t="str">
        <f>IFERROR(INDEX(Iceland!$Q$11:$Q$165,MATCH('Calculations - Iceland'!$C139,Iceland!$M$11:$M$165,0)),"")</f>
        <v/>
      </c>
      <c r="S139" s="22" t="str">
        <f>IFERROR(INDEX(Iceland!$R$11:$R$165,MATCH('Calculations - Iceland'!$C139,Iceland!$M$11:$M$165,0)),"")</f>
        <v/>
      </c>
      <c r="T139" s="16" t="e">
        <f t="shared" si="83"/>
        <v>#VALUE!</v>
      </c>
      <c r="U139" s="16" t="e">
        <f t="shared" si="98"/>
        <v>#VALUE!</v>
      </c>
      <c r="V139" s="16" t="e">
        <f t="shared" si="99"/>
        <v>#VALUE!</v>
      </c>
      <c r="W139" s="10" t="str">
        <f t="shared" si="84"/>
        <v>-</v>
      </c>
      <c r="X139" s="10" t="str">
        <f t="shared" si="85"/>
        <v>-</v>
      </c>
      <c r="Y139" s="13" t="str">
        <f t="shared" si="100"/>
        <v>-</v>
      </c>
      <c r="Z139" s="9" t="str">
        <f t="shared" si="86"/>
        <v>-</v>
      </c>
      <c r="AA139" s="16" t="str">
        <f t="shared" si="101"/>
        <v>-</v>
      </c>
      <c r="AB139" s="16" t="str">
        <f t="shared" si="87"/>
        <v>-</v>
      </c>
      <c r="AC139" s="16" t="str">
        <f t="shared" si="88"/>
        <v>-</v>
      </c>
      <c r="AD139" s="16" t="str">
        <f t="shared" si="102"/>
        <v>-</v>
      </c>
      <c r="AE139" s="16"/>
      <c r="AF139" s="31" t="str">
        <f>IFERROR(INDEX(Iceland!$P$11:$P$165,MATCH('Calculations - Iceland'!C139,Iceland!$M$11:$M$165,0)),"")</f>
        <v/>
      </c>
      <c r="AG139" s="23" t="str">
        <f t="shared" si="103"/>
        <v/>
      </c>
      <c r="AH139" s="23" t="str">
        <f t="shared" si="103"/>
        <v/>
      </c>
      <c r="AI139" s="9" t="str">
        <f t="shared" si="89"/>
        <v/>
      </c>
      <c r="AJ139" s="4" t="str">
        <f t="shared" si="90"/>
        <v/>
      </c>
      <c r="AK139" s="4"/>
      <c r="AL139" s="4"/>
      <c r="AM139" s="4"/>
      <c r="AN139" s="4"/>
      <c r="AO139" s="4"/>
      <c r="AP139" s="20" t="str">
        <f t="shared" si="91"/>
        <v>-</v>
      </c>
      <c r="AQ139" s="13" t="str">
        <f t="shared" si="104"/>
        <v>-</v>
      </c>
      <c r="AR139" s="13" t="str">
        <f t="shared" si="105"/>
        <v>-</v>
      </c>
      <c r="AS139" s="13" t="str">
        <f t="shared" si="92"/>
        <v>-</v>
      </c>
      <c r="AT139" s="16" t="str">
        <f t="shared" si="106"/>
        <v>-</v>
      </c>
      <c r="AU139" s="16" t="str">
        <f t="shared" si="93"/>
        <v>-</v>
      </c>
      <c r="AV139" s="16" t="str">
        <f t="shared" si="94"/>
        <v>-</v>
      </c>
      <c r="AW139" s="16" t="str">
        <f t="shared" si="107"/>
        <v>-</v>
      </c>
      <c r="AX139" s="13" t="str">
        <f t="shared" si="108"/>
        <v>-</v>
      </c>
      <c r="AY139" s="10" t="str">
        <f t="shared" si="109"/>
        <v>-</v>
      </c>
      <c r="AZ139" s="9" t="str">
        <f t="shared" si="110"/>
        <v>-</v>
      </c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</row>
    <row r="140" spans="2:68" x14ac:dyDescent="0.3">
      <c r="B140" s="108" t="str">
        <f t="shared" si="95"/>
        <v/>
      </c>
      <c r="C140" s="108" t="str">
        <f t="shared" si="81"/>
        <v/>
      </c>
      <c r="D140" s="3"/>
      <c r="E140" s="3"/>
      <c r="F140" s="3"/>
      <c r="G140" s="20">
        <f>IFERROR(INDEX('Input - Iceland'!F$2:F$200,MATCH('Calculations - Iceland'!$C140,'Input - Iceland'!$B$2:$B$200,0)),"")</f>
        <v>0</v>
      </c>
      <c r="H140" s="20">
        <f>IFERROR(INDEX('Input - Iceland'!G$2:G$200,MATCH('Calculations - Iceland'!$C140,'Input - Iceland'!$B$2:$B$200,0)),"")</f>
        <v>0</v>
      </c>
      <c r="I140" s="21">
        <f>IFERROR(INDEX('Input - Iceland'!H$2:H$200,MATCH('Calculations - Iceland'!$C140,'Input - Iceland'!$B$2:$B$200,0)),"")</f>
        <v>0</v>
      </c>
      <c r="J140" s="21">
        <f>IFERROR(INDEX('Input - Iceland'!I$2:I$200,MATCH('Calculations - Iceland'!$C140,'Input - Iceland'!$B$2:$B$200,0)),"")</f>
        <v>0</v>
      </c>
      <c r="K140" s="20">
        <f>IFERROR(INDEX('Input - Iceland'!J$2:J$200,MATCH('Calculations - Iceland'!$C140,'Input - Iceland'!$B$2:$B$200,0)),"")</f>
        <v>0</v>
      </c>
      <c r="L140" s="20">
        <f>IFERROR(INDEX('Input - Iceland'!K$2:K$200,MATCH('Calculations - Iceland'!$C140,'Input - Iceland'!$B$2:$B$200,0)),"")</f>
        <v>0</v>
      </c>
      <c r="M140" s="21" t="str">
        <f t="shared" si="96"/>
        <v/>
      </c>
      <c r="N140" s="21" t="str">
        <f t="shared" si="82"/>
        <v/>
      </c>
      <c r="O140" s="21">
        <f t="shared" si="97"/>
        <v>0</v>
      </c>
      <c r="P140" s="9">
        <f t="shared" si="111"/>
        <v>0</v>
      </c>
      <c r="Q140" s="9">
        <f t="shared" si="112"/>
        <v>0</v>
      </c>
      <c r="R140" s="22" t="str">
        <f>IFERROR(INDEX(Iceland!$Q$11:$Q$165,MATCH('Calculations - Iceland'!$C140,Iceland!$M$11:$M$165,0)),"")</f>
        <v/>
      </c>
      <c r="S140" s="22" t="str">
        <f>IFERROR(INDEX(Iceland!$R$11:$R$165,MATCH('Calculations - Iceland'!$C140,Iceland!$M$11:$M$165,0)),"")</f>
        <v/>
      </c>
      <c r="T140" s="16" t="e">
        <f t="shared" si="83"/>
        <v>#VALUE!</v>
      </c>
      <c r="U140" s="16" t="e">
        <f t="shared" si="98"/>
        <v>#VALUE!</v>
      </c>
      <c r="V140" s="16" t="e">
        <f t="shared" si="99"/>
        <v>#VALUE!</v>
      </c>
      <c r="W140" s="10" t="str">
        <f t="shared" si="84"/>
        <v>-</v>
      </c>
      <c r="X140" s="10" t="str">
        <f t="shared" si="85"/>
        <v>-</v>
      </c>
      <c r="Y140" s="13" t="str">
        <f t="shared" si="100"/>
        <v>-</v>
      </c>
      <c r="Z140" s="9" t="str">
        <f t="shared" si="86"/>
        <v>-</v>
      </c>
      <c r="AA140" s="16" t="str">
        <f t="shared" si="101"/>
        <v>-</v>
      </c>
      <c r="AB140" s="16" t="str">
        <f t="shared" si="87"/>
        <v>-</v>
      </c>
      <c r="AC140" s="16" t="str">
        <f t="shared" si="88"/>
        <v>-</v>
      </c>
      <c r="AD140" s="16" t="str">
        <f t="shared" si="102"/>
        <v>-</v>
      </c>
      <c r="AE140" s="16"/>
      <c r="AF140" s="31" t="str">
        <f>IFERROR(INDEX(Iceland!$P$11:$P$165,MATCH('Calculations - Iceland'!C140,Iceland!$M$11:$M$165,0)),"")</f>
        <v/>
      </c>
      <c r="AG140" s="23" t="str">
        <f t="shared" si="103"/>
        <v/>
      </c>
      <c r="AH140" s="23" t="str">
        <f t="shared" si="103"/>
        <v/>
      </c>
      <c r="AI140" s="9" t="str">
        <f t="shared" si="89"/>
        <v/>
      </c>
      <c r="AJ140" s="4" t="str">
        <f t="shared" si="90"/>
        <v/>
      </c>
      <c r="AK140" s="4"/>
      <c r="AL140" s="4"/>
      <c r="AM140" s="4"/>
      <c r="AN140" s="4"/>
      <c r="AO140" s="4"/>
      <c r="AP140" s="20" t="str">
        <f t="shared" si="91"/>
        <v>-</v>
      </c>
      <c r="AQ140" s="13" t="str">
        <f t="shared" si="104"/>
        <v>-</v>
      </c>
      <c r="AR140" s="13" t="str">
        <f t="shared" si="105"/>
        <v>-</v>
      </c>
      <c r="AS140" s="13" t="str">
        <f t="shared" si="92"/>
        <v>-</v>
      </c>
      <c r="AT140" s="16" t="str">
        <f t="shared" si="106"/>
        <v>-</v>
      </c>
      <c r="AU140" s="16" t="str">
        <f t="shared" si="93"/>
        <v>-</v>
      </c>
      <c r="AV140" s="16" t="str">
        <f t="shared" si="94"/>
        <v>-</v>
      </c>
      <c r="AW140" s="16" t="str">
        <f t="shared" si="107"/>
        <v>-</v>
      </c>
      <c r="AX140" s="13" t="str">
        <f t="shared" si="108"/>
        <v>-</v>
      </c>
      <c r="AY140" s="10" t="str">
        <f t="shared" si="109"/>
        <v>-</v>
      </c>
      <c r="AZ140" s="9" t="str">
        <f t="shared" si="110"/>
        <v>-</v>
      </c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</row>
    <row r="141" spans="2:68" x14ac:dyDescent="0.3">
      <c r="B141" s="108" t="str">
        <f t="shared" si="95"/>
        <v/>
      </c>
      <c r="C141" s="108" t="str">
        <f t="shared" si="81"/>
        <v/>
      </c>
      <c r="D141" s="3"/>
      <c r="E141" s="3"/>
      <c r="F141" s="3"/>
      <c r="G141" s="20">
        <f>IFERROR(INDEX('Input - Iceland'!F$2:F$200,MATCH('Calculations - Iceland'!$C141,'Input - Iceland'!$B$2:$B$200,0)),"")</f>
        <v>0</v>
      </c>
      <c r="H141" s="20">
        <f>IFERROR(INDEX('Input - Iceland'!G$2:G$200,MATCH('Calculations - Iceland'!$C141,'Input - Iceland'!$B$2:$B$200,0)),"")</f>
        <v>0</v>
      </c>
      <c r="I141" s="21">
        <f>IFERROR(INDEX('Input - Iceland'!H$2:H$200,MATCH('Calculations - Iceland'!$C141,'Input - Iceland'!$B$2:$B$200,0)),"")</f>
        <v>0</v>
      </c>
      <c r="J141" s="21">
        <f>IFERROR(INDEX('Input - Iceland'!I$2:I$200,MATCH('Calculations - Iceland'!$C141,'Input - Iceland'!$B$2:$B$200,0)),"")</f>
        <v>0</v>
      </c>
      <c r="K141" s="20">
        <f>IFERROR(INDEX('Input - Iceland'!J$2:J$200,MATCH('Calculations - Iceland'!$C141,'Input - Iceland'!$B$2:$B$200,0)),"")</f>
        <v>0</v>
      </c>
      <c r="L141" s="20">
        <f>IFERROR(INDEX('Input - Iceland'!K$2:K$200,MATCH('Calculations - Iceland'!$C141,'Input - Iceland'!$B$2:$B$200,0)),"")</f>
        <v>0</v>
      </c>
      <c r="M141" s="21" t="str">
        <f t="shared" si="96"/>
        <v/>
      </c>
      <c r="N141" s="21" t="str">
        <f t="shared" si="82"/>
        <v/>
      </c>
      <c r="O141" s="21">
        <f t="shared" si="97"/>
        <v>0</v>
      </c>
      <c r="P141" s="9">
        <f t="shared" si="111"/>
        <v>0</v>
      </c>
      <c r="Q141" s="9">
        <f t="shared" si="112"/>
        <v>0</v>
      </c>
      <c r="R141" s="22" t="str">
        <f>IFERROR(INDEX(Iceland!$Q$11:$Q$165,MATCH('Calculations - Iceland'!$C141,Iceland!$M$11:$M$165,0)),"")</f>
        <v/>
      </c>
      <c r="S141" s="22" t="str">
        <f>IFERROR(INDEX(Iceland!$R$11:$R$165,MATCH('Calculations - Iceland'!$C141,Iceland!$M$11:$M$165,0)),"")</f>
        <v/>
      </c>
      <c r="T141" s="16" t="e">
        <f t="shared" si="83"/>
        <v>#VALUE!</v>
      </c>
      <c r="U141" s="16" t="e">
        <f t="shared" si="98"/>
        <v>#VALUE!</v>
      </c>
      <c r="V141" s="16" t="e">
        <f t="shared" si="99"/>
        <v>#VALUE!</v>
      </c>
      <c r="W141" s="10" t="str">
        <f t="shared" si="84"/>
        <v>-</v>
      </c>
      <c r="X141" s="10" t="str">
        <f t="shared" si="85"/>
        <v>-</v>
      </c>
      <c r="Y141" s="13" t="str">
        <f t="shared" si="100"/>
        <v>-</v>
      </c>
      <c r="Z141" s="9" t="str">
        <f t="shared" si="86"/>
        <v>-</v>
      </c>
      <c r="AA141" s="16" t="str">
        <f t="shared" si="101"/>
        <v>-</v>
      </c>
      <c r="AB141" s="16" t="str">
        <f t="shared" si="87"/>
        <v>-</v>
      </c>
      <c r="AC141" s="16" t="str">
        <f t="shared" si="88"/>
        <v>-</v>
      </c>
      <c r="AD141" s="16" t="str">
        <f t="shared" si="102"/>
        <v>-</v>
      </c>
      <c r="AE141" s="16"/>
      <c r="AF141" s="31" t="str">
        <f>IFERROR(INDEX(Iceland!$P$11:$P$165,MATCH('Calculations - Iceland'!C141,Iceland!$M$11:$M$165,0)),"")</f>
        <v/>
      </c>
      <c r="AG141" s="23" t="str">
        <f t="shared" si="103"/>
        <v/>
      </c>
      <c r="AH141" s="23" t="str">
        <f t="shared" si="103"/>
        <v/>
      </c>
      <c r="AI141" s="9" t="str">
        <f t="shared" si="89"/>
        <v/>
      </c>
      <c r="AJ141" s="4" t="str">
        <f t="shared" si="90"/>
        <v/>
      </c>
      <c r="AK141" s="4"/>
      <c r="AL141" s="4"/>
      <c r="AM141" s="4"/>
      <c r="AN141" s="4"/>
      <c r="AO141" s="4"/>
      <c r="AP141" s="20" t="str">
        <f t="shared" si="91"/>
        <v>-</v>
      </c>
      <c r="AQ141" s="13" t="str">
        <f t="shared" si="104"/>
        <v>-</v>
      </c>
      <c r="AR141" s="13" t="str">
        <f t="shared" si="105"/>
        <v>-</v>
      </c>
      <c r="AS141" s="13" t="str">
        <f t="shared" si="92"/>
        <v>-</v>
      </c>
      <c r="AT141" s="16" t="str">
        <f t="shared" si="106"/>
        <v>-</v>
      </c>
      <c r="AU141" s="16" t="str">
        <f t="shared" si="93"/>
        <v>-</v>
      </c>
      <c r="AV141" s="16" t="str">
        <f t="shared" si="94"/>
        <v>-</v>
      </c>
      <c r="AW141" s="16" t="str">
        <f t="shared" si="107"/>
        <v>-</v>
      </c>
      <c r="AX141" s="13" t="str">
        <f t="shared" si="108"/>
        <v>-</v>
      </c>
      <c r="AY141" s="10" t="str">
        <f t="shared" si="109"/>
        <v>-</v>
      </c>
      <c r="AZ141" s="9" t="str">
        <f t="shared" si="110"/>
        <v>-</v>
      </c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</row>
    <row r="142" spans="2:68" x14ac:dyDescent="0.3">
      <c r="B142" s="108" t="str">
        <f t="shared" si="95"/>
        <v/>
      </c>
      <c r="C142" s="108" t="str">
        <f t="shared" si="81"/>
        <v/>
      </c>
      <c r="D142" s="3"/>
      <c r="E142" s="3"/>
      <c r="F142" s="3"/>
      <c r="G142" s="20">
        <f>IFERROR(INDEX('Input - Iceland'!F$2:F$200,MATCH('Calculations - Iceland'!$C142,'Input - Iceland'!$B$2:$B$200,0)),"")</f>
        <v>0</v>
      </c>
      <c r="H142" s="20">
        <f>IFERROR(INDEX('Input - Iceland'!G$2:G$200,MATCH('Calculations - Iceland'!$C142,'Input - Iceland'!$B$2:$B$200,0)),"")</f>
        <v>0</v>
      </c>
      <c r="I142" s="21">
        <f>IFERROR(INDEX('Input - Iceland'!H$2:H$200,MATCH('Calculations - Iceland'!$C142,'Input - Iceland'!$B$2:$B$200,0)),"")</f>
        <v>0</v>
      </c>
      <c r="J142" s="21">
        <f>IFERROR(INDEX('Input - Iceland'!I$2:I$200,MATCH('Calculations - Iceland'!$C142,'Input - Iceland'!$B$2:$B$200,0)),"")</f>
        <v>0</v>
      </c>
      <c r="K142" s="20">
        <f>IFERROR(INDEX('Input - Iceland'!J$2:J$200,MATCH('Calculations - Iceland'!$C142,'Input - Iceland'!$B$2:$B$200,0)),"")</f>
        <v>0</v>
      </c>
      <c r="L142" s="20">
        <f>IFERROR(INDEX('Input - Iceland'!K$2:K$200,MATCH('Calculations - Iceland'!$C142,'Input - Iceland'!$B$2:$B$200,0)),"")</f>
        <v>0</v>
      </c>
      <c r="M142" s="21" t="str">
        <f t="shared" si="96"/>
        <v/>
      </c>
      <c r="N142" s="21" t="str">
        <f t="shared" si="82"/>
        <v/>
      </c>
      <c r="O142" s="21">
        <f t="shared" si="97"/>
        <v>0</v>
      </c>
      <c r="P142" s="9">
        <f t="shared" si="111"/>
        <v>0</v>
      </c>
      <c r="Q142" s="9">
        <f t="shared" si="112"/>
        <v>0</v>
      </c>
      <c r="R142" s="22" t="str">
        <f>IFERROR(INDEX(Iceland!$Q$11:$Q$165,MATCH('Calculations - Iceland'!$C142,Iceland!$M$11:$M$165,0)),"")</f>
        <v/>
      </c>
      <c r="S142" s="22" t="str">
        <f>IFERROR(INDEX(Iceland!$R$11:$R$165,MATCH('Calculations - Iceland'!$C142,Iceland!$M$11:$M$165,0)),"")</f>
        <v/>
      </c>
      <c r="T142" s="16" t="e">
        <f t="shared" si="83"/>
        <v>#VALUE!</v>
      </c>
      <c r="U142" s="16" t="e">
        <f t="shared" si="98"/>
        <v>#VALUE!</v>
      </c>
      <c r="V142" s="16" t="e">
        <f t="shared" si="99"/>
        <v>#VALUE!</v>
      </c>
      <c r="W142" s="10" t="str">
        <f t="shared" si="84"/>
        <v>-</v>
      </c>
      <c r="X142" s="10" t="str">
        <f t="shared" si="85"/>
        <v>-</v>
      </c>
      <c r="Y142" s="13" t="str">
        <f t="shared" si="100"/>
        <v>-</v>
      </c>
      <c r="Z142" s="9" t="str">
        <f t="shared" si="86"/>
        <v>-</v>
      </c>
      <c r="AA142" s="16" t="str">
        <f t="shared" si="101"/>
        <v>-</v>
      </c>
      <c r="AB142" s="16" t="str">
        <f t="shared" si="87"/>
        <v>-</v>
      </c>
      <c r="AC142" s="16" t="str">
        <f t="shared" si="88"/>
        <v>-</v>
      </c>
      <c r="AD142" s="16" t="str">
        <f t="shared" si="102"/>
        <v>-</v>
      </c>
      <c r="AE142" s="16"/>
      <c r="AF142" s="31" t="str">
        <f>IFERROR(INDEX(Iceland!$P$11:$P$165,MATCH('Calculations - Iceland'!C142,Iceland!$M$11:$M$165,0)),"")</f>
        <v/>
      </c>
      <c r="AG142" s="23" t="str">
        <f t="shared" si="103"/>
        <v/>
      </c>
      <c r="AH142" s="23" t="str">
        <f t="shared" si="103"/>
        <v/>
      </c>
      <c r="AI142" s="9" t="str">
        <f t="shared" si="89"/>
        <v/>
      </c>
      <c r="AJ142" s="4" t="str">
        <f t="shared" si="90"/>
        <v/>
      </c>
      <c r="AK142" s="4"/>
      <c r="AL142" s="4"/>
      <c r="AM142" s="4"/>
      <c r="AN142" s="4"/>
      <c r="AO142" s="4"/>
      <c r="AP142" s="20" t="str">
        <f t="shared" si="91"/>
        <v>-</v>
      </c>
      <c r="AQ142" s="13" t="str">
        <f t="shared" si="104"/>
        <v>-</v>
      </c>
      <c r="AR142" s="13" t="str">
        <f t="shared" si="105"/>
        <v>-</v>
      </c>
      <c r="AS142" s="13" t="str">
        <f t="shared" si="92"/>
        <v>-</v>
      </c>
      <c r="AT142" s="16" t="str">
        <f t="shared" si="106"/>
        <v>-</v>
      </c>
      <c r="AU142" s="16" t="str">
        <f t="shared" si="93"/>
        <v>-</v>
      </c>
      <c r="AV142" s="16" t="str">
        <f t="shared" si="94"/>
        <v>-</v>
      </c>
      <c r="AW142" s="16" t="str">
        <f t="shared" si="107"/>
        <v>-</v>
      </c>
      <c r="AX142" s="13" t="str">
        <f t="shared" si="108"/>
        <v>-</v>
      </c>
      <c r="AY142" s="10" t="str">
        <f t="shared" si="109"/>
        <v>-</v>
      </c>
      <c r="AZ142" s="9" t="str">
        <f t="shared" si="110"/>
        <v>-</v>
      </c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</row>
    <row r="143" spans="2:68" x14ac:dyDescent="0.3">
      <c r="B143" s="108" t="str">
        <f t="shared" si="95"/>
        <v/>
      </c>
      <c r="C143" s="108" t="str">
        <f t="shared" si="81"/>
        <v/>
      </c>
      <c r="D143" s="3"/>
      <c r="E143" s="3"/>
      <c r="F143" s="3"/>
      <c r="G143" s="20">
        <f>IFERROR(INDEX('Input - Iceland'!F$2:F$200,MATCH('Calculations - Iceland'!$C143,'Input - Iceland'!$B$2:$B$200,0)),"")</f>
        <v>0</v>
      </c>
      <c r="H143" s="20">
        <f>IFERROR(INDEX('Input - Iceland'!G$2:G$200,MATCH('Calculations - Iceland'!$C143,'Input - Iceland'!$B$2:$B$200,0)),"")</f>
        <v>0</v>
      </c>
      <c r="I143" s="21">
        <f>IFERROR(INDEX('Input - Iceland'!H$2:H$200,MATCH('Calculations - Iceland'!$C143,'Input - Iceland'!$B$2:$B$200,0)),"")</f>
        <v>0</v>
      </c>
      <c r="J143" s="21">
        <f>IFERROR(INDEX('Input - Iceland'!I$2:I$200,MATCH('Calculations - Iceland'!$C143,'Input - Iceland'!$B$2:$B$200,0)),"")</f>
        <v>0</v>
      </c>
      <c r="K143" s="20">
        <f>IFERROR(INDEX('Input - Iceland'!J$2:J$200,MATCH('Calculations - Iceland'!$C143,'Input - Iceland'!$B$2:$B$200,0)),"")</f>
        <v>0</v>
      </c>
      <c r="L143" s="20">
        <f>IFERROR(INDEX('Input - Iceland'!K$2:K$200,MATCH('Calculations - Iceland'!$C143,'Input - Iceland'!$B$2:$B$200,0)),"")</f>
        <v>0</v>
      </c>
      <c r="M143" s="21" t="str">
        <f t="shared" si="96"/>
        <v/>
      </c>
      <c r="N143" s="21" t="str">
        <f t="shared" si="82"/>
        <v/>
      </c>
      <c r="O143" s="21">
        <f t="shared" si="97"/>
        <v>0</v>
      </c>
      <c r="P143" s="9">
        <f t="shared" si="111"/>
        <v>0</v>
      </c>
      <c r="Q143" s="9">
        <f t="shared" si="112"/>
        <v>0</v>
      </c>
      <c r="R143" s="22" t="str">
        <f>IFERROR(INDEX(Iceland!$Q$11:$Q$165,MATCH('Calculations - Iceland'!$C143,Iceland!$M$11:$M$165,0)),"")</f>
        <v/>
      </c>
      <c r="S143" s="22" t="str">
        <f>IFERROR(INDEX(Iceland!$R$11:$R$165,MATCH('Calculations - Iceland'!$C143,Iceland!$M$11:$M$165,0)),"")</f>
        <v/>
      </c>
      <c r="T143" s="16" t="e">
        <f t="shared" si="83"/>
        <v>#VALUE!</v>
      </c>
      <c r="U143" s="16" t="e">
        <f t="shared" si="98"/>
        <v>#VALUE!</v>
      </c>
      <c r="V143" s="16" t="e">
        <f t="shared" si="99"/>
        <v>#VALUE!</v>
      </c>
      <c r="W143" s="10" t="str">
        <f t="shared" si="84"/>
        <v>-</v>
      </c>
      <c r="X143" s="10" t="str">
        <f t="shared" si="85"/>
        <v>-</v>
      </c>
      <c r="Y143" s="13" t="str">
        <f t="shared" si="100"/>
        <v>-</v>
      </c>
      <c r="Z143" s="9" t="str">
        <f t="shared" si="86"/>
        <v>-</v>
      </c>
      <c r="AA143" s="16" t="str">
        <f t="shared" si="101"/>
        <v>-</v>
      </c>
      <c r="AB143" s="16" t="str">
        <f t="shared" si="87"/>
        <v>-</v>
      </c>
      <c r="AC143" s="16" t="str">
        <f t="shared" si="88"/>
        <v>-</v>
      </c>
      <c r="AD143" s="16" t="str">
        <f t="shared" si="102"/>
        <v>-</v>
      </c>
      <c r="AE143" s="16"/>
      <c r="AF143" s="31" t="str">
        <f>IFERROR(INDEX(Iceland!$P$11:$P$165,MATCH('Calculations - Iceland'!C143,Iceland!$M$11:$M$165,0)),"")</f>
        <v/>
      </c>
      <c r="AG143" s="23" t="str">
        <f t="shared" si="103"/>
        <v/>
      </c>
      <c r="AH143" s="23" t="str">
        <f t="shared" si="103"/>
        <v/>
      </c>
      <c r="AI143" s="9" t="str">
        <f t="shared" si="89"/>
        <v/>
      </c>
      <c r="AJ143" s="4" t="str">
        <f t="shared" si="90"/>
        <v/>
      </c>
      <c r="AK143" s="4"/>
      <c r="AL143" s="4"/>
      <c r="AM143" s="4"/>
      <c r="AN143" s="4"/>
      <c r="AO143" s="4"/>
      <c r="AP143" s="20" t="str">
        <f t="shared" si="91"/>
        <v>-</v>
      </c>
      <c r="AQ143" s="13" t="str">
        <f t="shared" si="104"/>
        <v>-</v>
      </c>
      <c r="AR143" s="13" t="str">
        <f t="shared" si="105"/>
        <v>-</v>
      </c>
      <c r="AS143" s="13" t="str">
        <f t="shared" si="92"/>
        <v>-</v>
      </c>
      <c r="AT143" s="16" t="str">
        <f t="shared" si="106"/>
        <v>-</v>
      </c>
      <c r="AU143" s="16" t="str">
        <f t="shared" si="93"/>
        <v>-</v>
      </c>
      <c r="AV143" s="16" t="str">
        <f t="shared" si="94"/>
        <v>-</v>
      </c>
      <c r="AW143" s="16" t="str">
        <f t="shared" si="107"/>
        <v>-</v>
      </c>
      <c r="AX143" s="13" t="str">
        <f t="shared" si="108"/>
        <v>-</v>
      </c>
      <c r="AY143" s="10" t="str">
        <f t="shared" si="109"/>
        <v>-</v>
      </c>
      <c r="AZ143" s="9" t="str">
        <f t="shared" si="110"/>
        <v>-</v>
      </c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</row>
    <row r="144" spans="2:68" x14ac:dyDescent="0.3">
      <c r="B144" s="108" t="str">
        <f t="shared" si="95"/>
        <v/>
      </c>
      <c r="C144" s="108" t="str">
        <f t="shared" si="81"/>
        <v/>
      </c>
      <c r="D144" s="3"/>
      <c r="E144" s="3"/>
      <c r="F144" s="3"/>
      <c r="G144" s="20">
        <f>IFERROR(INDEX('Input - Iceland'!F$2:F$200,MATCH('Calculations - Iceland'!$C144,'Input - Iceland'!$B$2:$B$200,0)),"")</f>
        <v>0</v>
      </c>
      <c r="H144" s="20">
        <f>IFERROR(INDEX('Input - Iceland'!G$2:G$200,MATCH('Calculations - Iceland'!$C144,'Input - Iceland'!$B$2:$B$200,0)),"")</f>
        <v>0</v>
      </c>
      <c r="I144" s="21">
        <f>IFERROR(INDEX('Input - Iceland'!H$2:H$200,MATCH('Calculations - Iceland'!$C144,'Input - Iceland'!$B$2:$B$200,0)),"")</f>
        <v>0</v>
      </c>
      <c r="J144" s="21">
        <f>IFERROR(INDEX('Input - Iceland'!I$2:I$200,MATCH('Calculations - Iceland'!$C144,'Input - Iceland'!$B$2:$B$200,0)),"")</f>
        <v>0</v>
      </c>
      <c r="K144" s="20">
        <f>IFERROR(INDEX('Input - Iceland'!J$2:J$200,MATCH('Calculations - Iceland'!$C144,'Input - Iceland'!$B$2:$B$200,0)),"")</f>
        <v>0</v>
      </c>
      <c r="L144" s="20">
        <f>IFERROR(INDEX('Input - Iceland'!K$2:K$200,MATCH('Calculations - Iceland'!$C144,'Input - Iceland'!$B$2:$B$200,0)),"")</f>
        <v>0</v>
      </c>
      <c r="M144" s="21" t="str">
        <f t="shared" si="96"/>
        <v/>
      </c>
      <c r="N144" s="21" t="str">
        <f t="shared" si="82"/>
        <v/>
      </c>
      <c r="O144" s="21">
        <f t="shared" si="97"/>
        <v>0</v>
      </c>
      <c r="P144" s="9">
        <f t="shared" si="111"/>
        <v>0</v>
      </c>
      <c r="Q144" s="9">
        <f t="shared" si="112"/>
        <v>0</v>
      </c>
      <c r="R144" s="22" t="str">
        <f>IFERROR(INDEX(Iceland!$Q$11:$Q$165,MATCH('Calculations - Iceland'!$C144,Iceland!$M$11:$M$165,0)),"")</f>
        <v/>
      </c>
      <c r="S144" s="22" t="str">
        <f>IFERROR(INDEX(Iceland!$R$11:$R$165,MATCH('Calculations - Iceland'!$C144,Iceland!$M$11:$M$165,0)),"")</f>
        <v/>
      </c>
      <c r="T144" s="16" t="e">
        <f t="shared" si="83"/>
        <v>#VALUE!</v>
      </c>
      <c r="U144" s="16" t="e">
        <f t="shared" si="98"/>
        <v>#VALUE!</v>
      </c>
      <c r="V144" s="16" t="e">
        <f t="shared" si="99"/>
        <v>#VALUE!</v>
      </c>
      <c r="W144" s="10" t="str">
        <f t="shared" si="84"/>
        <v>-</v>
      </c>
      <c r="X144" s="10" t="str">
        <f t="shared" si="85"/>
        <v>-</v>
      </c>
      <c r="Y144" s="13" t="str">
        <f t="shared" si="100"/>
        <v>-</v>
      </c>
      <c r="Z144" s="9" t="str">
        <f t="shared" si="86"/>
        <v>-</v>
      </c>
      <c r="AA144" s="16" t="str">
        <f t="shared" si="101"/>
        <v>-</v>
      </c>
      <c r="AB144" s="16" t="str">
        <f t="shared" si="87"/>
        <v>-</v>
      </c>
      <c r="AC144" s="16" t="str">
        <f t="shared" si="88"/>
        <v>-</v>
      </c>
      <c r="AD144" s="16" t="str">
        <f t="shared" si="102"/>
        <v>-</v>
      </c>
      <c r="AE144" s="16"/>
      <c r="AF144" s="31" t="str">
        <f>IFERROR(INDEX(Iceland!$P$11:$P$165,MATCH('Calculations - Iceland'!C144,Iceland!$M$11:$M$165,0)),"")</f>
        <v/>
      </c>
      <c r="AG144" s="23" t="str">
        <f t="shared" si="103"/>
        <v/>
      </c>
      <c r="AH144" s="23" t="str">
        <f t="shared" si="103"/>
        <v/>
      </c>
      <c r="AI144" s="9" t="str">
        <f t="shared" si="89"/>
        <v/>
      </c>
      <c r="AJ144" s="4" t="str">
        <f t="shared" si="90"/>
        <v/>
      </c>
      <c r="AK144" s="4"/>
      <c r="AL144" s="4"/>
      <c r="AM144" s="4"/>
      <c r="AN144" s="4"/>
      <c r="AO144" s="4"/>
      <c r="AP144" s="20" t="str">
        <f t="shared" si="91"/>
        <v>-</v>
      </c>
      <c r="AQ144" s="13" t="str">
        <f t="shared" si="104"/>
        <v>-</v>
      </c>
      <c r="AR144" s="13" t="str">
        <f t="shared" si="105"/>
        <v>-</v>
      </c>
      <c r="AS144" s="13" t="str">
        <f t="shared" si="92"/>
        <v>-</v>
      </c>
      <c r="AT144" s="16" t="str">
        <f t="shared" si="106"/>
        <v>-</v>
      </c>
      <c r="AU144" s="16" t="str">
        <f t="shared" si="93"/>
        <v>-</v>
      </c>
      <c r="AV144" s="16" t="str">
        <f t="shared" si="94"/>
        <v>-</v>
      </c>
      <c r="AW144" s="16" t="str">
        <f t="shared" si="107"/>
        <v>-</v>
      </c>
      <c r="AX144" s="13" t="str">
        <f t="shared" si="108"/>
        <v>-</v>
      </c>
      <c r="AY144" s="10" t="str">
        <f t="shared" si="109"/>
        <v>-</v>
      </c>
      <c r="AZ144" s="9" t="str">
        <f t="shared" si="110"/>
        <v>-</v>
      </c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</row>
    <row r="145" spans="2:68" x14ac:dyDescent="0.3">
      <c r="B145" s="108" t="str">
        <f t="shared" si="95"/>
        <v/>
      </c>
      <c r="C145" s="108" t="str">
        <f t="shared" si="81"/>
        <v/>
      </c>
      <c r="D145" s="3"/>
      <c r="E145" s="3"/>
      <c r="F145" s="3"/>
      <c r="G145" s="20">
        <f>IFERROR(INDEX('Input - Iceland'!F$2:F$200,MATCH('Calculations - Iceland'!$C145,'Input - Iceland'!$B$2:$B$200,0)),"")</f>
        <v>0</v>
      </c>
      <c r="H145" s="20">
        <f>IFERROR(INDEX('Input - Iceland'!G$2:G$200,MATCH('Calculations - Iceland'!$C145,'Input - Iceland'!$B$2:$B$200,0)),"")</f>
        <v>0</v>
      </c>
      <c r="I145" s="21">
        <f>IFERROR(INDEX('Input - Iceland'!H$2:H$200,MATCH('Calculations - Iceland'!$C145,'Input - Iceland'!$B$2:$B$200,0)),"")</f>
        <v>0</v>
      </c>
      <c r="J145" s="21">
        <f>IFERROR(INDEX('Input - Iceland'!I$2:I$200,MATCH('Calculations - Iceland'!$C145,'Input - Iceland'!$B$2:$B$200,0)),"")</f>
        <v>0</v>
      </c>
      <c r="K145" s="20">
        <f>IFERROR(INDEX('Input - Iceland'!J$2:J$200,MATCH('Calculations - Iceland'!$C145,'Input - Iceland'!$B$2:$B$200,0)),"")</f>
        <v>0</v>
      </c>
      <c r="L145" s="20">
        <f>IFERROR(INDEX('Input - Iceland'!K$2:K$200,MATCH('Calculations - Iceland'!$C145,'Input - Iceland'!$B$2:$B$200,0)),"")</f>
        <v>0</v>
      </c>
      <c r="M145" s="21" t="str">
        <f t="shared" si="96"/>
        <v/>
      </c>
      <c r="N145" s="21" t="str">
        <f t="shared" si="82"/>
        <v/>
      </c>
      <c r="O145" s="21">
        <f t="shared" si="97"/>
        <v>0</v>
      </c>
      <c r="P145" s="9">
        <f t="shared" si="111"/>
        <v>0</v>
      </c>
      <c r="Q145" s="9">
        <f t="shared" si="112"/>
        <v>0</v>
      </c>
      <c r="R145" s="22" t="str">
        <f>IFERROR(INDEX(Iceland!$Q$11:$Q$165,MATCH('Calculations - Iceland'!$C145,Iceland!$M$11:$M$165,0)),"")</f>
        <v/>
      </c>
      <c r="S145" s="22" t="str">
        <f>IFERROR(INDEX(Iceland!$R$11:$R$165,MATCH('Calculations - Iceland'!$C145,Iceland!$M$11:$M$165,0)),"")</f>
        <v/>
      </c>
      <c r="T145" s="16" t="e">
        <f t="shared" si="83"/>
        <v>#VALUE!</v>
      </c>
      <c r="U145" s="16" t="e">
        <f t="shared" si="98"/>
        <v>#VALUE!</v>
      </c>
      <c r="V145" s="16" t="e">
        <f t="shared" si="99"/>
        <v>#VALUE!</v>
      </c>
      <c r="W145" s="10" t="str">
        <f t="shared" si="84"/>
        <v>-</v>
      </c>
      <c r="X145" s="10" t="str">
        <f t="shared" si="85"/>
        <v>-</v>
      </c>
      <c r="Y145" s="13" t="str">
        <f t="shared" si="100"/>
        <v>-</v>
      </c>
      <c r="Z145" s="9" t="str">
        <f t="shared" si="86"/>
        <v>-</v>
      </c>
      <c r="AA145" s="16" t="str">
        <f t="shared" si="101"/>
        <v>-</v>
      </c>
      <c r="AB145" s="16" t="str">
        <f t="shared" si="87"/>
        <v>-</v>
      </c>
      <c r="AC145" s="16" t="str">
        <f t="shared" si="88"/>
        <v>-</v>
      </c>
      <c r="AD145" s="16" t="str">
        <f t="shared" si="102"/>
        <v>-</v>
      </c>
      <c r="AE145" s="16"/>
      <c r="AF145" s="31" t="str">
        <f>IFERROR(INDEX(Iceland!$P$11:$P$165,MATCH('Calculations - Iceland'!C145,Iceland!$M$11:$M$165,0)),"")</f>
        <v/>
      </c>
      <c r="AG145" s="23" t="str">
        <f t="shared" si="103"/>
        <v/>
      </c>
      <c r="AH145" s="23" t="str">
        <f t="shared" si="103"/>
        <v/>
      </c>
      <c r="AI145" s="9" t="str">
        <f t="shared" si="89"/>
        <v/>
      </c>
      <c r="AJ145" s="4" t="str">
        <f t="shared" si="90"/>
        <v/>
      </c>
      <c r="AK145" s="4"/>
      <c r="AL145" s="4"/>
      <c r="AM145" s="4"/>
      <c r="AN145" s="4"/>
      <c r="AO145" s="4"/>
      <c r="AP145" s="20" t="str">
        <f t="shared" si="91"/>
        <v>-</v>
      </c>
      <c r="AQ145" s="13" t="str">
        <f t="shared" si="104"/>
        <v>-</v>
      </c>
      <c r="AR145" s="13" t="str">
        <f t="shared" si="105"/>
        <v>-</v>
      </c>
      <c r="AS145" s="13" t="str">
        <f t="shared" si="92"/>
        <v>-</v>
      </c>
      <c r="AT145" s="16" t="str">
        <f t="shared" si="106"/>
        <v>-</v>
      </c>
      <c r="AU145" s="16" t="str">
        <f t="shared" si="93"/>
        <v>-</v>
      </c>
      <c r="AV145" s="16" t="str">
        <f t="shared" si="94"/>
        <v>-</v>
      </c>
      <c r="AW145" s="16" t="str">
        <f t="shared" si="107"/>
        <v>-</v>
      </c>
      <c r="AX145" s="13" t="str">
        <f t="shared" si="108"/>
        <v>-</v>
      </c>
      <c r="AY145" s="10" t="str">
        <f t="shared" si="109"/>
        <v>-</v>
      </c>
      <c r="AZ145" s="9" t="str">
        <f t="shared" si="110"/>
        <v>-</v>
      </c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</row>
    <row r="146" spans="2:68" x14ac:dyDescent="0.3">
      <c r="B146" s="108" t="str">
        <f t="shared" si="95"/>
        <v/>
      </c>
      <c r="C146" s="108" t="str">
        <f t="shared" si="81"/>
        <v/>
      </c>
      <c r="D146" s="3"/>
      <c r="E146" s="3"/>
      <c r="F146" s="3"/>
      <c r="G146" s="20">
        <f>IFERROR(INDEX('Input - Iceland'!F$2:F$200,MATCH('Calculations - Iceland'!$C146,'Input - Iceland'!$B$2:$B$200,0)),"")</f>
        <v>0</v>
      </c>
      <c r="H146" s="20">
        <f>IFERROR(INDEX('Input - Iceland'!G$2:G$200,MATCH('Calculations - Iceland'!$C146,'Input - Iceland'!$B$2:$B$200,0)),"")</f>
        <v>0</v>
      </c>
      <c r="I146" s="21">
        <f>IFERROR(INDEX('Input - Iceland'!H$2:H$200,MATCH('Calculations - Iceland'!$C146,'Input - Iceland'!$B$2:$B$200,0)),"")</f>
        <v>0</v>
      </c>
      <c r="J146" s="21">
        <f>IFERROR(INDEX('Input - Iceland'!I$2:I$200,MATCH('Calculations - Iceland'!$C146,'Input - Iceland'!$B$2:$B$200,0)),"")</f>
        <v>0</v>
      </c>
      <c r="K146" s="20">
        <f>IFERROR(INDEX('Input - Iceland'!J$2:J$200,MATCH('Calculations - Iceland'!$C146,'Input - Iceland'!$B$2:$B$200,0)),"")</f>
        <v>0</v>
      </c>
      <c r="L146" s="20">
        <f>IFERROR(INDEX('Input - Iceland'!K$2:K$200,MATCH('Calculations - Iceland'!$C146,'Input - Iceland'!$B$2:$B$200,0)),"")</f>
        <v>0</v>
      </c>
      <c r="M146" s="21" t="str">
        <f t="shared" si="96"/>
        <v/>
      </c>
      <c r="N146" s="21" t="str">
        <f t="shared" si="82"/>
        <v/>
      </c>
      <c r="O146" s="21">
        <f t="shared" si="97"/>
        <v>0</v>
      </c>
      <c r="P146" s="9">
        <f t="shared" si="111"/>
        <v>0</v>
      </c>
      <c r="Q146" s="9">
        <f t="shared" si="112"/>
        <v>0</v>
      </c>
      <c r="R146" s="22" t="str">
        <f>IFERROR(INDEX(Iceland!$Q$11:$Q$165,MATCH('Calculations - Iceland'!$C146,Iceland!$M$11:$M$165,0)),"")</f>
        <v/>
      </c>
      <c r="S146" s="22" t="str">
        <f>IFERROR(INDEX(Iceland!$R$11:$R$165,MATCH('Calculations - Iceland'!$C146,Iceland!$M$11:$M$165,0)),"")</f>
        <v/>
      </c>
      <c r="T146" s="16" t="e">
        <f t="shared" si="83"/>
        <v>#VALUE!</v>
      </c>
      <c r="U146" s="16" t="e">
        <f t="shared" si="98"/>
        <v>#VALUE!</v>
      </c>
      <c r="V146" s="16" t="e">
        <f t="shared" si="99"/>
        <v>#VALUE!</v>
      </c>
      <c r="W146" s="10" t="str">
        <f t="shared" si="84"/>
        <v>-</v>
      </c>
      <c r="X146" s="10" t="str">
        <f t="shared" si="85"/>
        <v>-</v>
      </c>
      <c r="Y146" s="13" t="str">
        <f t="shared" si="100"/>
        <v>-</v>
      </c>
      <c r="Z146" s="9" t="str">
        <f t="shared" si="86"/>
        <v>-</v>
      </c>
      <c r="AA146" s="16" t="str">
        <f t="shared" si="101"/>
        <v>-</v>
      </c>
      <c r="AB146" s="16" t="str">
        <f t="shared" si="87"/>
        <v>-</v>
      </c>
      <c r="AC146" s="16" t="str">
        <f t="shared" si="88"/>
        <v>-</v>
      </c>
      <c r="AD146" s="16" t="str">
        <f t="shared" si="102"/>
        <v>-</v>
      </c>
      <c r="AE146" s="16"/>
      <c r="AF146" s="31" t="str">
        <f>IFERROR(INDEX(Iceland!$P$11:$P$165,MATCH('Calculations - Iceland'!C146,Iceland!$M$11:$M$165,0)),"")</f>
        <v/>
      </c>
      <c r="AG146" s="23" t="str">
        <f t="shared" si="103"/>
        <v/>
      </c>
      <c r="AH146" s="23" t="str">
        <f t="shared" si="103"/>
        <v/>
      </c>
      <c r="AI146" s="9" t="str">
        <f t="shared" si="89"/>
        <v/>
      </c>
      <c r="AJ146" s="4" t="str">
        <f t="shared" si="90"/>
        <v/>
      </c>
      <c r="AK146" s="4"/>
      <c r="AL146" s="4"/>
      <c r="AM146" s="4"/>
      <c r="AN146" s="4"/>
      <c r="AO146" s="4"/>
      <c r="AP146" s="20" t="str">
        <f t="shared" si="91"/>
        <v>-</v>
      </c>
      <c r="AQ146" s="13" t="str">
        <f t="shared" si="104"/>
        <v>-</v>
      </c>
      <c r="AR146" s="13" t="str">
        <f t="shared" si="105"/>
        <v>-</v>
      </c>
      <c r="AS146" s="13" t="str">
        <f t="shared" si="92"/>
        <v>-</v>
      </c>
      <c r="AT146" s="16" t="str">
        <f t="shared" si="106"/>
        <v>-</v>
      </c>
      <c r="AU146" s="16" t="str">
        <f t="shared" si="93"/>
        <v>-</v>
      </c>
      <c r="AV146" s="16" t="str">
        <f t="shared" si="94"/>
        <v>-</v>
      </c>
      <c r="AW146" s="16" t="str">
        <f t="shared" si="107"/>
        <v>-</v>
      </c>
      <c r="AX146" s="13" t="str">
        <f t="shared" si="108"/>
        <v>-</v>
      </c>
      <c r="AY146" s="10" t="str">
        <f t="shared" si="109"/>
        <v>-</v>
      </c>
      <c r="AZ146" s="9" t="str">
        <f t="shared" si="110"/>
        <v>-</v>
      </c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</row>
    <row r="147" spans="2:68" x14ac:dyDescent="0.3">
      <c r="B147" s="108" t="str">
        <f t="shared" si="95"/>
        <v/>
      </c>
      <c r="C147" s="108" t="str">
        <f t="shared" si="81"/>
        <v/>
      </c>
      <c r="D147" s="3"/>
      <c r="E147" s="3"/>
      <c r="F147" s="3"/>
      <c r="G147" s="20">
        <f>IFERROR(INDEX('Input - Iceland'!F$2:F$200,MATCH('Calculations - Iceland'!$C147,'Input - Iceland'!$B$2:$B$200,0)),"")</f>
        <v>0</v>
      </c>
      <c r="H147" s="20">
        <f>IFERROR(INDEX('Input - Iceland'!G$2:G$200,MATCH('Calculations - Iceland'!$C147,'Input - Iceland'!$B$2:$B$200,0)),"")</f>
        <v>0</v>
      </c>
      <c r="I147" s="21">
        <f>IFERROR(INDEX('Input - Iceland'!H$2:H$200,MATCH('Calculations - Iceland'!$C147,'Input - Iceland'!$B$2:$B$200,0)),"")</f>
        <v>0</v>
      </c>
      <c r="J147" s="21">
        <f>IFERROR(INDEX('Input - Iceland'!I$2:I$200,MATCH('Calculations - Iceland'!$C147,'Input - Iceland'!$B$2:$B$200,0)),"")</f>
        <v>0</v>
      </c>
      <c r="K147" s="20">
        <f>IFERROR(INDEX('Input - Iceland'!J$2:J$200,MATCH('Calculations - Iceland'!$C147,'Input - Iceland'!$B$2:$B$200,0)),"")</f>
        <v>0</v>
      </c>
      <c r="L147" s="20">
        <f>IFERROR(INDEX('Input - Iceland'!K$2:K$200,MATCH('Calculations - Iceland'!$C147,'Input - Iceland'!$B$2:$B$200,0)),"")</f>
        <v>0</v>
      </c>
      <c r="M147" s="21" t="str">
        <f t="shared" si="96"/>
        <v/>
      </c>
      <c r="N147" s="21" t="str">
        <f t="shared" si="82"/>
        <v/>
      </c>
      <c r="O147" s="21">
        <f t="shared" si="97"/>
        <v>0</v>
      </c>
      <c r="P147" s="9">
        <f t="shared" si="111"/>
        <v>0</v>
      </c>
      <c r="Q147" s="9">
        <f t="shared" si="112"/>
        <v>0</v>
      </c>
      <c r="R147" s="22" t="str">
        <f>IFERROR(INDEX(Iceland!$Q$11:$Q$165,MATCH('Calculations - Iceland'!$C147,Iceland!$M$11:$M$165,0)),"")</f>
        <v/>
      </c>
      <c r="S147" s="22" t="str">
        <f>IFERROR(INDEX(Iceland!$R$11:$R$165,MATCH('Calculations - Iceland'!$C147,Iceland!$M$11:$M$165,0)),"")</f>
        <v/>
      </c>
      <c r="T147" s="16" t="e">
        <f t="shared" si="83"/>
        <v>#VALUE!</v>
      </c>
      <c r="U147" s="16" t="e">
        <f t="shared" si="98"/>
        <v>#VALUE!</v>
      </c>
      <c r="V147" s="16" t="e">
        <f t="shared" si="99"/>
        <v>#VALUE!</v>
      </c>
      <c r="W147" s="10" t="str">
        <f t="shared" si="84"/>
        <v>-</v>
      </c>
      <c r="X147" s="10" t="str">
        <f t="shared" si="85"/>
        <v>-</v>
      </c>
      <c r="Y147" s="13" t="str">
        <f t="shared" si="100"/>
        <v>-</v>
      </c>
      <c r="Z147" s="9" t="str">
        <f t="shared" si="86"/>
        <v>-</v>
      </c>
      <c r="AA147" s="16" t="str">
        <f t="shared" si="101"/>
        <v>-</v>
      </c>
      <c r="AB147" s="16" t="str">
        <f t="shared" si="87"/>
        <v>-</v>
      </c>
      <c r="AC147" s="16" t="str">
        <f t="shared" si="88"/>
        <v>-</v>
      </c>
      <c r="AD147" s="16" t="str">
        <f t="shared" si="102"/>
        <v>-</v>
      </c>
      <c r="AE147" s="16"/>
      <c r="AF147" s="31" t="str">
        <f>IFERROR(INDEX(Iceland!$P$11:$P$165,MATCH('Calculations - Iceland'!C147,Iceland!$M$11:$M$165,0)),"")</f>
        <v/>
      </c>
      <c r="AG147" s="23" t="str">
        <f t="shared" si="103"/>
        <v/>
      </c>
      <c r="AH147" s="23" t="str">
        <f t="shared" si="103"/>
        <v/>
      </c>
      <c r="AI147" s="9" t="str">
        <f t="shared" si="89"/>
        <v/>
      </c>
      <c r="AJ147" s="4" t="str">
        <f t="shared" si="90"/>
        <v/>
      </c>
      <c r="AK147" s="4"/>
      <c r="AL147" s="4"/>
      <c r="AM147" s="4"/>
      <c r="AN147" s="4"/>
      <c r="AO147" s="4"/>
      <c r="AP147" s="20" t="str">
        <f t="shared" si="91"/>
        <v>-</v>
      </c>
      <c r="AQ147" s="13" t="str">
        <f t="shared" si="104"/>
        <v>-</v>
      </c>
      <c r="AR147" s="13" t="str">
        <f t="shared" si="105"/>
        <v>-</v>
      </c>
      <c r="AS147" s="13" t="str">
        <f t="shared" si="92"/>
        <v>-</v>
      </c>
      <c r="AT147" s="16" t="str">
        <f t="shared" si="106"/>
        <v>-</v>
      </c>
      <c r="AU147" s="16" t="str">
        <f t="shared" si="93"/>
        <v>-</v>
      </c>
      <c r="AV147" s="16" t="str">
        <f t="shared" si="94"/>
        <v>-</v>
      </c>
      <c r="AW147" s="16" t="str">
        <f t="shared" si="107"/>
        <v>-</v>
      </c>
      <c r="AX147" s="13" t="str">
        <f t="shared" si="108"/>
        <v>-</v>
      </c>
      <c r="AY147" s="10" t="str">
        <f t="shared" si="109"/>
        <v>-</v>
      </c>
      <c r="AZ147" s="9" t="str">
        <f t="shared" si="110"/>
        <v>-</v>
      </c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</row>
    <row r="148" spans="2:68" x14ac:dyDescent="0.3">
      <c r="B148" s="108" t="str">
        <f t="shared" si="95"/>
        <v/>
      </c>
      <c r="C148" s="108" t="str">
        <f t="shared" si="81"/>
        <v/>
      </c>
      <c r="D148" s="3"/>
      <c r="E148" s="3"/>
      <c r="F148" s="3"/>
      <c r="G148" s="20">
        <f>IFERROR(INDEX('Input - Iceland'!F$2:F$200,MATCH('Calculations - Iceland'!$C148,'Input - Iceland'!$B$2:$B$200,0)),"")</f>
        <v>0</v>
      </c>
      <c r="H148" s="20">
        <f>IFERROR(INDEX('Input - Iceland'!G$2:G$200,MATCH('Calculations - Iceland'!$C148,'Input - Iceland'!$B$2:$B$200,0)),"")</f>
        <v>0</v>
      </c>
      <c r="I148" s="21">
        <f>IFERROR(INDEX('Input - Iceland'!H$2:H$200,MATCH('Calculations - Iceland'!$C148,'Input - Iceland'!$B$2:$B$200,0)),"")</f>
        <v>0</v>
      </c>
      <c r="J148" s="21">
        <f>IFERROR(INDEX('Input - Iceland'!I$2:I$200,MATCH('Calculations - Iceland'!$C148,'Input - Iceland'!$B$2:$B$200,0)),"")</f>
        <v>0</v>
      </c>
      <c r="K148" s="20">
        <f>IFERROR(INDEX('Input - Iceland'!J$2:J$200,MATCH('Calculations - Iceland'!$C148,'Input - Iceland'!$B$2:$B$200,0)),"")</f>
        <v>0</v>
      </c>
      <c r="L148" s="20">
        <f>IFERROR(INDEX('Input - Iceland'!K$2:K$200,MATCH('Calculations - Iceland'!$C148,'Input - Iceland'!$B$2:$B$200,0)),"")</f>
        <v>0</v>
      </c>
      <c r="M148" s="21" t="str">
        <f t="shared" si="96"/>
        <v/>
      </c>
      <c r="N148" s="21" t="str">
        <f t="shared" si="82"/>
        <v/>
      </c>
      <c r="O148" s="21">
        <f t="shared" si="97"/>
        <v>0</v>
      </c>
      <c r="P148" s="9">
        <f t="shared" si="111"/>
        <v>0</v>
      </c>
      <c r="Q148" s="9">
        <f t="shared" si="112"/>
        <v>0</v>
      </c>
      <c r="R148" s="22" t="str">
        <f>IFERROR(INDEX(Iceland!$Q$11:$Q$165,MATCH('Calculations - Iceland'!$C148,Iceland!$M$11:$M$165,0)),"")</f>
        <v/>
      </c>
      <c r="S148" s="22" t="str">
        <f>IFERROR(INDEX(Iceland!$R$11:$R$165,MATCH('Calculations - Iceland'!$C148,Iceland!$M$11:$M$165,0)),"")</f>
        <v/>
      </c>
      <c r="T148" s="16" t="e">
        <f t="shared" si="83"/>
        <v>#VALUE!</v>
      </c>
      <c r="U148" s="16" t="e">
        <f t="shared" si="98"/>
        <v>#VALUE!</v>
      </c>
      <c r="V148" s="16" t="e">
        <f t="shared" si="99"/>
        <v>#VALUE!</v>
      </c>
      <c r="W148" s="10" t="str">
        <f t="shared" si="84"/>
        <v>-</v>
      </c>
      <c r="X148" s="10" t="str">
        <f t="shared" si="85"/>
        <v>-</v>
      </c>
      <c r="Y148" s="13" t="str">
        <f t="shared" si="100"/>
        <v>-</v>
      </c>
      <c r="Z148" s="9" t="str">
        <f t="shared" si="86"/>
        <v>-</v>
      </c>
      <c r="AA148" s="16" t="str">
        <f t="shared" si="101"/>
        <v>-</v>
      </c>
      <c r="AB148" s="16" t="str">
        <f t="shared" si="87"/>
        <v>-</v>
      </c>
      <c r="AC148" s="16" t="str">
        <f t="shared" si="88"/>
        <v>-</v>
      </c>
      <c r="AD148" s="16" t="str">
        <f t="shared" si="102"/>
        <v>-</v>
      </c>
      <c r="AE148" s="16"/>
      <c r="AF148" s="31" t="str">
        <f>IFERROR(INDEX(Iceland!$P$11:$P$165,MATCH('Calculations - Iceland'!C148,Iceland!$M$11:$M$165,0)),"")</f>
        <v/>
      </c>
      <c r="AG148" s="23" t="str">
        <f t="shared" si="103"/>
        <v/>
      </c>
      <c r="AH148" s="23" t="str">
        <f t="shared" si="103"/>
        <v/>
      </c>
      <c r="AI148" s="9" t="str">
        <f t="shared" si="89"/>
        <v/>
      </c>
      <c r="AJ148" s="4" t="str">
        <f t="shared" si="90"/>
        <v/>
      </c>
      <c r="AK148" s="4"/>
      <c r="AL148" s="4"/>
      <c r="AM148" s="4"/>
      <c r="AN148" s="4"/>
      <c r="AO148" s="4"/>
      <c r="AP148" s="20" t="str">
        <f t="shared" si="91"/>
        <v>-</v>
      </c>
      <c r="AQ148" s="13" t="str">
        <f t="shared" si="104"/>
        <v>-</v>
      </c>
      <c r="AR148" s="13" t="str">
        <f t="shared" si="105"/>
        <v>-</v>
      </c>
      <c r="AS148" s="13" t="str">
        <f t="shared" si="92"/>
        <v>-</v>
      </c>
      <c r="AT148" s="16" t="str">
        <f t="shared" si="106"/>
        <v>-</v>
      </c>
      <c r="AU148" s="16" t="str">
        <f t="shared" si="93"/>
        <v>-</v>
      </c>
      <c r="AV148" s="16" t="str">
        <f t="shared" si="94"/>
        <v>-</v>
      </c>
      <c r="AW148" s="16" t="str">
        <f t="shared" si="107"/>
        <v>-</v>
      </c>
      <c r="AX148" s="13" t="str">
        <f t="shared" si="108"/>
        <v>-</v>
      </c>
      <c r="AY148" s="10" t="str">
        <f t="shared" si="109"/>
        <v>-</v>
      </c>
      <c r="AZ148" s="9" t="str">
        <f t="shared" si="110"/>
        <v>-</v>
      </c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</row>
    <row r="149" spans="2:68" x14ac:dyDescent="0.3">
      <c r="B149" s="108" t="str">
        <f t="shared" si="95"/>
        <v/>
      </c>
      <c r="C149" s="108" t="str">
        <f t="shared" si="81"/>
        <v/>
      </c>
      <c r="D149" s="3"/>
      <c r="E149" s="3"/>
      <c r="F149" s="3"/>
      <c r="G149" s="20">
        <f>IFERROR(INDEX('Input - Iceland'!F$2:F$200,MATCH('Calculations - Iceland'!$C149,'Input - Iceland'!$B$2:$B$200,0)),"")</f>
        <v>0</v>
      </c>
      <c r="H149" s="20">
        <f>IFERROR(INDEX('Input - Iceland'!G$2:G$200,MATCH('Calculations - Iceland'!$C149,'Input - Iceland'!$B$2:$B$200,0)),"")</f>
        <v>0</v>
      </c>
      <c r="I149" s="21">
        <f>IFERROR(INDEX('Input - Iceland'!H$2:H$200,MATCH('Calculations - Iceland'!$C149,'Input - Iceland'!$B$2:$B$200,0)),"")</f>
        <v>0</v>
      </c>
      <c r="J149" s="21">
        <f>IFERROR(INDEX('Input - Iceland'!I$2:I$200,MATCH('Calculations - Iceland'!$C149,'Input - Iceland'!$B$2:$B$200,0)),"")</f>
        <v>0</v>
      </c>
      <c r="K149" s="20">
        <f>IFERROR(INDEX('Input - Iceland'!J$2:J$200,MATCH('Calculations - Iceland'!$C149,'Input - Iceland'!$B$2:$B$200,0)),"")</f>
        <v>0</v>
      </c>
      <c r="L149" s="20">
        <f>IFERROR(INDEX('Input - Iceland'!K$2:K$200,MATCH('Calculations - Iceland'!$C149,'Input - Iceland'!$B$2:$B$200,0)),"")</f>
        <v>0</v>
      </c>
      <c r="M149" s="21" t="str">
        <f t="shared" si="96"/>
        <v/>
      </c>
      <c r="N149" s="21" t="str">
        <f t="shared" si="82"/>
        <v/>
      </c>
      <c r="O149" s="21">
        <f t="shared" si="97"/>
        <v>0</v>
      </c>
      <c r="P149" s="9">
        <f t="shared" si="111"/>
        <v>0</v>
      </c>
      <c r="Q149" s="9">
        <f t="shared" si="112"/>
        <v>0</v>
      </c>
      <c r="R149" s="22" t="str">
        <f>IFERROR(INDEX(Iceland!$Q$11:$Q$165,MATCH('Calculations - Iceland'!$C149,Iceland!$M$11:$M$165,0)),"")</f>
        <v/>
      </c>
      <c r="S149" s="22" t="str">
        <f>IFERROR(INDEX(Iceland!$R$11:$R$165,MATCH('Calculations - Iceland'!$C149,Iceland!$M$11:$M$165,0)),"")</f>
        <v/>
      </c>
      <c r="T149" s="16" t="e">
        <f t="shared" si="83"/>
        <v>#VALUE!</v>
      </c>
      <c r="U149" s="16" t="e">
        <f t="shared" si="98"/>
        <v>#VALUE!</v>
      </c>
      <c r="V149" s="16" t="e">
        <f t="shared" si="99"/>
        <v>#VALUE!</v>
      </c>
      <c r="W149" s="10" t="str">
        <f t="shared" si="84"/>
        <v>-</v>
      </c>
      <c r="X149" s="10" t="str">
        <f t="shared" si="85"/>
        <v>-</v>
      </c>
      <c r="Y149" s="13" t="str">
        <f t="shared" si="100"/>
        <v>-</v>
      </c>
      <c r="Z149" s="9" t="str">
        <f t="shared" si="86"/>
        <v>-</v>
      </c>
      <c r="AA149" s="16" t="str">
        <f t="shared" si="101"/>
        <v>-</v>
      </c>
      <c r="AB149" s="16" t="str">
        <f t="shared" si="87"/>
        <v>-</v>
      </c>
      <c r="AC149" s="16" t="str">
        <f t="shared" si="88"/>
        <v>-</v>
      </c>
      <c r="AD149" s="16" t="str">
        <f t="shared" si="102"/>
        <v>-</v>
      </c>
      <c r="AE149" s="16"/>
      <c r="AF149" s="31" t="str">
        <f>IFERROR(INDEX(Iceland!$P$11:$P$165,MATCH('Calculations - Iceland'!C149,Iceland!$M$11:$M$165,0)),"")</f>
        <v/>
      </c>
      <c r="AG149" s="23" t="str">
        <f t="shared" si="103"/>
        <v/>
      </c>
      <c r="AH149" s="23" t="str">
        <f t="shared" si="103"/>
        <v/>
      </c>
      <c r="AI149" s="9" t="str">
        <f t="shared" si="89"/>
        <v/>
      </c>
      <c r="AJ149" s="4" t="str">
        <f t="shared" si="90"/>
        <v/>
      </c>
      <c r="AK149" s="4"/>
      <c r="AL149" s="4"/>
      <c r="AM149" s="4"/>
      <c r="AN149" s="4"/>
      <c r="AO149" s="4"/>
      <c r="AP149" s="20" t="str">
        <f t="shared" si="91"/>
        <v>-</v>
      </c>
      <c r="AQ149" s="13" t="str">
        <f t="shared" si="104"/>
        <v>-</v>
      </c>
      <c r="AR149" s="13" t="str">
        <f t="shared" si="105"/>
        <v>-</v>
      </c>
      <c r="AS149" s="13" t="str">
        <f t="shared" si="92"/>
        <v>-</v>
      </c>
      <c r="AT149" s="16" t="str">
        <f t="shared" si="106"/>
        <v>-</v>
      </c>
      <c r="AU149" s="16" t="str">
        <f t="shared" si="93"/>
        <v>-</v>
      </c>
      <c r="AV149" s="16" t="str">
        <f t="shared" si="94"/>
        <v>-</v>
      </c>
      <c r="AW149" s="16" t="str">
        <f t="shared" si="107"/>
        <v>-</v>
      </c>
      <c r="AX149" s="13" t="str">
        <f t="shared" si="108"/>
        <v>-</v>
      </c>
      <c r="AY149" s="10" t="str">
        <f t="shared" si="109"/>
        <v>-</v>
      </c>
      <c r="AZ149" s="9" t="str">
        <f t="shared" si="110"/>
        <v>-</v>
      </c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</row>
    <row r="150" spans="2:68" x14ac:dyDescent="0.3">
      <c r="B150" s="108" t="str">
        <f t="shared" si="95"/>
        <v/>
      </c>
      <c r="C150" s="108" t="str">
        <f t="shared" si="81"/>
        <v/>
      </c>
      <c r="D150" s="3"/>
      <c r="E150" s="3"/>
      <c r="F150" s="3"/>
      <c r="G150" s="20">
        <f>IFERROR(INDEX('Input - Iceland'!F$2:F$200,MATCH('Calculations - Iceland'!$C150,'Input - Iceland'!$B$2:$B$200,0)),"")</f>
        <v>0</v>
      </c>
      <c r="H150" s="20">
        <f>IFERROR(INDEX('Input - Iceland'!G$2:G$200,MATCH('Calculations - Iceland'!$C150,'Input - Iceland'!$B$2:$B$200,0)),"")</f>
        <v>0</v>
      </c>
      <c r="I150" s="21">
        <f>IFERROR(INDEX('Input - Iceland'!H$2:H$200,MATCH('Calculations - Iceland'!$C150,'Input - Iceland'!$B$2:$B$200,0)),"")</f>
        <v>0</v>
      </c>
      <c r="J150" s="21">
        <f>IFERROR(INDEX('Input - Iceland'!I$2:I$200,MATCH('Calculations - Iceland'!$C150,'Input - Iceland'!$B$2:$B$200,0)),"")</f>
        <v>0</v>
      </c>
      <c r="K150" s="20">
        <f>IFERROR(INDEX('Input - Iceland'!J$2:J$200,MATCH('Calculations - Iceland'!$C150,'Input - Iceland'!$B$2:$B$200,0)),"")</f>
        <v>0</v>
      </c>
      <c r="L150" s="20">
        <f>IFERROR(INDEX('Input - Iceland'!K$2:K$200,MATCH('Calculations - Iceland'!$C150,'Input - Iceland'!$B$2:$B$200,0)),"")</f>
        <v>0</v>
      </c>
      <c r="M150" s="21" t="str">
        <f t="shared" si="96"/>
        <v/>
      </c>
      <c r="N150" s="21" t="str">
        <f t="shared" si="82"/>
        <v/>
      </c>
      <c r="O150" s="21">
        <f t="shared" si="97"/>
        <v>0</v>
      </c>
      <c r="P150" s="9">
        <f t="shared" si="111"/>
        <v>0</v>
      </c>
      <c r="Q150" s="9">
        <f t="shared" si="112"/>
        <v>0</v>
      </c>
      <c r="R150" s="22" t="str">
        <f>IFERROR(INDEX(Iceland!$Q$11:$Q$165,MATCH('Calculations - Iceland'!$C150,Iceland!$M$11:$M$165,0)),"")</f>
        <v/>
      </c>
      <c r="S150" s="22" t="str">
        <f>IFERROR(INDEX(Iceland!$R$11:$R$165,MATCH('Calculations - Iceland'!$C150,Iceland!$M$11:$M$165,0)),"")</f>
        <v/>
      </c>
      <c r="T150" s="16" t="e">
        <f t="shared" si="83"/>
        <v>#VALUE!</v>
      </c>
      <c r="U150" s="16" t="e">
        <f t="shared" si="98"/>
        <v>#VALUE!</v>
      </c>
      <c r="V150" s="16" t="e">
        <f t="shared" si="99"/>
        <v>#VALUE!</v>
      </c>
      <c r="W150" s="10" t="str">
        <f t="shared" si="84"/>
        <v>-</v>
      </c>
      <c r="X150" s="10" t="str">
        <f t="shared" si="85"/>
        <v>-</v>
      </c>
      <c r="Y150" s="13" t="str">
        <f t="shared" si="100"/>
        <v>-</v>
      </c>
      <c r="Z150" s="9" t="str">
        <f t="shared" si="86"/>
        <v>-</v>
      </c>
      <c r="AA150" s="16" t="str">
        <f t="shared" si="101"/>
        <v>-</v>
      </c>
      <c r="AB150" s="16" t="str">
        <f t="shared" si="87"/>
        <v>-</v>
      </c>
      <c r="AC150" s="16" t="str">
        <f t="shared" si="88"/>
        <v>-</v>
      </c>
      <c r="AD150" s="16" t="str">
        <f t="shared" si="102"/>
        <v>-</v>
      </c>
      <c r="AE150" s="16"/>
      <c r="AF150" s="31" t="str">
        <f>IFERROR(INDEX(Iceland!$P$11:$P$165,MATCH('Calculations - Iceland'!C150,Iceland!$M$11:$M$165,0)),"")</f>
        <v/>
      </c>
      <c r="AG150" s="23" t="str">
        <f t="shared" si="103"/>
        <v/>
      </c>
      <c r="AH150" s="23" t="str">
        <f t="shared" si="103"/>
        <v/>
      </c>
      <c r="AI150" s="9" t="str">
        <f t="shared" si="89"/>
        <v/>
      </c>
      <c r="AJ150" s="4" t="str">
        <f t="shared" si="90"/>
        <v/>
      </c>
      <c r="AK150" s="4"/>
      <c r="AL150" s="4"/>
      <c r="AM150" s="4"/>
      <c r="AN150" s="4"/>
      <c r="AO150" s="4"/>
      <c r="AP150" s="20" t="str">
        <f t="shared" si="91"/>
        <v>-</v>
      </c>
      <c r="AQ150" s="13" t="str">
        <f t="shared" si="104"/>
        <v>-</v>
      </c>
      <c r="AR150" s="13" t="str">
        <f t="shared" si="105"/>
        <v>-</v>
      </c>
      <c r="AS150" s="13" t="str">
        <f t="shared" si="92"/>
        <v>-</v>
      </c>
      <c r="AT150" s="16" t="str">
        <f t="shared" si="106"/>
        <v>-</v>
      </c>
      <c r="AU150" s="16" t="str">
        <f t="shared" si="93"/>
        <v>-</v>
      </c>
      <c r="AV150" s="16" t="str">
        <f t="shared" si="94"/>
        <v>-</v>
      </c>
      <c r="AW150" s="16" t="str">
        <f t="shared" si="107"/>
        <v>-</v>
      </c>
      <c r="AX150" s="13" t="str">
        <f t="shared" si="108"/>
        <v>-</v>
      </c>
      <c r="AY150" s="10" t="str">
        <f t="shared" si="109"/>
        <v>-</v>
      </c>
      <c r="AZ150" s="9" t="str">
        <f t="shared" si="110"/>
        <v>-</v>
      </c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</row>
    <row r="151" spans="2:68" x14ac:dyDescent="0.3">
      <c r="B151" s="108" t="str">
        <f t="shared" si="95"/>
        <v/>
      </c>
      <c r="C151" s="108" t="str">
        <f t="shared" si="81"/>
        <v/>
      </c>
      <c r="D151" s="3"/>
      <c r="E151" s="3"/>
      <c r="F151" s="3"/>
      <c r="G151" s="20">
        <f>IFERROR(INDEX('Input - Iceland'!F$2:F$200,MATCH('Calculations - Iceland'!$C151,'Input - Iceland'!$B$2:$B$200,0)),"")</f>
        <v>0</v>
      </c>
      <c r="H151" s="20">
        <f>IFERROR(INDEX('Input - Iceland'!G$2:G$200,MATCH('Calculations - Iceland'!$C151,'Input - Iceland'!$B$2:$B$200,0)),"")</f>
        <v>0</v>
      </c>
      <c r="I151" s="21">
        <f>IFERROR(INDEX('Input - Iceland'!H$2:H$200,MATCH('Calculations - Iceland'!$C151,'Input - Iceland'!$B$2:$B$200,0)),"")</f>
        <v>0</v>
      </c>
      <c r="J151" s="21">
        <f>IFERROR(INDEX('Input - Iceland'!I$2:I$200,MATCH('Calculations - Iceland'!$C151,'Input - Iceland'!$B$2:$B$200,0)),"")</f>
        <v>0</v>
      </c>
      <c r="K151" s="20">
        <f>IFERROR(INDEX('Input - Iceland'!J$2:J$200,MATCH('Calculations - Iceland'!$C151,'Input - Iceland'!$B$2:$B$200,0)),"")</f>
        <v>0</v>
      </c>
      <c r="L151" s="20">
        <f>IFERROR(INDEX('Input - Iceland'!K$2:K$200,MATCH('Calculations - Iceland'!$C151,'Input - Iceland'!$B$2:$B$200,0)),"")</f>
        <v>0</v>
      </c>
      <c r="M151" s="21" t="str">
        <f t="shared" si="96"/>
        <v/>
      </c>
      <c r="N151" s="21" t="str">
        <f t="shared" si="82"/>
        <v/>
      </c>
      <c r="O151" s="21">
        <f t="shared" si="97"/>
        <v>0</v>
      </c>
      <c r="P151" s="9">
        <f t="shared" si="111"/>
        <v>0</v>
      </c>
      <c r="Q151" s="9">
        <f t="shared" si="112"/>
        <v>0</v>
      </c>
      <c r="R151" s="22" t="str">
        <f>IFERROR(INDEX(Iceland!$Q$11:$Q$165,MATCH('Calculations - Iceland'!$C151,Iceland!$M$11:$M$165,0)),"")</f>
        <v/>
      </c>
      <c r="S151" s="22" t="str">
        <f>IFERROR(INDEX(Iceland!$R$11:$R$165,MATCH('Calculations - Iceland'!$C151,Iceland!$M$11:$M$165,0)),"")</f>
        <v/>
      </c>
      <c r="T151" s="16" t="e">
        <f t="shared" si="83"/>
        <v>#VALUE!</v>
      </c>
      <c r="U151" s="16" t="e">
        <f t="shared" si="98"/>
        <v>#VALUE!</v>
      </c>
      <c r="V151" s="16" t="e">
        <f t="shared" si="99"/>
        <v>#VALUE!</v>
      </c>
      <c r="W151" s="10" t="str">
        <f t="shared" si="84"/>
        <v>-</v>
      </c>
      <c r="X151" s="10" t="str">
        <f t="shared" si="85"/>
        <v>-</v>
      </c>
      <c r="Y151" s="13" t="str">
        <f t="shared" si="100"/>
        <v>-</v>
      </c>
      <c r="Z151" s="9" t="str">
        <f t="shared" si="86"/>
        <v>-</v>
      </c>
      <c r="AA151" s="16" t="str">
        <f t="shared" si="101"/>
        <v>-</v>
      </c>
      <c r="AB151" s="16" t="str">
        <f t="shared" si="87"/>
        <v>-</v>
      </c>
      <c r="AC151" s="16" t="str">
        <f t="shared" si="88"/>
        <v>-</v>
      </c>
      <c r="AD151" s="16" t="str">
        <f t="shared" si="102"/>
        <v>-</v>
      </c>
      <c r="AE151" s="16"/>
      <c r="AF151" s="31" t="str">
        <f>IFERROR(INDEX(Iceland!$P$11:$P$165,MATCH('Calculations - Iceland'!C151,Iceland!$M$11:$M$165,0)),"")</f>
        <v/>
      </c>
      <c r="AG151" s="23" t="str">
        <f t="shared" si="103"/>
        <v/>
      </c>
      <c r="AH151" s="23" t="str">
        <f t="shared" si="103"/>
        <v/>
      </c>
      <c r="AI151" s="9" t="str">
        <f t="shared" si="89"/>
        <v/>
      </c>
      <c r="AJ151" s="4" t="str">
        <f t="shared" si="90"/>
        <v/>
      </c>
      <c r="AK151" s="4"/>
      <c r="AL151" s="4"/>
      <c r="AM151" s="4"/>
      <c r="AN151" s="4"/>
      <c r="AO151" s="4"/>
      <c r="AP151" s="20" t="str">
        <f t="shared" si="91"/>
        <v>-</v>
      </c>
      <c r="AQ151" s="13" t="str">
        <f t="shared" si="104"/>
        <v>-</v>
      </c>
      <c r="AR151" s="13" t="str">
        <f t="shared" si="105"/>
        <v>-</v>
      </c>
      <c r="AS151" s="13" t="str">
        <f t="shared" si="92"/>
        <v>-</v>
      </c>
      <c r="AT151" s="16" t="str">
        <f t="shared" si="106"/>
        <v>-</v>
      </c>
      <c r="AU151" s="16" t="str">
        <f t="shared" si="93"/>
        <v>-</v>
      </c>
      <c r="AV151" s="16" t="str">
        <f t="shared" si="94"/>
        <v>-</v>
      </c>
      <c r="AW151" s="16" t="str">
        <f t="shared" si="107"/>
        <v>-</v>
      </c>
      <c r="AX151" s="13" t="str">
        <f t="shared" si="108"/>
        <v>-</v>
      </c>
      <c r="AY151" s="10" t="str">
        <f t="shared" si="109"/>
        <v>-</v>
      </c>
      <c r="AZ151" s="9" t="str">
        <f t="shared" si="110"/>
        <v>-</v>
      </c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</row>
    <row r="152" spans="2:68" x14ac:dyDescent="0.3">
      <c r="B152" s="108" t="str">
        <f t="shared" si="95"/>
        <v/>
      </c>
      <c r="C152" s="108" t="str">
        <f t="shared" si="81"/>
        <v/>
      </c>
      <c r="D152" s="3"/>
      <c r="E152" s="3"/>
      <c r="F152" s="3"/>
      <c r="G152" s="20">
        <f>IFERROR(INDEX('Input - Iceland'!F$2:F$200,MATCH('Calculations - Iceland'!$C152,'Input - Iceland'!$B$2:$B$200,0)),"")</f>
        <v>0</v>
      </c>
      <c r="H152" s="20">
        <f>IFERROR(INDEX('Input - Iceland'!G$2:G$200,MATCH('Calculations - Iceland'!$C152,'Input - Iceland'!$B$2:$B$200,0)),"")</f>
        <v>0</v>
      </c>
      <c r="I152" s="21">
        <f>IFERROR(INDEX('Input - Iceland'!H$2:H$200,MATCH('Calculations - Iceland'!$C152,'Input - Iceland'!$B$2:$B$200,0)),"")</f>
        <v>0</v>
      </c>
      <c r="J152" s="21">
        <f>IFERROR(INDEX('Input - Iceland'!I$2:I$200,MATCH('Calculations - Iceland'!$C152,'Input - Iceland'!$B$2:$B$200,0)),"")</f>
        <v>0</v>
      </c>
      <c r="K152" s="20">
        <f>IFERROR(INDEX('Input - Iceland'!J$2:J$200,MATCH('Calculations - Iceland'!$C152,'Input - Iceland'!$B$2:$B$200,0)),"")</f>
        <v>0</v>
      </c>
      <c r="L152" s="20">
        <f>IFERROR(INDEX('Input - Iceland'!K$2:K$200,MATCH('Calculations - Iceland'!$C152,'Input - Iceland'!$B$2:$B$200,0)),"")</f>
        <v>0</v>
      </c>
      <c r="M152" s="21" t="str">
        <f t="shared" si="96"/>
        <v/>
      </c>
      <c r="N152" s="21" t="str">
        <f t="shared" si="82"/>
        <v/>
      </c>
      <c r="O152" s="21">
        <f t="shared" si="97"/>
        <v>0</v>
      </c>
      <c r="P152" s="9">
        <f t="shared" si="111"/>
        <v>0</v>
      </c>
      <c r="Q152" s="9">
        <f t="shared" si="112"/>
        <v>0</v>
      </c>
      <c r="R152" s="22" t="str">
        <f>IFERROR(INDEX(Iceland!$Q$11:$Q$165,MATCH('Calculations - Iceland'!$C152,Iceland!$M$11:$M$165,0)),"")</f>
        <v/>
      </c>
      <c r="S152" s="22" t="str">
        <f>IFERROR(INDEX(Iceland!$R$11:$R$165,MATCH('Calculations - Iceland'!$C152,Iceland!$M$11:$M$165,0)),"")</f>
        <v/>
      </c>
      <c r="T152" s="16" t="e">
        <f t="shared" si="83"/>
        <v>#VALUE!</v>
      </c>
      <c r="U152" s="16" t="e">
        <f t="shared" si="98"/>
        <v>#VALUE!</v>
      </c>
      <c r="V152" s="16" t="e">
        <f t="shared" si="99"/>
        <v>#VALUE!</v>
      </c>
      <c r="W152" s="10" t="str">
        <f t="shared" si="84"/>
        <v>-</v>
      </c>
      <c r="X152" s="10" t="str">
        <f t="shared" si="85"/>
        <v>-</v>
      </c>
      <c r="Y152" s="13" t="str">
        <f t="shared" si="100"/>
        <v>-</v>
      </c>
      <c r="Z152" s="9" t="str">
        <f t="shared" si="86"/>
        <v>-</v>
      </c>
      <c r="AA152" s="16" t="str">
        <f t="shared" si="101"/>
        <v>-</v>
      </c>
      <c r="AB152" s="16" t="str">
        <f t="shared" si="87"/>
        <v>-</v>
      </c>
      <c r="AC152" s="16" t="str">
        <f t="shared" si="88"/>
        <v>-</v>
      </c>
      <c r="AD152" s="16" t="str">
        <f t="shared" si="102"/>
        <v>-</v>
      </c>
      <c r="AE152" s="16"/>
      <c r="AF152" s="31" t="str">
        <f>IFERROR(INDEX(Iceland!$P$11:$P$165,MATCH('Calculations - Iceland'!C152,Iceland!$M$11:$M$165,0)),"")</f>
        <v/>
      </c>
      <c r="AG152" s="23" t="str">
        <f t="shared" si="103"/>
        <v/>
      </c>
      <c r="AH152" s="23" t="str">
        <f t="shared" si="103"/>
        <v/>
      </c>
      <c r="AI152" s="9" t="str">
        <f t="shared" si="89"/>
        <v/>
      </c>
      <c r="AJ152" s="4" t="str">
        <f t="shared" si="90"/>
        <v/>
      </c>
      <c r="AK152" s="4"/>
      <c r="AL152" s="4"/>
      <c r="AM152" s="4"/>
      <c r="AN152" s="4"/>
      <c r="AO152" s="4"/>
      <c r="AP152" s="20" t="str">
        <f t="shared" si="91"/>
        <v>-</v>
      </c>
      <c r="AQ152" s="13" t="str">
        <f t="shared" si="104"/>
        <v>-</v>
      </c>
      <c r="AR152" s="13" t="str">
        <f t="shared" si="105"/>
        <v>-</v>
      </c>
      <c r="AS152" s="13" t="str">
        <f t="shared" si="92"/>
        <v>-</v>
      </c>
      <c r="AT152" s="16" t="str">
        <f t="shared" si="106"/>
        <v>-</v>
      </c>
      <c r="AU152" s="16" t="str">
        <f t="shared" si="93"/>
        <v>-</v>
      </c>
      <c r="AV152" s="16" t="str">
        <f t="shared" si="94"/>
        <v>-</v>
      </c>
      <c r="AW152" s="16" t="str">
        <f t="shared" si="107"/>
        <v>-</v>
      </c>
      <c r="AX152" s="13" t="str">
        <f t="shared" si="108"/>
        <v>-</v>
      </c>
      <c r="AY152" s="10" t="str">
        <f t="shared" si="109"/>
        <v>-</v>
      </c>
      <c r="AZ152" s="9" t="str">
        <f t="shared" si="110"/>
        <v>-</v>
      </c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</row>
    <row r="153" spans="2:68" x14ac:dyDescent="0.3">
      <c r="B153" s="108" t="str">
        <f t="shared" si="95"/>
        <v/>
      </c>
      <c r="C153" s="108" t="str">
        <f t="shared" si="81"/>
        <v/>
      </c>
      <c r="D153" s="3"/>
      <c r="E153" s="3"/>
      <c r="F153" s="3"/>
      <c r="G153" s="20">
        <f>IFERROR(INDEX('Input - Iceland'!F$2:F$200,MATCH('Calculations - Iceland'!$C153,'Input - Iceland'!$B$2:$B$200,0)),"")</f>
        <v>0</v>
      </c>
      <c r="H153" s="20">
        <f>IFERROR(INDEX('Input - Iceland'!G$2:G$200,MATCH('Calculations - Iceland'!$C153,'Input - Iceland'!$B$2:$B$200,0)),"")</f>
        <v>0</v>
      </c>
      <c r="I153" s="21">
        <f>IFERROR(INDEX('Input - Iceland'!H$2:H$200,MATCH('Calculations - Iceland'!$C153,'Input - Iceland'!$B$2:$B$200,0)),"")</f>
        <v>0</v>
      </c>
      <c r="J153" s="21">
        <f>IFERROR(INDEX('Input - Iceland'!I$2:I$200,MATCH('Calculations - Iceland'!$C153,'Input - Iceland'!$B$2:$B$200,0)),"")</f>
        <v>0</v>
      </c>
      <c r="K153" s="20">
        <f>IFERROR(INDEX('Input - Iceland'!J$2:J$200,MATCH('Calculations - Iceland'!$C153,'Input - Iceland'!$B$2:$B$200,0)),"")</f>
        <v>0</v>
      </c>
      <c r="L153" s="20">
        <f>IFERROR(INDEX('Input - Iceland'!K$2:K$200,MATCH('Calculations - Iceland'!$C153,'Input - Iceland'!$B$2:$B$200,0)),"")</f>
        <v>0</v>
      </c>
      <c r="M153" s="21" t="str">
        <f t="shared" si="96"/>
        <v/>
      </c>
      <c r="N153" s="21" t="str">
        <f t="shared" si="82"/>
        <v/>
      </c>
      <c r="O153" s="21">
        <f t="shared" si="97"/>
        <v>0</v>
      </c>
      <c r="P153" s="9">
        <f t="shared" si="111"/>
        <v>0</v>
      </c>
      <c r="Q153" s="9">
        <f t="shared" si="112"/>
        <v>0</v>
      </c>
      <c r="R153" s="22" t="str">
        <f>IFERROR(INDEX(Iceland!$Q$11:$Q$165,MATCH('Calculations - Iceland'!$C153,Iceland!$M$11:$M$165,0)),"")</f>
        <v/>
      </c>
      <c r="S153" s="22" t="str">
        <f>IFERROR(INDEX(Iceland!$R$11:$R$165,MATCH('Calculations - Iceland'!$C153,Iceland!$M$11:$M$165,0)),"")</f>
        <v/>
      </c>
      <c r="T153" s="16" t="e">
        <f t="shared" si="83"/>
        <v>#VALUE!</v>
      </c>
      <c r="U153" s="16" t="e">
        <f t="shared" si="98"/>
        <v>#VALUE!</v>
      </c>
      <c r="V153" s="16" t="e">
        <f t="shared" si="99"/>
        <v>#VALUE!</v>
      </c>
      <c r="W153" s="10" t="str">
        <f t="shared" si="84"/>
        <v>-</v>
      </c>
      <c r="X153" s="10" t="str">
        <f t="shared" si="85"/>
        <v>-</v>
      </c>
      <c r="Y153" s="13" t="str">
        <f t="shared" si="100"/>
        <v>-</v>
      </c>
      <c r="Z153" s="9" t="str">
        <f t="shared" si="86"/>
        <v>-</v>
      </c>
      <c r="AA153" s="16" t="str">
        <f t="shared" si="101"/>
        <v>-</v>
      </c>
      <c r="AB153" s="16" t="str">
        <f t="shared" si="87"/>
        <v>-</v>
      </c>
      <c r="AC153" s="16" t="str">
        <f t="shared" si="88"/>
        <v>-</v>
      </c>
      <c r="AD153" s="16" t="str">
        <f t="shared" si="102"/>
        <v>-</v>
      </c>
      <c r="AE153" s="16"/>
      <c r="AF153" s="31" t="str">
        <f>IFERROR(INDEX(Iceland!$P$11:$P$165,MATCH('Calculations - Iceland'!C153,Iceland!$M$11:$M$165,0)),"")</f>
        <v/>
      </c>
      <c r="AG153" s="23" t="str">
        <f t="shared" si="103"/>
        <v/>
      </c>
      <c r="AH153" s="23" t="str">
        <f t="shared" si="103"/>
        <v/>
      </c>
      <c r="AI153" s="9" t="str">
        <f t="shared" si="89"/>
        <v/>
      </c>
      <c r="AJ153" s="4" t="str">
        <f t="shared" si="90"/>
        <v/>
      </c>
      <c r="AK153" s="4"/>
      <c r="AL153" s="4"/>
      <c r="AM153" s="4"/>
      <c r="AN153" s="4"/>
      <c r="AO153" s="4"/>
      <c r="AP153" s="20" t="str">
        <f t="shared" si="91"/>
        <v>-</v>
      </c>
      <c r="AQ153" s="13" t="str">
        <f t="shared" si="104"/>
        <v>-</v>
      </c>
      <c r="AR153" s="13" t="str">
        <f t="shared" si="105"/>
        <v>-</v>
      </c>
      <c r="AS153" s="13" t="str">
        <f t="shared" si="92"/>
        <v>-</v>
      </c>
      <c r="AT153" s="16" t="str">
        <f t="shared" si="106"/>
        <v>-</v>
      </c>
      <c r="AU153" s="16" t="str">
        <f t="shared" si="93"/>
        <v>-</v>
      </c>
      <c r="AV153" s="16" t="str">
        <f t="shared" si="94"/>
        <v>-</v>
      </c>
      <c r="AW153" s="16" t="str">
        <f t="shared" si="107"/>
        <v>-</v>
      </c>
      <c r="AX153" s="13" t="str">
        <f t="shared" si="108"/>
        <v>-</v>
      </c>
      <c r="AY153" s="10" t="str">
        <f t="shared" si="109"/>
        <v>-</v>
      </c>
      <c r="AZ153" s="9" t="str">
        <f t="shared" si="110"/>
        <v>-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</row>
    <row r="154" spans="2:68" x14ac:dyDescent="0.3">
      <c r="B154" s="108" t="str">
        <f t="shared" si="95"/>
        <v/>
      </c>
      <c r="C154" s="108" t="str">
        <f t="shared" si="81"/>
        <v/>
      </c>
      <c r="D154" s="3"/>
      <c r="E154" s="3"/>
      <c r="F154" s="3"/>
      <c r="G154" s="20">
        <f>IFERROR(INDEX('Input - Iceland'!F$2:F$200,MATCH('Calculations - Iceland'!$C154,'Input - Iceland'!$B$2:$B$200,0)),"")</f>
        <v>0</v>
      </c>
      <c r="H154" s="20">
        <f>IFERROR(INDEX('Input - Iceland'!G$2:G$200,MATCH('Calculations - Iceland'!$C154,'Input - Iceland'!$B$2:$B$200,0)),"")</f>
        <v>0</v>
      </c>
      <c r="I154" s="21">
        <f>IFERROR(INDEX('Input - Iceland'!H$2:H$200,MATCH('Calculations - Iceland'!$C154,'Input - Iceland'!$B$2:$B$200,0)),"")</f>
        <v>0</v>
      </c>
      <c r="J154" s="21">
        <f>IFERROR(INDEX('Input - Iceland'!I$2:I$200,MATCH('Calculations - Iceland'!$C154,'Input - Iceland'!$B$2:$B$200,0)),"")</f>
        <v>0</v>
      </c>
      <c r="K154" s="20">
        <f>IFERROR(INDEX('Input - Iceland'!J$2:J$200,MATCH('Calculations - Iceland'!$C154,'Input - Iceland'!$B$2:$B$200,0)),"")</f>
        <v>0</v>
      </c>
      <c r="L154" s="20">
        <f>IFERROR(INDEX('Input - Iceland'!K$2:K$200,MATCH('Calculations - Iceland'!$C154,'Input - Iceland'!$B$2:$B$200,0)),"")</f>
        <v>0</v>
      </c>
      <c r="M154" s="21" t="str">
        <f t="shared" si="96"/>
        <v/>
      </c>
      <c r="N154" s="21" t="str">
        <f t="shared" si="82"/>
        <v/>
      </c>
      <c r="O154" s="21">
        <f t="shared" si="97"/>
        <v>0</v>
      </c>
      <c r="P154" s="9">
        <f t="shared" si="111"/>
        <v>0</v>
      </c>
      <c r="Q154" s="9">
        <f t="shared" si="112"/>
        <v>0</v>
      </c>
      <c r="R154" s="22" t="str">
        <f>IFERROR(INDEX(Iceland!$Q$11:$Q$165,MATCH('Calculations - Iceland'!$C154,Iceland!$M$11:$M$165,0)),"")</f>
        <v/>
      </c>
      <c r="S154" s="22" t="str">
        <f>IFERROR(INDEX(Iceland!$R$11:$R$165,MATCH('Calculations - Iceland'!$C154,Iceland!$M$11:$M$165,0)),"")</f>
        <v/>
      </c>
      <c r="T154" s="16" t="e">
        <f t="shared" si="83"/>
        <v>#VALUE!</v>
      </c>
      <c r="U154" s="16" t="e">
        <f t="shared" si="98"/>
        <v>#VALUE!</v>
      </c>
      <c r="V154" s="16" t="e">
        <f t="shared" si="99"/>
        <v>#VALUE!</v>
      </c>
      <c r="W154" s="10" t="str">
        <f t="shared" si="84"/>
        <v>-</v>
      </c>
      <c r="X154" s="10" t="str">
        <f t="shared" si="85"/>
        <v>-</v>
      </c>
      <c r="Y154" s="13" t="str">
        <f t="shared" si="100"/>
        <v>-</v>
      </c>
      <c r="Z154" s="9" t="str">
        <f t="shared" si="86"/>
        <v>-</v>
      </c>
      <c r="AA154" s="16" t="str">
        <f t="shared" si="101"/>
        <v>-</v>
      </c>
      <c r="AB154" s="16" t="str">
        <f t="shared" si="87"/>
        <v>-</v>
      </c>
      <c r="AC154" s="16" t="str">
        <f t="shared" si="88"/>
        <v>-</v>
      </c>
      <c r="AD154" s="16" t="str">
        <f t="shared" si="102"/>
        <v>-</v>
      </c>
      <c r="AE154" s="16"/>
      <c r="AF154" s="31" t="str">
        <f>IFERROR(INDEX(Iceland!$P$11:$P$165,MATCH('Calculations - Iceland'!C154,Iceland!$M$11:$M$165,0)),"")</f>
        <v/>
      </c>
      <c r="AG154" s="23" t="str">
        <f t="shared" si="103"/>
        <v/>
      </c>
      <c r="AH154" s="23" t="str">
        <f t="shared" si="103"/>
        <v/>
      </c>
      <c r="AI154" s="9" t="str">
        <f t="shared" si="89"/>
        <v/>
      </c>
      <c r="AJ154" s="4" t="str">
        <f t="shared" si="90"/>
        <v/>
      </c>
      <c r="AK154" s="4"/>
      <c r="AL154" s="4"/>
      <c r="AM154" s="4"/>
      <c r="AN154" s="4"/>
      <c r="AO154" s="4"/>
      <c r="AP154" s="20" t="str">
        <f t="shared" si="91"/>
        <v>-</v>
      </c>
      <c r="AQ154" s="13" t="str">
        <f t="shared" si="104"/>
        <v>-</v>
      </c>
      <c r="AR154" s="13" t="str">
        <f t="shared" si="105"/>
        <v>-</v>
      </c>
      <c r="AS154" s="13" t="str">
        <f t="shared" si="92"/>
        <v>-</v>
      </c>
      <c r="AT154" s="16" t="str">
        <f t="shared" si="106"/>
        <v>-</v>
      </c>
      <c r="AU154" s="16" t="str">
        <f t="shared" si="93"/>
        <v>-</v>
      </c>
      <c r="AV154" s="16" t="str">
        <f t="shared" si="94"/>
        <v>-</v>
      </c>
      <c r="AW154" s="16" t="str">
        <f t="shared" si="107"/>
        <v>-</v>
      </c>
      <c r="AX154" s="13" t="str">
        <f t="shared" si="108"/>
        <v>-</v>
      </c>
      <c r="AY154" s="10" t="str">
        <f t="shared" si="109"/>
        <v>-</v>
      </c>
      <c r="AZ154" s="9" t="str">
        <f t="shared" si="110"/>
        <v>-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</row>
    <row r="155" spans="2:68" x14ac:dyDescent="0.3">
      <c r="B155" s="108" t="str">
        <f t="shared" si="95"/>
        <v/>
      </c>
      <c r="C155" s="108" t="str">
        <f t="shared" si="81"/>
        <v/>
      </c>
      <c r="D155" s="3"/>
      <c r="E155" s="3"/>
      <c r="F155" s="3"/>
      <c r="G155" s="20">
        <f>IFERROR(INDEX('Input - Iceland'!F$2:F$200,MATCH('Calculations - Iceland'!$C155,'Input - Iceland'!$B$2:$B$200,0)),"")</f>
        <v>0</v>
      </c>
      <c r="H155" s="20">
        <f>IFERROR(INDEX('Input - Iceland'!G$2:G$200,MATCH('Calculations - Iceland'!$C155,'Input - Iceland'!$B$2:$B$200,0)),"")</f>
        <v>0</v>
      </c>
      <c r="I155" s="21">
        <f>IFERROR(INDEX('Input - Iceland'!H$2:H$200,MATCH('Calculations - Iceland'!$C155,'Input - Iceland'!$B$2:$B$200,0)),"")</f>
        <v>0</v>
      </c>
      <c r="J155" s="21">
        <f>IFERROR(INDEX('Input - Iceland'!I$2:I$200,MATCH('Calculations - Iceland'!$C155,'Input - Iceland'!$B$2:$B$200,0)),"")</f>
        <v>0</v>
      </c>
      <c r="K155" s="20">
        <f>IFERROR(INDEX('Input - Iceland'!J$2:J$200,MATCH('Calculations - Iceland'!$C155,'Input - Iceland'!$B$2:$B$200,0)),"")</f>
        <v>0</v>
      </c>
      <c r="L155" s="20">
        <f>IFERROR(INDEX('Input - Iceland'!K$2:K$200,MATCH('Calculations - Iceland'!$C155,'Input - Iceland'!$B$2:$B$200,0)),"")</f>
        <v>0</v>
      </c>
      <c r="M155" s="21" t="str">
        <f t="shared" si="96"/>
        <v/>
      </c>
      <c r="N155" s="21" t="str">
        <f t="shared" si="82"/>
        <v/>
      </c>
      <c r="O155" s="21">
        <f t="shared" si="97"/>
        <v>0</v>
      </c>
      <c r="P155" s="9">
        <f t="shared" si="111"/>
        <v>0</v>
      </c>
      <c r="Q155" s="9">
        <f t="shared" si="112"/>
        <v>0</v>
      </c>
      <c r="R155" s="22" t="str">
        <f>IFERROR(INDEX(Iceland!$Q$11:$Q$165,MATCH('Calculations - Iceland'!$C155,Iceland!$M$11:$M$165,0)),"")</f>
        <v/>
      </c>
      <c r="S155" s="22" t="str">
        <f>IFERROR(INDEX(Iceland!$R$11:$R$165,MATCH('Calculations - Iceland'!$C155,Iceland!$M$11:$M$165,0)),"")</f>
        <v/>
      </c>
      <c r="T155" s="16" t="e">
        <f t="shared" si="83"/>
        <v>#VALUE!</v>
      </c>
      <c r="U155" s="16" t="e">
        <f t="shared" si="98"/>
        <v>#VALUE!</v>
      </c>
      <c r="V155" s="16" t="e">
        <f t="shared" si="99"/>
        <v>#VALUE!</v>
      </c>
      <c r="W155" s="10" t="str">
        <f t="shared" si="84"/>
        <v>-</v>
      </c>
      <c r="X155" s="10" t="str">
        <f t="shared" si="85"/>
        <v>-</v>
      </c>
      <c r="Y155" s="13" t="str">
        <f t="shared" si="100"/>
        <v>-</v>
      </c>
      <c r="Z155" s="9" t="str">
        <f t="shared" si="86"/>
        <v>-</v>
      </c>
      <c r="AA155" s="16" t="str">
        <f t="shared" si="101"/>
        <v>-</v>
      </c>
      <c r="AB155" s="16" t="str">
        <f t="shared" si="87"/>
        <v>-</v>
      </c>
      <c r="AC155" s="16" t="str">
        <f t="shared" si="88"/>
        <v>-</v>
      </c>
      <c r="AD155" s="16" t="str">
        <f t="shared" si="102"/>
        <v>-</v>
      </c>
      <c r="AE155" s="16"/>
      <c r="AF155" s="31" t="str">
        <f>IFERROR(INDEX(Iceland!$P$11:$P$165,MATCH('Calculations - Iceland'!C155,Iceland!$M$11:$M$165,0)),"")</f>
        <v/>
      </c>
      <c r="AG155" s="23" t="str">
        <f t="shared" si="103"/>
        <v/>
      </c>
      <c r="AH155" s="23" t="str">
        <f t="shared" si="103"/>
        <v/>
      </c>
      <c r="AI155" s="9" t="str">
        <f t="shared" si="89"/>
        <v/>
      </c>
      <c r="AJ155" s="4" t="str">
        <f t="shared" si="90"/>
        <v/>
      </c>
      <c r="AK155" s="4"/>
      <c r="AL155" s="4"/>
      <c r="AM155" s="4"/>
      <c r="AN155" s="4"/>
      <c r="AO155" s="4"/>
      <c r="AP155" s="20" t="str">
        <f t="shared" si="91"/>
        <v>-</v>
      </c>
      <c r="AQ155" s="13" t="str">
        <f t="shared" si="104"/>
        <v>-</v>
      </c>
      <c r="AR155" s="13" t="str">
        <f t="shared" si="105"/>
        <v>-</v>
      </c>
      <c r="AS155" s="13" t="str">
        <f t="shared" si="92"/>
        <v>-</v>
      </c>
      <c r="AT155" s="16" t="str">
        <f t="shared" si="106"/>
        <v>-</v>
      </c>
      <c r="AU155" s="16" t="str">
        <f t="shared" si="93"/>
        <v>-</v>
      </c>
      <c r="AV155" s="16" t="str">
        <f t="shared" si="94"/>
        <v>-</v>
      </c>
      <c r="AW155" s="16" t="str">
        <f t="shared" si="107"/>
        <v>-</v>
      </c>
      <c r="AX155" s="13" t="str">
        <f t="shared" si="108"/>
        <v>-</v>
      </c>
      <c r="AY155" s="10" t="str">
        <f t="shared" si="109"/>
        <v>-</v>
      </c>
      <c r="AZ155" s="9" t="str">
        <f t="shared" si="110"/>
        <v>-</v>
      </c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</row>
    <row r="156" spans="2:68" x14ac:dyDescent="0.3">
      <c r="B156" s="108" t="str">
        <f t="shared" si="95"/>
        <v/>
      </c>
      <c r="C156" s="108" t="str">
        <f t="shared" si="81"/>
        <v/>
      </c>
      <c r="D156" s="3"/>
      <c r="E156" s="3"/>
      <c r="F156" s="3"/>
      <c r="G156" s="20">
        <f>IFERROR(INDEX('Input - Iceland'!F$2:F$200,MATCH('Calculations - Iceland'!$C156,'Input - Iceland'!$B$2:$B$200,0)),"")</f>
        <v>0</v>
      </c>
      <c r="H156" s="20">
        <f>IFERROR(INDEX('Input - Iceland'!G$2:G$200,MATCH('Calculations - Iceland'!$C156,'Input - Iceland'!$B$2:$B$200,0)),"")</f>
        <v>0</v>
      </c>
      <c r="I156" s="21">
        <f>IFERROR(INDEX('Input - Iceland'!H$2:H$200,MATCH('Calculations - Iceland'!$C156,'Input - Iceland'!$B$2:$B$200,0)),"")</f>
        <v>0</v>
      </c>
      <c r="J156" s="21">
        <f>IFERROR(INDEX('Input - Iceland'!I$2:I$200,MATCH('Calculations - Iceland'!$C156,'Input - Iceland'!$B$2:$B$200,0)),"")</f>
        <v>0</v>
      </c>
      <c r="K156" s="20">
        <f>IFERROR(INDEX('Input - Iceland'!J$2:J$200,MATCH('Calculations - Iceland'!$C156,'Input - Iceland'!$B$2:$B$200,0)),"")</f>
        <v>0</v>
      </c>
      <c r="L156" s="20">
        <f>IFERROR(INDEX('Input - Iceland'!K$2:K$200,MATCH('Calculations - Iceland'!$C156,'Input - Iceland'!$B$2:$B$200,0)),"")</f>
        <v>0</v>
      </c>
      <c r="M156" s="21" t="str">
        <f t="shared" si="96"/>
        <v/>
      </c>
      <c r="N156" s="21" t="str">
        <f t="shared" si="82"/>
        <v/>
      </c>
      <c r="O156" s="21">
        <f t="shared" si="97"/>
        <v>0</v>
      </c>
      <c r="P156" s="9">
        <f t="shared" si="111"/>
        <v>0</v>
      </c>
      <c r="Q156" s="9">
        <f t="shared" si="112"/>
        <v>0</v>
      </c>
      <c r="R156" s="22" t="str">
        <f>IFERROR(INDEX(Iceland!$Q$11:$Q$165,MATCH('Calculations - Iceland'!$C156,Iceland!$M$11:$M$165,0)),"")</f>
        <v/>
      </c>
      <c r="S156" s="22" t="str">
        <f>IFERROR(INDEX(Iceland!$R$11:$R$165,MATCH('Calculations - Iceland'!$C156,Iceland!$M$11:$M$165,0)),"")</f>
        <v/>
      </c>
      <c r="T156" s="16" t="e">
        <f t="shared" si="83"/>
        <v>#VALUE!</v>
      </c>
      <c r="U156" s="16" t="e">
        <f t="shared" si="98"/>
        <v>#VALUE!</v>
      </c>
      <c r="V156" s="16" t="e">
        <f t="shared" si="99"/>
        <v>#VALUE!</v>
      </c>
      <c r="W156" s="10" t="str">
        <f t="shared" si="84"/>
        <v>-</v>
      </c>
      <c r="X156" s="10" t="str">
        <f t="shared" si="85"/>
        <v>-</v>
      </c>
      <c r="Y156" s="13" t="str">
        <f t="shared" si="100"/>
        <v>-</v>
      </c>
      <c r="Z156" s="9" t="str">
        <f t="shared" si="86"/>
        <v>-</v>
      </c>
      <c r="AA156" s="16" t="str">
        <f t="shared" si="101"/>
        <v>-</v>
      </c>
      <c r="AB156" s="16" t="str">
        <f t="shared" si="87"/>
        <v>-</v>
      </c>
      <c r="AC156" s="16" t="str">
        <f t="shared" si="88"/>
        <v>-</v>
      </c>
      <c r="AD156" s="16" t="str">
        <f t="shared" si="102"/>
        <v>-</v>
      </c>
      <c r="AE156" s="16"/>
      <c r="AF156" s="31" t="str">
        <f>IFERROR(INDEX(Iceland!$P$11:$P$165,MATCH('Calculations - Iceland'!C156,Iceland!$M$11:$M$165,0)),"")</f>
        <v/>
      </c>
      <c r="AG156" s="23" t="str">
        <f t="shared" si="103"/>
        <v/>
      </c>
      <c r="AH156" s="23" t="str">
        <f t="shared" si="103"/>
        <v/>
      </c>
      <c r="AI156" s="9" t="str">
        <f t="shared" si="89"/>
        <v/>
      </c>
      <c r="AJ156" s="4" t="str">
        <f t="shared" si="90"/>
        <v/>
      </c>
      <c r="AK156" s="4"/>
      <c r="AL156" s="4"/>
      <c r="AM156" s="4"/>
      <c r="AN156" s="4"/>
      <c r="AO156" s="4"/>
      <c r="AP156" s="20" t="str">
        <f t="shared" si="91"/>
        <v>-</v>
      </c>
      <c r="AQ156" s="13" t="str">
        <f t="shared" si="104"/>
        <v>-</v>
      </c>
      <c r="AR156" s="13" t="str">
        <f t="shared" si="105"/>
        <v>-</v>
      </c>
      <c r="AS156" s="13" t="str">
        <f t="shared" si="92"/>
        <v>-</v>
      </c>
      <c r="AT156" s="16" t="str">
        <f t="shared" si="106"/>
        <v>-</v>
      </c>
      <c r="AU156" s="16" t="str">
        <f t="shared" si="93"/>
        <v>-</v>
      </c>
      <c r="AV156" s="16" t="str">
        <f t="shared" si="94"/>
        <v>-</v>
      </c>
      <c r="AW156" s="16" t="str">
        <f t="shared" si="107"/>
        <v>-</v>
      </c>
      <c r="AX156" s="13" t="str">
        <f t="shared" si="108"/>
        <v>-</v>
      </c>
      <c r="AY156" s="10" t="str">
        <f t="shared" si="109"/>
        <v>-</v>
      </c>
      <c r="AZ156" s="9" t="str">
        <f t="shared" si="110"/>
        <v>-</v>
      </c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</row>
    <row r="157" spans="2:68" x14ac:dyDescent="0.3">
      <c r="B157" s="108" t="str">
        <f t="shared" si="95"/>
        <v/>
      </c>
      <c r="C157" s="108" t="str">
        <f t="shared" si="81"/>
        <v/>
      </c>
      <c r="D157" s="3"/>
      <c r="E157" s="3"/>
      <c r="F157" s="3"/>
      <c r="G157" s="20">
        <f>IFERROR(INDEX('Input - Iceland'!F$2:F$200,MATCH('Calculations - Iceland'!$C157,'Input - Iceland'!$B$2:$B$200,0)),"")</f>
        <v>0</v>
      </c>
      <c r="H157" s="20">
        <f>IFERROR(INDEX('Input - Iceland'!G$2:G$200,MATCH('Calculations - Iceland'!$C157,'Input - Iceland'!$B$2:$B$200,0)),"")</f>
        <v>0</v>
      </c>
      <c r="I157" s="21">
        <f>IFERROR(INDEX('Input - Iceland'!H$2:H$200,MATCH('Calculations - Iceland'!$C157,'Input - Iceland'!$B$2:$B$200,0)),"")</f>
        <v>0</v>
      </c>
      <c r="J157" s="21">
        <f>IFERROR(INDEX('Input - Iceland'!I$2:I$200,MATCH('Calculations - Iceland'!$C157,'Input - Iceland'!$B$2:$B$200,0)),"")</f>
        <v>0</v>
      </c>
      <c r="K157" s="20">
        <f>IFERROR(INDEX('Input - Iceland'!J$2:J$200,MATCH('Calculations - Iceland'!$C157,'Input - Iceland'!$B$2:$B$200,0)),"")</f>
        <v>0</v>
      </c>
      <c r="L157" s="20">
        <f>IFERROR(INDEX('Input - Iceland'!K$2:K$200,MATCH('Calculations - Iceland'!$C157,'Input - Iceland'!$B$2:$B$200,0)),"")</f>
        <v>0</v>
      </c>
      <c r="M157" s="21" t="str">
        <f t="shared" si="96"/>
        <v/>
      </c>
      <c r="N157" s="21" t="str">
        <f t="shared" si="82"/>
        <v/>
      </c>
      <c r="O157" s="21">
        <f t="shared" si="97"/>
        <v>0</v>
      </c>
      <c r="P157" s="9">
        <f t="shared" si="111"/>
        <v>0</v>
      </c>
      <c r="Q157" s="9">
        <f t="shared" si="112"/>
        <v>0</v>
      </c>
      <c r="R157" s="22" t="str">
        <f>IFERROR(INDEX(Iceland!$Q$11:$Q$165,MATCH('Calculations - Iceland'!$C157,Iceland!$M$11:$M$165,0)),"")</f>
        <v/>
      </c>
      <c r="S157" s="22" t="str">
        <f>IFERROR(INDEX(Iceland!$R$11:$R$165,MATCH('Calculations - Iceland'!$C157,Iceland!$M$11:$M$165,0)),"")</f>
        <v/>
      </c>
      <c r="T157" s="16" t="e">
        <f t="shared" si="83"/>
        <v>#VALUE!</v>
      </c>
      <c r="U157" s="16" t="e">
        <f t="shared" si="98"/>
        <v>#VALUE!</v>
      </c>
      <c r="V157" s="16" t="e">
        <f t="shared" si="99"/>
        <v>#VALUE!</v>
      </c>
      <c r="W157" s="10" t="str">
        <f t="shared" si="84"/>
        <v>-</v>
      </c>
      <c r="X157" s="10" t="str">
        <f t="shared" si="85"/>
        <v>-</v>
      </c>
      <c r="Y157" s="13" t="str">
        <f t="shared" si="100"/>
        <v>-</v>
      </c>
      <c r="Z157" s="9" t="str">
        <f t="shared" si="86"/>
        <v>-</v>
      </c>
      <c r="AA157" s="16" t="str">
        <f t="shared" si="101"/>
        <v>-</v>
      </c>
      <c r="AB157" s="16" t="str">
        <f t="shared" si="87"/>
        <v>-</v>
      </c>
      <c r="AC157" s="16" t="str">
        <f t="shared" si="88"/>
        <v>-</v>
      </c>
      <c r="AD157" s="16" t="str">
        <f t="shared" si="102"/>
        <v>-</v>
      </c>
      <c r="AE157" s="16"/>
      <c r="AF157" s="31" t="str">
        <f>IFERROR(INDEX(Iceland!$P$11:$P$165,MATCH('Calculations - Iceland'!C157,Iceland!$M$11:$M$165,0)),"")</f>
        <v/>
      </c>
      <c r="AG157" s="23" t="str">
        <f t="shared" si="103"/>
        <v/>
      </c>
      <c r="AH157" s="23" t="str">
        <f t="shared" si="103"/>
        <v/>
      </c>
      <c r="AI157" s="9" t="str">
        <f t="shared" si="89"/>
        <v/>
      </c>
      <c r="AJ157" s="4" t="str">
        <f t="shared" si="90"/>
        <v/>
      </c>
      <c r="AK157" s="4"/>
      <c r="AL157" s="4"/>
      <c r="AM157" s="4"/>
      <c r="AN157" s="4"/>
      <c r="AO157" s="4"/>
      <c r="AP157" s="20" t="str">
        <f t="shared" si="91"/>
        <v>-</v>
      </c>
      <c r="AQ157" s="13" t="str">
        <f t="shared" si="104"/>
        <v>-</v>
      </c>
      <c r="AR157" s="13" t="str">
        <f t="shared" si="105"/>
        <v>-</v>
      </c>
      <c r="AS157" s="13" t="str">
        <f t="shared" si="92"/>
        <v>-</v>
      </c>
      <c r="AT157" s="16" t="str">
        <f t="shared" si="106"/>
        <v>-</v>
      </c>
      <c r="AU157" s="16" t="str">
        <f t="shared" si="93"/>
        <v>-</v>
      </c>
      <c r="AV157" s="16" t="str">
        <f t="shared" si="94"/>
        <v>-</v>
      </c>
      <c r="AW157" s="16" t="str">
        <f t="shared" si="107"/>
        <v>-</v>
      </c>
      <c r="AX157" s="13" t="str">
        <f t="shared" si="108"/>
        <v>-</v>
      </c>
      <c r="AY157" s="10" t="str">
        <f t="shared" si="109"/>
        <v>-</v>
      </c>
      <c r="AZ157" s="9" t="str">
        <f t="shared" si="110"/>
        <v>-</v>
      </c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</row>
    <row r="158" spans="2:68" x14ac:dyDescent="0.3">
      <c r="B158" s="108" t="str">
        <f t="shared" si="95"/>
        <v/>
      </c>
      <c r="C158" s="108" t="str">
        <f t="shared" si="81"/>
        <v/>
      </c>
      <c r="D158" s="3"/>
      <c r="E158" s="3"/>
      <c r="F158" s="3"/>
      <c r="G158" s="20">
        <f>IFERROR(INDEX('Input - Iceland'!F$2:F$200,MATCH('Calculations - Iceland'!$C158,'Input - Iceland'!$B$2:$B$200,0)),"")</f>
        <v>0</v>
      </c>
      <c r="H158" s="20">
        <f>IFERROR(INDEX('Input - Iceland'!G$2:G$200,MATCH('Calculations - Iceland'!$C158,'Input - Iceland'!$B$2:$B$200,0)),"")</f>
        <v>0</v>
      </c>
      <c r="I158" s="21">
        <f>IFERROR(INDEX('Input - Iceland'!H$2:H$200,MATCH('Calculations - Iceland'!$C158,'Input - Iceland'!$B$2:$B$200,0)),"")</f>
        <v>0</v>
      </c>
      <c r="J158" s="21">
        <f>IFERROR(INDEX('Input - Iceland'!I$2:I$200,MATCH('Calculations - Iceland'!$C158,'Input - Iceland'!$B$2:$B$200,0)),"")</f>
        <v>0</v>
      </c>
      <c r="K158" s="20">
        <f>IFERROR(INDEX('Input - Iceland'!J$2:J$200,MATCH('Calculations - Iceland'!$C158,'Input - Iceland'!$B$2:$B$200,0)),"")</f>
        <v>0</v>
      </c>
      <c r="L158" s="20">
        <f>IFERROR(INDEX('Input - Iceland'!K$2:K$200,MATCH('Calculations - Iceland'!$C158,'Input - Iceland'!$B$2:$B$200,0)),"")</f>
        <v>0</v>
      </c>
      <c r="M158" s="21" t="str">
        <f t="shared" si="96"/>
        <v/>
      </c>
      <c r="N158" s="21" t="str">
        <f t="shared" si="82"/>
        <v/>
      </c>
      <c r="O158" s="21">
        <f t="shared" si="97"/>
        <v>0</v>
      </c>
      <c r="P158" s="9">
        <f t="shared" si="111"/>
        <v>0</v>
      </c>
      <c r="Q158" s="9">
        <f t="shared" si="112"/>
        <v>0</v>
      </c>
      <c r="R158" s="22" t="str">
        <f>IFERROR(INDEX(Iceland!$Q$11:$Q$165,MATCH('Calculations - Iceland'!$C158,Iceland!$M$11:$M$165,0)),"")</f>
        <v/>
      </c>
      <c r="S158" s="22" t="str">
        <f>IFERROR(INDEX(Iceland!$R$11:$R$165,MATCH('Calculations - Iceland'!$C158,Iceland!$M$11:$M$165,0)),"")</f>
        <v/>
      </c>
      <c r="T158" s="16" t="e">
        <f t="shared" si="83"/>
        <v>#VALUE!</v>
      </c>
      <c r="U158" s="16" t="e">
        <f t="shared" si="98"/>
        <v>#VALUE!</v>
      </c>
      <c r="V158" s="16" t="e">
        <f t="shared" si="99"/>
        <v>#VALUE!</v>
      </c>
      <c r="W158" s="10" t="str">
        <f t="shared" si="84"/>
        <v>-</v>
      </c>
      <c r="X158" s="10" t="str">
        <f t="shared" si="85"/>
        <v>-</v>
      </c>
      <c r="Y158" s="13" t="str">
        <f t="shared" si="100"/>
        <v>-</v>
      </c>
      <c r="Z158" s="9" t="str">
        <f t="shared" si="86"/>
        <v>-</v>
      </c>
      <c r="AA158" s="16" t="str">
        <f t="shared" si="101"/>
        <v>-</v>
      </c>
      <c r="AB158" s="16" t="str">
        <f t="shared" si="87"/>
        <v>-</v>
      </c>
      <c r="AC158" s="16" t="str">
        <f t="shared" si="88"/>
        <v>-</v>
      </c>
      <c r="AD158" s="16" t="str">
        <f t="shared" si="102"/>
        <v>-</v>
      </c>
      <c r="AE158" s="16"/>
      <c r="AF158" s="31" t="str">
        <f>IFERROR(INDEX(Iceland!$P$11:$P$165,MATCH('Calculations - Iceland'!C158,Iceland!$M$11:$M$165,0)),"")</f>
        <v/>
      </c>
      <c r="AG158" s="23" t="str">
        <f t="shared" si="103"/>
        <v/>
      </c>
      <c r="AH158" s="23" t="str">
        <f t="shared" si="103"/>
        <v/>
      </c>
      <c r="AI158" s="9" t="str">
        <f t="shared" si="89"/>
        <v/>
      </c>
      <c r="AJ158" s="4" t="str">
        <f t="shared" si="90"/>
        <v/>
      </c>
      <c r="AK158" s="4"/>
      <c r="AL158" s="4"/>
      <c r="AM158" s="4"/>
      <c r="AN158" s="4"/>
      <c r="AO158" s="4"/>
      <c r="AP158" s="20" t="str">
        <f t="shared" si="91"/>
        <v>-</v>
      </c>
      <c r="AQ158" s="13" t="str">
        <f t="shared" si="104"/>
        <v>-</v>
      </c>
      <c r="AR158" s="13" t="str">
        <f t="shared" si="105"/>
        <v>-</v>
      </c>
      <c r="AS158" s="13" t="str">
        <f t="shared" si="92"/>
        <v>-</v>
      </c>
      <c r="AT158" s="16" t="str">
        <f t="shared" si="106"/>
        <v>-</v>
      </c>
      <c r="AU158" s="16" t="str">
        <f t="shared" si="93"/>
        <v>-</v>
      </c>
      <c r="AV158" s="16" t="str">
        <f t="shared" si="94"/>
        <v>-</v>
      </c>
      <c r="AW158" s="16" t="str">
        <f t="shared" si="107"/>
        <v>-</v>
      </c>
      <c r="AX158" s="13" t="str">
        <f t="shared" si="108"/>
        <v>-</v>
      </c>
      <c r="AY158" s="10" t="str">
        <f t="shared" si="109"/>
        <v>-</v>
      </c>
      <c r="AZ158" s="9" t="str">
        <f t="shared" si="110"/>
        <v>-</v>
      </c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</row>
    <row r="159" spans="2:68" x14ac:dyDescent="0.3">
      <c r="B159" s="108" t="str">
        <f t="shared" si="95"/>
        <v/>
      </c>
      <c r="C159" s="108" t="str">
        <f t="shared" si="81"/>
        <v/>
      </c>
      <c r="D159" s="3"/>
      <c r="E159" s="3"/>
      <c r="F159" s="3"/>
      <c r="G159" s="20">
        <f>IFERROR(INDEX('Input - Iceland'!F$2:F$200,MATCH('Calculations - Iceland'!$C159,'Input - Iceland'!$B$2:$B$200,0)),"")</f>
        <v>0</v>
      </c>
      <c r="H159" s="20">
        <f>IFERROR(INDEX('Input - Iceland'!G$2:G$200,MATCH('Calculations - Iceland'!$C159,'Input - Iceland'!$B$2:$B$200,0)),"")</f>
        <v>0</v>
      </c>
      <c r="I159" s="21">
        <f>IFERROR(INDEX('Input - Iceland'!H$2:H$200,MATCH('Calculations - Iceland'!$C159,'Input - Iceland'!$B$2:$B$200,0)),"")</f>
        <v>0</v>
      </c>
      <c r="J159" s="21">
        <f>IFERROR(INDEX('Input - Iceland'!I$2:I$200,MATCH('Calculations - Iceland'!$C159,'Input - Iceland'!$B$2:$B$200,0)),"")</f>
        <v>0</v>
      </c>
      <c r="K159" s="20">
        <f>IFERROR(INDEX('Input - Iceland'!J$2:J$200,MATCH('Calculations - Iceland'!$C159,'Input - Iceland'!$B$2:$B$200,0)),"")</f>
        <v>0</v>
      </c>
      <c r="L159" s="20">
        <f>IFERROR(INDEX('Input - Iceland'!K$2:K$200,MATCH('Calculations - Iceland'!$C159,'Input - Iceland'!$B$2:$B$200,0)),"")</f>
        <v>0</v>
      </c>
      <c r="M159" s="21" t="str">
        <f t="shared" si="96"/>
        <v/>
      </c>
      <c r="N159" s="21" t="str">
        <f t="shared" si="82"/>
        <v/>
      </c>
      <c r="O159" s="21">
        <f t="shared" si="97"/>
        <v>0</v>
      </c>
      <c r="P159" s="9">
        <f t="shared" si="111"/>
        <v>0</v>
      </c>
      <c r="Q159" s="9">
        <f t="shared" si="112"/>
        <v>0</v>
      </c>
      <c r="R159" s="22" t="str">
        <f>IFERROR(INDEX(Iceland!$Q$11:$Q$165,MATCH('Calculations - Iceland'!$C159,Iceland!$M$11:$M$165,0)),"")</f>
        <v/>
      </c>
      <c r="S159" s="22" t="str">
        <f>IFERROR(INDEX(Iceland!$R$11:$R$165,MATCH('Calculations - Iceland'!$C159,Iceland!$M$11:$M$165,0)),"")</f>
        <v/>
      </c>
      <c r="T159" s="16" t="e">
        <f t="shared" si="83"/>
        <v>#VALUE!</v>
      </c>
      <c r="U159" s="16" t="e">
        <f t="shared" si="98"/>
        <v>#VALUE!</v>
      </c>
      <c r="V159" s="16" t="e">
        <f t="shared" si="99"/>
        <v>#VALUE!</v>
      </c>
      <c r="W159" s="10" t="str">
        <f t="shared" si="84"/>
        <v>-</v>
      </c>
      <c r="X159" s="10" t="str">
        <f t="shared" si="85"/>
        <v>-</v>
      </c>
      <c r="Y159" s="13" t="str">
        <f t="shared" si="100"/>
        <v>-</v>
      </c>
      <c r="Z159" s="9" t="str">
        <f t="shared" si="86"/>
        <v>-</v>
      </c>
      <c r="AA159" s="16" t="str">
        <f t="shared" si="101"/>
        <v>-</v>
      </c>
      <c r="AB159" s="16" t="str">
        <f t="shared" si="87"/>
        <v>-</v>
      </c>
      <c r="AC159" s="16" t="str">
        <f t="shared" si="88"/>
        <v>-</v>
      </c>
      <c r="AD159" s="16" t="str">
        <f t="shared" si="102"/>
        <v>-</v>
      </c>
      <c r="AE159" s="16"/>
      <c r="AF159" s="31" t="str">
        <f>IFERROR(INDEX(Iceland!$P$11:$P$165,MATCH('Calculations - Iceland'!C159,Iceland!$M$11:$M$165,0)),"")</f>
        <v/>
      </c>
      <c r="AG159" s="23" t="str">
        <f t="shared" si="103"/>
        <v/>
      </c>
      <c r="AH159" s="23" t="str">
        <f t="shared" si="103"/>
        <v/>
      </c>
      <c r="AI159" s="9" t="str">
        <f t="shared" si="89"/>
        <v/>
      </c>
      <c r="AJ159" s="4" t="str">
        <f t="shared" si="90"/>
        <v/>
      </c>
      <c r="AK159" s="4"/>
      <c r="AL159" s="4"/>
      <c r="AM159" s="4"/>
      <c r="AN159" s="4"/>
      <c r="AO159" s="4"/>
      <c r="AP159" s="20" t="str">
        <f t="shared" si="91"/>
        <v>-</v>
      </c>
      <c r="AQ159" s="13" t="str">
        <f t="shared" si="104"/>
        <v>-</v>
      </c>
      <c r="AR159" s="13" t="str">
        <f t="shared" si="105"/>
        <v>-</v>
      </c>
      <c r="AS159" s="13" t="str">
        <f t="shared" si="92"/>
        <v>-</v>
      </c>
      <c r="AT159" s="16" t="str">
        <f t="shared" si="106"/>
        <v>-</v>
      </c>
      <c r="AU159" s="16" t="str">
        <f t="shared" si="93"/>
        <v>-</v>
      </c>
      <c r="AV159" s="16" t="str">
        <f t="shared" si="94"/>
        <v>-</v>
      </c>
      <c r="AW159" s="16" t="str">
        <f t="shared" si="107"/>
        <v>-</v>
      </c>
      <c r="AX159" s="13" t="str">
        <f t="shared" si="108"/>
        <v>-</v>
      </c>
      <c r="AY159" s="10" t="str">
        <f t="shared" si="109"/>
        <v>-</v>
      </c>
      <c r="AZ159" s="9" t="str">
        <f t="shared" si="110"/>
        <v>-</v>
      </c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</row>
    <row r="160" spans="2:68" x14ac:dyDescent="0.3">
      <c r="B160" s="108" t="str">
        <f t="shared" si="95"/>
        <v/>
      </c>
      <c r="C160" s="108" t="str">
        <f t="shared" ref="C160:C223" si="113">IFERROR(D160&amp;E160&amp;F160,"")</f>
        <v/>
      </c>
      <c r="D160" s="3"/>
      <c r="E160" s="3"/>
      <c r="F160" s="3"/>
      <c r="G160" s="20">
        <f>IFERROR(INDEX('Input - Iceland'!F$2:F$200,MATCH('Calculations - Iceland'!$C160,'Input - Iceland'!$B$2:$B$200,0)),"")</f>
        <v>0</v>
      </c>
      <c r="H160" s="20">
        <f>IFERROR(INDEX('Input - Iceland'!G$2:G$200,MATCH('Calculations - Iceland'!$C160,'Input - Iceland'!$B$2:$B$200,0)),"")</f>
        <v>0</v>
      </c>
      <c r="I160" s="21">
        <f>IFERROR(INDEX('Input - Iceland'!H$2:H$200,MATCH('Calculations - Iceland'!$C160,'Input - Iceland'!$B$2:$B$200,0)),"")</f>
        <v>0</v>
      </c>
      <c r="J160" s="21">
        <f>IFERROR(INDEX('Input - Iceland'!I$2:I$200,MATCH('Calculations - Iceland'!$C160,'Input - Iceland'!$B$2:$B$200,0)),"")</f>
        <v>0</v>
      </c>
      <c r="K160" s="20">
        <f>IFERROR(INDEX('Input - Iceland'!J$2:J$200,MATCH('Calculations - Iceland'!$C160,'Input - Iceland'!$B$2:$B$200,0)),"")</f>
        <v>0</v>
      </c>
      <c r="L160" s="20">
        <f>IFERROR(INDEX('Input - Iceland'!K$2:K$200,MATCH('Calculations - Iceland'!$C160,'Input - Iceland'!$B$2:$B$200,0)),"")</f>
        <v>0</v>
      </c>
      <c r="M160" s="21" t="str">
        <f t="shared" si="96"/>
        <v/>
      </c>
      <c r="N160" s="21" t="str">
        <f t="shared" ref="N160:N223" si="114">IFERROR(K160/L160,"")</f>
        <v/>
      </c>
      <c r="O160" s="21">
        <f t="shared" si="97"/>
        <v>0</v>
      </c>
      <c r="P160" s="9">
        <f t="shared" si="111"/>
        <v>0</v>
      </c>
      <c r="Q160" s="9">
        <f t="shared" si="112"/>
        <v>0</v>
      </c>
      <c r="R160" s="22" t="str">
        <f>IFERROR(INDEX(Iceland!$Q$11:$Q$165,MATCH('Calculations - Iceland'!$C160,Iceland!$M$11:$M$165,0)),"")</f>
        <v/>
      </c>
      <c r="S160" s="22" t="str">
        <f>IFERROR(INDEX(Iceland!$R$11:$R$165,MATCH('Calculations - Iceland'!$C160,Iceland!$M$11:$M$165,0)),"")</f>
        <v/>
      </c>
      <c r="T160" s="16" t="e">
        <f t="shared" ref="T160:T223" si="115">R160*G160</f>
        <v>#VALUE!</v>
      </c>
      <c r="U160" s="16" t="e">
        <f t="shared" si="98"/>
        <v>#VALUE!</v>
      </c>
      <c r="V160" s="16" t="e">
        <f t="shared" si="99"/>
        <v>#VALUE!</v>
      </c>
      <c r="W160" s="10" t="str">
        <f t="shared" ref="W160:W223" si="116">IFERROR(V160/H160,"-")</f>
        <v>-</v>
      </c>
      <c r="X160" s="10" t="str">
        <f t="shared" ref="X160:X223" si="117">IFERROR((J160+M160)*H160*0.5,"-")</f>
        <v>-</v>
      </c>
      <c r="Y160" s="13" t="str">
        <f t="shared" si="100"/>
        <v>-</v>
      </c>
      <c r="Z160" s="9" t="str">
        <f t="shared" ref="Z160:Z223" si="118">IFERROR(Y160-P160,"-")</f>
        <v>-</v>
      </c>
      <c r="AA160" s="16" t="str">
        <f t="shared" si="101"/>
        <v>-</v>
      </c>
      <c r="AB160" s="16" t="str">
        <f t="shared" ref="AB160:AB223" si="119">IFERROR(AA160/M160,"-")</f>
        <v>-</v>
      </c>
      <c r="AC160" s="16" t="str">
        <f t="shared" ref="AC160:AC223" si="120">IFERROR(R160*AA160,"-")</f>
        <v>-</v>
      </c>
      <c r="AD160" s="16" t="str">
        <f t="shared" si="102"/>
        <v>-</v>
      </c>
      <c r="AE160" s="16"/>
      <c r="AF160" s="31" t="str">
        <f>IFERROR(INDEX(Iceland!$P$11:$P$165,MATCH('Calculations - Iceland'!C160,Iceland!$M$11:$M$165,0)),"")</f>
        <v/>
      </c>
      <c r="AG160" s="23" t="str">
        <f t="shared" si="103"/>
        <v/>
      </c>
      <c r="AH160" s="23" t="str">
        <f t="shared" si="103"/>
        <v/>
      </c>
      <c r="AI160" s="9" t="str">
        <f t="shared" ref="AI160:AI223" si="121">IFERROR((AF160-M160)/M160,"")</f>
        <v/>
      </c>
      <c r="AJ160" s="4" t="str">
        <f t="shared" ref="AJ160:AJ223" si="122">IFERROR(MAX((1+AI160*O160/5)*H160,0),"")</f>
        <v/>
      </c>
      <c r="AK160" s="4"/>
      <c r="AL160" s="4"/>
      <c r="AM160" s="4"/>
      <c r="AN160" s="4"/>
      <c r="AO160" s="4"/>
      <c r="AP160" s="20" t="str">
        <f t="shared" ref="AP160:AP223" si="123">IFERROR(0.5*(J160+AF160)*AJ160,"-")</f>
        <v>-</v>
      </c>
      <c r="AQ160" s="13" t="str">
        <f t="shared" si="104"/>
        <v>-</v>
      </c>
      <c r="AR160" s="13" t="str">
        <f t="shared" si="105"/>
        <v>-</v>
      </c>
      <c r="AS160" s="13" t="str">
        <f t="shared" ref="AS160:AS223" si="124">IFERROR(AR160-P160,"-")</f>
        <v>-</v>
      </c>
      <c r="AT160" s="16" t="str">
        <f t="shared" si="106"/>
        <v>-</v>
      </c>
      <c r="AU160" s="16" t="str">
        <f t="shared" ref="AU160:AU223" si="125">IFERROR(AT160/AF160,"-")</f>
        <v>-</v>
      </c>
      <c r="AV160" s="16" t="str">
        <f t="shared" ref="AV160:AV223" si="126">IFERROR(AG160*AT160,"-")</f>
        <v>-</v>
      </c>
      <c r="AW160" s="16" t="str">
        <f t="shared" si="107"/>
        <v>-</v>
      </c>
      <c r="AX160" s="13" t="str">
        <f t="shared" si="108"/>
        <v>-</v>
      </c>
      <c r="AY160" s="10" t="str">
        <f t="shared" si="109"/>
        <v>-</v>
      </c>
      <c r="AZ160" s="9" t="str">
        <f t="shared" si="110"/>
        <v>-</v>
      </c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</row>
    <row r="161" spans="2:68" x14ac:dyDescent="0.3">
      <c r="B161" s="108" t="str">
        <f t="shared" ref="B161:B224" si="127">IFERROR(D161&amp;E161,"")</f>
        <v/>
      </c>
      <c r="C161" s="108" t="str">
        <f t="shared" si="113"/>
        <v/>
      </c>
      <c r="D161" s="3"/>
      <c r="E161" s="3"/>
      <c r="F161" s="3"/>
      <c r="G161" s="20">
        <f>IFERROR(INDEX('Input - Iceland'!F$2:F$200,MATCH('Calculations - Iceland'!$C161,'Input - Iceland'!$B$2:$B$200,0)),"")</f>
        <v>0</v>
      </c>
      <c r="H161" s="20">
        <f>IFERROR(INDEX('Input - Iceland'!G$2:G$200,MATCH('Calculations - Iceland'!$C161,'Input - Iceland'!$B$2:$B$200,0)),"")</f>
        <v>0</v>
      </c>
      <c r="I161" s="21">
        <f>IFERROR(INDEX('Input - Iceland'!H$2:H$200,MATCH('Calculations - Iceland'!$C161,'Input - Iceland'!$B$2:$B$200,0)),"")</f>
        <v>0</v>
      </c>
      <c r="J161" s="21">
        <f>IFERROR(INDEX('Input - Iceland'!I$2:I$200,MATCH('Calculations - Iceland'!$C161,'Input - Iceland'!$B$2:$B$200,0)),"")</f>
        <v>0</v>
      </c>
      <c r="K161" s="20">
        <f>IFERROR(INDEX('Input - Iceland'!J$2:J$200,MATCH('Calculations - Iceland'!$C161,'Input - Iceland'!$B$2:$B$200,0)),"")</f>
        <v>0</v>
      </c>
      <c r="L161" s="20">
        <f>IFERROR(INDEX('Input - Iceland'!K$2:K$200,MATCH('Calculations - Iceland'!$C161,'Input - Iceland'!$B$2:$B$200,0)),"")</f>
        <v>0</v>
      </c>
      <c r="M161" s="21" t="str">
        <f t="shared" ref="M161:M224" si="128">IFERROR(G161/H161,"")</f>
        <v/>
      </c>
      <c r="N161" s="21" t="str">
        <f t="shared" si="114"/>
        <v/>
      </c>
      <c r="O161" s="21">
        <f t="shared" ref="O161:O224" si="129">IFERROR((M161/(M161-J161)*5),0)</f>
        <v>0</v>
      </c>
      <c r="P161" s="9">
        <f t="shared" si="111"/>
        <v>0</v>
      </c>
      <c r="Q161" s="9">
        <f t="shared" si="112"/>
        <v>0</v>
      </c>
      <c r="R161" s="22" t="str">
        <f>IFERROR(INDEX(Iceland!$Q$11:$Q$165,MATCH('Calculations - Iceland'!$C161,Iceland!$M$11:$M$165,0)),"")</f>
        <v/>
      </c>
      <c r="S161" s="22" t="str">
        <f>IFERROR(INDEX(Iceland!$R$11:$R$165,MATCH('Calculations - Iceland'!$C161,Iceland!$M$11:$M$165,0)),"")</f>
        <v/>
      </c>
      <c r="T161" s="16" t="e">
        <f t="shared" si="115"/>
        <v>#VALUE!</v>
      </c>
      <c r="U161" s="16" t="e">
        <f t="shared" ref="U161:U224" si="130">S161*T161</f>
        <v>#VALUE!</v>
      </c>
      <c r="V161" s="16" t="e">
        <f t="shared" ref="V161:V224" si="131">T161-U161</f>
        <v>#VALUE!</v>
      </c>
      <c r="W161" s="10" t="str">
        <f t="shared" si="116"/>
        <v>-</v>
      </c>
      <c r="X161" s="10" t="str">
        <f t="shared" si="117"/>
        <v>-</v>
      </c>
      <c r="Y161" s="13" t="str">
        <f t="shared" ref="Y161:Y224" si="132">IFERROR(X161/$X$30,"-")</f>
        <v>-</v>
      </c>
      <c r="Z161" s="9" t="str">
        <f t="shared" si="118"/>
        <v>-</v>
      </c>
      <c r="AA161" s="16" t="str">
        <f t="shared" ref="AA161:AA224" si="133">IFERROR(Y161*$G$30,"-")</f>
        <v>-</v>
      </c>
      <c r="AB161" s="16" t="str">
        <f t="shared" si="119"/>
        <v>-</v>
      </c>
      <c r="AC161" s="16" t="str">
        <f t="shared" si="120"/>
        <v>-</v>
      </c>
      <c r="AD161" s="16" t="str">
        <f t="shared" ref="AD161:AD224" si="134">IFERROR(AC161-(W161)*AB161,"-")</f>
        <v>-</v>
      </c>
      <c r="AE161" s="16"/>
      <c r="AF161" s="31" t="str">
        <f>IFERROR(INDEX(Iceland!$P$11:$P$165,MATCH('Calculations - Iceland'!C161,Iceland!$M$11:$M$165,0)),"")</f>
        <v/>
      </c>
      <c r="AG161" s="23" t="str">
        <f t="shared" ref="AG161:AH224" si="135">R161</f>
        <v/>
      </c>
      <c r="AH161" s="23" t="str">
        <f t="shared" si="135"/>
        <v/>
      </c>
      <c r="AI161" s="9" t="str">
        <f t="shared" si="121"/>
        <v/>
      </c>
      <c r="AJ161" s="4" t="str">
        <f t="shared" si="122"/>
        <v/>
      </c>
      <c r="AK161" s="4"/>
      <c r="AL161" s="4"/>
      <c r="AM161" s="4"/>
      <c r="AN161" s="4"/>
      <c r="AO161" s="4"/>
      <c r="AP161" s="20" t="str">
        <f t="shared" si="123"/>
        <v>-</v>
      </c>
      <c r="AQ161" s="13" t="str">
        <f t="shared" ref="AQ161:AQ224" si="136">IFERROR(AP161/AP$30,"-")</f>
        <v>-</v>
      </c>
      <c r="AR161" s="13" t="str">
        <f t="shared" ref="AR161:AR224" si="137">IFERROR(AQ161*$P$30,"-")</f>
        <v>-</v>
      </c>
      <c r="AS161" s="13" t="str">
        <f t="shared" si="124"/>
        <v>-</v>
      </c>
      <c r="AT161" s="16" t="str">
        <f t="shared" ref="AT161:AT224" si="138">IFERROR(AR161*AO$32,"-")</f>
        <v>-</v>
      </c>
      <c r="AU161" s="16" t="str">
        <f t="shared" si="125"/>
        <v>-</v>
      </c>
      <c r="AV161" s="16" t="str">
        <f t="shared" si="126"/>
        <v>-</v>
      </c>
      <c r="AW161" s="16" t="str">
        <f t="shared" ref="AW161:AW224" si="139">IFERROR(AV161-(W161*AU161),"-")</f>
        <v>-</v>
      </c>
      <c r="AX161" s="13" t="str">
        <f t="shared" ref="AX161:AX224" si="140">IFERROR(AU161/SUMIFS($AU$32:$AU$229,$B$32:$B$229,$B161),"-")</f>
        <v>-</v>
      </c>
      <c r="AY161" s="10" t="str">
        <f t="shared" ref="AY161:AY224" si="141">IFERROR(AX161*INDEX($AU$4:$AU$24,MATCH($B161,$D$4:$D$24,0)),"-")</f>
        <v>-</v>
      </c>
      <c r="AZ161" s="9" t="str">
        <f t="shared" ref="AZ161:AZ224" si="142">IFERROR(AY161/SUM($AY$32:$AY$229),"-")</f>
        <v>-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</row>
    <row r="162" spans="2:68" x14ac:dyDescent="0.3">
      <c r="B162" s="108" t="str">
        <f t="shared" si="127"/>
        <v/>
      </c>
      <c r="C162" s="108" t="str">
        <f t="shared" si="113"/>
        <v/>
      </c>
      <c r="D162" s="3"/>
      <c r="E162" s="3"/>
      <c r="F162" s="3"/>
      <c r="G162" s="20">
        <f>IFERROR(INDEX('Input - Iceland'!F$2:F$200,MATCH('Calculations - Iceland'!$C162,'Input - Iceland'!$B$2:$B$200,0)),"")</f>
        <v>0</v>
      </c>
      <c r="H162" s="20">
        <f>IFERROR(INDEX('Input - Iceland'!G$2:G$200,MATCH('Calculations - Iceland'!$C162,'Input - Iceland'!$B$2:$B$200,0)),"")</f>
        <v>0</v>
      </c>
      <c r="I162" s="21">
        <f>IFERROR(INDEX('Input - Iceland'!H$2:H$200,MATCH('Calculations - Iceland'!$C162,'Input - Iceland'!$B$2:$B$200,0)),"")</f>
        <v>0</v>
      </c>
      <c r="J162" s="21">
        <f>IFERROR(INDEX('Input - Iceland'!I$2:I$200,MATCH('Calculations - Iceland'!$C162,'Input - Iceland'!$B$2:$B$200,0)),"")</f>
        <v>0</v>
      </c>
      <c r="K162" s="20">
        <f>IFERROR(INDEX('Input - Iceland'!J$2:J$200,MATCH('Calculations - Iceland'!$C162,'Input - Iceland'!$B$2:$B$200,0)),"")</f>
        <v>0</v>
      </c>
      <c r="L162" s="20">
        <f>IFERROR(INDEX('Input - Iceland'!K$2:K$200,MATCH('Calculations - Iceland'!$C162,'Input - Iceland'!$B$2:$B$200,0)),"")</f>
        <v>0</v>
      </c>
      <c r="M162" s="21" t="str">
        <f t="shared" si="128"/>
        <v/>
      </c>
      <c r="N162" s="21" t="str">
        <f t="shared" si="114"/>
        <v/>
      </c>
      <c r="O162" s="21">
        <f t="shared" si="129"/>
        <v>0</v>
      </c>
      <c r="P162" s="9">
        <f t="shared" si="111"/>
        <v>0</v>
      </c>
      <c r="Q162" s="9">
        <f t="shared" si="112"/>
        <v>0</v>
      </c>
      <c r="R162" s="22" t="str">
        <f>IFERROR(INDEX(Iceland!$Q$11:$Q$165,MATCH('Calculations - Iceland'!$C162,Iceland!$M$11:$M$165,0)),"")</f>
        <v/>
      </c>
      <c r="S162" s="22" t="str">
        <f>IFERROR(INDEX(Iceland!$R$11:$R$165,MATCH('Calculations - Iceland'!$C162,Iceland!$M$11:$M$165,0)),"")</f>
        <v/>
      </c>
      <c r="T162" s="16" t="e">
        <f t="shared" si="115"/>
        <v>#VALUE!</v>
      </c>
      <c r="U162" s="16" t="e">
        <f t="shared" si="130"/>
        <v>#VALUE!</v>
      </c>
      <c r="V162" s="16" t="e">
        <f t="shared" si="131"/>
        <v>#VALUE!</v>
      </c>
      <c r="W162" s="10" t="str">
        <f t="shared" si="116"/>
        <v>-</v>
      </c>
      <c r="X162" s="10" t="str">
        <f t="shared" si="117"/>
        <v>-</v>
      </c>
      <c r="Y162" s="13" t="str">
        <f t="shared" si="132"/>
        <v>-</v>
      </c>
      <c r="Z162" s="9" t="str">
        <f t="shared" si="118"/>
        <v>-</v>
      </c>
      <c r="AA162" s="16" t="str">
        <f t="shared" si="133"/>
        <v>-</v>
      </c>
      <c r="AB162" s="16" t="str">
        <f t="shared" si="119"/>
        <v>-</v>
      </c>
      <c r="AC162" s="16" t="str">
        <f t="shared" si="120"/>
        <v>-</v>
      </c>
      <c r="AD162" s="16" t="str">
        <f t="shared" si="134"/>
        <v>-</v>
      </c>
      <c r="AE162" s="16"/>
      <c r="AF162" s="31" t="str">
        <f>IFERROR(INDEX(Iceland!$P$11:$P$165,MATCH('Calculations - Iceland'!C162,Iceland!$M$11:$M$165,0)),"")</f>
        <v/>
      </c>
      <c r="AG162" s="23" t="str">
        <f t="shared" si="135"/>
        <v/>
      </c>
      <c r="AH162" s="23" t="str">
        <f t="shared" si="135"/>
        <v/>
      </c>
      <c r="AI162" s="9" t="str">
        <f t="shared" si="121"/>
        <v/>
      </c>
      <c r="AJ162" s="4" t="str">
        <f t="shared" si="122"/>
        <v/>
      </c>
      <c r="AK162" s="4"/>
      <c r="AL162" s="4"/>
      <c r="AM162" s="4"/>
      <c r="AN162" s="4"/>
      <c r="AO162" s="4"/>
      <c r="AP162" s="20" t="str">
        <f t="shared" si="123"/>
        <v>-</v>
      </c>
      <c r="AQ162" s="13" t="str">
        <f t="shared" si="136"/>
        <v>-</v>
      </c>
      <c r="AR162" s="13" t="str">
        <f t="shared" si="137"/>
        <v>-</v>
      </c>
      <c r="AS162" s="13" t="str">
        <f t="shared" si="124"/>
        <v>-</v>
      </c>
      <c r="AT162" s="16" t="str">
        <f t="shared" si="138"/>
        <v>-</v>
      </c>
      <c r="AU162" s="16" t="str">
        <f t="shared" si="125"/>
        <v>-</v>
      </c>
      <c r="AV162" s="16" t="str">
        <f t="shared" si="126"/>
        <v>-</v>
      </c>
      <c r="AW162" s="16" t="str">
        <f t="shared" si="139"/>
        <v>-</v>
      </c>
      <c r="AX162" s="13" t="str">
        <f t="shared" si="140"/>
        <v>-</v>
      </c>
      <c r="AY162" s="10" t="str">
        <f t="shared" si="141"/>
        <v>-</v>
      </c>
      <c r="AZ162" s="9" t="str">
        <f t="shared" si="142"/>
        <v>-</v>
      </c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</row>
    <row r="163" spans="2:68" x14ac:dyDescent="0.3">
      <c r="B163" s="108" t="str">
        <f t="shared" si="127"/>
        <v/>
      </c>
      <c r="C163" s="108" t="str">
        <f t="shared" si="113"/>
        <v/>
      </c>
      <c r="D163" s="3"/>
      <c r="E163" s="3"/>
      <c r="F163" s="3"/>
      <c r="G163" s="20">
        <f>IFERROR(INDEX('Input - Iceland'!F$2:F$200,MATCH('Calculations - Iceland'!$C163,'Input - Iceland'!$B$2:$B$200,0)),"")</f>
        <v>0</v>
      </c>
      <c r="H163" s="20">
        <f>IFERROR(INDEX('Input - Iceland'!G$2:G$200,MATCH('Calculations - Iceland'!$C163,'Input - Iceland'!$B$2:$B$200,0)),"")</f>
        <v>0</v>
      </c>
      <c r="I163" s="21">
        <f>IFERROR(INDEX('Input - Iceland'!H$2:H$200,MATCH('Calculations - Iceland'!$C163,'Input - Iceland'!$B$2:$B$200,0)),"")</f>
        <v>0</v>
      </c>
      <c r="J163" s="21">
        <f>IFERROR(INDEX('Input - Iceland'!I$2:I$200,MATCH('Calculations - Iceland'!$C163,'Input - Iceland'!$B$2:$B$200,0)),"")</f>
        <v>0</v>
      </c>
      <c r="K163" s="20">
        <f>IFERROR(INDEX('Input - Iceland'!J$2:J$200,MATCH('Calculations - Iceland'!$C163,'Input - Iceland'!$B$2:$B$200,0)),"")</f>
        <v>0</v>
      </c>
      <c r="L163" s="20">
        <f>IFERROR(INDEX('Input - Iceland'!K$2:K$200,MATCH('Calculations - Iceland'!$C163,'Input - Iceland'!$B$2:$B$200,0)),"")</f>
        <v>0</v>
      </c>
      <c r="M163" s="21" t="str">
        <f t="shared" si="128"/>
        <v/>
      </c>
      <c r="N163" s="21" t="str">
        <f t="shared" si="114"/>
        <v/>
      </c>
      <c r="O163" s="21">
        <f t="shared" si="129"/>
        <v>0</v>
      </c>
      <c r="P163" s="9">
        <f t="shared" si="111"/>
        <v>0</v>
      </c>
      <c r="Q163" s="9">
        <f t="shared" si="112"/>
        <v>0</v>
      </c>
      <c r="R163" s="22" t="str">
        <f>IFERROR(INDEX(Iceland!$Q$11:$Q$165,MATCH('Calculations - Iceland'!$C163,Iceland!$M$11:$M$165,0)),"")</f>
        <v/>
      </c>
      <c r="S163" s="22" t="str">
        <f>IFERROR(INDEX(Iceland!$R$11:$R$165,MATCH('Calculations - Iceland'!$C163,Iceland!$M$11:$M$165,0)),"")</f>
        <v/>
      </c>
      <c r="T163" s="16" t="e">
        <f t="shared" si="115"/>
        <v>#VALUE!</v>
      </c>
      <c r="U163" s="16" t="e">
        <f t="shared" si="130"/>
        <v>#VALUE!</v>
      </c>
      <c r="V163" s="16" t="e">
        <f t="shared" si="131"/>
        <v>#VALUE!</v>
      </c>
      <c r="W163" s="10" t="str">
        <f t="shared" si="116"/>
        <v>-</v>
      </c>
      <c r="X163" s="10" t="str">
        <f t="shared" si="117"/>
        <v>-</v>
      </c>
      <c r="Y163" s="13" t="str">
        <f t="shared" si="132"/>
        <v>-</v>
      </c>
      <c r="Z163" s="9" t="str">
        <f t="shared" si="118"/>
        <v>-</v>
      </c>
      <c r="AA163" s="16" t="str">
        <f t="shared" si="133"/>
        <v>-</v>
      </c>
      <c r="AB163" s="16" t="str">
        <f t="shared" si="119"/>
        <v>-</v>
      </c>
      <c r="AC163" s="16" t="str">
        <f t="shared" si="120"/>
        <v>-</v>
      </c>
      <c r="AD163" s="16" t="str">
        <f t="shared" si="134"/>
        <v>-</v>
      </c>
      <c r="AE163" s="16"/>
      <c r="AF163" s="31" t="str">
        <f>IFERROR(INDEX(Iceland!$P$11:$P$165,MATCH('Calculations - Iceland'!C163,Iceland!$M$11:$M$165,0)),"")</f>
        <v/>
      </c>
      <c r="AG163" s="23" t="str">
        <f t="shared" si="135"/>
        <v/>
      </c>
      <c r="AH163" s="23" t="str">
        <f t="shared" si="135"/>
        <v/>
      </c>
      <c r="AI163" s="9" t="str">
        <f t="shared" si="121"/>
        <v/>
      </c>
      <c r="AJ163" s="4" t="str">
        <f t="shared" si="122"/>
        <v/>
      </c>
      <c r="AK163" s="4"/>
      <c r="AL163" s="4"/>
      <c r="AM163" s="4"/>
      <c r="AN163" s="4"/>
      <c r="AO163" s="4"/>
      <c r="AP163" s="20" t="str">
        <f t="shared" si="123"/>
        <v>-</v>
      </c>
      <c r="AQ163" s="13" t="str">
        <f t="shared" si="136"/>
        <v>-</v>
      </c>
      <c r="AR163" s="13" t="str">
        <f t="shared" si="137"/>
        <v>-</v>
      </c>
      <c r="AS163" s="13" t="str">
        <f t="shared" si="124"/>
        <v>-</v>
      </c>
      <c r="AT163" s="16" t="str">
        <f t="shared" si="138"/>
        <v>-</v>
      </c>
      <c r="AU163" s="16" t="str">
        <f t="shared" si="125"/>
        <v>-</v>
      </c>
      <c r="AV163" s="16" t="str">
        <f t="shared" si="126"/>
        <v>-</v>
      </c>
      <c r="AW163" s="16" t="str">
        <f t="shared" si="139"/>
        <v>-</v>
      </c>
      <c r="AX163" s="13" t="str">
        <f t="shared" si="140"/>
        <v>-</v>
      </c>
      <c r="AY163" s="10" t="str">
        <f t="shared" si="141"/>
        <v>-</v>
      </c>
      <c r="AZ163" s="9" t="str">
        <f t="shared" si="142"/>
        <v>-</v>
      </c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</row>
    <row r="164" spans="2:68" x14ac:dyDescent="0.3">
      <c r="B164" s="108" t="str">
        <f t="shared" si="127"/>
        <v/>
      </c>
      <c r="C164" s="108" t="str">
        <f t="shared" si="113"/>
        <v/>
      </c>
      <c r="D164" s="3"/>
      <c r="E164" s="3"/>
      <c r="F164" s="3"/>
      <c r="G164" s="20">
        <f>IFERROR(INDEX('Input - Iceland'!F$2:F$200,MATCH('Calculations - Iceland'!$C164,'Input - Iceland'!$B$2:$B$200,0)),"")</f>
        <v>0</v>
      </c>
      <c r="H164" s="20">
        <f>IFERROR(INDEX('Input - Iceland'!G$2:G$200,MATCH('Calculations - Iceland'!$C164,'Input - Iceland'!$B$2:$B$200,0)),"")</f>
        <v>0</v>
      </c>
      <c r="I164" s="21">
        <f>IFERROR(INDEX('Input - Iceland'!H$2:H$200,MATCH('Calculations - Iceland'!$C164,'Input - Iceland'!$B$2:$B$200,0)),"")</f>
        <v>0</v>
      </c>
      <c r="J164" s="21">
        <f>IFERROR(INDEX('Input - Iceland'!I$2:I$200,MATCH('Calculations - Iceland'!$C164,'Input - Iceland'!$B$2:$B$200,0)),"")</f>
        <v>0</v>
      </c>
      <c r="K164" s="20">
        <f>IFERROR(INDEX('Input - Iceland'!J$2:J$200,MATCH('Calculations - Iceland'!$C164,'Input - Iceland'!$B$2:$B$200,0)),"")</f>
        <v>0</v>
      </c>
      <c r="L164" s="20">
        <f>IFERROR(INDEX('Input - Iceland'!K$2:K$200,MATCH('Calculations - Iceland'!$C164,'Input - Iceland'!$B$2:$B$200,0)),"")</f>
        <v>0</v>
      </c>
      <c r="M164" s="21" t="str">
        <f t="shared" si="128"/>
        <v/>
      </c>
      <c r="N164" s="21" t="str">
        <f t="shared" si="114"/>
        <v/>
      </c>
      <c r="O164" s="21">
        <f t="shared" si="129"/>
        <v>0</v>
      </c>
      <c r="P164" s="9">
        <f t="shared" si="111"/>
        <v>0</v>
      </c>
      <c r="Q164" s="9">
        <f t="shared" si="112"/>
        <v>0</v>
      </c>
      <c r="R164" s="22" t="str">
        <f>IFERROR(INDEX(Iceland!$Q$11:$Q$165,MATCH('Calculations - Iceland'!$C164,Iceland!$M$11:$M$165,0)),"")</f>
        <v/>
      </c>
      <c r="S164" s="22" t="str">
        <f>IFERROR(INDEX(Iceland!$R$11:$R$165,MATCH('Calculations - Iceland'!$C164,Iceland!$M$11:$M$165,0)),"")</f>
        <v/>
      </c>
      <c r="T164" s="16" t="e">
        <f t="shared" si="115"/>
        <v>#VALUE!</v>
      </c>
      <c r="U164" s="16" t="e">
        <f t="shared" si="130"/>
        <v>#VALUE!</v>
      </c>
      <c r="V164" s="16" t="e">
        <f t="shared" si="131"/>
        <v>#VALUE!</v>
      </c>
      <c r="W164" s="10" t="str">
        <f t="shared" si="116"/>
        <v>-</v>
      </c>
      <c r="X164" s="10" t="str">
        <f t="shared" si="117"/>
        <v>-</v>
      </c>
      <c r="Y164" s="13" t="str">
        <f t="shared" si="132"/>
        <v>-</v>
      </c>
      <c r="Z164" s="9" t="str">
        <f t="shared" si="118"/>
        <v>-</v>
      </c>
      <c r="AA164" s="16" t="str">
        <f t="shared" si="133"/>
        <v>-</v>
      </c>
      <c r="AB164" s="16" t="str">
        <f t="shared" si="119"/>
        <v>-</v>
      </c>
      <c r="AC164" s="16" t="str">
        <f t="shared" si="120"/>
        <v>-</v>
      </c>
      <c r="AD164" s="16" t="str">
        <f t="shared" si="134"/>
        <v>-</v>
      </c>
      <c r="AE164" s="16"/>
      <c r="AF164" s="31" t="str">
        <f>IFERROR(INDEX(Iceland!$P$11:$P$165,MATCH('Calculations - Iceland'!C164,Iceland!$M$11:$M$165,0)),"")</f>
        <v/>
      </c>
      <c r="AG164" s="23" t="str">
        <f t="shared" si="135"/>
        <v/>
      </c>
      <c r="AH164" s="23" t="str">
        <f t="shared" si="135"/>
        <v/>
      </c>
      <c r="AI164" s="9" t="str">
        <f t="shared" si="121"/>
        <v/>
      </c>
      <c r="AJ164" s="4" t="str">
        <f t="shared" si="122"/>
        <v/>
      </c>
      <c r="AK164" s="4"/>
      <c r="AL164" s="4"/>
      <c r="AM164" s="4"/>
      <c r="AN164" s="4"/>
      <c r="AO164" s="4"/>
      <c r="AP164" s="20" t="str">
        <f t="shared" si="123"/>
        <v>-</v>
      </c>
      <c r="AQ164" s="13" t="str">
        <f t="shared" si="136"/>
        <v>-</v>
      </c>
      <c r="AR164" s="13" t="str">
        <f t="shared" si="137"/>
        <v>-</v>
      </c>
      <c r="AS164" s="13" t="str">
        <f t="shared" si="124"/>
        <v>-</v>
      </c>
      <c r="AT164" s="16" t="str">
        <f t="shared" si="138"/>
        <v>-</v>
      </c>
      <c r="AU164" s="16" t="str">
        <f t="shared" si="125"/>
        <v>-</v>
      </c>
      <c r="AV164" s="16" t="str">
        <f t="shared" si="126"/>
        <v>-</v>
      </c>
      <c r="AW164" s="16" t="str">
        <f t="shared" si="139"/>
        <v>-</v>
      </c>
      <c r="AX164" s="13" t="str">
        <f t="shared" si="140"/>
        <v>-</v>
      </c>
      <c r="AY164" s="10" t="str">
        <f t="shared" si="141"/>
        <v>-</v>
      </c>
      <c r="AZ164" s="9" t="str">
        <f t="shared" si="142"/>
        <v>-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</row>
    <row r="165" spans="2:68" x14ac:dyDescent="0.3">
      <c r="B165" s="108" t="str">
        <f t="shared" si="127"/>
        <v/>
      </c>
      <c r="C165" s="108" t="str">
        <f t="shared" si="113"/>
        <v/>
      </c>
      <c r="D165" s="3"/>
      <c r="E165" s="3"/>
      <c r="F165" s="3"/>
      <c r="G165" s="20">
        <f>IFERROR(INDEX('Input - Iceland'!F$2:F$200,MATCH('Calculations - Iceland'!$C165,'Input - Iceland'!$B$2:$B$200,0)),"")</f>
        <v>0</v>
      </c>
      <c r="H165" s="20">
        <f>IFERROR(INDEX('Input - Iceland'!G$2:G$200,MATCH('Calculations - Iceland'!$C165,'Input - Iceland'!$B$2:$B$200,0)),"")</f>
        <v>0</v>
      </c>
      <c r="I165" s="21">
        <f>IFERROR(INDEX('Input - Iceland'!H$2:H$200,MATCH('Calculations - Iceland'!$C165,'Input - Iceland'!$B$2:$B$200,0)),"")</f>
        <v>0</v>
      </c>
      <c r="J165" s="21">
        <f>IFERROR(INDEX('Input - Iceland'!I$2:I$200,MATCH('Calculations - Iceland'!$C165,'Input - Iceland'!$B$2:$B$200,0)),"")</f>
        <v>0</v>
      </c>
      <c r="K165" s="20">
        <f>IFERROR(INDEX('Input - Iceland'!J$2:J$200,MATCH('Calculations - Iceland'!$C165,'Input - Iceland'!$B$2:$B$200,0)),"")</f>
        <v>0</v>
      </c>
      <c r="L165" s="20">
        <f>IFERROR(INDEX('Input - Iceland'!K$2:K$200,MATCH('Calculations - Iceland'!$C165,'Input - Iceland'!$B$2:$B$200,0)),"")</f>
        <v>0</v>
      </c>
      <c r="M165" s="21" t="str">
        <f t="shared" si="128"/>
        <v/>
      </c>
      <c r="N165" s="21" t="str">
        <f t="shared" si="114"/>
        <v/>
      </c>
      <c r="O165" s="21">
        <f t="shared" si="129"/>
        <v>0</v>
      </c>
      <c r="P165" s="9">
        <f t="shared" si="111"/>
        <v>0</v>
      </c>
      <c r="Q165" s="9">
        <f t="shared" si="112"/>
        <v>0</v>
      </c>
      <c r="R165" s="22" t="str">
        <f>IFERROR(INDEX(Iceland!$Q$11:$Q$165,MATCH('Calculations - Iceland'!$C165,Iceland!$M$11:$M$165,0)),"")</f>
        <v/>
      </c>
      <c r="S165" s="22" t="str">
        <f>IFERROR(INDEX(Iceland!$R$11:$R$165,MATCH('Calculations - Iceland'!$C165,Iceland!$M$11:$M$165,0)),"")</f>
        <v/>
      </c>
      <c r="T165" s="16" t="e">
        <f t="shared" si="115"/>
        <v>#VALUE!</v>
      </c>
      <c r="U165" s="16" t="e">
        <f t="shared" si="130"/>
        <v>#VALUE!</v>
      </c>
      <c r="V165" s="16" t="e">
        <f t="shared" si="131"/>
        <v>#VALUE!</v>
      </c>
      <c r="W165" s="10" t="str">
        <f t="shared" si="116"/>
        <v>-</v>
      </c>
      <c r="X165" s="10" t="str">
        <f t="shared" si="117"/>
        <v>-</v>
      </c>
      <c r="Y165" s="13" t="str">
        <f t="shared" si="132"/>
        <v>-</v>
      </c>
      <c r="Z165" s="9" t="str">
        <f t="shared" si="118"/>
        <v>-</v>
      </c>
      <c r="AA165" s="16" t="str">
        <f t="shared" si="133"/>
        <v>-</v>
      </c>
      <c r="AB165" s="16" t="str">
        <f t="shared" si="119"/>
        <v>-</v>
      </c>
      <c r="AC165" s="16" t="str">
        <f t="shared" si="120"/>
        <v>-</v>
      </c>
      <c r="AD165" s="16" t="str">
        <f t="shared" si="134"/>
        <v>-</v>
      </c>
      <c r="AE165" s="16"/>
      <c r="AF165" s="31" t="str">
        <f>IFERROR(INDEX(Iceland!$P$11:$P$165,MATCH('Calculations - Iceland'!C165,Iceland!$M$11:$M$165,0)),"")</f>
        <v/>
      </c>
      <c r="AG165" s="23" t="str">
        <f t="shared" si="135"/>
        <v/>
      </c>
      <c r="AH165" s="23" t="str">
        <f t="shared" si="135"/>
        <v/>
      </c>
      <c r="AI165" s="9" t="str">
        <f t="shared" si="121"/>
        <v/>
      </c>
      <c r="AJ165" s="4" t="str">
        <f t="shared" si="122"/>
        <v/>
      </c>
      <c r="AK165" s="4"/>
      <c r="AL165" s="4"/>
      <c r="AM165" s="4"/>
      <c r="AN165" s="4"/>
      <c r="AO165" s="4"/>
      <c r="AP165" s="20" t="str">
        <f t="shared" si="123"/>
        <v>-</v>
      </c>
      <c r="AQ165" s="13" t="str">
        <f t="shared" si="136"/>
        <v>-</v>
      </c>
      <c r="AR165" s="13" t="str">
        <f t="shared" si="137"/>
        <v>-</v>
      </c>
      <c r="AS165" s="13" t="str">
        <f t="shared" si="124"/>
        <v>-</v>
      </c>
      <c r="AT165" s="16" t="str">
        <f t="shared" si="138"/>
        <v>-</v>
      </c>
      <c r="AU165" s="16" t="str">
        <f t="shared" si="125"/>
        <v>-</v>
      </c>
      <c r="AV165" s="16" t="str">
        <f t="shared" si="126"/>
        <v>-</v>
      </c>
      <c r="AW165" s="16" t="str">
        <f t="shared" si="139"/>
        <v>-</v>
      </c>
      <c r="AX165" s="13" t="str">
        <f t="shared" si="140"/>
        <v>-</v>
      </c>
      <c r="AY165" s="10" t="str">
        <f t="shared" si="141"/>
        <v>-</v>
      </c>
      <c r="AZ165" s="9" t="str">
        <f t="shared" si="142"/>
        <v>-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</row>
    <row r="166" spans="2:68" x14ac:dyDescent="0.3">
      <c r="B166" s="108" t="str">
        <f t="shared" si="127"/>
        <v/>
      </c>
      <c r="C166" s="108" t="str">
        <f t="shared" si="113"/>
        <v/>
      </c>
      <c r="D166" s="3"/>
      <c r="E166" s="3"/>
      <c r="F166" s="3"/>
      <c r="G166" s="20">
        <f>IFERROR(INDEX('Input - Iceland'!F$2:F$200,MATCH('Calculations - Iceland'!$C166,'Input - Iceland'!$B$2:$B$200,0)),"")</f>
        <v>0</v>
      </c>
      <c r="H166" s="20">
        <f>IFERROR(INDEX('Input - Iceland'!G$2:G$200,MATCH('Calculations - Iceland'!$C166,'Input - Iceland'!$B$2:$B$200,0)),"")</f>
        <v>0</v>
      </c>
      <c r="I166" s="21">
        <f>IFERROR(INDEX('Input - Iceland'!H$2:H$200,MATCH('Calculations - Iceland'!$C166,'Input - Iceland'!$B$2:$B$200,0)),"")</f>
        <v>0</v>
      </c>
      <c r="J166" s="21">
        <f>IFERROR(INDEX('Input - Iceland'!I$2:I$200,MATCH('Calculations - Iceland'!$C166,'Input - Iceland'!$B$2:$B$200,0)),"")</f>
        <v>0</v>
      </c>
      <c r="K166" s="20">
        <f>IFERROR(INDEX('Input - Iceland'!J$2:J$200,MATCH('Calculations - Iceland'!$C166,'Input - Iceland'!$B$2:$B$200,0)),"")</f>
        <v>0</v>
      </c>
      <c r="L166" s="20">
        <f>IFERROR(INDEX('Input - Iceland'!K$2:K$200,MATCH('Calculations - Iceland'!$C166,'Input - Iceland'!$B$2:$B$200,0)),"")</f>
        <v>0</v>
      </c>
      <c r="M166" s="21" t="str">
        <f t="shared" si="128"/>
        <v/>
      </c>
      <c r="N166" s="21" t="str">
        <f t="shared" si="114"/>
        <v/>
      </c>
      <c r="O166" s="21">
        <f t="shared" si="129"/>
        <v>0</v>
      </c>
      <c r="P166" s="9">
        <f t="shared" si="111"/>
        <v>0</v>
      </c>
      <c r="Q166" s="9">
        <f t="shared" si="112"/>
        <v>0</v>
      </c>
      <c r="R166" s="22" t="str">
        <f>IFERROR(INDEX(Iceland!$Q$11:$Q$165,MATCH('Calculations - Iceland'!$C166,Iceland!$M$11:$M$165,0)),"")</f>
        <v/>
      </c>
      <c r="S166" s="22" t="str">
        <f>IFERROR(INDEX(Iceland!$R$11:$R$165,MATCH('Calculations - Iceland'!$C166,Iceland!$M$11:$M$165,0)),"")</f>
        <v/>
      </c>
      <c r="T166" s="16" t="e">
        <f t="shared" si="115"/>
        <v>#VALUE!</v>
      </c>
      <c r="U166" s="16" t="e">
        <f t="shared" si="130"/>
        <v>#VALUE!</v>
      </c>
      <c r="V166" s="16" t="e">
        <f t="shared" si="131"/>
        <v>#VALUE!</v>
      </c>
      <c r="W166" s="10" t="str">
        <f t="shared" si="116"/>
        <v>-</v>
      </c>
      <c r="X166" s="10" t="str">
        <f t="shared" si="117"/>
        <v>-</v>
      </c>
      <c r="Y166" s="13" t="str">
        <f t="shared" si="132"/>
        <v>-</v>
      </c>
      <c r="Z166" s="9" t="str">
        <f t="shared" si="118"/>
        <v>-</v>
      </c>
      <c r="AA166" s="16" t="str">
        <f t="shared" si="133"/>
        <v>-</v>
      </c>
      <c r="AB166" s="16" t="str">
        <f t="shared" si="119"/>
        <v>-</v>
      </c>
      <c r="AC166" s="16" t="str">
        <f t="shared" si="120"/>
        <v>-</v>
      </c>
      <c r="AD166" s="16" t="str">
        <f t="shared" si="134"/>
        <v>-</v>
      </c>
      <c r="AE166" s="16"/>
      <c r="AF166" s="31" t="str">
        <f>IFERROR(INDEX(Iceland!$P$11:$P$165,MATCH('Calculations - Iceland'!C166,Iceland!$M$11:$M$165,0)),"")</f>
        <v/>
      </c>
      <c r="AG166" s="23" t="str">
        <f t="shared" si="135"/>
        <v/>
      </c>
      <c r="AH166" s="23" t="str">
        <f t="shared" si="135"/>
        <v/>
      </c>
      <c r="AI166" s="9" t="str">
        <f t="shared" si="121"/>
        <v/>
      </c>
      <c r="AJ166" s="4" t="str">
        <f t="shared" si="122"/>
        <v/>
      </c>
      <c r="AK166" s="4"/>
      <c r="AL166" s="4"/>
      <c r="AM166" s="4"/>
      <c r="AN166" s="4"/>
      <c r="AO166" s="4"/>
      <c r="AP166" s="20" t="str">
        <f t="shared" si="123"/>
        <v>-</v>
      </c>
      <c r="AQ166" s="13" t="str">
        <f t="shared" si="136"/>
        <v>-</v>
      </c>
      <c r="AR166" s="13" t="str">
        <f t="shared" si="137"/>
        <v>-</v>
      </c>
      <c r="AS166" s="13" t="str">
        <f t="shared" si="124"/>
        <v>-</v>
      </c>
      <c r="AT166" s="16" t="str">
        <f t="shared" si="138"/>
        <v>-</v>
      </c>
      <c r="AU166" s="16" t="str">
        <f t="shared" si="125"/>
        <v>-</v>
      </c>
      <c r="AV166" s="16" t="str">
        <f t="shared" si="126"/>
        <v>-</v>
      </c>
      <c r="AW166" s="16" t="str">
        <f t="shared" si="139"/>
        <v>-</v>
      </c>
      <c r="AX166" s="13" t="str">
        <f t="shared" si="140"/>
        <v>-</v>
      </c>
      <c r="AY166" s="10" t="str">
        <f t="shared" si="141"/>
        <v>-</v>
      </c>
      <c r="AZ166" s="9" t="str">
        <f t="shared" si="142"/>
        <v>-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</row>
    <row r="167" spans="2:68" x14ac:dyDescent="0.3">
      <c r="B167" s="108" t="str">
        <f t="shared" si="127"/>
        <v/>
      </c>
      <c r="C167" s="108" t="str">
        <f t="shared" si="113"/>
        <v/>
      </c>
      <c r="D167" s="3"/>
      <c r="E167" s="3"/>
      <c r="F167" s="3"/>
      <c r="G167" s="20">
        <f>IFERROR(INDEX('Input - Iceland'!F$2:F$200,MATCH('Calculations - Iceland'!$C167,'Input - Iceland'!$B$2:$B$200,0)),"")</f>
        <v>0</v>
      </c>
      <c r="H167" s="20">
        <f>IFERROR(INDEX('Input - Iceland'!G$2:G$200,MATCH('Calculations - Iceland'!$C167,'Input - Iceland'!$B$2:$B$200,0)),"")</f>
        <v>0</v>
      </c>
      <c r="I167" s="21">
        <f>IFERROR(INDEX('Input - Iceland'!H$2:H$200,MATCH('Calculations - Iceland'!$C167,'Input - Iceland'!$B$2:$B$200,0)),"")</f>
        <v>0</v>
      </c>
      <c r="J167" s="21">
        <f>IFERROR(INDEX('Input - Iceland'!I$2:I$200,MATCH('Calculations - Iceland'!$C167,'Input - Iceland'!$B$2:$B$200,0)),"")</f>
        <v>0</v>
      </c>
      <c r="K167" s="20">
        <f>IFERROR(INDEX('Input - Iceland'!J$2:J$200,MATCH('Calculations - Iceland'!$C167,'Input - Iceland'!$B$2:$B$200,0)),"")</f>
        <v>0</v>
      </c>
      <c r="L167" s="20">
        <f>IFERROR(INDEX('Input - Iceland'!K$2:K$200,MATCH('Calculations - Iceland'!$C167,'Input - Iceland'!$B$2:$B$200,0)),"")</f>
        <v>0</v>
      </c>
      <c r="M167" s="21" t="str">
        <f t="shared" si="128"/>
        <v/>
      </c>
      <c r="N167" s="21" t="str">
        <f t="shared" si="114"/>
        <v/>
      </c>
      <c r="O167" s="21">
        <f t="shared" si="129"/>
        <v>0</v>
      </c>
      <c r="P167" s="9">
        <f t="shared" si="111"/>
        <v>0</v>
      </c>
      <c r="Q167" s="9">
        <f t="shared" si="112"/>
        <v>0</v>
      </c>
      <c r="R167" s="22" t="str">
        <f>IFERROR(INDEX(Iceland!$Q$11:$Q$165,MATCH('Calculations - Iceland'!$C167,Iceland!$M$11:$M$165,0)),"")</f>
        <v/>
      </c>
      <c r="S167" s="22" t="str">
        <f>IFERROR(INDEX(Iceland!$R$11:$R$165,MATCH('Calculations - Iceland'!$C167,Iceland!$M$11:$M$165,0)),"")</f>
        <v/>
      </c>
      <c r="T167" s="16" t="e">
        <f t="shared" si="115"/>
        <v>#VALUE!</v>
      </c>
      <c r="U167" s="16" t="e">
        <f t="shared" si="130"/>
        <v>#VALUE!</v>
      </c>
      <c r="V167" s="16" t="e">
        <f t="shared" si="131"/>
        <v>#VALUE!</v>
      </c>
      <c r="W167" s="10" t="str">
        <f t="shared" si="116"/>
        <v>-</v>
      </c>
      <c r="X167" s="10" t="str">
        <f t="shared" si="117"/>
        <v>-</v>
      </c>
      <c r="Y167" s="13" t="str">
        <f t="shared" si="132"/>
        <v>-</v>
      </c>
      <c r="Z167" s="9" t="str">
        <f t="shared" si="118"/>
        <v>-</v>
      </c>
      <c r="AA167" s="16" t="str">
        <f t="shared" si="133"/>
        <v>-</v>
      </c>
      <c r="AB167" s="16" t="str">
        <f t="shared" si="119"/>
        <v>-</v>
      </c>
      <c r="AC167" s="16" t="str">
        <f t="shared" si="120"/>
        <v>-</v>
      </c>
      <c r="AD167" s="16" t="str">
        <f t="shared" si="134"/>
        <v>-</v>
      </c>
      <c r="AE167" s="16"/>
      <c r="AF167" s="31" t="str">
        <f>IFERROR(INDEX(Iceland!$P$11:$P$165,MATCH('Calculations - Iceland'!C167,Iceland!$M$11:$M$165,0)),"")</f>
        <v/>
      </c>
      <c r="AG167" s="23" t="str">
        <f t="shared" si="135"/>
        <v/>
      </c>
      <c r="AH167" s="23" t="str">
        <f t="shared" si="135"/>
        <v/>
      </c>
      <c r="AI167" s="9" t="str">
        <f t="shared" si="121"/>
        <v/>
      </c>
      <c r="AJ167" s="4" t="str">
        <f t="shared" si="122"/>
        <v/>
      </c>
      <c r="AK167" s="4"/>
      <c r="AL167" s="4"/>
      <c r="AM167" s="4"/>
      <c r="AN167" s="4"/>
      <c r="AO167" s="4"/>
      <c r="AP167" s="20" t="str">
        <f t="shared" si="123"/>
        <v>-</v>
      </c>
      <c r="AQ167" s="13" t="str">
        <f t="shared" si="136"/>
        <v>-</v>
      </c>
      <c r="AR167" s="13" t="str">
        <f t="shared" si="137"/>
        <v>-</v>
      </c>
      <c r="AS167" s="13" t="str">
        <f t="shared" si="124"/>
        <v>-</v>
      </c>
      <c r="AT167" s="16" t="str">
        <f t="shared" si="138"/>
        <v>-</v>
      </c>
      <c r="AU167" s="16" t="str">
        <f t="shared" si="125"/>
        <v>-</v>
      </c>
      <c r="AV167" s="16" t="str">
        <f t="shared" si="126"/>
        <v>-</v>
      </c>
      <c r="AW167" s="16" t="str">
        <f t="shared" si="139"/>
        <v>-</v>
      </c>
      <c r="AX167" s="13" t="str">
        <f t="shared" si="140"/>
        <v>-</v>
      </c>
      <c r="AY167" s="10" t="str">
        <f t="shared" si="141"/>
        <v>-</v>
      </c>
      <c r="AZ167" s="9" t="str">
        <f t="shared" si="142"/>
        <v>-</v>
      </c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</row>
    <row r="168" spans="2:68" x14ac:dyDescent="0.3">
      <c r="B168" s="108" t="str">
        <f t="shared" si="127"/>
        <v/>
      </c>
      <c r="C168" s="108" t="str">
        <f t="shared" si="113"/>
        <v/>
      </c>
      <c r="D168" s="3"/>
      <c r="E168" s="3"/>
      <c r="F168" s="3"/>
      <c r="G168" s="20">
        <f>IFERROR(INDEX('Input - Iceland'!F$2:F$200,MATCH('Calculations - Iceland'!$C168,'Input - Iceland'!$B$2:$B$200,0)),"")</f>
        <v>0</v>
      </c>
      <c r="H168" s="20">
        <f>IFERROR(INDEX('Input - Iceland'!G$2:G$200,MATCH('Calculations - Iceland'!$C168,'Input - Iceland'!$B$2:$B$200,0)),"")</f>
        <v>0</v>
      </c>
      <c r="I168" s="21">
        <f>IFERROR(INDEX('Input - Iceland'!H$2:H$200,MATCH('Calculations - Iceland'!$C168,'Input - Iceland'!$B$2:$B$200,0)),"")</f>
        <v>0</v>
      </c>
      <c r="J168" s="21">
        <f>IFERROR(INDEX('Input - Iceland'!I$2:I$200,MATCH('Calculations - Iceland'!$C168,'Input - Iceland'!$B$2:$B$200,0)),"")</f>
        <v>0</v>
      </c>
      <c r="K168" s="20">
        <f>IFERROR(INDEX('Input - Iceland'!J$2:J$200,MATCH('Calculations - Iceland'!$C168,'Input - Iceland'!$B$2:$B$200,0)),"")</f>
        <v>0</v>
      </c>
      <c r="L168" s="20">
        <f>IFERROR(INDEX('Input - Iceland'!K$2:K$200,MATCH('Calculations - Iceland'!$C168,'Input - Iceland'!$B$2:$B$200,0)),"")</f>
        <v>0</v>
      </c>
      <c r="M168" s="21" t="str">
        <f t="shared" si="128"/>
        <v/>
      </c>
      <c r="N168" s="21" t="str">
        <f t="shared" si="114"/>
        <v/>
      </c>
      <c r="O168" s="21">
        <f t="shared" si="129"/>
        <v>0</v>
      </c>
      <c r="P168" s="9">
        <f t="shared" si="111"/>
        <v>0</v>
      </c>
      <c r="Q168" s="9">
        <f t="shared" si="112"/>
        <v>0</v>
      </c>
      <c r="R168" s="22" t="str">
        <f>IFERROR(INDEX(Iceland!$Q$11:$Q$165,MATCH('Calculations - Iceland'!$C168,Iceland!$M$11:$M$165,0)),"")</f>
        <v/>
      </c>
      <c r="S168" s="22" t="str">
        <f>IFERROR(INDEX(Iceland!$R$11:$R$165,MATCH('Calculations - Iceland'!$C168,Iceland!$M$11:$M$165,0)),"")</f>
        <v/>
      </c>
      <c r="T168" s="16" t="e">
        <f t="shared" si="115"/>
        <v>#VALUE!</v>
      </c>
      <c r="U168" s="16" t="e">
        <f t="shared" si="130"/>
        <v>#VALUE!</v>
      </c>
      <c r="V168" s="16" t="e">
        <f t="shared" si="131"/>
        <v>#VALUE!</v>
      </c>
      <c r="W168" s="10" t="str">
        <f t="shared" si="116"/>
        <v>-</v>
      </c>
      <c r="X168" s="10" t="str">
        <f t="shared" si="117"/>
        <v>-</v>
      </c>
      <c r="Y168" s="13" t="str">
        <f t="shared" si="132"/>
        <v>-</v>
      </c>
      <c r="Z168" s="9" t="str">
        <f t="shared" si="118"/>
        <v>-</v>
      </c>
      <c r="AA168" s="16" t="str">
        <f t="shared" si="133"/>
        <v>-</v>
      </c>
      <c r="AB168" s="16" t="str">
        <f t="shared" si="119"/>
        <v>-</v>
      </c>
      <c r="AC168" s="16" t="str">
        <f t="shared" si="120"/>
        <v>-</v>
      </c>
      <c r="AD168" s="16" t="str">
        <f t="shared" si="134"/>
        <v>-</v>
      </c>
      <c r="AE168" s="16"/>
      <c r="AF168" s="31" t="str">
        <f>IFERROR(INDEX(Iceland!$P$11:$P$165,MATCH('Calculations - Iceland'!C168,Iceland!$M$11:$M$165,0)),"")</f>
        <v/>
      </c>
      <c r="AG168" s="23" t="str">
        <f t="shared" si="135"/>
        <v/>
      </c>
      <c r="AH168" s="23" t="str">
        <f t="shared" si="135"/>
        <v/>
      </c>
      <c r="AI168" s="9" t="str">
        <f t="shared" si="121"/>
        <v/>
      </c>
      <c r="AJ168" s="4" t="str">
        <f t="shared" si="122"/>
        <v/>
      </c>
      <c r="AK168" s="4"/>
      <c r="AL168" s="4"/>
      <c r="AM168" s="4"/>
      <c r="AN168" s="4"/>
      <c r="AO168" s="4"/>
      <c r="AP168" s="20" t="str">
        <f t="shared" si="123"/>
        <v>-</v>
      </c>
      <c r="AQ168" s="13" t="str">
        <f t="shared" si="136"/>
        <v>-</v>
      </c>
      <c r="AR168" s="13" t="str">
        <f t="shared" si="137"/>
        <v>-</v>
      </c>
      <c r="AS168" s="13" t="str">
        <f t="shared" si="124"/>
        <v>-</v>
      </c>
      <c r="AT168" s="16" t="str">
        <f t="shared" si="138"/>
        <v>-</v>
      </c>
      <c r="AU168" s="16" t="str">
        <f t="shared" si="125"/>
        <v>-</v>
      </c>
      <c r="AV168" s="16" t="str">
        <f t="shared" si="126"/>
        <v>-</v>
      </c>
      <c r="AW168" s="16" t="str">
        <f t="shared" si="139"/>
        <v>-</v>
      </c>
      <c r="AX168" s="13" t="str">
        <f t="shared" si="140"/>
        <v>-</v>
      </c>
      <c r="AY168" s="10" t="str">
        <f t="shared" si="141"/>
        <v>-</v>
      </c>
      <c r="AZ168" s="9" t="str">
        <f t="shared" si="142"/>
        <v>-</v>
      </c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</row>
    <row r="169" spans="2:68" x14ac:dyDescent="0.3">
      <c r="B169" s="108" t="str">
        <f t="shared" si="127"/>
        <v/>
      </c>
      <c r="C169" s="108" t="str">
        <f t="shared" si="113"/>
        <v/>
      </c>
      <c r="D169" s="3"/>
      <c r="E169" s="3"/>
      <c r="F169" s="3"/>
      <c r="G169" s="20">
        <f>IFERROR(INDEX('Input - Iceland'!F$2:F$200,MATCH('Calculations - Iceland'!$C169,'Input - Iceland'!$B$2:$B$200,0)),"")</f>
        <v>0</v>
      </c>
      <c r="H169" s="20">
        <f>IFERROR(INDEX('Input - Iceland'!G$2:G$200,MATCH('Calculations - Iceland'!$C169,'Input - Iceland'!$B$2:$B$200,0)),"")</f>
        <v>0</v>
      </c>
      <c r="I169" s="21">
        <f>IFERROR(INDEX('Input - Iceland'!H$2:H$200,MATCH('Calculations - Iceland'!$C169,'Input - Iceland'!$B$2:$B$200,0)),"")</f>
        <v>0</v>
      </c>
      <c r="J169" s="21">
        <f>IFERROR(INDEX('Input - Iceland'!I$2:I$200,MATCH('Calculations - Iceland'!$C169,'Input - Iceland'!$B$2:$B$200,0)),"")</f>
        <v>0</v>
      </c>
      <c r="K169" s="20">
        <f>IFERROR(INDEX('Input - Iceland'!J$2:J$200,MATCH('Calculations - Iceland'!$C169,'Input - Iceland'!$B$2:$B$200,0)),"")</f>
        <v>0</v>
      </c>
      <c r="L169" s="20">
        <f>IFERROR(INDEX('Input - Iceland'!K$2:K$200,MATCH('Calculations - Iceland'!$C169,'Input - Iceland'!$B$2:$B$200,0)),"")</f>
        <v>0</v>
      </c>
      <c r="M169" s="21" t="str">
        <f t="shared" si="128"/>
        <v/>
      </c>
      <c r="N169" s="21" t="str">
        <f t="shared" si="114"/>
        <v/>
      </c>
      <c r="O169" s="21">
        <f t="shared" si="129"/>
        <v>0</v>
      </c>
      <c r="P169" s="9">
        <f t="shared" si="111"/>
        <v>0</v>
      </c>
      <c r="Q169" s="9">
        <f t="shared" si="112"/>
        <v>0</v>
      </c>
      <c r="R169" s="22" t="str">
        <f>IFERROR(INDEX(Iceland!$Q$11:$Q$165,MATCH('Calculations - Iceland'!$C169,Iceland!$M$11:$M$165,0)),"")</f>
        <v/>
      </c>
      <c r="S169" s="22" t="str">
        <f>IFERROR(INDEX(Iceland!$R$11:$R$165,MATCH('Calculations - Iceland'!$C169,Iceland!$M$11:$M$165,0)),"")</f>
        <v/>
      </c>
      <c r="T169" s="16" t="e">
        <f t="shared" si="115"/>
        <v>#VALUE!</v>
      </c>
      <c r="U169" s="16" t="e">
        <f t="shared" si="130"/>
        <v>#VALUE!</v>
      </c>
      <c r="V169" s="16" t="e">
        <f t="shared" si="131"/>
        <v>#VALUE!</v>
      </c>
      <c r="W169" s="10" t="str">
        <f t="shared" si="116"/>
        <v>-</v>
      </c>
      <c r="X169" s="10" t="str">
        <f t="shared" si="117"/>
        <v>-</v>
      </c>
      <c r="Y169" s="13" t="str">
        <f t="shared" si="132"/>
        <v>-</v>
      </c>
      <c r="Z169" s="9" t="str">
        <f t="shared" si="118"/>
        <v>-</v>
      </c>
      <c r="AA169" s="16" t="str">
        <f t="shared" si="133"/>
        <v>-</v>
      </c>
      <c r="AB169" s="16" t="str">
        <f t="shared" si="119"/>
        <v>-</v>
      </c>
      <c r="AC169" s="16" t="str">
        <f t="shared" si="120"/>
        <v>-</v>
      </c>
      <c r="AD169" s="16" t="str">
        <f t="shared" si="134"/>
        <v>-</v>
      </c>
      <c r="AE169" s="16"/>
      <c r="AF169" s="31" t="str">
        <f>IFERROR(INDEX(Iceland!$P$11:$P$165,MATCH('Calculations - Iceland'!C169,Iceland!$M$11:$M$165,0)),"")</f>
        <v/>
      </c>
      <c r="AG169" s="23" t="str">
        <f t="shared" si="135"/>
        <v/>
      </c>
      <c r="AH169" s="23" t="str">
        <f t="shared" si="135"/>
        <v/>
      </c>
      <c r="AI169" s="9" t="str">
        <f t="shared" si="121"/>
        <v/>
      </c>
      <c r="AJ169" s="4" t="str">
        <f t="shared" si="122"/>
        <v/>
      </c>
      <c r="AK169" s="4"/>
      <c r="AL169" s="4"/>
      <c r="AM169" s="4"/>
      <c r="AN169" s="4"/>
      <c r="AO169" s="4"/>
      <c r="AP169" s="20" t="str">
        <f t="shared" si="123"/>
        <v>-</v>
      </c>
      <c r="AQ169" s="13" t="str">
        <f t="shared" si="136"/>
        <v>-</v>
      </c>
      <c r="AR169" s="13" t="str">
        <f t="shared" si="137"/>
        <v>-</v>
      </c>
      <c r="AS169" s="13" t="str">
        <f t="shared" si="124"/>
        <v>-</v>
      </c>
      <c r="AT169" s="16" t="str">
        <f t="shared" si="138"/>
        <v>-</v>
      </c>
      <c r="AU169" s="16" t="str">
        <f t="shared" si="125"/>
        <v>-</v>
      </c>
      <c r="AV169" s="16" t="str">
        <f t="shared" si="126"/>
        <v>-</v>
      </c>
      <c r="AW169" s="16" t="str">
        <f t="shared" si="139"/>
        <v>-</v>
      </c>
      <c r="AX169" s="13" t="str">
        <f t="shared" si="140"/>
        <v>-</v>
      </c>
      <c r="AY169" s="10" t="str">
        <f t="shared" si="141"/>
        <v>-</v>
      </c>
      <c r="AZ169" s="9" t="str">
        <f t="shared" si="142"/>
        <v>-</v>
      </c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</row>
    <row r="170" spans="2:68" x14ac:dyDescent="0.3">
      <c r="B170" s="108" t="str">
        <f t="shared" si="127"/>
        <v/>
      </c>
      <c r="C170" s="108" t="str">
        <f t="shared" si="113"/>
        <v/>
      </c>
      <c r="D170" s="3"/>
      <c r="E170" s="3"/>
      <c r="F170" s="3"/>
      <c r="G170" s="20">
        <f>IFERROR(INDEX('Input - Iceland'!F$2:F$200,MATCH('Calculations - Iceland'!$C170,'Input - Iceland'!$B$2:$B$200,0)),"")</f>
        <v>0</v>
      </c>
      <c r="H170" s="20">
        <f>IFERROR(INDEX('Input - Iceland'!G$2:G$200,MATCH('Calculations - Iceland'!$C170,'Input - Iceland'!$B$2:$B$200,0)),"")</f>
        <v>0</v>
      </c>
      <c r="I170" s="21">
        <f>IFERROR(INDEX('Input - Iceland'!H$2:H$200,MATCH('Calculations - Iceland'!$C170,'Input - Iceland'!$B$2:$B$200,0)),"")</f>
        <v>0</v>
      </c>
      <c r="J170" s="21">
        <f>IFERROR(INDEX('Input - Iceland'!I$2:I$200,MATCH('Calculations - Iceland'!$C170,'Input - Iceland'!$B$2:$B$200,0)),"")</f>
        <v>0</v>
      </c>
      <c r="K170" s="20">
        <f>IFERROR(INDEX('Input - Iceland'!J$2:J$200,MATCH('Calculations - Iceland'!$C170,'Input - Iceland'!$B$2:$B$200,0)),"")</f>
        <v>0</v>
      </c>
      <c r="L170" s="20">
        <f>IFERROR(INDEX('Input - Iceland'!K$2:K$200,MATCH('Calculations - Iceland'!$C170,'Input - Iceland'!$B$2:$B$200,0)),"")</f>
        <v>0</v>
      </c>
      <c r="M170" s="21" t="str">
        <f t="shared" si="128"/>
        <v/>
      </c>
      <c r="N170" s="21" t="str">
        <f t="shared" si="114"/>
        <v/>
      </c>
      <c r="O170" s="21">
        <f t="shared" si="129"/>
        <v>0</v>
      </c>
      <c r="P170" s="9">
        <f t="shared" si="111"/>
        <v>0</v>
      </c>
      <c r="Q170" s="9">
        <f t="shared" si="112"/>
        <v>0</v>
      </c>
      <c r="R170" s="22" t="str">
        <f>IFERROR(INDEX(Iceland!$Q$11:$Q$165,MATCH('Calculations - Iceland'!$C170,Iceland!$M$11:$M$165,0)),"")</f>
        <v/>
      </c>
      <c r="S170" s="22" t="str">
        <f>IFERROR(INDEX(Iceland!$R$11:$R$165,MATCH('Calculations - Iceland'!$C170,Iceland!$M$11:$M$165,0)),"")</f>
        <v/>
      </c>
      <c r="T170" s="16" t="e">
        <f t="shared" si="115"/>
        <v>#VALUE!</v>
      </c>
      <c r="U170" s="16" t="e">
        <f t="shared" si="130"/>
        <v>#VALUE!</v>
      </c>
      <c r="V170" s="16" t="e">
        <f t="shared" si="131"/>
        <v>#VALUE!</v>
      </c>
      <c r="W170" s="10" t="str">
        <f t="shared" si="116"/>
        <v>-</v>
      </c>
      <c r="X170" s="10" t="str">
        <f t="shared" si="117"/>
        <v>-</v>
      </c>
      <c r="Y170" s="13" t="str">
        <f t="shared" si="132"/>
        <v>-</v>
      </c>
      <c r="Z170" s="9" t="str">
        <f t="shared" si="118"/>
        <v>-</v>
      </c>
      <c r="AA170" s="16" t="str">
        <f t="shared" si="133"/>
        <v>-</v>
      </c>
      <c r="AB170" s="16" t="str">
        <f t="shared" si="119"/>
        <v>-</v>
      </c>
      <c r="AC170" s="16" t="str">
        <f t="shared" si="120"/>
        <v>-</v>
      </c>
      <c r="AD170" s="16" t="str">
        <f t="shared" si="134"/>
        <v>-</v>
      </c>
      <c r="AE170" s="16"/>
      <c r="AF170" s="31" t="str">
        <f>IFERROR(INDEX(Iceland!$P$11:$P$165,MATCH('Calculations - Iceland'!C170,Iceland!$M$11:$M$165,0)),"")</f>
        <v/>
      </c>
      <c r="AG170" s="23" t="str">
        <f t="shared" si="135"/>
        <v/>
      </c>
      <c r="AH170" s="23" t="str">
        <f t="shared" si="135"/>
        <v/>
      </c>
      <c r="AI170" s="9" t="str">
        <f t="shared" si="121"/>
        <v/>
      </c>
      <c r="AJ170" s="4" t="str">
        <f t="shared" si="122"/>
        <v/>
      </c>
      <c r="AK170" s="4"/>
      <c r="AL170" s="4"/>
      <c r="AM170" s="4"/>
      <c r="AN170" s="4"/>
      <c r="AO170" s="4"/>
      <c r="AP170" s="20" t="str">
        <f t="shared" si="123"/>
        <v>-</v>
      </c>
      <c r="AQ170" s="13" t="str">
        <f t="shared" si="136"/>
        <v>-</v>
      </c>
      <c r="AR170" s="13" t="str">
        <f t="shared" si="137"/>
        <v>-</v>
      </c>
      <c r="AS170" s="13" t="str">
        <f t="shared" si="124"/>
        <v>-</v>
      </c>
      <c r="AT170" s="16" t="str">
        <f t="shared" si="138"/>
        <v>-</v>
      </c>
      <c r="AU170" s="16" t="str">
        <f t="shared" si="125"/>
        <v>-</v>
      </c>
      <c r="AV170" s="16" t="str">
        <f t="shared" si="126"/>
        <v>-</v>
      </c>
      <c r="AW170" s="16" t="str">
        <f t="shared" si="139"/>
        <v>-</v>
      </c>
      <c r="AX170" s="13" t="str">
        <f t="shared" si="140"/>
        <v>-</v>
      </c>
      <c r="AY170" s="10" t="str">
        <f t="shared" si="141"/>
        <v>-</v>
      </c>
      <c r="AZ170" s="9" t="str">
        <f t="shared" si="142"/>
        <v>-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</row>
    <row r="171" spans="2:68" x14ac:dyDescent="0.3">
      <c r="B171" s="108" t="str">
        <f t="shared" si="127"/>
        <v/>
      </c>
      <c r="C171" s="108" t="str">
        <f t="shared" si="113"/>
        <v/>
      </c>
      <c r="D171" s="3"/>
      <c r="E171" s="3"/>
      <c r="F171" s="3"/>
      <c r="G171" s="20">
        <f>IFERROR(INDEX('Input - Iceland'!F$2:F$200,MATCH('Calculations - Iceland'!$C171,'Input - Iceland'!$B$2:$B$200,0)),"")</f>
        <v>0</v>
      </c>
      <c r="H171" s="20">
        <f>IFERROR(INDEX('Input - Iceland'!G$2:G$200,MATCH('Calculations - Iceland'!$C171,'Input - Iceland'!$B$2:$B$200,0)),"")</f>
        <v>0</v>
      </c>
      <c r="I171" s="21">
        <f>IFERROR(INDEX('Input - Iceland'!H$2:H$200,MATCH('Calculations - Iceland'!$C171,'Input - Iceland'!$B$2:$B$200,0)),"")</f>
        <v>0</v>
      </c>
      <c r="J171" s="21">
        <f>IFERROR(INDEX('Input - Iceland'!I$2:I$200,MATCH('Calculations - Iceland'!$C171,'Input - Iceland'!$B$2:$B$200,0)),"")</f>
        <v>0</v>
      </c>
      <c r="K171" s="20">
        <f>IFERROR(INDEX('Input - Iceland'!J$2:J$200,MATCH('Calculations - Iceland'!$C171,'Input - Iceland'!$B$2:$B$200,0)),"")</f>
        <v>0</v>
      </c>
      <c r="L171" s="20">
        <f>IFERROR(INDEX('Input - Iceland'!K$2:K$200,MATCH('Calculations - Iceland'!$C171,'Input - Iceland'!$B$2:$B$200,0)),"")</f>
        <v>0</v>
      </c>
      <c r="M171" s="21" t="str">
        <f t="shared" si="128"/>
        <v/>
      </c>
      <c r="N171" s="21" t="str">
        <f t="shared" si="114"/>
        <v/>
      </c>
      <c r="O171" s="21">
        <f t="shared" si="129"/>
        <v>0</v>
      </c>
      <c r="P171" s="9">
        <f t="shared" si="111"/>
        <v>0</v>
      </c>
      <c r="Q171" s="9">
        <f t="shared" si="112"/>
        <v>0</v>
      </c>
      <c r="R171" s="22" t="str">
        <f>IFERROR(INDEX(Iceland!$Q$11:$Q$165,MATCH('Calculations - Iceland'!$C171,Iceland!$M$11:$M$165,0)),"")</f>
        <v/>
      </c>
      <c r="S171" s="22" t="str">
        <f>IFERROR(INDEX(Iceland!$R$11:$R$165,MATCH('Calculations - Iceland'!$C171,Iceland!$M$11:$M$165,0)),"")</f>
        <v/>
      </c>
      <c r="T171" s="16" t="e">
        <f t="shared" si="115"/>
        <v>#VALUE!</v>
      </c>
      <c r="U171" s="16" t="e">
        <f t="shared" si="130"/>
        <v>#VALUE!</v>
      </c>
      <c r="V171" s="16" t="e">
        <f t="shared" si="131"/>
        <v>#VALUE!</v>
      </c>
      <c r="W171" s="10" t="str">
        <f t="shared" si="116"/>
        <v>-</v>
      </c>
      <c r="X171" s="10" t="str">
        <f t="shared" si="117"/>
        <v>-</v>
      </c>
      <c r="Y171" s="13" t="str">
        <f t="shared" si="132"/>
        <v>-</v>
      </c>
      <c r="Z171" s="9" t="str">
        <f t="shared" si="118"/>
        <v>-</v>
      </c>
      <c r="AA171" s="16" t="str">
        <f t="shared" si="133"/>
        <v>-</v>
      </c>
      <c r="AB171" s="16" t="str">
        <f t="shared" si="119"/>
        <v>-</v>
      </c>
      <c r="AC171" s="16" t="str">
        <f t="shared" si="120"/>
        <v>-</v>
      </c>
      <c r="AD171" s="16" t="str">
        <f t="shared" si="134"/>
        <v>-</v>
      </c>
      <c r="AE171" s="16"/>
      <c r="AF171" s="31" t="str">
        <f>IFERROR(INDEX(Iceland!$P$11:$P$165,MATCH('Calculations - Iceland'!C171,Iceland!$M$11:$M$165,0)),"")</f>
        <v/>
      </c>
      <c r="AG171" s="23" t="str">
        <f t="shared" si="135"/>
        <v/>
      </c>
      <c r="AH171" s="23" t="str">
        <f t="shared" si="135"/>
        <v/>
      </c>
      <c r="AI171" s="9" t="str">
        <f t="shared" si="121"/>
        <v/>
      </c>
      <c r="AJ171" s="4" t="str">
        <f t="shared" si="122"/>
        <v/>
      </c>
      <c r="AK171" s="4"/>
      <c r="AL171" s="4"/>
      <c r="AM171" s="4"/>
      <c r="AN171" s="4"/>
      <c r="AO171" s="4"/>
      <c r="AP171" s="20" t="str">
        <f t="shared" si="123"/>
        <v>-</v>
      </c>
      <c r="AQ171" s="13" t="str">
        <f t="shared" si="136"/>
        <v>-</v>
      </c>
      <c r="AR171" s="13" t="str">
        <f t="shared" si="137"/>
        <v>-</v>
      </c>
      <c r="AS171" s="13" t="str">
        <f t="shared" si="124"/>
        <v>-</v>
      </c>
      <c r="AT171" s="16" t="str">
        <f t="shared" si="138"/>
        <v>-</v>
      </c>
      <c r="AU171" s="16" t="str">
        <f t="shared" si="125"/>
        <v>-</v>
      </c>
      <c r="AV171" s="16" t="str">
        <f t="shared" si="126"/>
        <v>-</v>
      </c>
      <c r="AW171" s="16" t="str">
        <f t="shared" si="139"/>
        <v>-</v>
      </c>
      <c r="AX171" s="13" t="str">
        <f t="shared" si="140"/>
        <v>-</v>
      </c>
      <c r="AY171" s="10" t="str">
        <f t="shared" si="141"/>
        <v>-</v>
      </c>
      <c r="AZ171" s="9" t="str">
        <f t="shared" si="142"/>
        <v>-</v>
      </c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</row>
    <row r="172" spans="2:68" x14ac:dyDescent="0.3">
      <c r="B172" s="108" t="str">
        <f t="shared" si="127"/>
        <v/>
      </c>
      <c r="C172" s="108" t="str">
        <f t="shared" si="113"/>
        <v/>
      </c>
      <c r="D172" s="3"/>
      <c r="E172" s="3"/>
      <c r="F172" s="3"/>
      <c r="G172" s="20">
        <f>IFERROR(INDEX('Input - Iceland'!F$2:F$200,MATCH('Calculations - Iceland'!$C172,'Input - Iceland'!$B$2:$B$200,0)),"")</f>
        <v>0</v>
      </c>
      <c r="H172" s="20">
        <f>IFERROR(INDEX('Input - Iceland'!G$2:G$200,MATCH('Calculations - Iceland'!$C172,'Input - Iceland'!$B$2:$B$200,0)),"")</f>
        <v>0</v>
      </c>
      <c r="I172" s="21">
        <f>IFERROR(INDEX('Input - Iceland'!H$2:H$200,MATCH('Calculations - Iceland'!$C172,'Input - Iceland'!$B$2:$B$200,0)),"")</f>
        <v>0</v>
      </c>
      <c r="J172" s="21">
        <f>IFERROR(INDEX('Input - Iceland'!I$2:I$200,MATCH('Calculations - Iceland'!$C172,'Input - Iceland'!$B$2:$B$200,0)),"")</f>
        <v>0</v>
      </c>
      <c r="K172" s="20">
        <f>IFERROR(INDEX('Input - Iceland'!J$2:J$200,MATCH('Calculations - Iceland'!$C172,'Input - Iceland'!$B$2:$B$200,0)),"")</f>
        <v>0</v>
      </c>
      <c r="L172" s="20">
        <f>IFERROR(INDEX('Input - Iceland'!K$2:K$200,MATCH('Calculations - Iceland'!$C172,'Input - Iceland'!$B$2:$B$200,0)),"")</f>
        <v>0</v>
      </c>
      <c r="M172" s="21" t="str">
        <f t="shared" si="128"/>
        <v/>
      </c>
      <c r="N172" s="21" t="str">
        <f t="shared" si="114"/>
        <v/>
      </c>
      <c r="O172" s="21">
        <f t="shared" si="129"/>
        <v>0</v>
      </c>
      <c r="P172" s="9">
        <f t="shared" si="111"/>
        <v>0</v>
      </c>
      <c r="Q172" s="9">
        <f t="shared" si="112"/>
        <v>0</v>
      </c>
      <c r="R172" s="22" t="str">
        <f>IFERROR(INDEX(Iceland!$Q$11:$Q$165,MATCH('Calculations - Iceland'!$C172,Iceland!$M$11:$M$165,0)),"")</f>
        <v/>
      </c>
      <c r="S172" s="22" t="str">
        <f>IFERROR(INDEX(Iceland!$R$11:$R$165,MATCH('Calculations - Iceland'!$C172,Iceland!$M$11:$M$165,0)),"")</f>
        <v/>
      </c>
      <c r="T172" s="16" t="e">
        <f t="shared" si="115"/>
        <v>#VALUE!</v>
      </c>
      <c r="U172" s="16" t="e">
        <f t="shared" si="130"/>
        <v>#VALUE!</v>
      </c>
      <c r="V172" s="16" t="e">
        <f t="shared" si="131"/>
        <v>#VALUE!</v>
      </c>
      <c r="W172" s="10" t="str">
        <f t="shared" si="116"/>
        <v>-</v>
      </c>
      <c r="X172" s="10" t="str">
        <f t="shared" si="117"/>
        <v>-</v>
      </c>
      <c r="Y172" s="13" t="str">
        <f t="shared" si="132"/>
        <v>-</v>
      </c>
      <c r="Z172" s="9" t="str">
        <f t="shared" si="118"/>
        <v>-</v>
      </c>
      <c r="AA172" s="16" t="str">
        <f t="shared" si="133"/>
        <v>-</v>
      </c>
      <c r="AB172" s="16" t="str">
        <f t="shared" si="119"/>
        <v>-</v>
      </c>
      <c r="AC172" s="16" t="str">
        <f t="shared" si="120"/>
        <v>-</v>
      </c>
      <c r="AD172" s="16" t="str">
        <f t="shared" si="134"/>
        <v>-</v>
      </c>
      <c r="AE172" s="16"/>
      <c r="AF172" s="31" t="str">
        <f>IFERROR(INDEX(Iceland!$P$11:$P$165,MATCH('Calculations - Iceland'!C172,Iceland!$M$11:$M$165,0)),"")</f>
        <v/>
      </c>
      <c r="AG172" s="23" t="str">
        <f t="shared" si="135"/>
        <v/>
      </c>
      <c r="AH172" s="23" t="str">
        <f t="shared" si="135"/>
        <v/>
      </c>
      <c r="AI172" s="9" t="str">
        <f t="shared" si="121"/>
        <v/>
      </c>
      <c r="AJ172" s="4" t="str">
        <f t="shared" si="122"/>
        <v/>
      </c>
      <c r="AK172" s="4"/>
      <c r="AL172" s="4"/>
      <c r="AM172" s="4"/>
      <c r="AN172" s="4"/>
      <c r="AO172" s="4"/>
      <c r="AP172" s="20" t="str">
        <f t="shared" si="123"/>
        <v>-</v>
      </c>
      <c r="AQ172" s="13" t="str">
        <f t="shared" si="136"/>
        <v>-</v>
      </c>
      <c r="AR172" s="13" t="str">
        <f t="shared" si="137"/>
        <v>-</v>
      </c>
      <c r="AS172" s="13" t="str">
        <f t="shared" si="124"/>
        <v>-</v>
      </c>
      <c r="AT172" s="16" t="str">
        <f t="shared" si="138"/>
        <v>-</v>
      </c>
      <c r="AU172" s="16" t="str">
        <f t="shared" si="125"/>
        <v>-</v>
      </c>
      <c r="AV172" s="16" t="str">
        <f t="shared" si="126"/>
        <v>-</v>
      </c>
      <c r="AW172" s="16" t="str">
        <f t="shared" si="139"/>
        <v>-</v>
      </c>
      <c r="AX172" s="13" t="str">
        <f t="shared" si="140"/>
        <v>-</v>
      </c>
      <c r="AY172" s="10" t="str">
        <f t="shared" si="141"/>
        <v>-</v>
      </c>
      <c r="AZ172" s="9" t="str">
        <f t="shared" si="142"/>
        <v>-</v>
      </c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</row>
    <row r="173" spans="2:68" x14ac:dyDescent="0.3">
      <c r="B173" s="108" t="str">
        <f t="shared" si="127"/>
        <v/>
      </c>
      <c r="C173" s="108" t="str">
        <f t="shared" si="113"/>
        <v/>
      </c>
      <c r="D173" s="3"/>
      <c r="E173" s="3"/>
      <c r="F173" s="3"/>
      <c r="G173" s="20">
        <f>IFERROR(INDEX('Input - Iceland'!F$2:F$200,MATCH('Calculations - Iceland'!$C173,'Input - Iceland'!$B$2:$B$200,0)),"")</f>
        <v>0</v>
      </c>
      <c r="H173" s="20">
        <f>IFERROR(INDEX('Input - Iceland'!G$2:G$200,MATCH('Calculations - Iceland'!$C173,'Input - Iceland'!$B$2:$B$200,0)),"")</f>
        <v>0</v>
      </c>
      <c r="I173" s="21">
        <f>IFERROR(INDEX('Input - Iceland'!H$2:H$200,MATCH('Calculations - Iceland'!$C173,'Input - Iceland'!$B$2:$B$200,0)),"")</f>
        <v>0</v>
      </c>
      <c r="J173" s="21">
        <f>IFERROR(INDEX('Input - Iceland'!I$2:I$200,MATCH('Calculations - Iceland'!$C173,'Input - Iceland'!$B$2:$B$200,0)),"")</f>
        <v>0</v>
      </c>
      <c r="K173" s="20">
        <f>IFERROR(INDEX('Input - Iceland'!J$2:J$200,MATCH('Calculations - Iceland'!$C173,'Input - Iceland'!$B$2:$B$200,0)),"")</f>
        <v>0</v>
      </c>
      <c r="L173" s="20">
        <f>IFERROR(INDEX('Input - Iceland'!K$2:K$200,MATCH('Calculations - Iceland'!$C173,'Input - Iceland'!$B$2:$B$200,0)),"")</f>
        <v>0</v>
      </c>
      <c r="M173" s="21" t="str">
        <f t="shared" si="128"/>
        <v/>
      </c>
      <c r="N173" s="21" t="str">
        <f t="shared" si="114"/>
        <v/>
      </c>
      <c r="O173" s="21">
        <f t="shared" si="129"/>
        <v>0</v>
      </c>
      <c r="P173" s="9">
        <f t="shared" si="111"/>
        <v>0</v>
      </c>
      <c r="Q173" s="9">
        <f t="shared" si="112"/>
        <v>0</v>
      </c>
      <c r="R173" s="22" t="str">
        <f>IFERROR(INDEX(Iceland!$Q$11:$Q$165,MATCH('Calculations - Iceland'!$C173,Iceland!$M$11:$M$165,0)),"")</f>
        <v/>
      </c>
      <c r="S173" s="22" t="str">
        <f>IFERROR(INDEX(Iceland!$R$11:$R$165,MATCH('Calculations - Iceland'!$C173,Iceland!$M$11:$M$165,0)),"")</f>
        <v/>
      </c>
      <c r="T173" s="16" t="e">
        <f t="shared" si="115"/>
        <v>#VALUE!</v>
      </c>
      <c r="U173" s="16" t="e">
        <f t="shared" si="130"/>
        <v>#VALUE!</v>
      </c>
      <c r="V173" s="16" t="e">
        <f t="shared" si="131"/>
        <v>#VALUE!</v>
      </c>
      <c r="W173" s="10" t="str">
        <f t="shared" si="116"/>
        <v>-</v>
      </c>
      <c r="X173" s="10" t="str">
        <f t="shared" si="117"/>
        <v>-</v>
      </c>
      <c r="Y173" s="13" t="str">
        <f t="shared" si="132"/>
        <v>-</v>
      </c>
      <c r="Z173" s="9" t="str">
        <f t="shared" si="118"/>
        <v>-</v>
      </c>
      <c r="AA173" s="16" t="str">
        <f t="shared" si="133"/>
        <v>-</v>
      </c>
      <c r="AB173" s="16" t="str">
        <f t="shared" si="119"/>
        <v>-</v>
      </c>
      <c r="AC173" s="16" t="str">
        <f t="shared" si="120"/>
        <v>-</v>
      </c>
      <c r="AD173" s="16" t="str">
        <f t="shared" si="134"/>
        <v>-</v>
      </c>
      <c r="AE173" s="16"/>
      <c r="AF173" s="31" t="str">
        <f>IFERROR(INDEX(Iceland!$P$11:$P$165,MATCH('Calculations - Iceland'!C173,Iceland!$M$11:$M$165,0)),"")</f>
        <v/>
      </c>
      <c r="AG173" s="23" t="str">
        <f t="shared" si="135"/>
        <v/>
      </c>
      <c r="AH173" s="23" t="str">
        <f t="shared" si="135"/>
        <v/>
      </c>
      <c r="AI173" s="9" t="str">
        <f t="shared" si="121"/>
        <v/>
      </c>
      <c r="AJ173" s="4" t="str">
        <f t="shared" si="122"/>
        <v/>
      </c>
      <c r="AK173" s="4"/>
      <c r="AL173" s="4"/>
      <c r="AM173" s="4"/>
      <c r="AN173" s="4"/>
      <c r="AO173" s="4"/>
      <c r="AP173" s="20" t="str">
        <f t="shared" si="123"/>
        <v>-</v>
      </c>
      <c r="AQ173" s="13" t="str">
        <f t="shared" si="136"/>
        <v>-</v>
      </c>
      <c r="AR173" s="13" t="str">
        <f t="shared" si="137"/>
        <v>-</v>
      </c>
      <c r="AS173" s="13" t="str">
        <f t="shared" si="124"/>
        <v>-</v>
      </c>
      <c r="AT173" s="16" t="str">
        <f t="shared" si="138"/>
        <v>-</v>
      </c>
      <c r="AU173" s="16" t="str">
        <f t="shared" si="125"/>
        <v>-</v>
      </c>
      <c r="AV173" s="16" t="str">
        <f t="shared" si="126"/>
        <v>-</v>
      </c>
      <c r="AW173" s="16" t="str">
        <f t="shared" si="139"/>
        <v>-</v>
      </c>
      <c r="AX173" s="13" t="str">
        <f t="shared" si="140"/>
        <v>-</v>
      </c>
      <c r="AY173" s="10" t="str">
        <f t="shared" si="141"/>
        <v>-</v>
      </c>
      <c r="AZ173" s="9" t="str">
        <f t="shared" si="142"/>
        <v>-</v>
      </c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</row>
    <row r="174" spans="2:68" x14ac:dyDescent="0.3">
      <c r="B174" s="108" t="str">
        <f t="shared" si="127"/>
        <v/>
      </c>
      <c r="C174" s="108" t="str">
        <f t="shared" si="113"/>
        <v/>
      </c>
      <c r="D174" s="3"/>
      <c r="E174" s="3"/>
      <c r="F174" s="3"/>
      <c r="G174" s="20">
        <f>IFERROR(INDEX('Input - Iceland'!F$2:F$200,MATCH('Calculations - Iceland'!$C174,'Input - Iceland'!$B$2:$B$200,0)),"")</f>
        <v>0</v>
      </c>
      <c r="H174" s="20">
        <f>IFERROR(INDEX('Input - Iceland'!G$2:G$200,MATCH('Calculations - Iceland'!$C174,'Input - Iceland'!$B$2:$B$200,0)),"")</f>
        <v>0</v>
      </c>
      <c r="I174" s="21">
        <f>IFERROR(INDEX('Input - Iceland'!H$2:H$200,MATCH('Calculations - Iceland'!$C174,'Input - Iceland'!$B$2:$B$200,0)),"")</f>
        <v>0</v>
      </c>
      <c r="J174" s="21">
        <f>IFERROR(INDEX('Input - Iceland'!I$2:I$200,MATCH('Calculations - Iceland'!$C174,'Input - Iceland'!$B$2:$B$200,0)),"")</f>
        <v>0</v>
      </c>
      <c r="K174" s="20">
        <f>IFERROR(INDEX('Input - Iceland'!J$2:J$200,MATCH('Calculations - Iceland'!$C174,'Input - Iceland'!$B$2:$B$200,0)),"")</f>
        <v>0</v>
      </c>
      <c r="L174" s="20">
        <f>IFERROR(INDEX('Input - Iceland'!K$2:K$200,MATCH('Calculations - Iceland'!$C174,'Input - Iceland'!$B$2:$B$200,0)),"")</f>
        <v>0</v>
      </c>
      <c r="M174" s="21" t="str">
        <f t="shared" si="128"/>
        <v/>
      </c>
      <c r="N174" s="21" t="str">
        <f t="shared" si="114"/>
        <v/>
      </c>
      <c r="O174" s="21">
        <f t="shared" si="129"/>
        <v>0</v>
      </c>
      <c r="P174" s="9">
        <f t="shared" si="111"/>
        <v>0</v>
      </c>
      <c r="Q174" s="9">
        <f t="shared" si="112"/>
        <v>0</v>
      </c>
      <c r="R174" s="22" t="str">
        <f>IFERROR(INDEX(Iceland!$Q$11:$Q$165,MATCH('Calculations - Iceland'!$C174,Iceland!$M$11:$M$165,0)),"")</f>
        <v/>
      </c>
      <c r="S174" s="22" t="str">
        <f>IFERROR(INDEX(Iceland!$R$11:$R$165,MATCH('Calculations - Iceland'!$C174,Iceland!$M$11:$M$165,0)),"")</f>
        <v/>
      </c>
      <c r="T174" s="16" t="e">
        <f t="shared" si="115"/>
        <v>#VALUE!</v>
      </c>
      <c r="U174" s="16" t="e">
        <f t="shared" si="130"/>
        <v>#VALUE!</v>
      </c>
      <c r="V174" s="16" t="e">
        <f t="shared" si="131"/>
        <v>#VALUE!</v>
      </c>
      <c r="W174" s="10" t="str">
        <f t="shared" si="116"/>
        <v>-</v>
      </c>
      <c r="X174" s="10" t="str">
        <f t="shared" si="117"/>
        <v>-</v>
      </c>
      <c r="Y174" s="13" t="str">
        <f t="shared" si="132"/>
        <v>-</v>
      </c>
      <c r="Z174" s="9" t="str">
        <f t="shared" si="118"/>
        <v>-</v>
      </c>
      <c r="AA174" s="16" t="str">
        <f t="shared" si="133"/>
        <v>-</v>
      </c>
      <c r="AB174" s="16" t="str">
        <f t="shared" si="119"/>
        <v>-</v>
      </c>
      <c r="AC174" s="16" t="str">
        <f t="shared" si="120"/>
        <v>-</v>
      </c>
      <c r="AD174" s="16" t="str">
        <f t="shared" si="134"/>
        <v>-</v>
      </c>
      <c r="AE174" s="16"/>
      <c r="AF174" s="31" t="str">
        <f>IFERROR(INDEX(Iceland!$P$11:$P$165,MATCH('Calculations - Iceland'!C174,Iceland!$M$11:$M$165,0)),"")</f>
        <v/>
      </c>
      <c r="AG174" s="23" t="str">
        <f t="shared" si="135"/>
        <v/>
      </c>
      <c r="AH174" s="23" t="str">
        <f t="shared" si="135"/>
        <v/>
      </c>
      <c r="AI174" s="9" t="str">
        <f t="shared" si="121"/>
        <v/>
      </c>
      <c r="AJ174" s="4" t="str">
        <f t="shared" si="122"/>
        <v/>
      </c>
      <c r="AK174" s="4"/>
      <c r="AL174" s="4"/>
      <c r="AM174" s="4"/>
      <c r="AN174" s="4"/>
      <c r="AO174" s="4"/>
      <c r="AP174" s="20" t="str">
        <f t="shared" si="123"/>
        <v>-</v>
      </c>
      <c r="AQ174" s="13" t="str">
        <f t="shared" si="136"/>
        <v>-</v>
      </c>
      <c r="AR174" s="13" t="str">
        <f t="shared" si="137"/>
        <v>-</v>
      </c>
      <c r="AS174" s="13" t="str">
        <f t="shared" si="124"/>
        <v>-</v>
      </c>
      <c r="AT174" s="16" t="str">
        <f t="shared" si="138"/>
        <v>-</v>
      </c>
      <c r="AU174" s="16" t="str">
        <f t="shared" si="125"/>
        <v>-</v>
      </c>
      <c r="AV174" s="16" t="str">
        <f t="shared" si="126"/>
        <v>-</v>
      </c>
      <c r="AW174" s="16" t="str">
        <f t="shared" si="139"/>
        <v>-</v>
      </c>
      <c r="AX174" s="13" t="str">
        <f t="shared" si="140"/>
        <v>-</v>
      </c>
      <c r="AY174" s="10" t="str">
        <f t="shared" si="141"/>
        <v>-</v>
      </c>
      <c r="AZ174" s="9" t="str">
        <f t="shared" si="142"/>
        <v>-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</row>
    <row r="175" spans="2:68" x14ac:dyDescent="0.3">
      <c r="B175" s="108" t="str">
        <f t="shared" si="127"/>
        <v/>
      </c>
      <c r="C175" s="108" t="str">
        <f t="shared" si="113"/>
        <v/>
      </c>
      <c r="D175" s="3"/>
      <c r="E175" s="3"/>
      <c r="F175" s="3"/>
      <c r="G175" s="20">
        <f>IFERROR(INDEX('Input - Iceland'!F$2:F$200,MATCH('Calculations - Iceland'!$C175,'Input - Iceland'!$B$2:$B$200,0)),"")</f>
        <v>0</v>
      </c>
      <c r="H175" s="20">
        <f>IFERROR(INDEX('Input - Iceland'!G$2:G$200,MATCH('Calculations - Iceland'!$C175,'Input - Iceland'!$B$2:$B$200,0)),"")</f>
        <v>0</v>
      </c>
      <c r="I175" s="21">
        <f>IFERROR(INDEX('Input - Iceland'!H$2:H$200,MATCH('Calculations - Iceland'!$C175,'Input - Iceland'!$B$2:$B$200,0)),"")</f>
        <v>0</v>
      </c>
      <c r="J175" s="21">
        <f>IFERROR(INDEX('Input - Iceland'!I$2:I$200,MATCH('Calculations - Iceland'!$C175,'Input - Iceland'!$B$2:$B$200,0)),"")</f>
        <v>0</v>
      </c>
      <c r="K175" s="20">
        <f>IFERROR(INDEX('Input - Iceland'!J$2:J$200,MATCH('Calculations - Iceland'!$C175,'Input - Iceland'!$B$2:$B$200,0)),"")</f>
        <v>0</v>
      </c>
      <c r="L175" s="20">
        <f>IFERROR(INDEX('Input - Iceland'!K$2:K$200,MATCH('Calculations - Iceland'!$C175,'Input - Iceland'!$B$2:$B$200,0)),"")</f>
        <v>0</v>
      </c>
      <c r="M175" s="21" t="str">
        <f t="shared" si="128"/>
        <v/>
      </c>
      <c r="N175" s="21" t="str">
        <f t="shared" si="114"/>
        <v/>
      </c>
      <c r="O175" s="21">
        <f t="shared" si="129"/>
        <v>0</v>
      </c>
      <c r="P175" s="9">
        <f t="shared" si="111"/>
        <v>0</v>
      </c>
      <c r="Q175" s="9">
        <f t="shared" si="112"/>
        <v>0</v>
      </c>
      <c r="R175" s="22" t="str">
        <f>IFERROR(INDEX(Iceland!$Q$11:$Q$165,MATCH('Calculations - Iceland'!$C175,Iceland!$M$11:$M$165,0)),"")</f>
        <v/>
      </c>
      <c r="S175" s="22" t="str">
        <f>IFERROR(INDEX(Iceland!$R$11:$R$165,MATCH('Calculations - Iceland'!$C175,Iceland!$M$11:$M$165,0)),"")</f>
        <v/>
      </c>
      <c r="T175" s="16" t="e">
        <f t="shared" si="115"/>
        <v>#VALUE!</v>
      </c>
      <c r="U175" s="16" t="e">
        <f t="shared" si="130"/>
        <v>#VALUE!</v>
      </c>
      <c r="V175" s="16" t="e">
        <f t="shared" si="131"/>
        <v>#VALUE!</v>
      </c>
      <c r="W175" s="10" t="str">
        <f t="shared" si="116"/>
        <v>-</v>
      </c>
      <c r="X175" s="10" t="str">
        <f t="shared" si="117"/>
        <v>-</v>
      </c>
      <c r="Y175" s="13" t="str">
        <f t="shared" si="132"/>
        <v>-</v>
      </c>
      <c r="Z175" s="9" t="str">
        <f t="shared" si="118"/>
        <v>-</v>
      </c>
      <c r="AA175" s="16" t="str">
        <f t="shared" si="133"/>
        <v>-</v>
      </c>
      <c r="AB175" s="16" t="str">
        <f t="shared" si="119"/>
        <v>-</v>
      </c>
      <c r="AC175" s="16" t="str">
        <f t="shared" si="120"/>
        <v>-</v>
      </c>
      <c r="AD175" s="16" t="str">
        <f t="shared" si="134"/>
        <v>-</v>
      </c>
      <c r="AE175" s="16"/>
      <c r="AF175" s="31" t="str">
        <f>IFERROR(INDEX(Iceland!$P$11:$P$165,MATCH('Calculations - Iceland'!C175,Iceland!$M$11:$M$165,0)),"")</f>
        <v/>
      </c>
      <c r="AG175" s="23" t="str">
        <f t="shared" si="135"/>
        <v/>
      </c>
      <c r="AH175" s="23" t="str">
        <f t="shared" si="135"/>
        <v/>
      </c>
      <c r="AI175" s="9" t="str">
        <f t="shared" si="121"/>
        <v/>
      </c>
      <c r="AJ175" s="4" t="str">
        <f t="shared" si="122"/>
        <v/>
      </c>
      <c r="AK175" s="4"/>
      <c r="AL175" s="4"/>
      <c r="AM175" s="4"/>
      <c r="AN175" s="4"/>
      <c r="AO175" s="4"/>
      <c r="AP175" s="20" t="str">
        <f t="shared" si="123"/>
        <v>-</v>
      </c>
      <c r="AQ175" s="13" t="str">
        <f t="shared" si="136"/>
        <v>-</v>
      </c>
      <c r="AR175" s="13" t="str">
        <f t="shared" si="137"/>
        <v>-</v>
      </c>
      <c r="AS175" s="13" t="str">
        <f t="shared" si="124"/>
        <v>-</v>
      </c>
      <c r="AT175" s="16" t="str">
        <f t="shared" si="138"/>
        <v>-</v>
      </c>
      <c r="AU175" s="16" t="str">
        <f t="shared" si="125"/>
        <v>-</v>
      </c>
      <c r="AV175" s="16" t="str">
        <f t="shared" si="126"/>
        <v>-</v>
      </c>
      <c r="AW175" s="16" t="str">
        <f t="shared" si="139"/>
        <v>-</v>
      </c>
      <c r="AX175" s="13" t="str">
        <f t="shared" si="140"/>
        <v>-</v>
      </c>
      <c r="AY175" s="10" t="str">
        <f t="shared" si="141"/>
        <v>-</v>
      </c>
      <c r="AZ175" s="9" t="str">
        <f t="shared" si="142"/>
        <v>-</v>
      </c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</row>
    <row r="176" spans="2:68" x14ac:dyDescent="0.3">
      <c r="B176" s="108" t="str">
        <f t="shared" si="127"/>
        <v/>
      </c>
      <c r="C176" s="108" t="str">
        <f t="shared" si="113"/>
        <v/>
      </c>
      <c r="D176" s="3"/>
      <c r="E176" s="3"/>
      <c r="F176" s="3"/>
      <c r="G176" s="20">
        <f>IFERROR(INDEX('Input - Iceland'!F$2:F$200,MATCH('Calculations - Iceland'!$C176,'Input - Iceland'!$B$2:$B$200,0)),"")</f>
        <v>0</v>
      </c>
      <c r="H176" s="20">
        <f>IFERROR(INDEX('Input - Iceland'!G$2:G$200,MATCH('Calculations - Iceland'!$C176,'Input - Iceland'!$B$2:$B$200,0)),"")</f>
        <v>0</v>
      </c>
      <c r="I176" s="21">
        <f>IFERROR(INDEX('Input - Iceland'!H$2:H$200,MATCH('Calculations - Iceland'!$C176,'Input - Iceland'!$B$2:$B$200,0)),"")</f>
        <v>0</v>
      </c>
      <c r="J176" s="21">
        <f>IFERROR(INDEX('Input - Iceland'!I$2:I$200,MATCH('Calculations - Iceland'!$C176,'Input - Iceland'!$B$2:$B$200,0)),"")</f>
        <v>0</v>
      </c>
      <c r="K176" s="20">
        <f>IFERROR(INDEX('Input - Iceland'!J$2:J$200,MATCH('Calculations - Iceland'!$C176,'Input - Iceland'!$B$2:$B$200,0)),"")</f>
        <v>0</v>
      </c>
      <c r="L176" s="20">
        <f>IFERROR(INDEX('Input - Iceland'!K$2:K$200,MATCH('Calculations - Iceland'!$C176,'Input - Iceland'!$B$2:$B$200,0)),"")</f>
        <v>0</v>
      </c>
      <c r="M176" s="21" t="str">
        <f t="shared" si="128"/>
        <v/>
      </c>
      <c r="N176" s="21" t="str">
        <f t="shared" si="114"/>
        <v/>
      </c>
      <c r="O176" s="21">
        <f t="shared" si="129"/>
        <v>0</v>
      </c>
      <c r="P176" s="9">
        <f t="shared" si="111"/>
        <v>0</v>
      </c>
      <c r="Q176" s="9">
        <f t="shared" si="112"/>
        <v>0</v>
      </c>
      <c r="R176" s="22" t="str">
        <f>IFERROR(INDEX(Iceland!$Q$11:$Q$165,MATCH('Calculations - Iceland'!$C176,Iceland!$M$11:$M$165,0)),"")</f>
        <v/>
      </c>
      <c r="S176" s="22" t="str">
        <f>IFERROR(INDEX(Iceland!$R$11:$R$165,MATCH('Calculations - Iceland'!$C176,Iceland!$M$11:$M$165,0)),"")</f>
        <v/>
      </c>
      <c r="T176" s="16" t="e">
        <f t="shared" si="115"/>
        <v>#VALUE!</v>
      </c>
      <c r="U176" s="16" t="e">
        <f t="shared" si="130"/>
        <v>#VALUE!</v>
      </c>
      <c r="V176" s="16" t="e">
        <f t="shared" si="131"/>
        <v>#VALUE!</v>
      </c>
      <c r="W176" s="10" t="str">
        <f t="shared" si="116"/>
        <v>-</v>
      </c>
      <c r="X176" s="10" t="str">
        <f t="shared" si="117"/>
        <v>-</v>
      </c>
      <c r="Y176" s="13" t="str">
        <f t="shared" si="132"/>
        <v>-</v>
      </c>
      <c r="Z176" s="9" t="str">
        <f t="shared" si="118"/>
        <v>-</v>
      </c>
      <c r="AA176" s="16" t="str">
        <f t="shared" si="133"/>
        <v>-</v>
      </c>
      <c r="AB176" s="16" t="str">
        <f t="shared" si="119"/>
        <v>-</v>
      </c>
      <c r="AC176" s="16" t="str">
        <f t="shared" si="120"/>
        <v>-</v>
      </c>
      <c r="AD176" s="16" t="str">
        <f t="shared" si="134"/>
        <v>-</v>
      </c>
      <c r="AE176" s="16"/>
      <c r="AF176" s="31" t="str">
        <f>IFERROR(INDEX(Iceland!$P$11:$P$165,MATCH('Calculations - Iceland'!C176,Iceland!$M$11:$M$165,0)),"")</f>
        <v/>
      </c>
      <c r="AG176" s="23" t="str">
        <f t="shared" si="135"/>
        <v/>
      </c>
      <c r="AH176" s="23" t="str">
        <f t="shared" si="135"/>
        <v/>
      </c>
      <c r="AI176" s="9" t="str">
        <f t="shared" si="121"/>
        <v/>
      </c>
      <c r="AJ176" s="4" t="str">
        <f t="shared" si="122"/>
        <v/>
      </c>
      <c r="AK176" s="4"/>
      <c r="AL176" s="4"/>
      <c r="AM176" s="4"/>
      <c r="AN176" s="4"/>
      <c r="AO176" s="4"/>
      <c r="AP176" s="20" t="str">
        <f t="shared" si="123"/>
        <v>-</v>
      </c>
      <c r="AQ176" s="13" t="str">
        <f t="shared" si="136"/>
        <v>-</v>
      </c>
      <c r="AR176" s="13" t="str">
        <f t="shared" si="137"/>
        <v>-</v>
      </c>
      <c r="AS176" s="13" t="str">
        <f t="shared" si="124"/>
        <v>-</v>
      </c>
      <c r="AT176" s="16" t="str">
        <f t="shared" si="138"/>
        <v>-</v>
      </c>
      <c r="AU176" s="16" t="str">
        <f t="shared" si="125"/>
        <v>-</v>
      </c>
      <c r="AV176" s="16" t="str">
        <f t="shared" si="126"/>
        <v>-</v>
      </c>
      <c r="AW176" s="16" t="str">
        <f t="shared" si="139"/>
        <v>-</v>
      </c>
      <c r="AX176" s="13" t="str">
        <f t="shared" si="140"/>
        <v>-</v>
      </c>
      <c r="AY176" s="10" t="str">
        <f t="shared" si="141"/>
        <v>-</v>
      </c>
      <c r="AZ176" s="9" t="str">
        <f t="shared" si="142"/>
        <v>-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</row>
    <row r="177" spans="2:68" x14ac:dyDescent="0.3">
      <c r="B177" s="108" t="str">
        <f t="shared" si="127"/>
        <v/>
      </c>
      <c r="C177" s="108" t="str">
        <f t="shared" si="113"/>
        <v/>
      </c>
      <c r="D177" s="3"/>
      <c r="E177" s="3"/>
      <c r="F177" s="3"/>
      <c r="G177" s="20">
        <f>IFERROR(INDEX('Input - Iceland'!F$2:F$200,MATCH('Calculations - Iceland'!$C177,'Input - Iceland'!$B$2:$B$200,0)),"")</f>
        <v>0</v>
      </c>
      <c r="H177" s="20">
        <f>IFERROR(INDEX('Input - Iceland'!G$2:G$200,MATCH('Calculations - Iceland'!$C177,'Input - Iceland'!$B$2:$B$200,0)),"")</f>
        <v>0</v>
      </c>
      <c r="I177" s="21">
        <f>IFERROR(INDEX('Input - Iceland'!H$2:H$200,MATCH('Calculations - Iceland'!$C177,'Input - Iceland'!$B$2:$B$200,0)),"")</f>
        <v>0</v>
      </c>
      <c r="J177" s="21">
        <f>IFERROR(INDEX('Input - Iceland'!I$2:I$200,MATCH('Calculations - Iceland'!$C177,'Input - Iceland'!$B$2:$B$200,0)),"")</f>
        <v>0</v>
      </c>
      <c r="K177" s="20">
        <f>IFERROR(INDEX('Input - Iceland'!J$2:J$200,MATCH('Calculations - Iceland'!$C177,'Input - Iceland'!$B$2:$B$200,0)),"")</f>
        <v>0</v>
      </c>
      <c r="L177" s="20">
        <f>IFERROR(INDEX('Input - Iceland'!K$2:K$200,MATCH('Calculations - Iceland'!$C177,'Input - Iceland'!$B$2:$B$200,0)),"")</f>
        <v>0</v>
      </c>
      <c r="M177" s="21" t="str">
        <f t="shared" si="128"/>
        <v/>
      </c>
      <c r="N177" s="21" t="str">
        <f t="shared" si="114"/>
        <v/>
      </c>
      <c r="O177" s="21">
        <f t="shared" si="129"/>
        <v>0</v>
      </c>
      <c r="P177" s="9">
        <f t="shared" si="111"/>
        <v>0</v>
      </c>
      <c r="Q177" s="9">
        <f t="shared" si="112"/>
        <v>0</v>
      </c>
      <c r="R177" s="22" t="str">
        <f>IFERROR(INDEX(Iceland!$Q$11:$Q$165,MATCH('Calculations - Iceland'!$C177,Iceland!$M$11:$M$165,0)),"")</f>
        <v/>
      </c>
      <c r="S177" s="22" t="str">
        <f>IFERROR(INDEX(Iceland!$R$11:$R$165,MATCH('Calculations - Iceland'!$C177,Iceland!$M$11:$M$165,0)),"")</f>
        <v/>
      </c>
      <c r="T177" s="16" t="e">
        <f t="shared" si="115"/>
        <v>#VALUE!</v>
      </c>
      <c r="U177" s="16" t="e">
        <f t="shared" si="130"/>
        <v>#VALUE!</v>
      </c>
      <c r="V177" s="16" t="e">
        <f t="shared" si="131"/>
        <v>#VALUE!</v>
      </c>
      <c r="W177" s="10" t="str">
        <f t="shared" si="116"/>
        <v>-</v>
      </c>
      <c r="X177" s="10" t="str">
        <f t="shared" si="117"/>
        <v>-</v>
      </c>
      <c r="Y177" s="13" t="str">
        <f t="shared" si="132"/>
        <v>-</v>
      </c>
      <c r="Z177" s="9" t="str">
        <f t="shared" si="118"/>
        <v>-</v>
      </c>
      <c r="AA177" s="16" t="str">
        <f t="shared" si="133"/>
        <v>-</v>
      </c>
      <c r="AB177" s="16" t="str">
        <f t="shared" si="119"/>
        <v>-</v>
      </c>
      <c r="AC177" s="16" t="str">
        <f t="shared" si="120"/>
        <v>-</v>
      </c>
      <c r="AD177" s="16" t="str">
        <f t="shared" si="134"/>
        <v>-</v>
      </c>
      <c r="AE177" s="16"/>
      <c r="AF177" s="31" t="str">
        <f>IFERROR(INDEX(Iceland!$P$11:$P$165,MATCH('Calculations - Iceland'!C177,Iceland!$M$11:$M$165,0)),"")</f>
        <v/>
      </c>
      <c r="AG177" s="23" t="str">
        <f t="shared" si="135"/>
        <v/>
      </c>
      <c r="AH177" s="23" t="str">
        <f t="shared" si="135"/>
        <v/>
      </c>
      <c r="AI177" s="9" t="str">
        <f t="shared" si="121"/>
        <v/>
      </c>
      <c r="AJ177" s="4" t="str">
        <f t="shared" si="122"/>
        <v/>
      </c>
      <c r="AK177" s="4"/>
      <c r="AL177" s="4"/>
      <c r="AM177" s="4"/>
      <c r="AN177" s="4"/>
      <c r="AO177" s="4"/>
      <c r="AP177" s="20" t="str">
        <f t="shared" si="123"/>
        <v>-</v>
      </c>
      <c r="AQ177" s="13" t="str">
        <f t="shared" si="136"/>
        <v>-</v>
      </c>
      <c r="AR177" s="13" t="str">
        <f t="shared" si="137"/>
        <v>-</v>
      </c>
      <c r="AS177" s="13" t="str">
        <f t="shared" si="124"/>
        <v>-</v>
      </c>
      <c r="AT177" s="16" t="str">
        <f t="shared" si="138"/>
        <v>-</v>
      </c>
      <c r="AU177" s="16" t="str">
        <f t="shared" si="125"/>
        <v>-</v>
      </c>
      <c r="AV177" s="16" t="str">
        <f t="shared" si="126"/>
        <v>-</v>
      </c>
      <c r="AW177" s="16" t="str">
        <f t="shared" si="139"/>
        <v>-</v>
      </c>
      <c r="AX177" s="13" t="str">
        <f t="shared" si="140"/>
        <v>-</v>
      </c>
      <c r="AY177" s="10" t="str">
        <f t="shared" si="141"/>
        <v>-</v>
      </c>
      <c r="AZ177" s="9" t="str">
        <f t="shared" si="142"/>
        <v>-</v>
      </c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</row>
    <row r="178" spans="2:68" x14ac:dyDescent="0.3">
      <c r="B178" s="108" t="str">
        <f t="shared" si="127"/>
        <v/>
      </c>
      <c r="C178" s="108" t="str">
        <f t="shared" si="113"/>
        <v/>
      </c>
      <c r="D178" s="3"/>
      <c r="E178" s="3"/>
      <c r="F178" s="3"/>
      <c r="G178" s="20">
        <f>IFERROR(INDEX('Input - Iceland'!F$2:F$200,MATCH('Calculations - Iceland'!$C178,'Input - Iceland'!$B$2:$B$200,0)),"")</f>
        <v>0</v>
      </c>
      <c r="H178" s="20">
        <f>IFERROR(INDEX('Input - Iceland'!G$2:G$200,MATCH('Calculations - Iceland'!$C178,'Input - Iceland'!$B$2:$B$200,0)),"")</f>
        <v>0</v>
      </c>
      <c r="I178" s="21">
        <f>IFERROR(INDEX('Input - Iceland'!H$2:H$200,MATCH('Calculations - Iceland'!$C178,'Input - Iceland'!$B$2:$B$200,0)),"")</f>
        <v>0</v>
      </c>
      <c r="J178" s="21">
        <f>IFERROR(INDEX('Input - Iceland'!I$2:I$200,MATCH('Calculations - Iceland'!$C178,'Input - Iceland'!$B$2:$B$200,0)),"")</f>
        <v>0</v>
      </c>
      <c r="K178" s="20">
        <f>IFERROR(INDEX('Input - Iceland'!J$2:J$200,MATCH('Calculations - Iceland'!$C178,'Input - Iceland'!$B$2:$B$200,0)),"")</f>
        <v>0</v>
      </c>
      <c r="L178" s="20">
        <f>IFERROR(INDEX('Input - Iceland'!K$2:K$200,MATCH('Calculations - Iceland'!$C178,'Input - Iceland'!$B$2:$B$200,0)),"")</f>
        <v>0</v>
      </c>
      <c r="M178" s="21" t="str">
        <f t="shared" si="128"/>
        <v/>
      </c>
      <c r="N178" s="21" t="str">
        <f t="shared" si="114"/>
        <v/>
      </c>
      <c r="O178" s="21">
        <f t="shared" si="129"/>
        <v>0</v>
      </c>
      <c r="P178" s="9">
        <f t="shared" si="111"/>
        <v>0</v>
      </c>
      <c r="Q178" s="9">
        <f t="shared" si="112"/>
        <v>0</v>
      </c>
      <c r="R178" s="22" t="str">
        <f>IFERROR(INDEX(Iceland!$Q$11:$Q$165,MATCH('Calculations - Iceland'!$C178,Iceland!$M$11:$M$165,0)),"")</f>
        <v/>
      </c>
      <c r="S178" s="22" t="str">
        <f>IFERROR(INDEX(Iceland!$R$11:$R$165,MATCH('Calculations - Iceland'!$C178,Iceland!$M$11:$M$165,0)),"")</f>
        <v/>
      </c>
      <c r="T178" s="16" t="e">
        <f t="shared" si="115"/>
        <v>#VALUE!</v>
      </c>
      <c r="U178" s="16" t="e">
        <f t="shared" si="130"/>
        <v>#VALUE!</v>
      </c>
      <c r="V178" s="16" t="e">
        <f t="shared" si="131"/>
        <v>#VALUE!</v>
      </c>
      <c r="W178" s="10" t="str">
        <f t="shared" si="116"/>
        <v>-</v>
      </c>
      <c r="X178" s="10" t="str">
        <f t="shared" si="117"/>
        <v>-</v>
      </c>
      <c r="Y178" s="13" t="str">
        <f t="shared" si="132"/>
        <v>-</v>
      </c>
      <c r="Z178" s="9" t="str">
        <f t="shared" si="118"/>
        <v>-</v>
      </c>
      <c r="AA178" s="16" t="str">
        <f t="shared" si="133"/>
        <v>-</v>
      </c>
      <c r="AB178" s="16" t="str">
        <f t="shared" si="119"/>
        <v>-</v>
      </c>
      <c r="AC178" s="16" t="str">
        <f t="shared" si="120"/>
        <v>-</v>
      </c>
      <c r="AD178" s="16" t="str">
        <f t="shared" si="134"/>
        <v>-</v>
      </c>
      <c r="AE178" s="16"/>
      <c r="AF178" s="31" t="str">
        <f>IFERROR(INDEX(Iceland!$P$11:$P$165,MATCH('Calculations - Iceland'!C178,Iceland!$M$11:$M$165,0)),"")</f>
        <v/>
      </c>
      <c r="AG178" s="23" t="str">
        <f t="shared" si="135"/>
        <v/>
      </c>
      <c r="AH178" s="23" t="str">
        <f t="shared" si="135"/>
        <v/>
      </c>
      <c r="AI178" s="9" t="str">
        <f t="shared" si="121"/>
        <v/>
      </c>
      <c r="AJ178" s="4" t="str">
        <f t="shared" si="122"/>
        <v/>
      </c>
      <c r="AK178" s="4"/>
      <c r="AL178" s="4"/>
      <c r="AM178" s="4"/>
      <c r="AN178" s="4"/>
      <c r="AO178" s="4"/>
      <c r="AP178" s="20" t="str">
        <f t="shared" si="123"/>
        <v>-</v>
      </c>
      <c r="AQ178" s="13" t="str">
        <f t="shared" si="136"/>
        <v>-</v>
      </c>
      <c r="AR178" s="13" t="str">
        <f t="shared" si="137"/>
        <v>-</v>
      </c>
      <c r="AS178" s="13" t="str">
        <f t="shared" si="124"/>
        <v>-</v>
      </c>
      <c r="AT178" s="16" t="str">
        <f t="shared" si="138"/>
        <v>-</v>
      </c>
      <c r="AU178" s="16" t="str">
        <f t="shared" si="125"/>
        <v>-</v>
      </c>
      <c r="AV178" s="16" t="str">
        <f t="shared" si="126"/>
        <v>-</v>
      </c>
      <c r="AW178" s="16" t="str">
        <f t="shared" si="139"/>
        <v>-</v>
      </c>
      <c r="AX178" s="13" t="str">
        <f t="shared" si="140"/>
        <v>-</v>
      </c>
      <c r="AY178" s="10" t="str">
        <f t="shared" si="141"/>
        <v>-</v>
      </c>
      <c r="AZ178" s="9" t="str">
        <f t="shared" si="142"/>
        <v>-</v>
      </c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</row>
    <row r="179" spans="2:68" x14ac:dyDescent="0.3">
      <c r="B179" s="108" t="str">
        <f t="shared" si="127"/>
        <v/>
      </c>
      <c r="C179" s="108" t="str">
        <f t="shared" si="113"/>
        <v/>
      </c>
      <c r="D179" s="3"/>
      <c r="E179" s="3"/>
      <c r="F179" s="3"/>
      <c r="G179" s="20">
        <f>IFERROR(INDEX('Input - Iceland'!F$2:F$200,MATCH('Calculations - Iceland'!$C179,'Input - Iceland'!$B$2:$B$200,0)),"")</f>
        <v>0</v>
      </c>
      <c r="H179" s="20">
        <f>IFERROR(INDEX('Input - Iceland'!G$2:G$200,MATCH('Calculations - Iceland'!$C179,'Input - Iceland'!$B$2:$B$200,0)),"")</f>
        <v>0</v>
      </c>
      <c r="I179" s="21">
        <f>IFERROR(INDEX('Input - Iceland'!H$2:H$200,MATCH('Calculations - Iceland'!$C179,'Input - Iceland'!$B$2:$B$200,0)),"")</f>
        <v>0</v>
      </c>
      <c r="J179" s="21">
        <f>IFERROR(INDEX('Input - Iceland'!I$2:I$200,MATCH('Calculations - Iceland'!$C179,'Input - Iceland'!$B$2:$B$200,0)),"")</f>
        <v>0</v>
      </c>
      <c r="K179" s="20">
        <f>IFERROR(INDEX('Input - Iceland'!J$2:J$200,MATCH('Calculations - Iceland'!$C179,'Input - Iceland'!$B$2:$B$200,0)),"")</f>
        <v>0</v>
      </c>
      <c r="L179" s="20">
        <f>IFERROR(INDEX('Input - Iceland'!K$2:K$200,MATCH('Calculations - Iceland'!$C179,'Input - Iceland'!$B$2:$B$200,0)),"")</f>
        <v>0</v>
      </c>
      <c r="M179" s="21" t="str">
        <f t="shared" si="128"/>
        <v/>
      </c>
      <c r="N179" s="21" t="str">
        <f t="shared" si="114"/>
        <v/>
      </c>
      <c r="O179" s="21">
        <f t="shared" si="129"/>
        <v>0</v>
      </c>
      <c r="P179" s="9">
        <f t="shared" si="111"/>
        <v>0</v>
      </c>
      <c r="Q179" s="9">
        <f t="shared" si="112"/>
        <v>0</v>
      </c>
      <c r="R179" s="22" t="str">
        <f>IFERROR(INDEX(Iceland!$Q$11:$Q$165,MATCH('Calculations - Iceland'!$C179,Iceland!$M$11:$M$165,0)),"")</f>
        <v/>
      </c>
      <c r="S179" s="22" t="str">
        <f>IFERROR(INDEX(Iceland!$R$11:$R$165,MATCH('Calculations - Iceland'!$C179,Iceland!$M$11:$M$165,0)),"")</f>
        <v/>
      </c>
      <c r="T179" s="16" t="e">
        <f t="shared" si="115"/>
        <v>#VALUE!</v>
      </c>
      <c r="U179" s="16" t="e">
        <f t="shared" si="130"/>
        <v>#VALUE!</v>
      </c>
      <c r="V179" s="16" t="e">
        <f t="shared" si="131"/>
        <v>#VALUE!</v>
      </c>
      <c r="W179" s="10" t="str">
        <f t="shared" si="116"/>
        <v>-</v>
      </c>
      <c r="X179" s="10" t="str">
        <f t="shared" si="117"/>
        <v>-</v>
      </c>
      <c r="Y179" s="13" t="str">
        <f t="shared" si="132"/>
        <v>-</v>
      </c>
      <c r="Z179" s="9" t="str">
        <f t="shared" si="118"/>
        <v>-</v>
      </c>
      <c r="AA179" s="16" t="str">
        <f t="shared" si="133"/>
        <v>-</v>
      </c>
      <c r="AB179" s="16" t="str">
        <f t="shared" si="119"/>
        <v>-</v>
      </c>
      <c r="AC179" s="16" t="str">
        <f t="shared" si="120"/>
        <v>-</v>
      </c>
      <c r="AD179" s="16" t="str">
        <f t="shared" si="134"/>
        <v>-</v>
      </c>
      <c r="AE179" s="16"/>
      <c r="AF179" s="31" t="str">
        <f>IFERROR(INDEX(Iceland!$P$11:$P$165,MATCH('Calculations - Iceland'!C179,Iceland!$M$11:$M$165,0)),"")</f>
        <v/>
      </c>
      <c r="AG179" s="23" t="str">
        <f t="shared" si="135"/>
        <v/>
      </c>
      <c r="AH179" s="23" t="str">
        <f t="shared" si="135"/>
        <v/>
      </c>
      <c r="AI179" s="9" t="str">
        <f t="shared" si="121"/>
        <v/>
      </c>
      <c r="AJ179" s="4" t="str">
        <f t="shared" si="122"/>
        <v/>
      </c>
      <c r="AK179" s="4"/>
      <c r="AL179" s="4"/>
      <c r="AM179" s="4"/>
      <c r="AN179" s="4"/>
      <c r="AO179" s="4"/>
      <c r="AP179" s="20" t="str">
        <f t="shared" si="123"/>
        <v>-</v>
      </c>
      <c r="AQ179" s="13" t="str">
        <f t="shared" si="136"/>
        <v>-</v>
      </c>
      <c r="AR179" s="13" t="str">
        <f t="shared" si="137"/>
        <v>-</v>
      </c>
      <c r="AS179" s="13" t="str">
        <f t="shared" si="124"/>
        <v>-</v>
      </c>
      <c r="AT179" s="16" t="str">
        <f t="shared" si="138"/>
        <v>-</v>
      </c>
      <c r="AU179" s="16" t="str">
        <f t="shared" si="125"/>
        <v>-</v>
      </c>
      <c r="AV179" s="16" t="str">
        <f t="shared" si="126"/>
        <v>-</v>
      </c>
      <c r="AW179" s="16" t="str">
        <f t="shared" si="139"/>
        <v>-</v>
      </c>
      <c r="AX179" s="13" t="str">
        <f t="shared" si="140"/>
        <v>-</v>
      </c>
      <c r="AY179" s="10" t="str">
        <f t="shared" si="141"/>
        <v>-</v>
      </c>
      <c r="AZ179" s="9" t="str">
        <f t="shared" si="142"/>
        <v>-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</row>
    <row r="180" spans="2:68" x14ac:dyDescent="0.3">
      <c r="B180" s="108" t="str">
        <f t="shared" si="127"/>
        <v/>
      </c>
      <c r="C180" s="108" t="str">
        <f t="shared" si="113"/>
        <v/>
      </c>
      <c r="D180" s="3"/>
      <c r="E180" s="3"/>
      <c r="F180" s="3"/>
      <c r="G180" s="20">
        <f>IFERROR(INDEX('Input - Iceland'!F$2:F$200,MATCH('Calculations - Iceland'!$C180,'Input - Iceland'!$B$2:$B$200,0)),"")</f>
        <v>0</v>
      </c>
      <c r="H180" s="20">
        <f>IFERROR(INDEX('Input - Iceland'!G$2:G$200,MATCH('Calculations - Iceland'!$C180,'Input - Iceland'!$B$2:$B$200,0)),"")</f>
        <v>0</v>
      </c>
      <c r="I180" s="21">
        <f>IFERROR(INDEX('Input - Iceland'!H$2:H$200,MATCH('Calculations - Iceland'!$C180,'Input - Iceland'!$B$2:$B$200,0)),"")</f>
        <v>0</v>
      </c>
      <c r="J180" s="21">
        <f>IFERROR(INDEX('Input - Iceland'!I$2:I$200,MATCH('Calculations - Iceland'!$C180,'Input - Iceland'!$B$2:$B$200,0)),"")</f>
        <v>0</v>
      </c>
      <c r="K180" s="20">
        <f>IFERROR(INDEX('Input - Iceland'!J$2:J$200,MATCH('Calculations - Iceland'!$C180,'Input - Iceland'!$B$2:$B$200,0)),"")</f>
        <v>0</v>
      </c>
      <c r="L180" s="20">
        <f>IFERROR(INDEX('Input - Iceland'!K$2:K$200,MATCH('Calculations - Iceland'!$C180,'Input - Iceland'!$B$2:$B$200,0)),"")</f>
        <v>0</v>
      </c>
      <c r="M180" s="21" t="str">
        <f t="shared" si="128"/>
        <v/>
      </c>
      <c r="N180" s="21" t="str">
        <f t="shared" si="114"/>
        <v/>
      </c>
      <c r="O180" s="21">
        <f t="shared" si="129"/>
        <v>0</v>
      </c>
      <c r="P180" s="9">
        <f t="shared" si="111"/>
        <v>0</v>
      </c>
      <c r="Q180" s="9">
        <f t="shared" si="112"/>
        <v>0</v>
      </c>
      <c r="R180" s="22" t="str">
        <f>IFERROR(INDEX(Iceland!$Q$11:$Q$165,MATCH('Calculations - Iceland'!$C180,Iceland!$M$11:$M$165,0)),"")</f>
        <v/>
      </c>
      <c r="S180" s="22" t="str">
        <f>IFERROR(INDEX(Iceland!$R$11:$R$165,MATCH('Calculations - Iceland'!$C180,Iceland!$M$11:$M$165,0)),"")</f>
        <v/>
      </c>
      <c r="T180" s="16" t="e">
        <f t="shared" si="115"/>
        <v>#VALUE!</v>
      </c>
      <c r="U180" s="16" t="e">
        <f t="shared" si="130"/>
        <v>#VALUE!</v>
      </c>
      <c r="V180" s="16" t="e">
        <f t="shared" si="131"/>
        <v>#VALUE!</v>
      </c>
      <c r="W180" s="10" t="str">
        <f t="shared" si="116"/>
        <v>-</v>
      </c>
      <c r="X180" s="10" t="str">
        <f t="shared" si="117"/>
        <v>-</v>
      </c>
      <c r="Y180" s="13" t="str">
        <f t="shared" si="132"/>
        <v>-</v>
      </c>
      <c r="Z180" s="9" t="str">
        <f t="shared" si="118"/>
        <v>-</v>
      </c>
      <c r="AA180" s="16" t="str">
        <f t="shared" si="133"/>
        <v>-</v>
      </c>
      <c r="AB180" s="16" t="str">
        <f t="shared" si="119"/>
        <v>-</v>
      </c>
      <c r="AC180" s="16" t="str">
        <f t="shared" si="120"/>
        <v>-</v>
      </c>
      <c r="AD180" s="16" t="str">
        <f t="shared" si="134"/>
        <v>-</v>
      </c>
      <c r="AE180" s="16"/>
      <c r="AF180" s="31" t="str">
        <f>IFERROR(INDEX(Iceland!$P$11:$P$165,MATCH('Calculations - Iceland'!C180,Iceland!$M$11:$M$165,0)),"")</f>
        <v/>
      </c>
      <c r="AG180" s="23" t="str">
        <f t="shared" si="135"/>
        <v/>
      </c>
      <c r="AH180" s="23" t="str">
        <f t="shared" si="135"/>
        <v/>
      </c>
      <c r="AI180" s="9" t="str">
        <f t="shared" si="121"/>
        <v/>
      </c>
      <c r="AJ180" s="4" t="str">
        <f t="shared" si="122"/>
        <v/>
      </c>
      <c r="AK180" s="4"/>
      <c r="AL180" s="4"/>
      <c r="AM180" s="4"/>
      <c r="AN180" s="4"/>
      <c r="AO180" s="4"/>
      <c r="AP180" s="20" t="str">
        <f t="shared" si="123"/>
        <v>-</v>
      </c>
      <c r="AQ180" s="13" t="str">
        <f t="shared" si="136"/>
        <v>-</v>
      </c>
      <c r="AR180" s="13" t="str">
        <f t="shared" si="137"/>
        <v>-</v>
      </c>
      <c r="AS180" s="13" t="str">
        <f t="shared" si="124"/>
        <v>-</v>
      </c>
      <c r="AT180" s="16" t="str">
        <f t="shared" si="138"/>
        <v>-</v>
      </c>
      <c r="AU180" s="16" t="str">
        <f t="shared" si="125"/>
        <v>-</v>
      </c>
      <c r="AV180" s="16" t="str">
        <f t="shared" si="126"/>
        <v>-</v>
      </c>
      <c r="AW180" s="16" t="str">
        <f t="shared" si="139"/>
        <v>-</v>
      </c>
      <c r="AX180" s="13" t="str">
        <f t="shared" si="140"/>
        <v>-</v>
      </c>
      <c r="AY180" s="10" t="str">
        <f t="shared" si="141"/>
        <v>-</v>
      </c>
      <c r="AZ180" s="9" t="str">
        <f t="shared" si="142"/>
        <v>-</v>
      </c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</row>
    <row r="181" spans="2:68" x14ac:dyDescent="0.3">
      <c r="B181" s="108" t="str">
        <f t="shared" si="127"/>
        <v/>
      </c>
      <c r="C181" s="108" t="str">
        <f t="shared" si="113"/>
        <v/>
      </c>
      <c r="D181" s="3"/>
      <c r="E181" s="3"/>
      <c r="F181" s="3"/>
      <c r="G181" s="20">
        <f>IFERROR(INDEX('Input - Iceland'!F$2:F$200,MATCH('Calculations - Iceland'!$C181,'Input - Iceland'!$B$2:$B$200,0)),"")</f>
        <v>0</v>
      </c>
      <c r="H181" s="20">
        <f>IFERROR(INDEX('Input - Iceland'!G$2:G$200,MATCH('Calculations - Iceland'!$C181,'Input - Iceland'!$B$2:$B$200,0)),"")</f>
        <v>0</v>
      </c>
      <c r="I181" s="21">
        <f>IFERROR(INDEX('Input - Iceland'!H$2:H$200,MATCH('Calculations - Iceland'!$C181,'Input - Iceland'!$B$2:$B$200,0)),"")</f>
        <v>0</v>
      </c>
      <c r="J181" s="21">
        <f>IFERROR(INDEX('Input - Iceland'!I$2:I$200,MATCH('Calculations - Iceland'!$C181,'Input - Iceland'!$B$2:$B$200,0)),"")</f>
        <v>0</v>
      </c>
      <c r="K181" s="20">
        <f>IFERROR(INDEX('Input - Iceland'!J$2:J$200,MATCH('Calculations - Iceland'!$C181,'Input - Iceland'!$B$2:$B$200,0)),"")</f>
        <v>0</v>
      </c>
      <c r="L181" s="20">
        <f>IFERROR(INDEX('Input - Iceland'!K$2:K$200,MATCH('Calculations - Iceland'!$C181,'Input - Iceland'!$B$2:$B$200,0)),"")</f>
        <v>0</v>
      </c>
      <c r="M181" s="21" t="str">
        <f t="shared" si="128"/>
        <v/>
      </c>
      <c r="N181" s="21" t="str">
        <f t="shared" si="114"/>
        <v/>
      </c>
      <c r="O181" s="21">
        <f t="shared" si="129"/>
        <v>0</v>
      </c>
      <c r="P181" s="9">
        <f t="shared" si="111"/>
        <v>0</v>
      </c>
      <c r="Q181" s="9">
        <f t="shared" si="112"/>
        <v>0</v>
      </c>
      <c r="R181" s="22" t="str">
        <f>IFERROR(INDEX(Iceland!$Q$11:$Q$165,MATCH('Calculations - Iceland'!$C181,Iceland!$M$11:$M$165,0)),"")</f>
        <v/>
      </c>
      <c r="S181" s="22" t="str">
        <f>IFERROR(INDEX(Iceland!$R$11:$R$165,MATCH('Calculations - Iceland'!$C181,Iceland!$M$11:$M$165,0)),"")</f>
        <v/>
      </c>
      <c r="T181" s="16" t="e">
        <f t="shared" si="115"/>
        <v>#VALUE!</v>
      </c>
      <c r="U181" s="16" t="e">
        <f t="shared" si="130"/>
        <v>#VALUE!</v>
      </c>
      <c r="V181" s="16" t="e">
        <f t="shared" si="131"/>
        <v>#VALUE!</v>
      </c>
      <c r="W181" s="10" t="str">
        <f t="shared" si="116"/>
        <v>-</v>
      </c>
      <c r="X181" s="10" t="str">
        <f t="shared" si="117"/>
        <v>-</v>
      </c>
      <c r="Y181" s="13" t="str">
        <f t="shared" si="132"/>
        <v>-</v>
      </c>
      <c r="Z181" s="9" t="str">
        <f t="shared" si="118"/>
        <v>-</v>
      </c>
      <c r="AA181" s="16" t="str">
        <f t="shared" si="133"/>
        <v>-</v>
      </c>
      <c r="AB181" s="16" t="str">
        <f t="shared" si="119"/>
        <v>-</v>
      </c>
      <c r="AC181" s="16" t="str">
        <f t="shared" si="120"/>
        <v>-</v>
      </c>
      <c r="AD181" s="16" t="str">
        <f t="shared" si="134"/>
        <v>-</v>
      </c>
      <c r="AE181" s="16"/>
      <c r="AF181" s="31" t="str">
        <f>IFERROR(INDEX(Iceland!$P$11:$P$165,MATCH('Calculations - Iceland'!C181,Iceland!$M$11:$M$165,0)),"")</f>
        <v/>
      </c>
      <c r="AG181" s="23" t="str">
        <f t="shared" si="135"/>
        <v/>
      </c>
      <c r="AH181" s="23" t="str">
        <f t="shared" si="135"/>
        <v/>
      </c>
      <c r="AI181" s="9" t="str">
        <f t="shared" si="121"/>
        <v/>
      </c>
      <c r="AJ181" s="4" t="str">
        <f t="shared" si="122"/>
        <v/>
      </c>
      <c r="AK181" s="4"/>
      <c r="AL181" s="4"/>
      <c r="AM181" s="4"/>
      <c r="AN181" s="4"/>
      <c r="AO181" s="4"/>
      <c r="AP181" s="20" t="str">
        <f t="shared" si="123"/>
        <v>-</v>
      </c>
      <c r="AQ181" s="13" t="str">
        <f t="shared" si="136"/>
        <v>-</v>
      </c>
      <c r="AR181" s="13" t="str">
        <f t="shared" si="137"/>
        <v>-</v>
      </c>
      <c r="AS181" s="13" t="str">
        <f t="shared" si="124"/>
        <v>-</v>
      </c>
      <c r="AT181" s="16" t="str">
        <f t="shared" si="138"/>
        <v>-</v>
      </c>
      <c r="AU181" s="16" t="str">
        <f t="shared" si="125"/>
        <v>-</v>
      </c>
      <c r="AV181" s="16" t="str">
        <f t="shared" si="126"/>
        <v>-</v>
      </c>
      <c r="AW181" s="16" t="str">
        <f t="shared" si="139"/>
        <v>-</v>
      </c>
      <c r="AX181" s="13" t="str">
        <f t="shared" si="140"/>
        <v>-</v>
      </c>
      <c r="AY181" s="10" t="str">
        <f t="shared" si="141"/>
        <v>-</v>
      </c>
      <c r="AZ181" s="9" t="str">
        <f t="shared" si="142"/>
        <v>-</v>
      </c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</row>
    <row r="182" spans="2:68" x14ac:dyDescent="0.3">
      <c r="B182" s="108" t="str">
        <f t="shared" si="127"/>
        <v/>
      </c>
      <c r="C182" s="108" t="str">
        <f t="shared" si="113"/>
        <v/>
      </c>
      <c r="D182" s="3"/>
      <c r="E182" s="3"/>
      <c r="F182" s="3"/>
      <c r="G182" s="20">
        <f>IFERROR(INDEX('Input - Iceland'!F$2:F$200,MATCH('Calculations - Iceland'!$C182,'Input - Iceland'!$B$2:$B$200,0)),"")</f>
        <v>0</v>
      </c>
      <c r="H182" s="20">
        <f>IFERROR(INDEX('Input - Iceland'!G$2:G$200,MATCH('Calculations - Iceland'!$C182,'Input - Iceland'!$B$2:$B$200,0)),"")</f>
        <v>0</v>
      </c>
      <c r="I182" s="21">
        <f>IFERROR(INDEX('Input - Iceland'!H$2:H$200,MATCH('Calculations - Iceland'!$C182,'Input - Iceland'!$B$2:$B$200,0)),"")</f>
        <v>0</v>
      </c>
      <c r="J182" s="21">
        <f>IFERROR(INDEX('Input - Iceland'!I$2:I$200,MATCH('Calculations - Iceland'!$C182,'Input - Iceland'!$B$2:$B$200,0)),"")</f>
        <v>0</v>
      </c>
      <c r="K182" s="20">
        <f>IFERROR(INDEX('Input - Iceland'!J$2:J$200,MATCH('Calculations - Iceland'!$C182,'Input - Iceland'!$B$2:$B$200,0)),"")</f>
        <v>0</v>
      </c>
      <c r="L182" s="20">
        <f>IFERROR(INDEX('Input - Iceland'!K$2:K$200,MATCH('Calculations - Iceland'!$C182,'Input - Iceland'!$B$2:$B$200,0)),"")</f>
        <v>0</v>
      </c>
      <c r="M182" s="21" t="str">
        <f t="shared" si="128"/>
        <v/>
      </c>
      <c r="N182" s="21" t="str">
        <f t="shared" si="114"/>
        <v/>
      </c>
      <c r="O182" s="21">
        <f t="shared" si="129"/>
        <v>0</v>
      </c>
      <c r="P182" s="9">
        <f t="shared" si="111"/>
        <v>0</v>
      </c>
      <c r="Q182" s="9">
        <f t="shared" si="112"/>
        <v>0</v>
      </c>
      <c r="R182" s="22" t="str">
        <f>IFERROR(INDEX(Iceland!$Q$11:$Q$165,MATCH('Calculations - Iceland'!$C182,Iceland!$M$11:$M$165,0)),"")</f>
        <v/>
      </c>
      <c r="S182" s="22" t="str">
        <f>IFERROR(INDEX(Iceland!$R$11:$R$165,MATCH('Calculations - Iceland'!$C182,Iceland!$M$11:$M$165,0)),"")</f>
        <v/>
      </c>
      <c r="T182" s="16" t="e">
        <f t="shared" si="115"/>
        <v>#VALUE!</v>
      </c>
      <c r="U182" s="16" t="e">
        <f t="shared" si="130"/>
        <v>#VALUE!</v>
      </c>
      <c r="V182" s="16" t="e">
        <f t="shared" si="131"/>
        <v>#VALUE!</v>
      </c>
      <c r="W182" s="10" t="str">
        <f t="shared" si="116"/>
        <v>-</v>
      </c>
      <c r="X182" s="10" t="str">
        <f t="shared" si="117"/>
        <v>-</v>
      </c>
      <c r="Y182" s="13" t="str">
        <f t="shared" si="132"/>
        <v>-</v>
      </c>
      <c r="Z182" s="9" t="str">
        <f t="shared" si="118"/>
        <v>-</v>
      </c>
      <c r="AA182" s="16" t="str">
        <f t="shared" si="133"/>
        <v>-</v>
      </c>
      <c r="AB182" s="16" t="str">
        <f t="shared" si="119"/>
        <v>-</v>
      </c>
      <c r="AC182" s="16" t="str">
        <f t="shared" si="120"/>
        <v>-</v>
      </c>
      <c r="AD182" s="16" t="str">
        <f t="shared" si="134"/>
        <v>-</v>
      </c>
      <c r="AE182" s="16"/>
      <c r="AF182" s="31" t="str">
        <f>IFERROR(INDEX(Iceland!$P$11:$P$165,MATCH('Calculations - Iceland'!C182,Iceland!$M$11:$M$165,0)),"")</f>
        <v/>
      </c>
      <c r="AG182" s="23" t="str">
        <f t="shared" si="135"/>
        <v/>
      </c>
      <c r="AH182" s="23" t="str">
        <f t="shared" si="135"/>
        <v/>
      </c>
      <c r="AI182" s="9" t="str">
        <f t="shared" si="121"/>
        <v/>
      </c>
      <c r="AJ182" s="4" t="str">
        <f t="shared" si="122"/>
        <v/>
      </c>
      <c r="AK182" s="4"/>
      <c r="AL182" s="4"/>
      <c r="AM182" s="4"/>
      <c r="AN182" s="4"/>
      <c r="AO182" s="4"/>
      <c r="AP182" s="20" t="str">
        <f t="shared" si="123"/>
        <v>-</v>
      </c>
      <c r="AQ182" s="13" t="str">
        <f t="shared" si="136"/>
        <v>-</v>
      </c>
      <c r="AR182" s="13" t="str">
        <f t="shared" si="137"/>
        <v>-</v>
      </c>
      <c r="AS182" s="13" t="str">
        <f t="shared" si="124"/>
        <v>-</v>
      </c>
      <c r="AT182" s="16" t="str">
        <f t="shared" si="138"/>
        <v>-</v>
      </c>
      <c r="AU182" s="16" t="str">
        <f t="shared" si="125"/>
        <v>-</v>
      </c>
      <c r="AV182" s="16" t="str">
        <f t="shared" si="126"/>
        <v>-</v>
      </c>
      <c r="AW182" s="16" t="str">
        <f t="shared" si="139"/>
        <v>-</v>
      </c>
      <c r="AX182" s="13" t="str">
        <f t="shared" si="140"/>
        <v>-</v>
      </c>
      <c r="AY182" s="10" t="str">
        <f t="shared" si="141"/>
        <v>-</v>
      </c>
      <c r="AZ182" s="9" t="str">
        <f t="shared" si="142"/>
        <v>-</v>
      </c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</row>
    <row r="183" spans="2:68" x14ac:dyDescent="0.3">
      <c r="B183" s="108" t="str">
        <f t="shared" si="127"/>
        <v/>
      </c>
      <c r="C183" s="108" t="str">
        <f t="shared" si="113"/>
        <v/>
      </c>
      <c r="D183" s="3"/>
      <c r="E183" s="3"/>
      <c r="F183" s="3"/>
      <c r="G183" s="20">
        <f>IFERROR(INDEX('Input - Iceland'!F$2:F$200,MATCH('Calculations - Iceland'!$C183,'Input - Iceland'!$B$2:$B$200,0)),"")</f>
        <v>0</v>
      </c>
      <c r="H183" s="20">
        <f>IFERROR(INDEX('Input - Iceland'!G$2:G$200,MATCH('Calculations - Iceland'!$C183,'Input - Iceland'!$B$2:$B$200,0)),"")</f>
        <v>0</v>
      </c>
      <c r="I183" s="21">
        <f>IFERROR(INDEX('Input - Iceland'!H$2:H$200,MATCH('Calculations - Iceland'!$C183,'Input - Iceland'!$B$2:$B$200,0)),"")</f>
        <v>0</v>
      </c>
      <c r="J183" s="21">
        <f>IFERROR(INDEX('Input - Iceland'!I$2:I$200,MATCH('Calculations - Iceland'!$C183,'Input - Iceland'!$B$2:$B$200,0)),"")</f>
        <v>0</v>
      </c>
      <c r="K183" s="20">
        <f>IFERROR(INDEX('Input - Iceland'!J$2:J$200,MATCH('Calculations - Iceland'!$C183,'Input - Iceland'!$B$2:$B$200,0)),"")</f>
        <v>0</v>
      </c>
      <c r="L183" s="20">
        <f>IFERROR(INDEX('Input - Iceland'!K$2:K$200,MATCH('Calculations - Iceland'!$C183,'Input - Iceland'!$B$2:$B$200,0)),"")</f>
        <v>0</v>
      </c>
      <c r="M183" s="21" t="str">
        <f t="shared" si="128"/>
        <v/>
      </c>
      <c r="N183" s="21" t="str">
        <f t="shared" si="114"/>
        <v/>
      </c>
      <c r="O183" s="21">
        <f t="shared" si="129"/>
        <v>0</v>
      </c>
      <c r="P183" s="9">
        <f t="shared" si="111"/>
        <v>0</v>
      </c>
      <c r="Q183" s="9">
        <f t="shared" si="112"/>
        <v>0</v>
      </c>
      <c r="R183" s="22" t="str">
        <f>IFERROR(INDEX(Iceland!$Q$11:$Q$165,MATCH('Calculations - Iceland'!$C183,Iceland!$M$11:$M$165,0)),"")</f>
        <v/>
      </c>
      <c r="S183" s="22" t="str">
        <f>IFERROR(INDEX(Iceland!$R$11:$R$165,MATCH('Calculations - Iceland'!$C183,Iceland!$M$11:$M$165,0)),"")</f>
        <v/>
      </c>
      <c r="T183" s="16" t="e">
        <f t="shared" si="115"/>
        <v>#VALUE!</v>
      </c>
      <c r="U183" s="16" t="e">
        <f t="shared" si="130"/>
        <v>#VALUE!</v>
      </c>
      <c r="V183" s="16" t="e">
        <f t="shared" si="131"/>
        <v>#VALUE!</v>
      </c>
      <c r="W183" s="10" t="str">
        <f t="shared" si="116"/>
        <v>-</v>
      </c>
      <c r="X183" s="10" t="str">
        <f t="shared" si="117"/>
        <v>-</v>
      </c>
      <c r="Y183" s="13" t="str">
        <f t="shared" si="132"/>
        <v>-</v>
      </c>
      <c r="Z183" s="9" t="str">
        <f t="shared" si="118"/>
        <v>-</v>
      </c>
      <c r="AA183" s="16" t="str">
        <f t="shared" si="133"/>
        <v>-</v>
      </c>
      <c r="AB183" s="16" t="str">
        <f t="shared" si="119"/>
        <v>-</v>
      </c>
      <c r="AC183" s="16" t="str">
        <f t="shared" si="120"/>
        <v>-</v>
      </c>
      <c r="AD183" s="16" t="str">
        <f t="shared" si="134"/>
        <v>-</v>
      </c>
      <c r="AE183" s="16"/>
      <c r="AF183" s="31" t="str">
        <f>IFERROR(INDEX(Iceland!$P$11:$P$165,MATCH('Calculations - Iceland'!C183,Iceland!$M$11:$M$165,0)),"")</f>
        <v/>
      </c>
      <c r="AG183" s="23" t="str">
        <f t="shared" si="135"/>
        <v/>
      </c>
      <c r="AH183" s="23" t="str">
        <f t="shared" si="135"/>
        <v/>
      </c>
      <c r="AI183" s="9" t="str">
        <f t="shared" si="121"/>
        <v/>
      </c>
      <c r="AJ183" s="4" t="str">
        <f t="shared" si="122"/>
        <v/>
      </c>
      <c r="AK183" s="4"/>
      <c r="AL183" s="4"/>
      <c r="AM183" s="4"/>
      <c r="AN183" s="4"/>
      <c r="AO183" s="4"/>
      <c r="AP183" s="20" t="str">
        <f t="shared" si="123"/>
        <v>-</v>
      </c>
      <c r="AQ183" s="13" t="str">
        <f t="shared" si="136"/>
        <v>-</v>
      </c>
      <c r="AR183" s="13" t="str">
        <f t="shared" si="137"/>
        <v>-</v>
      </c>
      <c r="AS183" s="13" t="str">
        <f t="shared" si="124"/>
        <v>-</v>
      </c>
      <c r="AT183" s="16" t="str">
        <f t="shared" si="138"/>
        <v>-</v>
      </c>
      <c r="AU183" s="16" t="str">
        <f t="shared" si="125"/>
        <v>-</v>
      </c>
      <c r="AV183" s="16" t="str">
        <f t="shared" si="126"/>
        <v>-</v>
      </c>
      <c r="AW183" s="16" t="str">
        <f t="shared" si="139"/>
        <v>-</v>
      </c>
      <c r="AX183" s="13" t="str">
        <f t="shared" si="140"/>
        <v>-</v>
      </c>
      <c r="AY183" s="10" t="str">
        <f t="shared" si="141"/>
        <v>-</v>
      </c>
      <c r="AZ183" s="9" t="str">
        <f t="shared" si="142"/>
        <v>-</v>
      </c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</row>
    <row r="184" spans="2:68" x14ac:dyDescent="0.3">
      <c r="B184" s="108" t="str">
        <f t="shared" si="127"/>
        <v/>
      </c>
      <c r="C184" s="108" t="str">
        <f t="shared" si="113"/>
        <v/>
      </c>
      <c r="D184" s="3"/>
      <c r="E184" s="3"/>
      <c r="F184" s="3"/>
      <c r="G184" s="20">
        <f>IFERROR(INDEX('Input - Iceland'!F$2:F$200,MATCH('Calculations - Iceland'!$C184,'Input - Iceland'!$B$2:$B$200,0)),"")</f>
        <v>0</v>
      </c>
      <c r="H184" s="20">
        <f>IFERROR(INDEX('Input - Iceland'!G$2:G$200,MATCH('Calculations - Iceland'!$C184,'Input - Iceland'!$B$2:$B$200,0)),"")</f>
        <v>0</v>
      </c>
      <c r="I184" s="21">
        <f>IFERROR(INDEX('Input - Iceland'!H$2:H$200,MATCH('Calculations - Iceland'!$C184,'Input - Iceland'!$B$2:$B$200,0)),"")</f>
        <v>0</v>
      </c>
      <c r="J184" s="21">
        <f>IFERROR(INDEX('Input - Iceland'!I$2:I$200,MATCH('Calculations - Iceland'!$C184,'Input - Iceland'!$B$2:$B$200,0)),"")</f>
        <v>0</v>
      </c>
      <c r="K184" s="20">
        <f>IFERROR(INDEX('Input - Iceland'!J$2:J$200,MATCH('Calculations - Iceland'!$C184,'Input - Iceland'!$B$2:$B$200,0)),"")</f>
        <v>0</v>
      </c>
      <c r="L184" s="20">
        <f>IFERROR(INDEX('Input - Iceland'!K$2:K$200,MATCH('Calculations - Iceland'!$C184,'Input - Iceland'!$B$2:$B$200,0)),"")</f>
        <v>0</v>
      </c>
      <c r="M184" s="21" t="str">
        <f t="shared" si="128"/>
        <v/>
      </c>
      <c r="N184" s="21" t="str">
        <f t="shared" si="114"/>
        <v/>
      </c>
      <c r="O184" s="21">
        <f t="shared" si="129"/>
        <v>0</v>
      </c>
      <c r="P184" s="9">
        <f t="shared" si="111"/>
        <v>0</v>
      </c>
      <c r="Q184" s="9">
        <f t="shared" si="112"/>
        <v>0</v>
      </c>
      <c r="R184" s="22" t="str">
        <f>IFERROR(INDEX(Iceland!$Q$11:$Q$165,MATCH('Calculations - Iceland'!$C184,Iceland!$M$11:$M$165,0)),"")</f>
        <v/>
      </c>
      <c r="S184" s="22" t="str">
        <f>IFERROR(INDEX(Iceland!$R$11:$R$165,MATCH('Calculations - Iceland'!$C184,Iceland!$M$11:$M$165,0)),"")</f>
        <v/>
      </c>
      <c r="T184" s="16" t="e">
        <f t="shared" si="115"/>
        <v>#VALUE!</v>
      </c>
      <c r="U184" s="16" t="e">
        <f t="shared" si="130"/>
        <v>#VALUE!</v>
      </c>
      <c r="V184" s="16" t="e">
        <f t="shared" si="131"/>
        <v>#VALUE!</v>
      </c>
      <c r="W184" s="10" t="str">
        <f t="shared" si="116"/>
        <v>-</v>
      </c>
      <c r="X184" s="10" t="str">
        <f t="shared" si="117"/>
        <v>-</v>
      </c>
      <c r="Y184" s="13" t="str">
        <f t="shared" si="132"/>
        <v>-</v>
      </c>
      <c r="Z184" s="9" t="str">
        <f t="shared" si="118"/>
        <v>-</v>
      </c>
      <c r="AA184" s="16" t="str">
        <f t="shared" si="133"/>
        <v>-</v>
      </c>
      <c r="AB184" s="16" t="str">
        <f t="shared" si="119"/>
        <v>-</v>
      </c>
      <c r="AC184" s="16" t="str">
        <f t="shared" si="120"/>
        <v>-</v>
      </c>
      <c r="AD184" s="16" t="str">
        <f t="shared" si="134"/>
        <v>-</v>
      </c>
      <c r="AE184" s="16"/>
      <c r="AF184" s="31" t="str">
        <f>IFERROR(INDEX(Iceland!$P$11:$P$165,MATCH('Calculations - Iceland'!C184,Iceland!$M$11:$M$165,0)),"")</f>
        <v/>
      </c>
      <c r="AG184" s="23" t="str">
        <f t="shared" si="135"/>
        <v/>
      </c>
      <c r="AH184" s="23" t="str">
        <f t="shared" si="135"/>
        <v/>
      </c>
      <c r="AI184" s="9" t="str">
        <f t="shared" si="121"/>
        <v/>
      </c>
      <c r="AJ184" s="4" t="str">
        <f t="shared" si="122"/>
        <v/>
      </c>
      <c r="AK184" s="4"/>
      <c r="AL184" s="4"/>
      <c r="AM184" s="4"/>
      <c r="AN184" s="4"/>
      <c r="AO184" s="4"/>
      <c r="AP184" s="20" t="str">
        <f t="shared" si="123"/>
        <v>-</v>
      </c>
      <c r="AQ184" s="13" t="str">
        <f t="shared" si="136"/>
        <v>-</v>
      </c>
      <c r="AR184" s="13" t="str">
        <f t="shared" si="137"/>
        <v>-</v>
      </c>
      <c r="AS184" s="13" t="str">
        <f t="shared" si="124"/>
        <v>-</v>
      </c>
      <c r="AT184" s="16" t="str">
        <f t="shared" si="138"/>
        <v>-</v>
      </c>
      <c r="AU184" s="16" t="str">
        <f t="shared" si="125"/>
        <v>-</v>
      </c>
      <c r="AV184" s="16" t="str">
        <f t="shared" si="126"/>
        <v>-</v>
      </c>
      <c r="AW184" s="16" t="str">
        <f t="shared" si="139"/>
        <v>-</v>
      </c>
      <c r="AX184" s="13" t="str">
        <f t="shared" si="140"/>
        <v>-</v>
      </c>
      <c r="AY184" s="10" t="str">
        <f t="shared" si="141"/>
        <v>-</v>
      </c>
      <c r="AZ184" s="9" t="str">
        <f t="shared" si="142"/>
        <v>-</v>
      </c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</row>
    <row r="185" spans="2:68" x14ac:dyDescent="0.3">
      <c r="B185" s="108" t="str">
        <f t="shared" si="127"/>
        <v/>
      </c>
      <c r="C185" s="108" t="str">
        <f t="shared" si="113"/>
        <v/>
      </c>
      <c r="D185" s="3"/>
      <c r="E185" s="3"/>
      <c r="F185" s="3"/>
      <c r="G185" s="20">
        <f>IFERROR(INDEX('Input - Iceland'!F$2:F$200,MATCH('Calculations - Iceland'!$C185,'Input - Iceland'!$B$2:$B$200,0)),"")</f>
        <v>0</v>
      </c>
      <c r="H185" s="20">
        <f>IFERROR(INDEX('Input - Iceland'!G$2:G$200,MATCH('Calculations - Iceland'!$C185,'Input - Iceland'!$B$2:$B$200,0)),"")</f>
        <v>0</v>
      </c>
      <c r="I185" s="21">
        <f>IFERROR(INDEX('Input - Iceland'!H$2:H$200,MATCH('Calculations - Iceland'!$C185,'Input - Iceland'!$B$2:$B$200,0)),"")</f>
        <v>0</v>
      </c>
      <c r="J185" s="21">
        <f>IFERROR(INDEX('Input - Iceland'!I$2:I$200,MATCH('Calculations - Iceland'!$C185,'Input - Iceland'!$B$2:$B$200,0)),"")</f>
        <v>0</v>
      </c>
      <c r="K185" s="20">
        <f>IFERROR(INDEX('Input - Iceland'!J$2:J$200,MATCH('Calculations - Iceland'!$C185,'Input - Iceland'!$B$2:$B$200,0)),"")</f>
        <v>0</v>
      </c>
      <c r="L185" s="20">
        <f>IFERROR(INDEX('Input - Iceland'!K$2:K$200,MATCH('Calculations - Iceland'!$C185,'Input - Iceland'!$B$2:$B$200,0)),"")</f>
        <v>0</v>
      </c>
      <c r="M185" s="21" t="str">
        <f t="shared" si="128"/>
        <v/>
      </c>
      <c r="N185" s="21" t="str">
        <f t="shared" si="114"/>
        <v/>
      </c>
      <c r="O185" s="21">
        <f t="shared" si="129"/>
        <v>0</v>
      </c>
      <c r="P185" s="9">
        <f t="shared" si="111"/>
        <v>0</v>
      </c>
      <c r="Q185" s="9">
        <f t="shared" si="112"/>
        <v>0</v>
      </c>
      <c r="R185" s="22" t="str">
        <f>IFERROR(INDEX(Iceland!$Q$11:$Q$165,MATCH('Calculations - Iceland'!$C185,Iceland!$M$11:$M$165,0)),"")</f>
        <v/>
      </c>
      <c r="S185" s="22" t="str">
        <f>IFERROR(INDEX(Iceland!$R$11:$R$165,MATCH('Calculations - Iceland'!$C185,Iceland!$M$11:$M$165,0)),"")</f>
        <v/>
      </c>
      <c r="T185" s="16" t="e">
        <f t="shared" si="115"/>
        <v>#VALUE!</v>
      </c>
      <c r="U185" s="16" t="e">
        <f t="shared" si="130"/>
        <v>#VALUE!</v>
      </c>
      <c r="V185" s="16" t="e">
        <f t="shared" si="131"/>
        <v>#VALUE!</v>
      </c>
      <c r="W185" s="10" t="str">
        <f t="shared" si="116"/>
        <v>-</v>
      </c>
      <c r="X185" s="10" t="str">
        <f t="shared" si="117"/>
        <v>-</v>
      </c>
      <c r="Y185" s="13" t="str">
        <f t="shared" si="132"/>
        <v>-</v>
      </c>
      <c r="Z185" s="9" t="str">
        <f t="shared" si="118"/>
        <v>-</v>
      </c>
      <c r="AA185" s="16" t="str">
        <f t="shared" si="133"/>
        <v>-</v>
      </c>
      <c r="AB185" s="16" t="str">
        <f t="shared" si="119"/>
        <v>-</v>
      </c>
      <c r="AC185" s="16" t="str">
        <f t="shared" si="120"/>
        <v>-</v>
      </c>
      <c r="AD185" s="16" t="str">
        <f t="shared" si="134"/>
        <v>-</v>
      </c>
      <c r="AE185" s="16"/>
      <c r="AF185" s="31" t="str">
        <f>IFERROR(INDEX(Iceland!$P$11:$P$165,MATCH('Calculations - Iceland'!C185,Iceland!$M$11:$M$165,0)),"")</f>
        <v/>
      </c>
      <c r="AG185" s="23" t="str">
        <f t="shared" si="135"/>
        <v/>
      </c>
      <c r="AH185" s="23" t="str">
        <f t="shared" si="135"/>
        <v/>
      </c>
      <c r="AI185" s="9" t="str">
        <f t="shared" si="121"/>
        <v/>
      </c>
      <c r="AJ185" s="4" t="str">
        <f t="shared" si="122"/>
        <v/>
      </c>
      <c r="AK185" s="4"/>
      <c r="AL185" s="4"/>
      <c r="AM185" s="4"/>
      <c r="AN185" s="4"/>
      <c r="AO185" s="4"/>
      <c r="AP185" s="20" t="str">
        <f t="shared" si="123"/>
        <v>-</v>
      </c>
      <c r="AQ185" s="13" t="str">
        <f t="shared" si="136"/>
        <v>-</v>
      </c>
      <c r="AR185" s="13" t="str">
        <f t="shared" si="137"/>
        <v>-</v>
      </c>
      <c r="AS185" s="13" t="str">
        <f t="shared" si="124"/>
        <v>-</v>
      </c>
      <c r="AT185" s="16" t="str">
        <f t="shared" si="138"/>
        <v>-</v>
      </c>
      <c r="AU185" s="16" t="str">
        <f t="shared" si="125"/>
        <v>-</v>
      </c>
      <c r="AV185" s="16" t="str">
        <f t="shared" si="126"/>
        <v>-</v>
      </c>
      <c r="AW185" s="16" t="str">
        <f t="shared" si="139"/>
        <v>-</v>
      </c>
      <c r="AX185" s="13" t="str">
        <f t="shared" si="140"/>
        <v>-</v>
      </c>
      <c r="AY185" s="10" t="str">
        <f t="shared" si="141"/>
        <v>-</v>
      </c>
      <c r="AZ185" s="9" t="str">
        <f t="shared" si="142"/>
        <v>-</v>
      </c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</row>
    <row r="186" spans="2:68" x14ac:dyDescent="0.3">
      <c r="B186" s="108" t="str">
        <f t="shared" si="127"/>
        <v/>
      </c>
      <c r="C186" s="108" t="str">
        <f t="shared" si="113"/>
        <v/>
      </c>
      <c r="D186" s="3"/>
      <c r="E186" s="3"/>
      <c r="F186" s="3"/>
      <c r="G186" s="20">
        <f>IFERROR(INDEX('Input - Iceland'!F$2:F$200,MATCH('Calculations - Iceland'!$C186,'Input - Iceland'!$B$2:$B$200,0)),"")</f>
        <v>0</v>
      </c>
      <c r="H186" s="20">
        <f>IFERROR(INDEX('Input - Iceland'!G$2:G$200,MATCH('Calculations - Iceland'!$C186,'Input - Iceland'!$B$2:$B$200,0)),"")</f>
        <v>0</v>
      </c>
      <c r="I186" s="21">
        <f>IFERROR(INDEX('Input - Iceland'!H$2:H$200,MATCH('Calculations - Iceland'!$C186,'Input - Iceland'!$B$2:$B$200,0)),"")</f>
        <v>0</v>
      </c>
      <c r="J186" s="21">
        <f>IFERROR(INDEX('Input - Iceland'!I$2:I$200,MATCH('Calculations - Iceland'!$C186,'Input - Iceland'!$B$2:$B$200,0)),"")</f>
        <v>0</v>
      </c>
      <c r="K186" s="20">
        <f>IFERROR(INDEX('Input - Iceland'!J$2:J$200,MATCH('Calculations - Iceland'!$C186,'Input - Iceland'!$B$2:$B$200,0)),"")</f>
        <v>0</v>
      </c>
      <c r="L186" s="20">
        <f>IFERROR(INDEX('Input - Iceland'!K$2:K$200,MATCH('Calculations - Iceland'!$C186,'Input - Iceland'!$B$2:$B$200,0)),"")</f>
        <v>0</v>
      </c>
      <c r="M186" s="21" t="str">
        <f t="shared" si="128"/>
        <v/>
      </c>
      <c r="N186" s="21" t="str">
        <f t="shared" si="114"/>
        <v/>
      </c>
      <c r="O186" s="21">
        <f t="shared" si="129"/>
        <v>0</v>
      </c>
      <c r="P186" s="9">
        <f t="shared" si="111"/>
        <v>0</v>
      </c>
      <c r="Q186" s="9">
        <f t="shared" si="112"/>
        <v>0</v>
      </c>
      <c r="R186" s="22" t="str">
        <f>IFERROR(INDEX(Iceland!$Q$11:$Q$165,MATCH('Calculations - Iceland'!$C186,Iceland!$M$11:$M$165,0)),"")</f>
        <v/>
      </c>
      <c r="S186" s="22" t="str">
        <f>IFERROR(INDEX(Iceland!$R$11:$R$165,MATCH('Calculations - Iceland'!$C186,Iceland!$M$11:$M$165,0)),"")</f>
        <v/>
      </c>
      <c r="T186" s="16" t="e">
        <f t="shared" si="115"/>
        <v>#VALUE!</v>
      </c>
      <c r="U186" s="16" t="e">
        <f t="shared" si="130"/>
        <v>#VALUE!</v>
      </c>
      <c r="V186" s="16" t="e">
        <f t="shared" si="131"/>
        <v>#VALUE!</v>
      </c>
      <c r="W186" s="10" t="str">
        <f t="shared" si="116"/>
        <v>-</v>
      </c>
      <c r="X186" s="10" t="str">
        <f t="shared" si="117"/>
        <v>-</v>
      </c>
      <c r="Y186" s="13" t="str">
        <f t="shared" si="132"/>
        <v>-</v>
      </c>
      <c r="Z186" s="9" t="str">
        <f t="shared" si="118"/>
        <v>-</v>
      </c>
      <c r="AA186" s="16" t="str">
        <f t="shared" si="133"/>
        <v>-</v>
      </c>
      <c r="AB186" s="16" t="str">
        <f t="shared" si="119"/>
        <v>-</v>
      </c>
      <c r="AC186" s="16" t="str">
        <f t="shared" si="120"/>
        <v>-</v>
      </c>
      <c r="AD186" s="16" t="str">
        <f t="shared" si="134"/>
        <v>-</v>
      </c>
      <c r="AE186" s="16"/>
      <c r="AF186" s="31" t="str">
        <f>IFERROR(INDEX(Iceland!$P$11:$P$165,MATCH('Calculations - Iceland'!C186,Iceland!$M$11:$M$165,0)),"")</f>
        <v/>
      </c>
      <c r="AG186" s="23" t="str">
        <f t="shared" si="135"/>
        <v/>
      </c>
      <c r="AH186" s="23" t="str">
        <f t="shared" si="135"/>
        <v/>
      </c>
      <c r="AI186" s="9" t="str">
        <f t="shared" si="121"/>
        <v/>
      </c>
      <c r="AJ186" s="4" t="str">
        <f t="shared" si="122"/>
        <v/>
      </c>
      <c r="AK186" s="4"/>
      <c r="AL186" s="4"/>
      <c r="AM186" s="4"/>
      <c r="AN186" s="4"/>
      <c r="AO186" s="4"/>
      <c r="AP186" s="20" t="str">
        <f t="shared" si="123"/>
        <v>-</v>
      </c>
      <c r="AQ186" s="13" t="str">
        <f t="shared" si="136"/>
        <v>-</v>
      </c>
      <c r="AR186" s="13" t="str">
        <f t="shared" si="137"/>
        <v>-</v>
      </c>
      <c r="AS186" s="13" t="str">
        <f t="shared" si="124"/>
        <v>-</v>
      </c>
      <c r="AT186" s="16" t="str">
        <f t="shared" si="138"/>
        <v>-</v>
      </c>
      <c r="AU186" s="16" t="str">
        <f t="shared" si="125"/>
        <v>-</v>
      </c>
      <c r="AV186" s="16" t="str">
        <f t="shared" si="126"/>
        <v>-</v>
      </c>
      <c r="AW186" s="16" t="str">
        <f t="shared" si="139"/>
        <v>-</v>
      </c>
      <c r="AX186" s="13" t="str">
        <f t="shared" si="140"/>
        <v>-</v>
      </c>
      <c r="AY186" s="10" t="str">
        <f t="shared" si="141"/>
        <v>-</v>
      </c>
      <c r="AZ186" s="9" t="str">
        <f t="shared" si="142"/>
        <v>-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</row>
    <row r="187" spans="2:68" x14ac:dyDescent="0.3">
      <c r="B187" s="108" t="str">
        <f t="shared" si="127"/>
        <v/>
      </c>
      <c r="C187" s="108" t="str">
        <f t="shared" si="113"/>
        <v/>
      </c>
      <c r="D187" s="3"/>
      <c r="E187" s="3"/>
      <c r="F187" s="3"/>
      <c r="G187" s="20">
        <f>IFERROR(INDEX('Input - Iceland'!F$2:F$200,MATCH('Calculations - Iceland'!$C187,'Input - Iceland'!$B$2:$B$200,0)),"")</f>
        <v>0</v>
      </c>
      <c r="H187" s="20">
        <f>IFERROR(INDEX('Input - Iceland'!G$2:G$200,MATCH('Calculations - Iceland'!$C187,'Input - Iceland'!$B$2:$B$200,0)),"")</f>
        <v>0</v>
      </c>
      <c r="I187" s="21">
        <f>IFERROR(INDEX('Input - Iceland'!H$2:H$200,MATCH('Calculations - Iceland'!$C187,'Input - Iceland'!$B$2:$B$200,0)),"")</f>
        <v>0</v>
      </c>
      <c r="J187" s="21">
        <f>IFERROR(INDEX('Input - Iceland'!I$2:I$200,MATCH('Calculations - Iceland'!$C187,'Input - Iceland'!$B$2:$B$200,0)),"")</f>
        <v>0</v>
      </c>
      <c r="K187" s="20">
        <f>IFERROR(INDEX('Input - Iceland'!J$2:J$200,MATCH('Calculations - Iceland'!$C187,'Input - Iceland'!$B$2:$B$200,0)),"")</f>
        <v>0</v>
      </c>
      <c r="L187" s="20">
        <f>IFERROR(INDEX('Input - Iceland'!K$2:K$200,MATCH('Calculations - Iceland'!$C187,'Input - Iceland'!$B$2:$B$200,0)),"")</f>
        <v>0</v>
      </c>
      <c r="M187" s="21" t="str">
        <f t="shared" si="128"/>
        <v/>
      </c>
      <c r="N187" s="21" t="str">
        <f t="shared" si="114"/>
        <v/>
      </c>
      <c r="O187" s="21">
        <f t="shared" si="129"/>
        <v>0</v>
      </c>
      <c r="P187" s="9">
        <f t="shared" si="111"/>
        <v>0</v>
      </c>
      <c r="Q187" s="9">
        <f t="shared" si="112"/>
        <v>0</v>
      </c>
      <c r="R187" s="22" t="str">
        <f>IFERROR(INDEX(Iceland!$Q$11:$Q$165,MATCH('Calculations - Iceland'!$C187,Iceland!$M$11:$M$165,0)),"")</f>
        <v/>
      </c>
      <c r="S187" s="22" t="str">
        <f>IFERROR(INDEX(Iceland!$R$11:$R$165,MATCH('Calculations - Iceland'!$C187,Iceland!$M$11:$M$165,0)),"")</f>
        <v/>
      </c>
      <c r="T187" s="16" t="e">
        <f t="shared" si="115"/>
        <v>#VALUE!</v>
      </c>
      <c r="U187" s="16" t="e">
        <f t="shared" si="130"/>
        <v>#VALUE!</v>
      </c>
      <c r="V187" s="16" t="e">
        <f t="shared" si="131"/>
        <v>#VALUE!</v>
      </c>
      <c r="W187" s="10" t="str">
        <f t="shared" si="116"/>
        <v>-</v>
      </c>
      <c r="X187" s="10" t="str">
        <f t="shared" si="117"/>
        <v>-</v>
      </c>
      <c r="Y187" s="13" t="str">
        <f t="shared" si="132"/>
        <v>-</v>
      </c>
      <c r="Z187" s="9" t="str">
        <f t="shared" si="118"/>
        <v>-</v>
      </c>
      <c r="AA187" s="16" t="str">
        <f t="shared" si="133"/>
        <v>-</v>
      </c>
      <c r="AB187" s="16" t="str">
        <f t="shared" si="119"/>
        <v>-</v>
      </c>
      <c r="AC187" s="16" t="str">
        <f t="shared" si="120"/>
        <v>-</v>
      </c>
      <c r="AD187" s="16" t="str">
        <f t="shared" si="134"/>
        <v>-</v>
      </c>
      <c r="AE187" s="16"/>
      <c r="AF187" s="31" t="str">
        <f>IFERROR(INDEX(Iceland!$P$11:$P$165,MATCH('Calculations - Iceland'!C187,Iceland!$M$11:$M$165,0)),"")</f>
        <v/>
      </c>
      <c r="AG187" s="23" t="str">
        <f t="shared" si="135"/>
        <v/>
      </c>
      <c r="AH187" s="23" t="str">
        <f t="shared" si="135"/>
        <v/>
      </c>
      <c r="AI187" s="9" t="str">
        <f t="shared" si="121"/>
        <v/>
      </c>
      <c r="AJ187" s="4" t="str">
        <f t="shared" si="122"/>
        <v/>
      </c>
      <c r="AK187" s="4"/>
      <c r="AL187" s="4"/>
      <c r="AM187" s="4"/>
      <c r="AN187" s="4"/>
      <c r="AO187" s="4"/>
      <c r="AP187" s="20" t="str">
        <f t="shared" si="123"/>
        <v>-</v>
      </c>
      <c r="AQ187" s="13" t="str">
        <f t="shared" si="136"/>
        <v>-</v>
      </c>
      <c r="AR187" s="13" t="str">
        <f t="shared" si="137"/>
        <v>-</v>
      </c>
      <c r="AS187" s="13" t="str">
        <f t="shared" si="124"/>
        <v>-</v>
      </c>
      <c r="AT187" s="16" t="str">
        <f t="shared" si="138"/>
        <v>-</v>
      </c>
      <c r="AU187" s="16" t="str">
        <f t="shared" si="125"/>
        <v>-</v>
      </c>
      <c r="AV187" s="16" t="str">
        <f t="shared" si="126"/>
        <v>-</v>
      </c>
      <c r="AW187" s="16" t="str">
        <f t="shared" si="139"/>
        <v>-</v>
      </c>
      <c r="AX187" s="13" t="str">
        <f t="shared" si="140"/>
        <v>-</v>
      </c>
      <c r="AY187" s="10" t="str">
        <f t="shared" si="141"/>
        <v>-</v>
      </c>
      <c r="AZ187" s="9" t="str">
        <f t="shared" si="142"/>
        <v>-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</row>
    <row r="188" spans="2:68" x14ac:dyDescent="0.3">
      <c r="B188" s="108" t="str">
        <f t="shared" si="127"/>
        <v/>
      </c>
      <c r="C188" s="108" t="str">
        <f t="shared" si="113"/>
        <v/>
      </c>
      <c r="D188" s="3"/>
      <c r="E188" s="3"/>
      <c r="F188" s="3"/>
      <c r="G188" s="20">
        <f>IFERROR(INDEX('Input - Iceland'!F$2:F$200,MATCH('Calculations - Iceland'!$C188,'Input - Iceland'!$B$2:$B$200,0)),"")</f>
        <v>0</v>
      </c>
      <c r="H188" s="20">
        <f>IFERROR(INDEX('Input - Iceland'!G$2:G$200,MATCH('Calculations - Iceland'!$C188,'Input - Iceland'!$B$2:$B$200,0)),"")</f>
        <v>0</v>
      </c>
      <c r="I188" s="21">
        <f>IFERROR(INDEX('Input - Iceland'!H$2:H$200,MATCH('Calculations - Iceland'!$C188,'Input - Iceland'!$B$2:$B$200,0)),"")</f>
        <v>0</v>
      </c>
      <c r="J188" s="21">
        <f>IFERROR(INDEX('Input - Iceland'!I$2:I$200,MATCH('Calculations - Iceland'!$C188,'Input - Iceland'!$B$2:$B$200,0)),"")</f>
        <v>0</v>
      </c>
      <c r="K188" s="20">
        <f>IFERROR(INDEX('Input - Iceland'!J$2:J$200,MATCH('Calculations - Iceland'!$C188,'Input - Iceland'!$B$2:$B$200,0)),"")</f>
        <v>0</v>
      </c>
      <c r="L188" s="20">
        <f>IFERROR(INDEX('Input - Iceland'!K$2:K$200,MATCH('Calculations - Iceland'!$C188,'Input - Iceland'!$B$2:$B$200,0)),"")</f>
        <v>0</v>
      </c>
      <c r="M188" s="21" t="str">
        <f t="shared" si="128"/>
        <v/>
      </c>
      <c r="N188" s="21" t="str">
        <f t="shared" si="114"/>
        <v/>
      </c>
      <c r="O188" s="21">
        <f t="shared" si="129"/>
        <v>0</v>
      </c>
      <c r="P188" s="9">
        <f t="shared" si="111"/>
        <v>0</v>
      </c>
      <c r="Q188" s="9">
        <f t="shared" si="112"/>
        <v>0</v>
      </c>
      <c r="R188" s="22" t="str">
        <f>IFERROR(INDEX(Iceland!$Q$11:$Q$165,MATCH('Calculations - Iceland'!$C188,Iceland!$M$11:$M$165,0)),"")</f>
        <v/>
      </c>
      <c r="S188" s="22" t="str">
        <f>IFERROR(INDEX(Iceland!$R$11:$R$165,MATCH('Calculations - Iceland'!$C188,Iceland!$M$11:$M$165,0)),"")</f>
        <v/>
      </c>
      <c r="T188" s="16" t="e">
        <f t="shared" si="115"/>
        <v>#VALUE!</v>
      </c>
      <c r="U188" s="16" t="e">
        <f t="shared" si="130"/>
        <v>#VALUE!</v>
      </c>
      <c r="V188" s="16" t="e">
        <f t="shared" si="131"/>
        <v>#VALUE!</v>
      </c>
      <c r="W188" s="10" t="str">
        <f t="shared" si="116"/>
        <v>-</v>
      </c>
      <c r="X188" s="10" t="str">
        <f t="shared" si="117"/>
        <v>-</v>
      </c>
      <c r="Y188" s="13" t="str">
        <f t="shared" si="132"/>
        <v>-</v>
      </c>
      <c r="Z188" s="9" t="str">
        <f t="shared" si="118"/>
        <v>-</v>
      </c>
      <c r="AA188" s="16" t="str">
        <f t="shared" si="133"/>
        <v>-</v>
      </c>
      <c r="AB188" s="16" t="str">
        <f t="shared" si="119"/>
        <v>-</v>
      </c>
      <c r="AC188" s="16" t="str">
        <f t="shared" si="120"/>
        <v>-</v>
      </c>
      <c r="AD188" s="16" t="str">
        <f t="shared" si="134"/>
        <v>-</v>
      </c>
      <c r="AE188" s="16"/>
      <c r="AF188" s="31" t="str">
        <f>IFERROR(INDEX(Iceland!$P$11:$P$165,MATCH('Calculations - Iceland'!C188,Iceland!$M$11:$M$165,0)),"")</f>
        <v/>
      </c>
      <c r="AG188" s="23" t="str">
        <f t="shared" si="135"/>
        <v/>
      </c>
      <c r="AH188" s="23" t="str">
        <f t="shared" si="135"/>
        <v/>
      </c>
      <c r="AI188" s="9" t="str">
        <f t="shared" si="121"/>
        <v/>
      </c>
      <c r="AJ188" s="4" t="str">
        <f t="shared" si="122"/>
        <v/>
      </c>
      <c r="AK188" s="4"/>
      <c r="AL188" s="4"/>
      <c r="AM188" s="4"/>
      <c r="AN188" s="4"/>
      <c r="AO188" s="4"/>
      <c r="AP188" s="20" t="str">
        <f t="shared" si="123"/>
        <v>-</v>
      </c>
      <c r="AQ188" s="13" t="str">
        <f t="shared" si="136"/>
        <v>-</v>
      </c>
      <c r="AR188" s="13" t="str">
        <f t="shared" si="137"/>
        <v>-</v>
      </c>
      <c r="AS188" s="13" t="str">
        <f t="shared" si="124"/>
        <v>-</v>
      </c>
      <c r="AT188" s="16" t="str">
        <f t="shared" si="138"/>
        <v>-</v>
      </c>
      <c r="AU188" s="16" t="str">
        <f t="shared" si="125"/>
        <v>-</v>
      </c>
      <c r="AV188" s="16" t="str">
        <f t="shared" si="126"/>
        <v>-</v>
      </c>
      <c r="AW188" s="16" t="str">
        <f t="shared" si="139"/>
        <v>-</v>
      </c>
      <c r="AX188" s="13" t="str">
        <f t="shared" si="140"/>
        <v>-</v>
      </c>
      <c r="AY188" s="10" t="str">
        <f t="shared" si="141"/>
        <v>-</v>
      </c>
      <c r="AZ188" s="9" t="str">
        <f t="shared" si="142"/>
        <v>-</v>
      </c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</row>
    <row r="189" spans="2:68" x14ac:dyDescent="0.3">
      <c r="B189" s="108" t="str">
        <f t="shared" si="127"/>
        <v/>
      </c>
      <c r="C189" s="108" t="str">
        <f t="shared" si="113"/>
        <v/>
      </c>
      <c r="D189" s="3"/>
      <c r="E189" s="3"/>
      <c r="F189" s="3"/>
      <c r="G189" s="20">
        <f>IFERROR(INDEX('Input - Iceland'!F$2:F$200,MATCH('Calculations - Iceland'!$C189,'Input - Iceland'!$B$2:$B$200,0)),"")</f>
        <v>0</v>
      </c>
      <c r="H189" s="20">
        <f>IFERROR(INDEX('Input - Iceland'!G$2:G$200,MATCH('Calculations - Iceland'!$C189,'Input - Iceland'!$B$2:$B$200,0)),"")</f>
        <v>0</v>
      </c>
      <c r="I189" s="21">
        <f>IFERROR(INDEX('Input - Iceland'!H$2:H$200,MATCH('Calculations - Iceland'!$C189,'Input - Iceland'!$B$2:$B$200,0)),"")</f>
        <v>0</v>
      </c>
      <c r="J189" s="21">
        <f>IFERROR(INDEX('Input - Iceland'!I$2:I$200,MATCH('Calculations - Iceland'!$C189,'Input - Iceland'!$B$2:$B$200,0)),"")</f>
        <v>0</v>
      </c>
      <c r="K189" s="20">
        <f>IFERROR(INDEX('Input - Iceland'!J$2:J$200,MATCH('Calculations - Iceland'!$C189,'Input - Iceland'!$B$2:$B$200,0)),"")</f>
        <v>0</v>
      </c>
      <c r="L189" s="20">
        <f>IFERROR(INDEX('Input - Iceland'!K$2:K$200,MATCH('Calculations - Iceland'!$C189,'Input - Iceland'!$B$2:$B$200,0)),"")</f>
        <v>0</v>
      </c>
      <c r="M189" s="21" t="str">
        <f t="shared" si="128"/>
        <v/>
      </c>
      <c r="N189" s="21" t="str">
        <f t="shared" si="114"/>
        <v/>
      </c>
      <c r="O189" s="21">
        <f t="shared" si="129"/>
        <v>0</v>
      </c>
      <c r="P189" s="9">
        <f t="shared" si="111"/>
        <v>0</v>
      </c>
      <c r="Q189" s="9">
        <f t="shared" si="112"/>
        <v>0</v>
      </c>
      <c r="R189" s="22" t="str">
        <f>IFERROR(INDEX(Iceland!$Q$11:$Q$165,MATCH('Calculations - Iceland'!$C189,Iceland!$M$11:$M$165,0)),"")</f>
        <v/>
      </c>
      <c r="S189" s="22" t="str">
        <f>IFERROR(INDEX(Iceland!$R$11:$R$165,MATCH('Calculations - Iceland'!$C189,Iceland!$M$11:$M$165,0)),"")</f>
        <v/>
      </c>
      <c r="T189" s="16" t="e">
        <f t="shared" si="115"/>
        <v>#VALUE!</v>
      </c>
      <c r="U189" s="16" t="e">
        <f t="shared" si="130"/>
        <v>#VALUE!</v>
      </c>
      <c r="V189" s="16" t="e">
        <f t="shared" si="131"/>
        <v>#VALUE!</v>
      </c>
      <c r="W189" s="10" t="str">
        <f t="shared" si="116"/>
        <v>-</v>
      </c>
      <c r="X189" s="10" t="str">
        <f t="shared" si="117"/>
        <v>-</v>
      </c>
      <c r="Y189" s="13" t="str">
        <f t="shared" si="132"/>
        <v>-</v>
      </c>
      <c r="Z189" s="9" t="str">
        <f t="shared" si="118"/>
        <v>-</v>
      </c>
      <c r="AA189" s="16" t="str">
        <f t="shared" si="133"/>
        <v>-</v>
      </c>
      <c r="AB189" s="16" t="str">
        <f t="shared" si="119"/>
        <v>-</v>
      </c>
      <c r="AC189" s="16" t="str">
        <f t="shared" si="120"/>
        <v>-</v>
      </c>
      <c r="AD189" s="16" t="str">
        <f t="shared" si="134"/>
        <v>-</v>
      </c>
      <c r="AE189" s="16"/>
      <c r="AF189" s="31" t="str">
        <f>IFERROR(INDEX(Iceland!$P$11:$P$165,MATCH('Calculations - Iceland'!C189,Iceland!$M$11:$M$165,0)),"")</f>
        <v/>
      </c>
      <c r="AG189" s="23" t="str">
        <f t="shared" si="135"/>
        <v/>
      </c>
      <c r="AH189" s="23" t="str">
        <f t="shared" si="135"/>
        <v/>
      </c>
      <c r="AI189" s="9" t="str">
        <f t="shared" si="121"/>
        <v/>
      </c>
      <c r="AJ189" s="4" t="str">
        <f t="shared" si="122"/>
        <v/>
      </c>
      <c r="AK189" s="4"/>
      <c r="AL189" s="4"/>
      <c r="AM189" s="4"/>
      <c r="AN189" s="4"/>
      <c r="AO189" s="4"/>
      <c r="AP189" s="20" t="str">
        <f t="shared" si="123"/>
        <v>-</v>
      </c>
      <c r="AQ189" s="13" t="str">
        <f t="shared" si="136"/>
        <v>-</v>
      </c>
      <c r="AR189" s="13" t="str">
        <f t="shared" si="137"/>
        <v>-</v>
      </c>
      <c r="AS189" s="13" t="str">
        <f t="shared" si="124"/>
        <v>-</v>
      </c>
      <c r="AT189" s="16" t="str">
        <f t="shared" si="138"/>
        <v>-</v>
      </c>
      <c r="AU189" s="16" t="str">
        <f t="shared" si="125"/>
        <v>-</v>
      </c>
      <c r="AV189" s="16" t="str">
        <f t="shared" si="126"/>
        <v>-</v>
      </c>
      <c r="AW189" s="16" t="str">
        <f t="shared" si="139"/>
        <v>-</v>
      </c>
      <c r="AX189" s="13" t="str">
        <f t="shared" si="140"/>
        <v>-</v>
      </c>
      <c r="AY189" s="10" t="str">
        <f t="shared" si="141"/>
        <v>-</v>
      </c>
      <c r="AZ189" s="9" t="str">
        <f t="shared" si="142"/>
        <v>-</v>
      </c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</row>
    <row r="190" spans="2:68" x14ac:dyDescent="0.3">
      <c r="B190" s="108" t="str">
        <f t="shared" si="127"/>
        <v/>
      </c>
      <c r="C190" s="108" t="str">
        <f t="shared" si="113"/>
        <v/>
      </c>
      <c r="D190" s="3"/>
      <c r="E190" s="3"/>
      <c r="F190" s="3"/>
      <c r="G190" s="20">
        <f>IFERROR(INDEX('Input - Iceland'!F$2:F$200,MATCH('Calculations - Iceland'!$C190,'Input - Iceland'!$B$2:$B$200,0)),"")</f>
        <v>0</v>
      </c>
      <c r="H190" s="20">
        <f>IFERROR(INDEX('Input - Iceland'!G$2:G$200,MATCH('Calculations - Iceland'!$C190,'Input - Iceland'!$B$2:$B$200,0)),"")</f>
        <v>0</v>
      </c>
      <c r="I190" s="21">
        <f>IFERROR(INDEX('Input - Iceland'!H$2:H$200,MATCH('Calculations - Iceland'!$C190,'Input - Iceland'!$B$2:$B$200,0)),"")</f>
        <v>0</v>
      </c>
      <c r="J190" s="21">
        <f>IFERROR(INDEX('Input - Iceland'!I$2:I$200,MATCH('Calculations - Iceland'!$C190,'Input - Iceland'!$B$2:$B$200,0)),"")</f>
        <v>0</v>
      </c>
      <c r="K190" s="20">
        <f>IFERROR(INDEX('Input - Iceland'!J$2:J$200,MATCH('Calculations - Iceland'!$C190,'Input - Iceland'!$B$2:$B$200,0)),"")</f>
        <v>0</v>
      </c>
      <c r="L190" s="20">
        <f>IFERROR(INDEX('Input - Iceland'!K$2:K$200,MATCH('Calculations - Iceland'!$C190,'Input - Iceland'!$B$2:$B$200,0)),"")</f>
        <v>0</v>
      </c>
      <c r="M190" s="21" t="str">
        <f t="shared" si="128"/>
        <v/>
      </c>
      <c r="N190" s="21" t="str">
        <f t="shared" si="114"/>
        <v/>
      </c>
      <c r="O190" s="21">
        <f t="shared" si="129"/>
        <v>0</v>
      </c>
      <c r="P190" s="9">
        <f t="shared" si="111"/>
        <v>0</v>
      </c>
      <c r="Q190" s="9">
        <f t="shared" si="112"/>
        <v>0</v>
      </c>
      <c r="R190" s="22" t="str">
        <f>IFERROR(INDEX(Iceland!$Q$11:$Q$165,MATCH('Calculations - Iceland'!$C190,Iceland!$M$11:$M$165,0)),"")</f>
        <v/>
      </c>
      <c r="S190" s="22" t="str">
        <f>IFERROR(INDEX(Iceland!$R$11:$R$165,MATCH('Calculations - Iceland'!$C190,Iceland!$M$11:$M$165,0)),"")</f>
        <v/>
      </c>
      <c r="T190" s="16" t="e">
        <f t="shared" si="115"/>
        <v>#VALUE!</v>
      </c>
      <c r="U190" s="16" t="e">
        <f t="shared" si="130"/>
        <v>#VALUE!</v>
      </c>
      <c r="V190" s="16" t="e">
        <f t="shared" si="131"/>
        <v>#VALUE!</v>
      </c>
      <c r="W190" s="10" t="str">
        <f t="shared" si="116"/>
        <v>-</v>
      </c>
      <c r="X190" s="10" t="str">
        <f t="shared" si="117"/>
        <v>-</v>
      </c>
      <c r="Y190" s="13" t="str">
        <f t="shared" si="132"/>
        <v>-</v>
      </c>
      <c r="Z190" s="9" t="str">
        <f t="shared" si="118"/>
        <v>-</v>
      </c>
      <c r="AA190" s="16" t="str">
        <f t="shared" si="133"/>
        <v>-</v>
      </c>
      <c r="AB190" s="16" t="str">
        <f t="shared" si="119"/>
        <v>-</v>
      </c>
      <c r="AC190" s="16" t="str">
        <f t="shared" si="120"/>
        <v>-</v>
      </c>
      <c r="AD190" s="16" t="str">
        <f t="shared" si="134"/>
        <v>-</v>
      </c>
      <c r="AE190" s="16"/>
      <c r="AF190" s="31" t="str">
        <f>IFERROR(INDEX(Iceland!$P$11:$P$165,MATCH('Calculations - Iceland'!C190,Iceland!$M$11:$M$165,0)),"")</f>
        <v/>
      </c>
      <c r="AG190" s="23" t="str">
        <f t="shared" si="135"/>
        <v/>
      </c>
      <c r="AH190" s="23" t="str">
        <f t="shared" si="135"/>
        <v/>
      </c>
      <c r="AI190" s="9" t="str">
        <f t="shared" si="121"/>
        <v/>
      </c>
      <c r="AJ190" s="4" t="str">
        <f t="shared" si="122"/>
        <v/>
      </c>
      <c r="AK190" s="4"/>
      <c r="AL190" s="4"/>
      <c r="AM190" s="4"/>
      <c r="AN190" s="4"/>
      <c r="AO190" s="4"/>
      <c r="AP190" s="20" t="str">
        <f t="shared" si="123"/>
        <v>-</v>
      </c>
      <c r="AQ190" s="13" t="str">
        <f t="shared" si="136"/>
        <v>-</v>
      </c>
      <c r="AR190" s="13" t="str">
        <f t="shared" si="137"/>
        <v>-</v>
      </c>
      <c r="AS190" s="13" t="str">
        <f t="shared" si="124"/>
        <v>-</v>
      </c>
      <c r="AT190" s="16" t="str">
        <f t="shared" si="138"/>
        <v>-</v>
      </c>
      <c r="AU190" s="16" t="str">
        <f t="shared" si="125"/>
        <v>-</v>
      </c>
      <c r="AV190" s="16" t="str">
        <f t="shared" si="126"/>
        <v>-</v>
      </c>
      <c r="AW190" s="16" t="str">
        <f t="shared" si="139"/>
        <v>-</v>
      </c>
      <c r="AX190" s="13" t="str">
        <f t="shared" si="140"/>
        <v>-</v>
      </c>
      <c r="AY190" s="10" t="str">
        <f t="shared" si="141"/>
        <v>-</v>
      </c>
      <c r="AZ190" s="9" t="str">
        <f t="shared" si="142"/>
        <v>-</v>
      </c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</row>
    <row r="191" spans="2:68" x14ac:dyDescent="0.3">
      <c r="B191" s="108" t="str">
        <f t="shared" si="127"/>
        <v/>
      </c>
      <c r="C191" s="108" t="str">
        <f t="shared" si="113"/>
        <v/>
      </c>
      <c r="D191" s="3"/>
      <c r="E191" s="3"/>
      <c r="F191" s="3"/>
      <c r="G191" s="20">
        <f>IFERROR(INDEX('Input - Iceland'!F$2:F$200,MATCH('Calculations - Iceland'!$C191,'Input - Iceland'!$B$2:$B$200,0)),"")</f>
        <v>0</v>
      </c>
      <c r="H191" s="20">
        <f>IFERROR(INDEX('Input - Iceland'!G$2:G$200,MATCH('Calculations - Iceland'!$C191,'Input - Iceland'!$B$2:$B$200,0)),"")</f>
        <v>0</v>
      </c>
      <c r="I191" s="21">
        <f>IFERROR(INDEX('Input - Iceland'!H$2:H$200,MATCH('Calculations - Iceland'!$C191,'Input - Iceland'!$B$2:$B$200,0)),"")</f>
        <v>0</v>
      </c>
      <c r="J191" s="21">
        <f>IFERROR(INDEX('Input - Iceland'!I$2:I$200,MATCH('Calculations - Iceland'!$C191,'Input - Iceland'!$B$2:$B$200,0)),"")</f>
        <v>0</v>
      </c>
      <c r="K191" s="20">
        <f>IFERROR(INDEX('Input - Iceland'!J$2:J$200,MATCH('Calculations - Iceland'!$C191,'Input - Iceland'!$B$2:$B$200,0)),"")</f>
        <v>0</v>
      </c>
      <c r="L191" s="20">
        <f>IFERROR(INDEX('Input - Iceland'!K$2:K$200,MATCH('Calculations - Iceland'!$C191,'Input - Iceland'!$B$2:$B$200,0)),"")</f>
        <v>0</v>
      </c>
      <c r="M191" s="21" t="str">
        <f t="shared" si="128"/>
        <v/>
      </c>
      <c r="N191" s="21" t="str">
        <f t="shared" si="114"/>
        <v/>
      </c>
      <c r="O191" s="21">
        <f t="shared" si="129"/>
        <v>0</v>
      </c>
      <c r="P191" s="9">
        <f t="shared" si="111"/>
        <v>0</v>
      </c>
      <c r="Q191" s="9">
        <f t="shared" si="112"/>
        <v>0</v>
      </c>
      <c r="R191" s="22" t="str">
        <f>IFERROR(INDEX(Iceland!$Q$11:$Q$165,MATCH('Calculations - Iceland'!$C191,Iceland!$M$11:$M$165,0)),"")</f>
        <v/>
      </c>
      <c r="S191" s="22" t="str">
        <f>IFERROR(INDEX(Iceland!$R$11:$R$165,MATCH('Calculations - Iceland'!$C191,Iceland!$M$11:$M$165,0)),"")</f>
        <v/>
      </c>
      <c r="T191" s="16" t="e">
        <f t="shared" si="115"/>
        <v>#VALUE!</v>
      </c>
      <c r="U191" s="16" t="e">
        <f t="shared" si="130"/>
        <v>#VALUE!</v>
      </c>
      <c r="V191" s="16" t="e">
        <f t="shared" si="131"/>
        <v>#VALUE!</v>
      </c>
      <c r="W191" s="10" t="str">
        <f t="shared" si="116"/>
        <v>-</v>
      </c>
      <c r="X191" s="10" t="str">
        <f t="shared" si="117"/>
        <v>-</v>
      </c>
      <c r="Y191" s="13" t="str">
        <f t="shared" si="132"/>
        <v>-</v>
      </c>
      <c r="Z191" s="9" t="str">
        <f t="shared" si="118"/>
        <v>-</v>
      </c>
      <c r="AA191" s="16" t="str">
        <f t="shared" si="133"/>
        <v>-</v>
      </c>
      <c r="AB191" s="16" t="str">
        <f t="shared" si="119"/>
        <v>-</v>
      </c>
      <c r="AC191" s="16" t="str">
        <f t="shared" si="120"/>
        <v>-</v>
      </c>
      <c r="AD191" s="16" t="str">
        <f t="shared" si="134"/>
        <v>-</v>
      </c>
      <c r="AE191" s="16"/>
      <c r="AF191" s="31" t="str">
        <f>IFERROR(INDEX(Iceland!$P$11:$P$165,MATCH('Calculations - Iceland'!C191,Iceland!$M$11:$M$165,0)),"")</f>
        <v/>
      </c>
      <c r="AG191" s="23" t="str">
        <f t="shared" si="135"/>
        <v/>
      </c>
      <c r="AH191" s="23" t="str">
        <f t="shared" si="135"/>
        <v/>
      </c>
      <c r="AI191" s="9" t="str">
        <f t="shared" si="121"/>
        <v/>
      </c>
      <c r="AJ191" s="4" t="str">
        <f t="shared" si="122"/>
        <v/>
      </c>
      <c r="AK191" s="4"/>
      <c r="AL191" s="4"/>
      <c r="AM191" s="4"/>
      <c r="AN191" s="4"/>
      <c r="AO191" s="4"/>
      <c r="AP191" s="20" t="str">
        <f t="shared" si="123"/>
        <v>-</v>
      </c>
      <c r="AQ191" s="13" t="str">
        <f t="shared" si="136"/>
        <v>-</v>
      </c>
      <c r="AR191" s="13" t="str">
        <f t="shared" si="137"/>
        <v>-</v>
      </c>
      <c r="AS191" s="13" t="str">
        <f t="shared" si="124"/>
        <v>-</v>
      </c>
      <c r="AT191" s="16" t="str">
        <f t="shared" si="138"/>
        <v>-</v>
      </c>
      <c r="AU191" s="16" t="str">
        <f t="shared" si="125"/>
        <v>-</v>
      </c>
      <c r="AV191" s="16" t="str">
        <f t="shared" si="126"/>
        <v>-</v>
      </c>
      <c r="AW191" s="16" t="str">
        <f t="shared" si="139"/>
        <v>-</v>
      </c>
      <c r="AX191" s="13" t="str">
        <f t="shared" si="140"/>
        <v>-</v>
      </c>
      <c r="AY191" s="10" t="str">
        <f t="shared" si="141"/>
        <v>-</v>
      </c>
      <c r="AZ191" s="9" t="str">
        <f t="shared" si="142"/>
        <v>-</v>
      </c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</row>
    <row r="192" spans="2:68" x14ac:dyDescent="0.3">
      <c r="B192" s="108" t="str">
        <f t="shared" si="127"/>
        <v/>
      </c>
      <c r="C192" s="108" t="str">
        <f t="shared" si="113"/>
        <v/>
      </c>
      <c r="D192" s="3"/>
      <c r="E192" s="3"/>
      <c r="F192" s="3"/>
      <c r="G192" s="20">
        <f>IFERROR(INDEX('Input - Iceland'!F$2:F$200,MATCH('Calculations - Iceland'!$C192,'Input - Iceland'!$B$2:$B$200,0)),"")</f>
        <v>0</v>
      </c>
      <c r="H192" s="20">
        <f>IFERROR(INDEX('Input - Iceland'!G$2:G$200,MATCH('Calculations - Iceland'!$C192,'Input - Iceland'!$B$2:$B$200,0)),"")</f>
        <v>0</v>
      </c>
      <c r="I192" s="21">
        <f>IFERROR(INDEX('Input - Iceland'!H$2:H$200,MATCH('Calculations - Iceland'!$C192,'Input - Iceland'!$B$2:$B$200,0)),"")</f>
        <v>0</v>
      </c>
      <c r="J192" s="21">
        <f>IFERROR(INDEX('Input - Iceland'!I$2:I$200,MATCH('Calculations - Iceland'!$C192,'Input - Iceland'!$B$2:$B$200,0)),"")</f>
        <v>0</v>
      </c>
      <c r="K192" s="20">
        <f>IFERROR(INDEX('Input - Iceland'!J$2:J$200,MATCH('Calculations - Iceland'!$C192,'Input - Iceland'!$B$2:$B$200,0)),"")</f>
        <v>0</v>
      </c>
      <c r="L192" s="20">
        <f>IFERROR(INDEX('Input - Iceland'!K$2:K$200,MATCH('Calculations - Iceland'!$C192,'Input - Iceland'!$B$2:$B$200,0)),"")</f>
        <v>0</v>
      </c>
      <c r="M192" s="21" t="str">
        <f t="shared" si="128"/>
        <v/>
      </c>
      <c r="N192" s="21" t="str">
        <f t="shared" si="114"/>
        <v/>
      </c>
      <c r="O192" s="21">
        <f t="shared" si="129"/>
        <v>0</v>
      </c>
      <c r="P192" s="9">
        <f t="shared" ref="P192:P229" si="143">G192/SUM(G$32:G$229)</f>
        <v>0</v>
      </c>
      <c r="Q192" s="9">
        <f t="shared" ref="Q192:Q229" si="144">H192/SUM(H$32:H$229)</f>
        <v>0</v>
      </c>
      <c r="R192" s="22" t="str">
        <f>IFERROR(INDEX(Iceland!$Q$11:$Q$165,MATCH('Calculations - Iceland'!$C192,Iceland!$M$11:$M$165,0)),"")</f>
        <v/>
      </c>
      <c r="S192" s="22" t="str">
        <f>IFERROR(INDEX(Iceland!$R$11:$R$165,MATCH('Calculations - Iceland'!$C192,Iceland!$M$11:$M$165,0)),"")</f>
        <v/>
      </c>
      <c r="T192" s="16" t="e">
        <f t="shared" si="115"/>
        <v>#VALUE!</v>
      </c>
      <c r="U192" s="16" t="e">
        <f t="shared" si="130"/>
        <v>#VALUE!</v>
      </c>
      <c r="V192" s="16" t="e">
        <f t="shared" si="131"/>
        <v>#VALUE!</v>
      </c>
      <c r="W192" s="10" t="str">
        <f t="shared" si="116"/>
        <v>-</v>
      </c>
      <c r="X192" s="10" t="str">
        <f t="shared" si="117"/>
        <v>-</v>
      </c>
      <c r="Y192" s="13" t="str">
        <f t="shared" si="132"/>
        <v>-</v>
      </c>
      <c r="Z192" s="9" t="str">
        <f t="shared" si="118"/>
        <v>-</v>
      </c>
      <c r="AA192" s="16" t="str">
        <f t="shared" si="133"/>
        <v>-</v>
      </c>
      <c r="AB192" s="16" t="str">
        <f t="shared" si="119"/>
        <v>-</v>
      </c>
      <c r="AC192" s="16" t="str">
        <f t="shared" si="120"/>
        <v>-</v>
      </c>
      <c r="AD192" s="16" t="str">
        <f t="shared" si="134"/>
        <v>-</v>
      </c>
      <c r="AE192" s="16"/>
      <c r="AF192" s="31" t="str">
        <f>IFERROR(INDEX(Iceland!$P$11:$P$165,MATCH('Calculations - Iceland'!C192,Iceland!$M$11:$M$165,0)),"")</f>
        <v/>
      </c>
      <c r="AG192" s="23" t="str">
        <f t="shared" si="135"/>
        <v/>
      </c>
      <c r="AH192" s="23" t="str">
        <f t="shared" si="135"/>
        <v/>
      </c>
      <c r="AI192" s="9" t="str">
        <f t="shared" si="121"/>
        <v/>
      </c>
      <c r="AJ192" s="4" t="str">
        <f t="shared" si="122"/>
        <v/>
      </c>
      <c r="AK192" s="4"/>
      <c r="AL192" s="4"/>
      <c r="AM192" s="4"/>
      <c r="AN192" s="4"/>
      <c r="AO192" s="4"/>
      <c r="AP192" s="20" t="str">
        <f t="shared" si="123"/>
        <v>-</v>
      </c>
      <c r="AQ192" s="13" t="str">
        <f t="shared" si="136"/>
        <v>-</v>
      </c>
      <c r="AR192" s="13" t="str">
        <f t="shared" si="137"/>
        <v>-</v>
      </c>
      <c r="AS192" s="13" t="str">
        <f t="shared" si="124"/>
        <v>-</v>
      </c>
      <c r="AT192" s="16" t="str">
        <f t="shared" si="138"/>
        <v>-</v>
      </c>
      <c r="AU192" s="16" t="str">
        <f t="shared" si="125"/>
        <v>-</v>
      </c>
      <c r="AV192" s="16" t="str">
        <f t="shared" si="126"/>
        <v>-</v>
      </c>
      <c r="AW192" s="16" t="str">
        <f t="shared" si="139"/>
        <v>-</v>
      </c>
      <c r="AX192" s="13" t="str">
        <f t="shared" si="140"/>
        <v>-</v>
      </c>
      <c r="AY192" s="10" t="str">
        <f t="shared" si="141"/>
        <v>-</v>
      </c>
      <c r="AZ192" s="9" t="str">
        <f t="shared" si="142"/>
        <v>-</v>
      </c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</row>
    <row r="193" spans="2:68" x14ac:dyDescent="0.3">
      <c r="B193" s="108" t="str">
        <f t="shared" si="127"/>
        <v/>
      </c>
      <c r="C193" s="108" t="str">
        <f t="shared" si="113"/>
        <v/>
      </c>
      <c r="D193" s="3"/>
      <c r="E193" s="3"/>
      <c r="F193" s="3"/>
      <c r="G193" s="20">
        <f>IFERROR(INDEX('Input - Iceland'!F$2:F$200,MATCH('Calculations - Iceland'!$C193,'Input - Iceland'!$B$2:$B$200,0)),"")</f>
        <v>0</v>
      </c>
      <c r="H193" s="20">
        <f>IFERROR(INDEX('Input - Iceland'!G$2:G$200,MATCH('Calculations - Iceland'!$C193,'Input - Iceland'!$B$2:$B$200,0)),"")</f>
        <v>0</v>
      </c>
      <c r="I193" s="21">
        <f>IFERROR(INDEX('Input - Iceland'!H$2:H$200,MATCH('Calculations - Iceland'!$C193,'Input - Iceland'!$B$2:$B$200,0)),"")</f>
        <v>0</v>
      </c>
      <c r="J193" s="21">
        <f>IFERROR(INDEX('Input - Iceland'!I$2:I$200,MATCH('Calculations - Iceland'!$C193,'Input - Iceland'!$B$2:$B$200,0)),"")</f>
        <v>0</v>
      </c>
      <c r="K193" s="20">
        <f>IFERROR(INDEX('Input - Iceland'!J$2:J$200,MATCH('Calculations - Iceland'!$C193,'Input - Iceland'!$B$2:$B$200,0)),"")</f>
        <v>0</v>
      </c>
      <c r="L193" s="20">
        <f>IFERROR(INDEX('Input - Iceland'!K$2:K$200,MATCH('Calculations - Iceland'!$C193,'Input - Iceland'!$B$2:$B$200,0)),"")</f>
        <v>0</v>
      </c>
      <c r="M193" s="21" t="str">
        <f t="shared" si="128"/>
        <v/>
      </c>
      <c r="N193" s="21" t="str">
        <f t="shared" si="114"/>
        <v/>
      </c>
      <c r="O193" s="21">
        <f t="shared" si="129"/>
        <v>0</v>
      </c>
      <c r="P193" s="9">
        <f t="shared" si="143"/>
        <v>0</v>
      </c>
      <c r="Q193" s="9">
        <f t="shared" si="144"/>
        <v>0</v>
      </c>
      <c r="R193" s="22" t="str">
        <f>IFERROR(INDEX(Iceland!$Q$11:$Q$165,MATCH('Calculations - Iceland'!$C193,Iceland!$M$11:$M$165,0)),"")</f>
        <v/>
      </c>
      <c r="S193" s="22" t="str">
        <f>IFERROR(INDEX(Iceland!$R$11:$R$165,MATCH('Calculations - Iceland'!$C193,Iceland!$M$11:$M$165,0)),"")</f>
        <v/>
      </c>
      <c r="T193" s="16" t="e">
        <f t="shared" si="115"/>
        <v>#VALUE!</v>
      </c>
      <c r="U193" s="16" t="e">
        <f t="shared" si="130"/>
        <v>#VALUE!</v>
      </c>
      <c r="V193" s="16" t="e">
        <f t="shared" si="131"/>
        <v>#VALUE!</v>
      </c>
      <c r="W193" s="10" t="str">
        <f t="shared" si="116"/>
        <v>-</v>
      </c>
      <c r="X193" s="10" t="str">
        <f t="shared" si="117"/>
        <v>-</v>
      </c>
      <c r="Y193" s="13" t="str">
        <f t="shared" si="132"/>
        <v>-</v>
      </c>
      <c r="Z193" s="9" t="str">
        <f t="shared" si="118"/>
        <v>-</v>
      </c>
      <c r="AA193" s="16" t="str">
        <f t="shared" si="133"/>
        <v>-</v>
      </c>
      <c r="AB193" s="16" t="str">
        <f t="shared" si="119"/>
        <v>-</v>
      </c>
      <c r="AC193" s="16" t="str">
        <f t="shared" si="120"/>
        <v>-</v>
      </c>
      <c r="AD193" s="16" t="str">
        <f t="shared" si="134"/>
        <v>-</v>
      </c>
      <c r="AE193" s="16"/>
      <c r="AF193" s="31" t="str">
        <f>IFERROR(INDEX(Iceland!$P$11:$P$165,MATCH('Calculations - Iceland'!C193,Iceland!$M$11:$M$165,0)),"")</f>
        <v/>
      </c>
      <c r="AG193" s="23" t="str">
        <f t="shared" si="135"/>
        <v/>
      </c>
      <c r="AH193" s="23" t="str">
        <f t="shared" si="135"/>
        <v/>
      </c>
      <c r="AI193" s="9" t="str">
        <f t="shared" si="121"/>
        <v/>
      </c>
      <c r="AJ193" s="4" t="str">
        <f t="shared" si="122"/>
        <v/>
      </c>
      <c r="AK193" s="4"/>
      <c r="AL193" s="4"/>
      <c r="AM193" s="4"/>
      <c r="AN193" s="4"/>
      <c r="AO193" s="4"/>
      <c r="AP193" s="20" t="str">
        <f t="shared" si="123"/>
        <v>-</v>
      </c>
      <c r="AQ193" s="13" t="str">
        <f t="shared" si="136"/>
        <v>-</v>
      </c>
      <c r="AR193" s="13" t="str">
        <f t="shared" si="137"/>
        <v>-</v>
      </c>
      <c r="AS193" s="13" t="str">
        <f t="shared" si="124"/>
        <v>-</v>
      </c>
      <c r="AT193" s="16" t="str">
        <f t="shared" si="138"/>
        <v>-</v>
      </c>
      <c r="AU193" s="16" t="str">
        <f t="shared" si="125"/>
        <v>-</v>
      </c>
      <c r="AV193" s="16" t="str">
        <f t="shared" si="126"/>
        <v>-</v>
      </c>
      <c r="AW193" s="16" t="str">
        <f t="shared" si="139"/>
        <v>-</v>
      </c>
      <c r="AX193" s="13" t="str">
        <f t="shared" si="140"/>
        <v>-</v>
      </c>
      <c r="AY193" s="10" t="str">
        <f t="shared" si="141"/>
        <v>-</v>
      </c>
      <c r="AZ193" s="9" t="str">
        <f t="shared" si="142"/>
        <v>-</v>
      </c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</row>
    <row r="194" spans="2:68" x14ac:dyDescent="0.3">
      <c r="B194" s="108" t="str">
        <f t="shared" si="127"/>
        <v/>
      </c>
      <c r="C194" s="108" t="str">
        <f t="shared" si="113"/>
        <v/>
      </c>
      <c r="D194" s="3"/>
      <c r="E194" s="3"/>
      <c r="F194" s="3"/>
      <c r="G194" s="20">
        <f>IFERROR(INDEX('Input - Iceland'!F$2:F$200,MATCH('Calculations - Iceland'!$C194,'Input - Iceland'!$B$2:$B$200,0)),"")</f>
        <v>0</v>
      </c>
      <c r="H194" s="20">
        <f>IFERROR(INDEX('Input - Iceland'!G$2:G$200,MATCH('Calculations - Iceland'!$C194,'Input - Iceland'!$B$2:$B$200,0)),"")</f>
        <v>0</v>
      </c>
      <c r="I194" s="21">
        <f>IFERROR(INDEX('Input - Iceland'!H$2:H$200,MATCH('Calculations - Iceland'!$C194,'Input - Iceland'!$B$2:$B$200,0)),"")</f>
        <v>0</v>
      </c>
      <c r="J194" s="21">
        <f>IFERROR(INDEX('Input - Iceland'!I$2:I$200,MATCH('Calculations - Iceland'!$C194,'Input - Iceland'!$B$2:$B$200,0)),"")</f>
        <v>0</v>
      </c>
      <c r="K194" s="20">
        <f>IFERROR(INDEX('Input - Iceland'!J$2:J$200,MATCH('Calculations - Iceland'!$C194,'Input - Iceland'!$B$2:$B$200,0)),"")</f>
        <v>0</v>
      </c>
      <c r="L194" s="20">
        <f>IFERROR(INDEX('Input - Iceland'!K$2:K$200,MATCH('Calculations - Iceland'!$C194,'Input - Iceland'!$B$2:$B$200,0)),"")</f>
        <v>0</v>
      </c>
      <c r="M194" s="21" t="str">
        <f t="shared" si="128"/>
        <v/>
      </c>
      <c r="N194" s="21" t="str">
        <f t="shared" si="114"/>
        <v/>
      </c>
      <c r="O194" s="21">
        <f t="shared" si="129"/>
        <v>0</v>
      </c>
      <c r="P194" s="9">
        <f t="shared" si="143"/>
        <v>0</v>
      </c>
      <c r="Q194" s="9">
        <f t="shared" si="144"/>
        <v>0</v>
      </c>
      <c r="R194" s="22" t="str">
        <f>IFERROR(INDEX(Iceland!$Q$11:$Q$165,MATCH('Calculations - Iceland'!$C194,Iceland!$M$11:$M$165,0)),"")</f>
        <v/>
      </c>
      <c r="S194" s="22" t="str">
        <f>IFERROR(INDEX(Iceland!$R$11:$R$165,MATCH('Calculations - Iceland'!$C194,Iceland!$M$11:$M$165,0)),"")</f>
        <v/>
      </c>
      <c r="T194" s="16" t="e">
        <f t="shared" si="115"/>
        <v>#VALUE!</v>
      </c>
      <c r="U194" s="16" t="e">
        <f t="shared" si="130"/>
        <v>#VALUE!</v>
      </c>
      <c r="V194" s="16" t="e">
        <f t="shared" si="131"/>
        <v>#VALUE!</v>
      </c>
      <c r="W194" s="10" t="str">
        <f t="shared" si="116"/>
        <v>-</v>
      </c>
      <c r="X194" s="10" t="str">
        <f t="shared" si="117"/>
        <v>-</v>
      </c>
      <c r="Y194" s="13" t="str">
        <f t="shared" si="132"/>
        <v>-</v>
      </c>
      <c r="Z194" s="9" t="str">
        <f t="shared" si="118"/>
        <v>-</v>
      </c>
      <c r="AA194" s="16" t="str">
        <f t="shared" si="133"/>
        <v>-</v>
      </c>
      <c r="AB194" s="16" t="str">
        <f t="shared" si="119"/>
        <v>-</v>
      </c>
      <c r="AC194" s="16" t="str">
        <f t="shared" si="120"/>
        <v>-</v>
      </c>
      <c r="AD194" s="16" t="str">
        <f t="shared" si="134"/>
        <v>-</v>
      </c>
      <c r="AE194" s="16"/>
      <c r="AF194" s="31" t="str">
        <f>IFERROR(INDEX(Iceland!$P$11:$P$165,MATCH('Calculations - Iceland'!C194,Iceland!$M$11:$M$165,0)),"")</f>
        <v/>
      </c>
      <c r="AG194" s="23" t="str">
        <f t="shared" si="135"/>
        <v/>
      </c>
      <c r="AH194" s="23" t="str">
        <f t="shared" si="135"/>
        <v/>
      </c>
      <c r="AI194" s="9" t="str">
        <f t="shared" si="121"/>
        <v/>
      </c>
      <c r="AJ194" s="4" t="str">
        <f t="shared" si="122"/>
        <v/>
      </c>
      <c r="AK194" s="4"/>
      <c r="AL194" s="4"/>
      <c r="AM194" s="4"/>
      <c r="AN194" s="4"/>
      <c r="AO194" s="4"/>
      <c r="AP194" s="20" t="str">
        <f t="shared" si="123"/>
        <v>-</v>
      </c>
      <c r="AQ194" s="13" t="str">
        <f t="shared" si="136"/>
        <v>-</v>
      </c>
      <c r="AR194" s="13" t="str">
        <f t="shared" si="137"/>
        <v>-</v>
      </c>
      <c r="AS194" s="13" t="str">
        <f t="shared" si="124"/>
        <v>-</v>
      </c>
      <c r="AT194" s="16" t="str">
        <f t="shared" si="138"/>
        <v>-</v>
      </c>
      <c r="AU194" s="16" t="str">
        <f t="shared" si="125"/>
        <v>-</v>
      </c>
      <c r="AV194" s="16" t="str">
        <f t="shared" si="126"/>
        <v>-</v>
      </c>
      <c r="AW194" s="16" t="str">
        <f t="shared" si="139"/>
        <v>-</v>
      </c>
      <c r="AX194" s="13" t="str">
        <f t="shared" si="140"/>
        <v>-</v>
      </c>
      <c r="AY194" s="10" t="str">
        <f t="shared" si="141"/>
        <v>-</v>
      </c>
      <c r="AZ194" s="9" t="str">
        <f t="shared" si="142"/>
        <v>-</v>
      </c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</row>
    <row r="195" spans="2:68" x14ac:dyDescent="0.3">
      <c r="B195" s="108" t="str">
        <f t="shared" si="127"/>
        <v/>
      </c>
      <c r="C195" s="108" t="str">
        <f t="shared" si="113"/>
        <v/>
      </c>
      <c r="D195" s="3"/>
      <c r="E195" s="3"/>
      <c r="F195" s="3"/>
      <c r="G195" s="20">
        <f>IFERROR(INDEX('Input - Iceland'!F$2:F$200,MATCH('Calculations - Iceland'!$C195,'Input - Iceland'!$B$2:$B$200,0)),"")</f>
        <v>0</v>
      </c>
      <c r="H195" s="20">
        <f>IFERROR(INDEX('Input - Iceland'!G$2:G$200,MATCH('Calculations - Iceland'!$C195,'Input - Iceland'!$B$2:$B$200,0)),"")</f>
        <v>0</v>
      </c>
      <c r="I195" s="21">
        <f>IFERROR(INDEX('Input - Iceland'!H$2:H$200,MATCH('Calculations - Iceland'!$C195,'Input - Iceland'!$B$2:$B$200,0)),"")</f>
        <v>0</v>
      </c>
      <c r="J195" s="21">
        <f>IFERROR(INDEX('Input - Iceland'!I$2:I$200,MATCH('Calculations - Iceland'!$C195,'Input - Iceland'!$B$2:$B$200,0)),"")</f>
        <v>0</v>
      </c>
      <c r="K195" s="20">
        <f>IFERROR(INDEX('Input - Iceland'!J$2:J$200,MATCH('Calculations - Iceland'!$C195,'Input - Iceland'!$B$2:$B$200,0)),"")</f>
        <v>0</v>
      </c>
      <c r="L195" s="20">
        <f>IFERROR(INDEX('Input - Iceland'!K$2:K$200,MATCH('Calculations - Iceland'!$C195,'Input - Iceland'!$B$2:$B$200,0)),"")</f>
        <v>0</v>
      </c>
      <c r="M195" s="21" t="str">
        <f t="shared" si="128"/>
        <v/>
      </c>
      <c r="N195" s="21" t="str">
        <f t="shared" si="114"/>
        <v/>
      </c>
      <c r="O195" s="21">
        <f t="shared" si="129"/>
        <v>0</v>
      </c>
      <c r="P195" s="9">
        <f t="shared" si="143"/>
        <v>0</v>
      </c>
      <c r="Q195" s="9">
        <f t="shared" si="144"/>
        <v>0</v>
      </c>
      <c r="R195" s="22" t="str">
        <f>IFERROR(INDEX(Iceland!$Q$11:$Q$165,MATCH('Calculations - Iceland'!$C195,Iceland!$M$11:$M$165,0)),"")</f>
        <v/>
      </c>
      <c r="S195" s="22" t="str">
        <f>IFERROR(INDEX(Iceland!$R$11:$R$165,MATCH('Calculations - Iceland'!$C195,Iceland!$M$11:$M$165,0)),"")</f>
        <v/>
      </c>
      <c r="T195" s="16" t="e">
        <f t="shared" si="115"/>
        <v>#VALUE!</v>
      </c>
      <c r="U195" s="16" t="e">
        <f t="shared" si="130"/>
        <v>#VALUE!</v>
      </c>
      <c r="V195" s="16" t="e">
        <f t="shared" si="131"/>
        <v>#VALUE!</v>
      </c>
      <c r="W195" s="10" t="str">
        <f t="shared" si="116"/>
        <v>-</v>
      </c>
      <c r="X195" s="10" t="str">
        <f t="shared" si="117"/>
        <v>-</v>
      </c>
      <c r="Y195" s="13" t="str">
        <f t="shared" si="132"/>
        <v>-</v>
      </c>
      <c r="Z195" s="9" t="str">
        <f t="shared" si="118"/>
        <v>-</v>
      </c>
      <c r="AA195" s="16" t="str">
        <f t="shared" si="133"/>
        <v>-</v>
      </c>
      <c r="AB195" s="16" t="str">
        <f t="shared" si="119"/>
        <v>-</v>
      </c>
      <c r="AC195" s="16" t="str">
        <f t="shared" si="120"/>
        <v>-</v>
      </c>
      <c r="AD195" s="16" t="str">
        <f t="shared" si="134"/>
        <v>-</v>
      </c>
      <c r="AE195" s="16"/>
      <c r="AF195" s="31" t="str">
        <f>IFERROR(INDEX(Iceland!$P$11:$P$165,MATCH('Calculations - Iceland'!C195,Iceland!$M$11:$M$165,0)),"")</f>
        <v/>
      </c>
      <c r="AG195" s="23" t="str">
        <f t="shared" si="135"/>
        <v/>
      </c>
      <c r="AH195" s="23" t="str">
        <f t="shared" si="135"/>
        <v/>
      </c>
      <c r="AI195" s="9" t="str">
        <f t="shared" si="121"/>
        <v/>
      </c>
      <c r="AJ195" s="4" t="str">
        <f t="shared" si="122"/>
        <v/>
      </c>
      <c r="AK195" s="4"/>
      <c r="AL195" s="4"/>
      <c r="AM195" s="4"/>
      <c r="AN195" s="4"/>
      <c r="AO195" s="4"/>
      <c r="AP195" s="20" t="str">
        <f t="shared" si="123"/>
        <v>-</v>
      </c>
      <c r="AQ195" s="13" t="str">
        <f t="shared" si="136"/>
        <v>-</v>
      </c>
      <c r="AR195" s="13" t="str">
        <f t="shared" si="137"/>
        <v>-</v>
      </c>
      <c r="AS195" s="13" t="str">
        <f t="shared" si="124"/>
        <v>-</v>
      </c>
      <c r="AT195" s="16" t="str">
        <f t="shared" si="138"/>
        <v>-</v>
      </c>
      <c r="AU195" s="16" t="str">
        <f t="shared" si="125"/>
        <v>-</v>
      </c>
      <c r="AV195" s="16" t="str">
        <f t="shared" si="126"/>
        <v>-</v>
      </c>
      <c r="AW195" s="16" t="str">
        <f t="shared" si="139"/>
        <v>-</v>
      </c>
      <c r="AX195" s="13" t="str">
        <f t="shared" si="140"/>
        <v>-</v>
      </c>
      <c r="AY195" s="10" t="str">
        <f t="shared" si="141"/>
        <v>-</v>
      </c>
      <c r="AZ195" s="9" t="str">
        <f t="shared" si="142"/>
        <v>-</v>
      </c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</row>
    <row r="196" spans="2:68" x14ac:dyDescent="0.3">
      <c r="B196" s="108" t="str">
        <f t="shared" si="127"/>
        <v/>
      </c>
      <c r="C196" s="108" t="str">
        <f t="shared" si="113"/>
        <v/>
      </c>
      <c r="D196" s="3"/>
      <c r="E196" s="3"/>
      <c r="F196" s="3"/>
      <c r="G196" s="20">
        <f>IFERROR(INDEX('Input - Iceland'!F$2:F$200,MATCH('Calculations - Iceland'!$C196,'Input - Iceland'!$B$2:$B$200,0)),"")</f>
        <v>0</v>
      </c>
      <c r="H196" s="20">
        <f>IFERROR(INDEX('Input - Iceland'!G$2:G$200,MATCH('Calculations - Iceland'!$C196,'Input - Iceland'!$B$2:$B$200,0)),"")</f>
        <v>0</v>
      </c>
      <c r="I196" s="21">
        <f>IFERROR(INDEX('Input - Iceland'!H$2:H$200,MATCH('Calculations - Iceland'!$C196,'Input - Iceland'!$B$2:$B$200,0)),"")</f>
        <v>0</v>
      </c>
      <c r="J196" s="21">
        <f>IFERROR(INDEX('Input - Iceland'!I$2:I$200,MATCH('Calculations - Iceland'!$C196,'Input - Iceland'!$B$2:$B$200,0)),"")</f>
        <v>0</v>
      </c>
      <c r="K196" s="20">
        <f>IFERROR(INDEX('Input - Iceland'!J$2:J$200,MATCH('Calculations - Iceland'!$C196,'Input - Iceland'!$B$2:$B$200,0)),"")</f>
        <v>0</v>
      </c>
      <c r="L196" s="20">
        <f>IFERROR(INDEX('Input - Iceland'!K$2:K$200,MATCH('Calculations - Iceland'!$C196,'Input - Iceland'!$B$2:$B$200,0)),"")</f>
        <v>0</v>
      </c>
      <c r="M196" s="21" t="str">
        <f t="shared" si="128"/>
        <v/>
      </c>
      <c r="N196" s="21" t="str">
        <f t="shared" si="114"/>
        <v/>
      </c>
      <c r="O196" s="21">
        <f t="shared" si="129"/>
        <v>0</v>
      </c>
      <c r="P196" s="9">
        <f t="shared" si="143"/>
        <v>0</v>
      </c>
      <c r="Q196" s="9">
        <f t="shared" si="144"/>
        <v>0</v>
      </c>
      <c r="R196" s="22" t="str">
        <f>IFERROR(INDEX(Iceland!$Q$11:$Q$165,MATCH('Calculations - Iceland'!$C196,Iceland!$M$11:$M$165,0)),"")</f>
        <v/>
      </c>
      <c r="S196" s="22" t="str">
        <f>IFERROR(INDEX(Iceland!$R$11:$R$165,MATCH('Calculations - Iceland'!$C196,Iceland!$M$11:$M$165,0)),"")</f>
        <v/>
      </c>
      <c r="T196" s="16" t="e">
        <f t="shared" si="115"/>
        <v>#VALUE!</v>
      </c>
      <c r="U196" s="16" t="e">
        <f t="shared" si="130"/>
        <v>#VALUE!</v>
      </c>
      <c r="V196" s="16" t="e">
        <f t="shared" si="131"/>
        <v>#VALUE!</v>
      </c>
      <c r="W196" s="10" t="str">
        <f t="shared" si="116"/>
        <v>-</v>
      </c>
      <c r="X196" s="10" t="str">
        <f t="shared" si="117"/>
        <v>-</v>
      </c>
      <c r="Y196" s="13" t="str">
        <f t="shared" si="132"/>
        <v>-</v>
      </c>
      <c r="Z196" s="9" t="str">
        <f t="shared" si="118"/>
        <v>-</v>
      </c>
      <c r="AA196" s="16" t="str">
        <f t="shared" si="133"/>
        <v>-</v>
      </c>
      <c r="AB196" s="16" t="str">
        <f t="shared" si="119"/>
        <v>-</v>
      </c>
      <c r="AC196" s="16" t="str">
        <f t="shared" si="120"/>
        <v>-</v>
      </c>
      <c r="AD196" s="16" t="str">
        <f t="shared" si="134"/>
        <v>-</v>
      </c>
      <c r="AE196" s="16"/>
      <c r="AF196" s="31" t="str">
        <f>IFERROR(INDEX(Iceland!$P$11:$P$165,MATCH('Calculations - Iceland'!C196,Iceland!$M$11:$M$165,0)),"")</f>
        <v/>
      </c>
      <c r="AG196" s="23" t="str">
        <f t="shared" si="135"/>
        <v/>
      </c>
      <c r="AH196" s="23" t="str">
        <f t="shared" si="135"/>
        <v/>
      </c>
      <c r="AI196" s="9" t="str">
        <f t="shared" si="121"/>
        <v/>
      </c>
      <c r="AJ196" s="4" t="str">
        <f t="shared" si="122"/>
        <v/>
      </c>
      <c r="AK196" s="4"/>
      <c r="AL196" s="4"/>
      <c r="AM196" s="4"/>
      <c r="AN196" s="4"/>
      <c r="AO196" s="4"/>
      <c r="AP196" s="20" t="str">
        <f t="shared" si="123"/>
        <v>-</v>
      </c>
      <c r="AQ196" s="13" t="str">
        <f t="shared" si="136"/>
        <v>-</v>
      </c>
      <c r="AR196" s="13" t="str">
        <f t="shared" si="137"/>
        <v>-</v>
      </c>
      <c r="AS196" s="13" t="str">
        <f t="shared" si="124"/>
        <v>-</v>
      </c>
      <c r="AT196" s="16" t="str">
        <f t="shared" si="138"/>
        <v>-</v>
      </c>
      <c r="AU196" s="16" t="str">
        <f t="shared" si="125"/>
        <v>-</v>
      </c>
      <c r="AV196" s="16" t="str">
        <f t="shared" si="126"/>
        <v>-</v>
      </c>
      <c r="AW196" s="16" t="str">
        <f t="shared" si="139"/>
        <v>-</v>
      </c>
      <c r="AX196" s="13" t="str">
        <f t="shared" si="140"/>
        <v>-</v>
      </c>
      <c r="AY196" s="10" t="str">
        <f t="shared" si="141"/>
        <v>-</v>
      </c>
      <c r="AZ196" s="9" t="str">
        <f t="shared" si="142"/>
        <v>-</v>
      </c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</row>
    <row r="197" spans="2:68" x14ac:dyDescent="0.3">
      <c r="B197" s="108" t="str">
        <f t="shared" si="127"/>
        <v/>
      </c>
      <c r="C197" s="108" t="str">
        <f t="shared" si="113"/>
        <v/>
      </c>
      <c r="D197" s="3"/>
      <c r="E197" s="3"/>
      <c r="F197" s="3"/>
      <c r="G197" s="20">
        <f>IFERROR(INDEX('Input - Iceland'!F$2:F$200,MATCH('Calculations - Iceland'!$C197,'Input - Iceland'!$B$2:$B$200,0)),"")</f>
        <v>0</v>
      </c>
      <c r="H197" s="20">
        <f>IFERROR(INDEX('Input - Iceland'!G$2:G$200,MATCH('Calculations - Iceland'!$C197,'Input - Iceland'!$B$2:$B$200,0)),"")</f>
        <v>0</v>
      </c>
      <c r="I197" s="21">
        <f>IFERROR(INDEX('Input - Iceland'!H$2:H$200,MATCH('Calculations - Iceland'!$C197,'Input - Iceland'!$B$2:$B$200,0)),"")</f>
        <v>0</v>
      </c>
      <c r="J197" s="21">
        <f>IFERROR(INDEX('Input - Iceland'!I$2:I$200,MATCH('Calculations - Iceland'!$C197,'Input - Iceland'!$B$2:$B$200,0)),"")</f>
        <v>0</v>
      </c>
      <c r="K197" s="20">
        <f>IFERROR(INDEX('Input - Iceland'!J$2:J$200,MATCH('Calculations - Iceland'!$C197,'Input - Iceland'!$B$2:$B$200,0)),"")</f>
        <v>0</v>
      </c>
      <c r="L197" s="20">
        <f>IFERROR(INDEX('Input - Iceland'!K$2:K$200,MATCH('Calculations - Iceland'!$C197,'Input - Iceland'!$B$2:$B$200,0)),"")</f>
        <v>0</v>
      </c>
      <c r="M197" s="21" t="str">
        <f t="shared" si="128"/>
        <v/>
      </c>
      <c r="N197" s="21" t="str">
        <f t="shared" si="114"/>
        <v/>
      </c>
      <c r="O197" s="21">
        <f t="shared" si="129"/>
        <v>0</v>
      </c>
      <c r="P197" s="9">
        <f t="shared" si="143"/>
        <v>0</v>
      </c>
      <c r="Q197" s="9">
        <f t="shared" si="144"/>
        <v>0</v>
      </c>
      <c r="R197" s="22" t="str">
        <f>IFERROR(INDEX(Iceland!$Q$11:$Q$165,MATCH('Calculations - Iceland'!$C197,Iceland!$M$11:$M$165,0)),"")</f>
        <v/>
      </c>
      <c r="S197" s="22" t="str">
        <f>IFERROR(INDEX(Iceland!$R$11:$R$165,MATCH('Calculations - Iceland'!$C197,Iceland!$M$11:$M$165,0)),"")</f>
        <v/>
      </c>
      <c r="T197" s="16" t="e">
        <f t="shared" si="115"/>
        <v>#VALUE!</v>
      </c>
      <c r="U197" s="16" t="e">
        <f t="shared" si="130"/>
        <v>#VALUE!</v>
      </c>
      <c r="V197" s="16" t="e">
        <f t="shared" si="131"/>
        <v>#VALUE!</v>
      </c>
      <c r="W197" s="10" t="str">
        <f t="shared" si="116"/>
        <v>-</v>
      </c>
      <c r="X197" s="10" t="str">
        <f t="shared" si="117"/>
        <v>-</v>
      </c>
      <c r="Y197" s="13" t="str">
        <f t="shared" si="132"/>
        <v>-</v>
      </c>
      <c r="Z197" s="9" t="str">
        <f t="shared" si="118"/>
        <v>-</v>
      </c>
      <c r="AA197" s="16" t="str">
        <f t="shared" si="133"/>
        <v>-</v>
      </c>
      <c r="AB197" s="16" t="str">
        <f t="shared" si="119"/>
        <v>-</v>
      </c>
      <c r="AC197" s="16" t="str">
        <f t="shared" si="120"/>
        <v>-</v>
      </c>
      <c r="AD197" s="16" t="str">
        <f t="shared" si="134"/>
        <v>-</v>
      </c>
      <c r="AE197" s="16"/>
      <c r="AF197" s="31" t="str">
        <f>IFERROR(INDEX(Iceland!$P$11:$P$165,MATCH('Calculations - Iceland'!C197,Iceland!$M$11:$M$165,0)),"")</f>
        <v/>
      </c>
      <c r="AG197" s="23" t="str">
        <f t="shared" si="135"/>
        <v/>
      </c>
      <c r="AH197" s="23" t="str">
        <f t="shared" si="135"/>
        <v/>
      </c>
      <c r="AI197" s="9" t="str">
        <f t="shared" si="121"/>
        <v/>
      </c>
      <c r="AJ197" s="4" t="str">
        <f t="shared" si="122"/>
        <v/>
      </c>
      <c r="AK197" s="4"/>
      <c r="AL197" s="4"/>
      <c r="AM197" s="4"/>
      <c r="AN197" s="4"/>
      <c r="AO197" s="4"/>
      <c r="AP197" s="20" t="str">
        <f t="shared" si="123"/>
        <v>-</v>
      </c>
      <c r="AQ197" s="13" t="str">
        <f t="shared" si="136"/>
        <v>-</v>
      </c>
      <c r="AR197" s="13" t="str">
        <f t="shared" si="137"/>
        <v>-</v>
      </c>
      <c r="AS197" s="13" t="str">
        <f t="shared" si="124"/>
        <v>-</v>
      </c>
      <c r="AT197" s="16" t="str">
        <f t="shared" si="138"/>
        <v>-</v>
      </c>
      <c r="AU197" s="16" t="str">
        <f t="shared" si="125"/>
        <v>-</v>
      </c>
      <c r="AV197" s="16" t="str">
        <f t="shared" si="126"/>
        <v>-</v>
      </c>
      <c r="AW197" s="16" t="str">
        <f t="shared" si="139"/>
        <v>-</v>
      </c>
      <c r="AX197" s="13" t="str">
        <f t="shared" si="140"/>
        <v>-</v>
      </c>
      <c r="AY197" s="10" t="str">
        <f t="shared" si="141"/>
        <v>-</v>
      </c>
      <c r="AZ197" s="9" t="str">
        <f t="shared" si="142"/>
        <v>-</v>
      </c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</row>
    <row r="198" spans="2:68" x14ac:dyDescent="0.3">
      <c r="B198" s="108" t="str">
        <f t="shared" si="127"/>
        <v/>
      </c>
      <c r="C198" s="108" t="str">
        <f t="shared" si="113"/>
        <v/>
      </c>
      <c r="D198" s="3"/>
      <c r="E198" s="3"/>
      <c r="F198" s="3"/>
      <c r="G198" s="20">
        <f>IFERROR(INDEX('Input - Iceland'!F$2:F$200,MATCH('Calculations - Iceland'!$C198,'Input - Iceland'!$B$2:$B$200,0)),"")</f>
        <v>0</v>
      </c>
      <c r="H198" s="20">
        <f>IFERROR(INDEX('Input - Iceland'!G$2:G$200,MATCH('Calculations - Iceland'!$C198,'Input - Iceland'!$B$2:$B$200,0)),"")</f>
        <v>0</v>
      </c>
      <c r="I198" s="21">
        <f>IFERROR(INDEX('Input - Iceland'!H$2:H$200,MATCH('Calculations - Iceland'!$C198,'Input - Iceland'!$B$2:$B$200,0)),"")</f>
        <v>0</v>
      </c>
      <c r="J198" s="21">
        <f>IFERROR(INDEX('Input - Iceland'!I$2:I$200,MATCH('Calculations - Iceland'!$C198,'Input - Iceland'!$B$2:$B$200,0)),"")</f>
        <v>0</v>
      </c>
      <c r="K198" s="20">
        <f>IFERROR(INDEX('Input - Iceland'!J$2:J$200,MATCH('Calculations - Iceland'!$C198,'Input - Iceland'!$B$2:$B$200,0)),"")</f>
        <v>0</v>
      </c>
      <c r="L198" s="20">
        <f>IFERROR(INDEX('Input - Iceland'!K$2:K$200,MATCH('Calculations - Iceland'!$C198,'Input - Iceland'!$B$2:$B$200,0)),"")</f>
        <v>0</v>
      </c>
      <c r="M198" s="21" t="str">
        <f t="shared" si="128"/>
        <v/>
      </c>
      <c r="N198" s="21" t="str">
        <f t="shared" si="114"/>
        <v/>
      </c>
      <c r="O198" s="21">
        <f t="shared" si="129"/>
        <v>0</v>
      </c>
      <c r="P198" s="9">
        <f t="shared" si="143"/>
        <v>0</v>
      </c>
      <c r="Q198" s="9">
        <f t="shared" si="144"/>
        <v>0</v>
      </c>
      <c r="R198" s="22" t="str">
        <f>IFERROR(INDEX(Iceland!$Q$11:$Q$165,MATCH('Calculations - Iceland'!$C198,Iceland!$M$11:$M$165,0)),"")</f>
        <v/>
      </c>
      <c r="S198" s="22" t="str">
        <f>IFERROR(INDEX(Iceland!$R$11:$R$165,MATCH('Calculations - Iceland'!$C198,Iceland!$M$11:$M$165,0)),"")</f>
        <v/>
      </c>
      <c r="T198" s="16" t="e">
        <f t="shared" si="115"/>
        <v>#VALUE!</v>
      </c>
      <c r="U198" s="16" t="e">
        <f t="shared" si="130"/>
        <v>#VALUE!</v>
      </c>
      <c r="V198" s="16" t="e">
        <f t="shared" si="131"/>
        <v>#VALUE!</v>
      </c>
      <c r="W198" s="10" t="str">
        <f t="shared" si="116"/>
        <v>-</v>
      </c>
      <c r="X198" s="10" t="str">
        <f t="shared" si="117"/>
        <v>-</v>
      </c>
      <c r="Y198" s="13" t="str">
        <f t="shared" si="132"/>
        <v>-</v>
      </c>
      <c r="Z198" s="9" t="str">
        <f t="shared" si="118"/>
        <v>-</v>
      </c>
      <c r="AA198" s="16" t="str">
        <f t="shared" si="133"/>
        <v>-</v>
      </c>
      <c r="AB198" s="16" t="str">
        <f t="shared" si="119"/>
        <v>-</v>
      </c>
      <c r="AC198" s="16" t="str">
        <f t="shared" si="120"/>
        <v>-</v>
      </c>
      <c r="AD198" s="16" t="str">
        <f t="shared" si="134"/>
        <v>-</v>
      </c>
      <c r="AE198" s="16"/>
      <c r="AF198" s="31" t="str">
        <f>IFERROR(INDEX(Iceland!$P$11:$P$165,MATCH('Calculations - Iceland'!C198,Iceland!$M$11:$M$165,0)),"")</f>
        <v/>
      </c>
      <c r="AG198" s="23" t="str">
        <f t="shared" si="135"/>
        <v/>
      </c>
      <c r="AH198" s="23" t="str">
        <f t="shared" si="135"/>
        <v/>
      </c>
      <c r="AI198" s="9" t="str">
        <f t="shared" si="121"/>
        <v/>
      </c>
      <c r="AJ198" s="4" t="str">
        <f t="shared" si="122"/>
        <v/>
      </c>
      <c r="AK198" s="4"/>
      <c r="AL198" s="4"/>
      <c r="AM198" s="4"/>
      <c r="AN198" s="4"/>
      <c r="AO198" s="4"/>
      <c r="AP198" s="20" t="str">
        <f t="shared" si="123"/>
        <v>-</v>
      </c>
      <c r="AQ198" s="13" t="str">
        <f t="shared" si="136"/>
        <v>-</v>
      </c>
      <c r="AR198" s="13" t="str">
        <f t="shared" si="137"/>
        <v>-</v>
      </c>
      <c r="AS198" s="13" t="str">
        <f t="shared" si="124"/>
        <v>-</v>
      </c>
      <c r="AT198" s="16" t="str">
        <f t="shared" si="138"/>
        <v>-</v>
      </c>
      <c r="AU198" s="16" t="str">
        <f t="shared" si="125"/>
        <v>-</v>
      </c>
      <c r="AV198" s="16" t="str">
        <f t="shared" si="126"/>
        <v>-</v>
      </c>
      <c r="AW198" s="16" t="str">
        <f t="shared" si="139"/>
        <v>-</v>
      </c>
      <c r="AX198" s="13" t="str">
        <f t="shared" si="140"/>
        <v>-</v>
      </c>
      <c r="AY198" s="10" t="str">
        <f t="shared" si="141"/>
        <v>-</v>
      </c>
      <c r="AZ198" s="9" t="str">
        <f t="shared" si="142"/>
        <v>-</v>
      </c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</row>
    <row r="199" spans="2:68" x14ac:dyDescent="0.3">
      <c r="B199" s="108" t="str">
        <f t="shared" si="127"/>
        <v/>
      </c>
      <c r="C199" s="108" t="str">
        <f t="shared" si="113"/>
        <v/>
      </c>
      <c r="D199" s="3"/>
      <c r="E199" s="3"/>
      <c r="F199" s="3"/>
      <c r="G199" s="20">
        <f>IFERROR(INDEX('Input - Iceland'!F$2:F$200,MATCH('Calculations - Iceland'!$C199,'Input - Iceland'!$B$2:$B$200,0)),"")</f>
        <v>0</v>
      </c>
      <c r="H199" s="20">
        <f>IFERROR(INDEX('Input - Iceland'!G$2:G$200,MATCH('Calculations - Iceland'!$C199,'Input - Iceland'!$B$2:$B$200,0)),"")</f>
        <v>0</v>
      </c>
      <c r="I199" s="21">
        <f>IFERROR(INDEX('Input - Iceland'!H$2:H$200,MATCH('Calculations - Iceland'!$C199,'Input - Iceland'!$B$2:$B$200,0)),"")</f>
        <v>0</v>
      </c>
      <c r="J199" s="21">
        <f>IFERROR(INDEX('Input - Iceland'!I$2:I$200,MATCH('Calculations - Iceland'!$C199,'Input - Iceland'!$B$2:$B$200,0)),"")</f>
        <v>0</v>
      </c>
      <c r="K199" s="20">
        <f>IFERROR(INDEX('Input - Iceland'!J$2:J$200,MATCH('Calculations - Iceland'!$C199,'Input - Iceland'!$B$2:$B$200,0)),"")</f>
        <v>0</v>
      </c>
      <c r="L199" s="20">
        <f>IFERROR(INDEX('Input - Iceland'!K$2:K$200,MATCH('Calculations - Iceland'!$C199,'Input - Iceland'!$B$2:$B$200,0)),"")</f>
        <v>0</v>
      </c>
      <c r="M199" s="21" t="str">
        <f t="shared" si="128"/>
        <v/>
      </c>
      <c r="N199" s="21" t="str">
        <f t="shared" si="114"/>
        <v/>
      </c>
      <c r="O199" s="21">
        <f t="shared" si="129"/>
        <v>0</v>
      </c>
      <c r="P199" s="9">
        <f t="shared" si="143"/>
        <v>0</v>
      </c>
      <c r="Q199" s="9">
        <f t="shared" si="144"/>
        <v>0</v>
      </c>
      <c r="R199" s="22" t="str">
        <f>IFERROR(INDEX(Iceland!$Q$11:$Q$165,MATCH('Calculations - Iceland'!$C199,Iceland!$M$11:$M$165,0)),"")</f>
        <v/>
      </c>
      <c r="S199" s="22" t="str">
        <f>IFERROR(INDEX(Iceland!$R$11:$R$165,MATCH('Calculations - Iceland'!$C199,Iceland!$M$11:$M$165,0)),"")</f>
        <v/>
      </c>
      <c r="T199" s="16" t="e">
        <f t="shared" si="115"/>
        <v>#VALUE!</v>
      </c>
      <c r="U199" s="16" t="e">
        <f t="shared" si="130"/>
        <v>#VALUE!</v>
      </c>
      <c r="V199" s="16" t="e">
        <f t="shared" si="131"/>
        <v>#VALUE!</v>
      </c>
      <c r="W199" s="10" t="str">
        <f t="shared" si="116"/>
        <v>-</v>
      </c>
      <c r="X199" s="10" t="str">
        <f t="shared" si="117"/>
        <v>-</v>
      </c>
      <c r="Y199" s="13" t="str">
        <f t="shared" si="132"/>
        <v>-</v>
      </c>
      <c r="Z199" s="9" t="str">
        <f t="shared" si="118"/>
        <v>-</v>
      </c>
      <c r="AA199" s="16" t="str">
        <f t="shared" si="133"/>
        <v>-</v>
      </c>
      <c r="AB199" s="16" t="str">
        <f t="shared" si="119"/>
        <v>-</v>
      </c>
      <c r="AC199" s="16" t="str">
        <f t="shared" si="120"/>
        <v>-</v>
      </c>
      <c r="AD199" s="16" t="str">
        <f t="shared" si="134"/>
        <v>-</v>
      </c>
      <c r="AE199" s="16"/>
      <c r="AF199" s="31" t="str">
        <f>IFERROR(INDEX(Iceland!$P$11:$P$165,MATCH('Calculations - Iceland'!C199,Iceland!$M$11:$M$165,0)),"")</f>
        <v/>
      </c>
      <c r="AG199" s="23" t="str">
        <f t="shared" si="135"/>
        <v/>
      </c>
      <c r="AH199" s="23" t="str">
        <f t="shared" si="135"/>
        <v/>
      </c>
      <c r="AI199" s="9" t="str">
        <f t="shared" si="121"/>
        <v/>
      </c>
      <c r="AJ199" s="4" t="str">
        <f t="shared" si="122"/>
        <v/>
      </c>
      <c r="AK199" s="4"/>
      <c r="AL199" s="4"/>
      <c r="AM199" s="4"/>
      <c r="AN199" s="4"/>
      <c r="AO199" s="4"/>
      <c r="AP199" s="20" t="str">
        <f t="shared" si="123"/>
        <v>-</v>
      </c>
      <c r="AQ199" s="13" t="str">
        <f t="shared" si="136"/>
        <v>-</v>
      </c>
      <c r="AR199" s="13" t="str">
        <f t="shared" si="137"/>
        <v>-</v>
      </c>
      <c r="AS199" s="13" t="str">
        <f t="shared" si="124"/>
        <v>-</v>
      </c>
      <c r="AT199" s="16" t="str">
        <f t="shared" si="138"/>
        <v>-</v>
      </c>
      <c r="AU199" s="16" t="str">
        <f t="shared" si="125"/>
        <v>-</v>
      </c>
      <c r="AV199" s="16" t="str">
        <f t="shared" si="126"/>
        <v>-</v>
      </c>
      <c r="AW199" s="16" t="str">
        <f t="shared" si="139"/>
        <v>-</v>
      </c>
      <c r="AX199" s="13" t="str">
        <f t="shared" si="140"/>
        <v>-</v>
      </c>
      <c r="AY199" s="10" t="str">
        <f t="shared" si="141"/>
        <v>-</v>
      </c>
      <c r="AZ199" s="9" t="str">
        <f t="shared" si="142"/>
        <v>-</v>
      </c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</row>
    <row r="200" spans="2:68" x14ac:dyDescent="0.3">
      <c r="B200" s="108" t="str">
        <f t="shared" si="127"/>
        <v/>
      </c>
      <c r="C200" s="108" t="str">
        <f t="shared" si="113"/>
        <v/>
      </c>
      <c r="D200" s="3"/>
      <c r="E200" s="3"/>
      <c r="F200" s="3"/>
      <c r="G200" s="20">
        <f>IFERROR(INDEX('Input - Iceland'!F$2:F$200,MATCH('Calculations - Iceland'!$C200,'Input - Iceland'!$B$2:$B$200,0)),"")</f>
        <v>0</v>
      </c>
      <c r="H200" s="20">
        <f>IFERROR(INDEX('Input - Iceland'!G$2:G$200,MATCH('Calculations - Iceland'!$C200,'Input - Iceland'!$B$2:$B$200,0)),"")</f>
        <v>0</v>
      </c>
      <c r="I200" s="21">
        <f>IFERROR(INDEX('Input - Iceland'!H$2:H$200,MATCH('Calculations - Iceland'!$C200,'Input - Iceland'!$B$2:$B$200,0)),"")</f>
        <v>0</v>
      </c>
      <c r="J200" s="21">
        <f>IFERROR(INDEX('Input - Iceland'!I$2:I$200,MATCH('Calculations - Iceland'!$C200,'Input - Iceland'!$B$2:$B$200,0)),"")</f>
        <v>0</v>
      </c>
      <c r="K200" s="20">
        <f>IFERROR(INDEX('Input - Iceland'!J$2:J$200,MATCH('Calculations - Iceland'!$C200,'Input - Iceland'!$B$2:$B$200,0)),"")</f>
        <v>0</v>
      </c>
      <c r="L200" s="20">
        <f>IFERROR(INDEX('Input - Iceland'!K$2:K$200,MATCH('Calculations - Iceland'!$C200,'Input - Iceland'!$B$2:$B$200,0)),"")</f>
        <v>0</v>
      </c>
      <c r="M200" s="21" t="str">
        <f t="shared" si="128"/>
        <v/>
      </c>
      <c r="N200" s="21" t="str">
        <f t="shared" si="114"/>
        <v/>
      </c>
      <c r="O200" s="21">
        <f t="shared" si="129"/>
        <v>0</v>
      </c>
      <c r="P200" s="9">
        <f t="shared" si="143"/>
        <v>0</v>
      </c>
      <c r="Q200" s="9">
        <f t="shared" si="144"/>
        <v>0</v>
      </c>
      <c r="R200" s="22" t="str">
        <f>IFERROR(INDEX(Iceland!$Q$11:$Q$165,MATCH('Calculations - Iceland'!$C200,Iceland!$M$11:$M$165,0)),"")</f>
        <v/>
      </c>
      <c r="S200" s="22" t="str">
        <f>IFERROR(INDEX(Iceland!$R$11:$R$165,MATCH('Calculations - Iceland'!$C200,Iceland!$M$11:$M$165,0)),"")</f>
        <v/>
      </c>
      <c r="T200" s="16" t="e">
        <f t="shared" si="115"/>
        <v>#VALUE!</v>
      </c>
      <c r="U200" s="16" t="e">
        <f t="shared" si="130"/>
        <v>#VALUE!</v>
      </c>
      <c r="V200" s="16" t="e">
        <f t="shared" si="131"/>
        <v>#VALUE!</v>
      </c>
      <c r="W200" s="10" t="str">
        <f t="shared" si="116"/>
        <v>-</v>
      </c>
      <c r="X200" s="10" t="str">
        <f t="shared" si="117"/>
        <v>-</v>
      </c>
      <c r="Y200" s="13" t="str">
        <f t="shared" si="132"/>
        <v>-</v>
      </c>
      <c r="Z200" s="9" t="str">
        <f t="shared" si="118"/>
        <v>-</v>
      </c>
      <c r="AA200" s="16" t="str">
        <f t="shared" si="133"/>
        <v>-</v>
      </c>
      <c r="AB200" s="16" t="str">
        <f t="shared" si="119"/>
        <v>-</v>
      </c>
      <c r="AC200" s="16" t="str">
        <f t="shared" si="120"/>
        <v>-</v>
      </c>
      <c r="AD200" s="16" t="str">
        <f t="shared" si="134"/>
        <v>-</v>
      </c>
      <c r="AE200" s="16"/>
      <c r="AF200" s="31" t="str">
        <f>IFERROR(INDEX(Iceland!$P$11:$P$165,MATCH('Calculations - Iceland'!C200,Iceland!$M$11:$M$165,0)),"")</f>
        <v/>
      </c>
      <c r="AG200" s="23" t="str">
        <f t="shared" si="135"/>
        <v/>
      </c>
      <c r="AH200" s="23" t="str">
        <f t="shared" si="135"/>
        <v/>
      </c>
      <c r="AI200" s="9" t="str">
        <f t="shared" si="121"/>
        <v/>
      </c>
      <c r="AJ200" s="4" t="str">
        <f t="shared" si="122"/>
        <v/>
      </c>
      <c r="AK200" s="4"/>
      <c r="AL200" s="4"/>
      <c r="AM200" s="4"/>
      <c r="AN200" s="4"/>
      <c r="AO200" s="4"/>
      <c r="AP200" s="20" t="str">
        <f t="shared" si="123"/>
        <v>-</v>
      </c>
      <c r="AQ200" s="13" t="str">
        <f t="shared" si="136"/>
        <v>-</v>
      </c>
      <c r="AR200" s="13" t="str">
        <f t="shared" si="137"/>
        <v>-</v>
      </c>
      <c r="AS200" s="13" t="str">
        <f t="shared" si="124"/>
        <v>-</v>
      </c>
      <c r="AT200" s="16" t="str">
        <f t="shared" si="138"/>
        <v>-</v>
      </c>
      <c r="AU200" s="16" t="str">
        <f t="shared" si="125"/>
        <v>-</v>
      </c>
      <c r="AV200" s="16" t="str">
        <f t="shared" si="126"/>
        <v>-</v>
      </c>
      <c r="AW200" s="16" t="str">
        <f t="shared" si="139"/>
        <v>-</v>
      </c>
      <c r="AX200" s="13" t="str">
        <f t="shared" si="140"/>
        <v>-</v>
      </c>
      <c r="AY200" s="10" t="str">
        <f t="shared" si="141"/>
        <v>-</v>
      </c>
      <c r="AZ200" s="9" t="str">
        <f t="shared" si="142"/>
        <v>-</v>
      </c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</row>
    <row r="201" spans="2:68" x14ac:dyDescent="0.3">
      <c r="B201" s="108" t="str">
        <f t="shared" si="127"/>
        <v/>
      </c>
      <c r="C201" s="108" t="str">
        <f t="shared" si="113"/>
        <v/>
      </c>
      <c r="D201" s="3"/>
      <c r="E201" s="3"/>
      <c r="F201" s="3"/>
      <c r="G201" s="20">
        <f>IFERROR(INDEX('Input - Iceland'!F$2:F$200,MATCH('Calculations - Iceland'!$C201,'Input - Iceland'!$B$2:$B$200,0)),"")</f>
        <v>0</v>
      </c>
      <c r="H201" s="20">
        <f>IFERROR(INDEX('Input - Iceland'!G$2:G$200,MATCH('Calculations - Iceland'!$C201,'Input - Iceland'!$B$2:$B$200,0)),"")</f>
        <v>0</v>
      </c>
      <c r="I201" s="21">
        <f>IFERROR(INDEX('Input - Iceland'!H$2:H$200,MATCH('Calculations - Iceland'!$C201,'Input - Iceland'!$B$2:$B$200,0)),"")</f>
        <v>0</v>
      </c>
      <c r="J201" s="21">
        <f>IFERROR(INDEX('Input - Iceland'!I$2:I$200,MATCH('Calculations - Iceland'!$C201,'Input - Iceland'!$B$2:$B$200,0)),"")</f>
        <v>0</v>
      </c>
      <c r="K201" s="20">
        <f>IFERROR(INDEX('Input - Iceland'!J$2:J$200,MATCH('Calculations - Iceland'!$C201,'Input - Iceland'!$B$2:$B$200,0)),"")</f>
        <v>0</v>
      </c>
      <c r="L201" s="20">
        <f>IFERROR(INDEX('Input - Iceland'!K$2:K$200,MATCH('Calculations - Iceland'!$C201,'Input - Iceland'!$B$2:$B$200,0)),"")</f>
        <v>0</v>
      </c>
      <c r="M201" s="21" t="str">
        <f t="shared" si="128"/>
        <v/>
      </c>
      <c r="N201" s="21" t="str">
        <f t="shared" si="114"/>
        <v/>
      </c>
      <c r="O201" s="21">
        <f t="shared" si="129"/>
        <v>0</v>
      </c>
      <c r="P201" s="9">
        <f t="shared" si="143"/>
        <v>0</v>
      </c>
      <c r="Q201" s="9">
        <f t="shared" si="144"/>
        <v>0</v>
      </c>
      <c r="R201" s="22" t="str">
        <f>IFERROR(INDEX(Iceland!$Q$11:$Q$165,MATCH('Calculations - Iceland'!$C201,Iceland!$M$11:$M$165,0)),"")</f>
        <v/>
      </c>
      <c r="S201" s="22" t="str">
        <f>IFERROR(INDEX(Iceland!$R$11:$R$165,MATCH('Calculations - Iceland'!$C201,Iceland!$M$11:$M$165,0)),"")</f>
        <v/>
      </c>
      <c r="T201" s="16" t="e">
        <f t="shared" si="115"/>
        <v>#VALUE!</v>
      </c>
      <c r="U201" s="16" t="e">
        <f t="shared" si="130"/>
        <v>#VALUE!</v>
      </c>
      <c r="V201" s="16" t="e">
        <f t="shared" si="131"/>
        <v>#VALUE!</v>
      </c>
      <c r="W201" s="10" t="str">
        <f t="shared" si="116"/>
        <v>-</v>
      </c>
      <c r="X201" s="10" t="str">
        <f t="shared" si="117"/>
        <v>-</v>
      </c>
      <c r="Y201" s="13" t="str">
        <f t="shared" si="132"/>
        <v>-</v>
      </c>
      <c r="Z201" s="9" t="str">
        <f t="shared" si="118"/>
        <v>-</v>
      </c>
      <c r="AA201" s="16" t="str">
        <f t="shared" si="133"/>
        <v>-</v>
      </c>
      <c r="AB201" s="16" t="str">
        <f t="shared" si="119"/>
        <v>-</v>
      </c>
      <c r="AC201" s="16" t="str">
        <f t="shared" si="120"/>
        <v>-</v>
      </c>
      <c r="AD201" s="16" t="str">
        <f t="shared" si="134"/>
        <v>-</v>
      </c>
      <c r="AE201" s="16"/>
      <c r="AF201" s="31" t="str">
        <f>IFERROR(INDEX(Iceland!$P$11:$P$165,MATCH('Calculations - Iceland'!C201,Iceland!$M$11:$M$165,0)),"")</f>
        <v/>
      </c>
      <c r="AG201" s="23" t="str">
        <f t="shared" si="135"/>
        <v/>
      </c>
      <c r="AH201" s="23" t="str">
        <f t="shared" si="135"/>
        <v/>
      </c>
      <c r="AI201" s="9" t="str">
        <f t="shared" si="121"/>
        <v/>
      </c>
      <c r="AJ201" s="4" t="str">
        <f t="shared" si="122"/>
        <v/>
      </c>
      <c r="AK201" s="4"/>
      <c r="AL201" s="4"/>
      <c r="AM201" s="4"/>
      <c r="AN201" s="4"/>
      <c r="AO201" s="4"/>
      <c r="AP201" s="20" t="str">
        <f t="shared" si="123"/>
        <v>-</v>
      </c>
      <c r="AQ201" s="13" t="str">
        <f t="shared" si="136"/>
        <v>-</v>
      </c>
      <c r="AR201" s="13" t="str">
        <f t="shared" si="137"/>
        <v>-</v>
      </c>
      <c r="AS201" s="13" t="str">
        <f t="shared" si="124"/>
        <v>-</v>
      </c>
      <c r="AT201" s="16" t="str">
        <f t="shared" si="138"/>
        <v>-</v>
      </c>
      <c r="AU201" s="16" t="str">
        <f t="shared" si="125"/>
        <v>-</v>
      </c>
      <c r="AV201" s="16" t="str">
        <f t="shared" si="126"/>
        <v>-</v>
      </c>
      <c r="AW201" s="16" t="str">
        <f t="shared" si="139"/>
        <v>-</v>
      </c>
      <c r="AX201" s="13" t="str">
        <f t="shared" si="140"/>
        <v>-</v>
      </c>
      <c r="AY201" s="10" t="str">
        <f t="shared" si="141"/>
        <v>-</v>
      </c>
      <c r="AZ201" s="9" t="str">
        <f t="shared" si="142"/>
        <v>-</v>
      </c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</row>
    <row r="202" spans="2:68" x14ac:dyDescent="0.3">
      <c r="B202" s="108" t="str">
        <f t="shared" si="127"/>
        <v/>
      </c>
      <c r="C202" s="108" t="str">
        <f t="shared" si="113"/>
        <v/>
      </c>
      <c r="D202" s="3"/>
      <c r="E202" s="3"/>
      <c r="F202" s="3"/>
      <c r="G202" s="20">
        <f>IFERROR(INDEX('Input - Iceland'!F$2:F$200,MATCH('Calculations - Iceland'!$C202,'Input - Iceland'!$B$2:$B$200,0)),"")</f>
        <v>0</v>
      </c>
      <c r="H202" s="20">
        <f>IFERROR(INDEX('Input - Iceland'!G$2:G$200,MATCH('Calculations - Iceland'!$C202,'Input - Iceland'!$B$2:$B$200,0)),"")</f>
        <v>0</v>
      </c>
      <c r="I202" s="21">
        <f>IFERROR(INDEX('Input - Iceland'!H$2:H$200,MATCH('Calculations - Iceland'!$C202,'Input - Iceland'!$B$2:$B$200,0)),"")</f>
        <v>0</v>
      </c>
      <c r="J202" s="21">
        <f>IFERROR(INDEX('Input - Iceland'!I$2:I$200,MATCH('Calculations - Iceland'!$C202,'Input - Iceland'!$B$2:$B$200,0)),"")</f>
        <v>0</v>
      </c>
      <c r="K202" s="20">
        <f>IFERROR(INDEX('Input - Iceland'!J$2:J$200,MATCH('Calculations - Iceland'!$C202,'Input - Iceland'!$B$2:$B$200,0)),"")</f>
        <v>0</v>
      </c>
      <c r="L202" s="20">
        <f>IFERROR(INDEX('Input - Iceland'!K$2:K$200,MATCH('Calculations - Iceland'!$C202,'Input - Iceland'!$B$2:$B$200,0)),"")</f>
        <v>0</v>
      </c>
      <c r="M202" s="21" t="str">
        <f t="shared" si="128"/>
        <v/>
      </c>
      <c r="N202" s="21" t="str">
        <f t="shared" si="114"/>
        <v/>
      </c>
      <c r="O202" s="21">
        <f t="shared" si="129"/>
        <v>0</v>
      </c>
      <c r="P202" s="9">
        <f t="shared" si="143"/>
        <v>0</v>
      </c>
      <c r="Q202" s="9">
        <f t="shared" si="144"/>
        <v>0</v>
      </c>
      <c r="R202" s="22" t="str">
        <f>IFERROR(INDEX(Iceland!$Q$11:$Q$165,MATCH('Calculations - Iceland'!$C202,Iceland!$M$11:$M$165,0)),"")</f>
        <v/>
      </c>
      <c r="S202" s="22" t="str">
        <f>IFERROR(INDEX(Iceland!$R$11:$R$165,MATCH('Calculations - Iceland'!$C202,Iceland!$M$11:$M$165,0)),"")</f>
        <v/>
      </c>
      <c r="T202" s="16" t="e">
        <f t="shared" si="115"/>
        <v>#VALUE!</v>
      </c>
      <c r="U202" s="16" t="e">
        <f t="shared" si="130"/>
        <v>#VALUE!</v>
      </c>
      <c r="V202" s="16" t="e">
        <f t="shared" si="131"/>
        <v>#VALUE!</v>
      </c>
      <c r="W202" s="10" t="str">
        <f t="shared" si="116"/>
        <v>-</v>
      </c>
      <c r="X202" s="10" t="str">
        <f t="shared" si="117"/>
        <v>-</v>
      </c>
      <c r="Y202" s="13" t="str">
        <f t="shared" si="132"/>
        <v>-</v>
      </c>
      <c r="Z202" s="9" t="str">
        <f t="shared" si="118"/>
        <v>-</v>
      </c>
      <c r="AA202" s="16" t="str">
        <f t="shared" si="133"/>
        <v>-</v>
      </c>
      <c r="AB202" s="16" t="str">
        <f t="shared" si="119"/>
        <v>-</v>
      </c>
      <c r="AC202" s="16" t="str">
        <f t="shared" si="120"/>
        <v>-</v>
      </c>
      <c r="AD202" s="16" t="str">
        <f t="shared" si="134"/>
        <v>-</v>
      </c>
      <c r="AE202" s="16"/>
      <c r="AF202" s="31" t="str">
        <f>IFERROR(INDEX(Iceland!$P$11:$P$165,MATCH('Calculations - Iceland'!C202,Iceland!$M$11:$M$165,0)),"")</f>
        <v/>
      </c>
      <c r="AG202" s="23" t="str">
        <f t="shared" si="135"/>
        <v/>
      </c>
      <c r="AH202" s="23" t="str">
        <f t="shared" si="135"/>
        <v/>
      </c>
      <c r="AI202" s="9" t="str">
        <f t="shared" si="121"/>
        <v/>
      </c>
      <c r="AJ202" s="4" t="str">
        <f t="shared" si="122"/>
        <v/>
      </c>
      <c r="AK202" s="4"/>
      <c r="AL202" s="4"/>
      <c r="AM202" s="4"/>
      <c r="AN202" s="4"/>
      <c r="AO202" s="4"/>
      <c r="AP202" s="20" t="str">
        <f t="shared" si="123"/>
        <v>-</v>
      </c>
      <c r="AQ202" s="13" t="str">
        <f t="shared" si="136"/>
        <v>-</v>
      </c>
      <c r="AR202" s="13" t="str">
        <f t="shared" si="137"/>
        <v>-</v>
      </c>
      <c r="AS202" s="13" t="str">
        <f t="shared" si="124"/>
        <v>-</v>
      </c>
      <c r="AT202" s="16" t="str">
        <f t="shared" si="138"/>
        <v>-</v>
      </c>
      <c r="AU202" s="16" t="str">
        <f t="shared" si="125"/>
        <v>-</v>
      </c>
      <c r="AV202" s="16" t="str">
        <f t="shared" si="126"/>
        <v>-</v>
      </c>
      <c r="AW202" s="16" t="str">
        <f t="shared" si="139"/>
        <v>-</v>
      </c>
      <c r="AX202" s="13" t="str">
        <f t="shared" si="140"/>
        <v>-</v>
      </c>
      <c r="AY202" s="10" t="str">
        <f t="shared" si="141"/>
        <v>-</v>
      </c>
      <c r="AZ202" s="9" t="str">
        <f t="shared" si="142"/>
        <v>-</v>
      </c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</row>
    <row r="203" spans="2:68" x14ac:dyDescent="0.3">
      <c r="B203" s="108" t="str">
        <f t="shared" si="127"/>
        <v/>
      </c>
      <c r="C203" s="108" t="str">
        <f t="shared" si="113"/>
        <v/>
      </c>
      <c r="D203" s="3"/>
      <c r="E203" s="3"/>
      <c r="F203" s="3"/>
      <c r="G203" s="20">
        <f>IFERROR(INDEX('Input - Iceland'!F$2:F$200,MATCH('Calculations - Iceland'!$C203,'Input - Iceland'!$B$2:$B$200,0)),"")</f>
        <v>0</v>
      </c>
      <c r="H203" s="20">
        <f>IFERROR(INDEX('Input - Iceland'!G$2:G$200,MATCH('Calculations - Iceland'!$C203,'Input - Iceland'!$B$2:$B$200,0)),"")</f>
        <v>0</v>
      </c>
      <c r="I203" s="21">
        <f>IFERROR(INDEX('Input - Iceland'!H$2:H$200,MATCH('Calculations - Iceland'!$C203,'Input - Iceland'!$B$2:$B$200,0)),"")</f>
        <v>0</v>
      </c>
      <c r="J203" s="21">
        <f>IFERROR(INDEX('Input - Iceland'!I$2:I$200,MATCH('Calculations - Iceland'!$C203,'Input - Iceland'!$B$2:$B$200,0)),"")</f>
        <v>0</v>
      </c>
      <c r="K203" s="20">
        <f>IFERROR(INDEX('Input - Iceland'!J$2:J$200,MATCH('Calculations - Iceland'!$C203,'Input - Iceland'!$B$2:$B$200,0)),"")</f>
        <v>0</v>
      </c>
      <c r="L203" s="20">
        <f>IFERROR(INDEX('Input - Iceland'!K$2:K$200,MATCH('Calculations - Iceland'!$C203,'Input - Iceland'!$B$2:$B$200,0)),"")</f>
        <v>0</v>
      </c>
      <c r="M203" s="21" t="str">
        <f t="shared" si="128"/>
        <v/>
      </c>
      <c r="N203" s="21" t="str">
        <f t="shared" si="114"/>
        <v/>
      </c>
      <c r="O203" s="21">
        <f t="shared" si="129"/>
        <v>0</v>
      </c>
      <c r="P203" s="9">
        <f t="shared" si="143"/>
        <v>0</v>
      </c>
      <c r="Q203" s="9">
        <f t="shared" si="144"/>
        <v>0</v>
      </c>
      <c r="R203" s="22" t="str">
        <f>IFERROR(INDEX(Iceland!$Q$11:$Q$165,MATCH('Calculations - Iceland'!$C203,Iceland!$M$11:$M$165,0)),"")</f>
        <v/>
      </c>
      <c r="S203" s="22" t="str">
        <f>IFERROR(INDEX(Iceland!$R$11:$R$165,MATCH('Calculations - Iceland'!$C203,Iceland!$M$11:$M$165,0)),"")</f>
        <v/>
      </c>
      <c r="T203" s="16" t="e">
        <f t="shared" si="115"/>
        <v>#VALUE!</v>
      </c>
      <c r="U203" s="16" t="e">
        <f t="shared" si="130"/>
        <v>#VALUE!</v>
      </c>
      <c r="V203" s="16" t="e">
        <f t="shared" si="131"/>
        <v>#VALUE!</v>
      </c>
      <c r="W203" s="10" t="str">
        <f t="shared" si="116"/>
        <v>-</v>
      </c>
      <c r="X203" s="10" t="str">
        <f t="shared" si="117"/>
        <v>-</v>
      </c>
      <c r="Y203" s="13" t="str">
        <f t="shared" si="132"/>
        <v>-</v>
      </c>
      <c r="Z203" s="9" t="str">
        <f t="shared" si="118"/>
        <v>-</v>
      </c>
      <c r="AA203" s="16" t="str">
        <f t="shared" si="133"/>
        <v>-</v>
      </c>
      <c r="AB203" s="16" t="str">
        <f t="shared" si="119"/>
        <v>-</v>
      </c>
      <c r="AC203" s="16" t="str">
        <f t="shared" si="120"/>
        <v>-</v>
      </c>
      <c r="AD203" s="16" t="str">
        <f t="shared" si="134"/>
        <v>-</v>
      </c>
      <c r="AE203" s="16"/>
      <c r="AF203" s="31" t="str">
        <f>IFERROR(INDEX(Iceland!$P$11:$P$165,MATCH('Calculations - Iceland'!C203,Iceland!$M$11:$M$165,0)),"")</f>
        <v/>
      </c>
      <c r="AG203" s="23" t="str">
        <f t="shared" si="135"/>
        <v/>
      </c>
      <c r="AH203" s="23" t="str">
        <f t="shared" si="135"/>
        <v/>
      </c>
      <c r="AI203" s="9" t="str">
        <f t="shared" si="121"/>
        <v/>
      </c>
      <c r="AJ203" s="4" t="str">
        <f t="shared" si="122"/>
        <v/>
      </c>
      <c r="AK203" s="4"/>
      <c r="AL203" s="4"/>
      <c r="AM203" s="4"/>
      <c r="AN203" s="4"/>
      <c r="AO203" s="4"/>
      <c r="AP203" s="20" t="str">
        <f t="shared" si="123"/>
        <v>-</v>
      </c>
      <c r="AQ203" s="13" t="str">
        <f t="shared" si="136"/>
        <v>-</v>
      </c>
      <c r="AR203" s="13" t="str">
        <f t="shared" si="137"/>
        <v>-</v>
      </c>
      <c r="AS203" s="13" t="str">
        <f t="shared" si="124"/>
        <v>-</v>
      </c>
      <c r="AT203" s="16" t="str">
        <f t="shared" si="138"/>
        <v>-</v>
      </c>
      <c r="AU203" s="16" t="str">
        <f t="shared" si="125"/>
        <v>-</v>
      </c>
      <c r="AV203" s="16" t="str">
        <f t="shared" si="126"/>
        <v>-</v>
      </c>
      <c r="AW203" s="16" t="str">
        <f t="shared" si="139"/>
        <v>-</v>
      </c>
      <c r="AX203" s="13" t="str">
        <f t="shared" si="140"/>
        <v>-</v>
      </c>
      <c r="AY203" s="10" t="str">
        <f t="shared" si="141"/>
        <v>-</v>
      </c>
      <c r="AZ203" s="9" t="str">
        <f t="shared" si="142"/>
        <v>-</v>
      </c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</row>
    <row r="204" spans="2:68" x14ac:dyDescent="0.3">
      <c r="B204" s="108" t="str">
        <f t="shared" si="127"/>
        <v/>
      </c>
      <c r="C204" s="108" t="str">
        <f t="shared" si="113"/>
        <v/>
      </c>
      <c r="D204" s="3"/>
      <c r="E204" s="3"/>
      <c r="F204" s="3"/>
      <c r="G204" s="20">
        <f>IFERROR(INDEX('Input - Iceland'!F$2:F$200,MATCH('Calculations - Iceland'!$C204,'Input - Iceland'!$B$2:$B$200,0)),"")</f>
        <v>0</v>
      </c>
      <c r="H204" s="20">
        <f>IFERROR(INDEX('Input - Iceland'!G$2:G$200,MATCH('Calculations - Iceland'!$C204,'Input - Iceland'!$B$2:$B$200,0)),"")</f>
        <v>0</v>
      </c>
      <c r="I204" s="21">
        <f>IFERROR(INDEX('Input - Iceland'!H$2:H$200,MATCH('Calculations - Iceland'!$C204,'Input - Iceland'!$B$2:$B$200,0)),"")</f>
        <v>0</v>
      </c>
      <c r="J204" s="21">
        <f>IFERROR(INDEX('Input - Iceland'!I$2:I$200,MATCH('Calculations - Iceland'!$C204,'Input - Iceland'!$B$2:$B$200,0)),"")</f>
        <v>0</v>
      </c>
      <c r="K204" s="20">
        <f>IFERROR(INDEX('Input - Iceland'!J$2:J$200,MATCH('Calculations - Iceland'!$C204,'Input - Iceland'!$B$2:$B$200,0)),"")</f>
        <v>0</v>
      </c>
      <c r="L204" s="20">
        <f>IFERROR(INDEX('Input - Iceland'!K$2:K$200,MATCH('Calculations - Iceland'!$C204,'Input - Iceland'!$B$2:$B$200,0)),"")</f>
        <v>0</v>
      </c>
      <c r="M204" s="21" t="str">
        <f t="shared" si="128"/>
        <v/>
      </c>
      <c r="N204" s="21" t="str">
        <f t="shared" si="114"/>
        <v/>
      </c>
      <c r="O204" s="21">
        <f t="shared" si="129"/>
        <v>0</v>
      </c>
      <c r="P204" s="9">
        <f t="shared" si="143"/>
        <v>0</v>
      </c>
      <c r="Q204" s="9">
        <f t="shared" si="144"/>
        <v>0</v>
      </c>
      <c r="R204" s="22" t="str">
        <f>IFERROR(INDEX(Iceland!$Q$11:$Q$165,MATCH('Calculations - Iceland'!$C204,Iceland!$M$11:$M$165,0)),"")</f>
        <v/>
      </c>
      <c r="S204" s="22" t="str">
        <f>IFERROR(INDEX(Iceland!$R$11:$R$165,MATCH('Calculations - Iceland'!$C204,Iceland!$M$11:$M$165,0)),"")</f>
        <v/>
      </c>
      <c r="T204" s="16" t="e">
        <f t="shared" si="115"/>
        <v>#VALUE!</v>
      </c>
      <c r="U204" s="16" t="e">
        <f t="shared" si="130"/>
        <v>#VALUE!</v>
      </c>
      <c r="V204" s="16" t="e">
        <f t="shared" si="131"/>
        <v>#VALUE!</v>
      </c>
      <c r="W204" s="10" t="str">
        <f t="shared" si="116"/>
        <v>-</v>
      </c>
      <c r="X204" s="10" t="str">
        <f t="shared" si="117"/>
        <v>-</v>
      </c>
      <c r="Y204" s="13" t="str">
        <f t="shared" si="132"/>
        <v>-</v>
      </c>
      <c r="Z204" s="9" t="str">
        <f t="shared" si="118"/>
        <v>-</v>
      </c>
      <c r="AA204" s="16" t="str">
        <f t="shared" si="133"/>
        <v>-</v>
      </c>
      <c r="AB204" s="16" t="str">
        <f t="shared" si="119"/>
        <v>-</v>
      </c>
      <c r="AC204" s="16" t="str">
        <f t="shared" si="120"/>
        <v>-</v>
      </c>
      <c r="AD204" s="16" t="str">
        <f t="shared" si="134"/>
        <v>-</v>
      </c>
      <c r="AE204" s="16"/>
      <c r="AF204" s="31" t="str">
        <f>IFERROR(INDEX(Iceland!$P$11:$P$165,MATCH('Calculations - Iceland'!C204,Iceland!$M$11:$M$165,0)),"")</f>
        <v/>
      </c>
      <c r="AG204" s="23" t="str">
        <f t="shared" si="135"/>
        <v/>
      </c>
      <c r="AH204" s="23" t="str">
        <f t="shared" si="135"/>
        <v/>
      </c>
      <c r="AI204" s="9" t="str">
        <f t="shared" si="121"/>
        <v/>
      </c>
      <c r="AJ204" s="4" t="str">
        <f t="shared" si="122"/>
        <v/>
      </c>
      <c r="AK204" s="4"/>
      <c r="AL204" s="4"/>
      <c r="AM204" s="4"/>
      <c r="AN204" s="4"/>
      <c r="AO204" s="4"/>
      <c r="AP204" s="20" t="str">
        <f t="shared" si="123"/>
        <v>-</v>
      </c>
      <c r="AQ204" s="13" t="str">
        <f t="shared" si="136"/>
        <v>-</v>
      </c>
      <c r="AR204" s="13" t="str">
        <f t="shared" si="137"/>
        <v>-</v>
      </c>
      <c r="AS204" s="13" t="str">
        <f t="shared" si="124"/>
        <v>-</v>
      </c>
      <c r="AT204" s="16" t="str">
        <f t="shared" si="138"/>
        <v>-</v>
      </c>
      <c r="AU204" s="16" t="str">
        <f t="shared" si="125"/>
        <v>-</v>
      </c>
      <c r="AV204" s="16" t="str">
        <f t="shared" si="126"/>
        <v>-</v>
      </c>
      <c r="AW204" s="16" t="str">
        <f t="shared" si="139"/>
        <v>-</v>
      </c>
      <c r="AX204" s="13" t="str">
        <f t="shared" si="140"/>
        <v>-</v>
      </c>
      <c r="AY204" s="10" t="str">
        <f t="shared" si="141"/>
        <v>-</v>
      </c>
      <c r="AZ204" s="9" t="str">
        <f t="shared" si="142"/>
        <v>-</v>
      </c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</row>
    <row r="205" spans="2:68" x14ac:dyDescent="0.3">
      <c r="B205" s="108" t="str">
        <f t="shared" si="127"/>
        <v/>
      </c>
      <c r="C205" s="108" t="str">
        <f t="shared" si="113"/>
        <v/>
      </c>
      <c r="D205" s="3"/>
      <c r="E205" s="3"/>
      <c r="F205" s="3"/>
      <c r="G205" s="20">
        <f>IFERROR(INDEX('Input - Iceland'!F$2:F$200,MATCH('Calculations - Iceland'!$C205,'Input - Iceland'!$B$2:$B$200,0)),"")</f>
        <v>0</v>
      </c>
      <c r="H205" s="20">
        <f>IFERROR(INDEX('Input - Iceland'!G$2:G$200,MATCH('Calculations - Iceland'!$C205,'Input - Iceland'!$B$2:$B$200,0)),"")</f>
        <v>0</v>
      </c>
      <c r="I205" s="21">
        <f>IFERROR(INDEX('Input - Iceland'!H$2:H$200,MATCH('Calculations - Iceland'!$C205,'Input - Iceland'!$B$2:$B$200,0)),"")</f>
        <v>0</v>
      </c>
      <c r="J205" s="21">
        <f>IFERROR(INDEX('Input - Iceland'!I$2:I$200,MATCH('Calculations - Iceland'!$C205,'Input - Iceland'!$B$2:$B$200,0)),"")</f>
        <v>0</v>
      </c>
      <c r="K205" s="20">
        <f>IFERROR(INDEX('Input - Iceland'!J$2:J$200,MATCH('Calculations - Iceland'!$C205,'Input - Iceland'!$B$2:$B$200,0)),"")</f>
        <v>0</v>
      </c>
      <c r="L205" s="20">
        <f>IFERROR(INDEX('Input - Iceland'!K$2:K$200,MATCH('Calculations - Iceland'!$C205,'Input - Iceland'!$B$2:$B$200,0)),"")</f>
        <v>0</v>
      </c>
      <c r="M205" s="21" t="str">
        <f t="shared" si="128"/>
        <v/>
      </c>
      <c r="N205" s="21" t="str">
        <f t="shared" si="114"/>
        <v/>
      </c>
      <c r="O205" s="21">
        <f t="shared" si="129"/>
        <v>0</v>
      </c>
      <c r="P205" s="9">
        <f t="shared" si="143"/>
        <v>0</v>
      </c>
      <c r="Q205" s="9">
        <f t="shared" si="144"/>
        <v>0</v>
      </c>
      <c r="R205" s="22" t="str">
        <f>IFERROR(INDEX(Iceland!$Q$11:$Q$165,MATCH('Calculations - Iceland'!$C205,Iceland!$M$11:$M$165,0)),"")</f>
        <v/>
      </c>
      <c r="S205" s="22" t="str">
        <f>IFERROR(INDEX(Iceland!$R$11:$R$165,MATCH('Calculations - Iceland'!$C205,Iceland!$M$11:$M$165,0)),"")</f>
        <v/>
      </c>
      <c r="T205" s="16" t="e">
        <f t="shared" si="115"/>
        <v>#VALUE!</v>
      </c>
      <c r="U205" s="16" t="e">
        <f t="shared" si="130"/>
        <v>#VALUE!</v>
      </c>
      <c r="V205" s="16" t="e">
        <f t="shared" si="131"/>
        <v>#VALUE!</v>
      </c>
      <c r="W205" s="10" t="str">
        <f t="shared" si="116"/>
        <v>-</v>
      </c>
      <c r="X205" s="10" t="str">
        <f t="shared" si="117"/>
        <v>-</v>
      </c>
      <c r="Y205" s="13" t="str">
        <f t="shared" si="132"/>
        <v>-</v>
      </c>
      <c r="Z205" s="9" t="str">
        <f t="shared" si="118"/>
        <v>-</v>
      </c>
      <c r="AA205" s="16" t="str">
        <f t="shared" si="133"/>
        <v>-</v>
      </c>
      <c r="AB205" s="16" t="str">
        <f t="shared" si="119"/>
        <v>-</v>
      </c>
      <c r="AC205" s="16" t="str">
        <f t="shared" si="120"/>
        <v>-</v>
      </c>
      <c r="AD205" s="16" t="str">
        <f t="shared" si="134"/>
        <v>-</v>
      </c>
      <c r="AE205" s="16"/>
      <c r="AF205" s="31" t="str">
        <f>IFERROR(INDEX(Iceland!$P$11:$P$165,MATCH('Calculations - Iceland'!C205,Iceland!$M$11:$M$165,0)),"")</f>
        <v/>
      </c>
      <c r="AG205" s="23" t="str">
        <f t="shared" si="135"/>
        <v/>
      </c>
      <c r="AH205" s="23" t="str">
        <f t="shared" si="135"/>
        <v/>
      </c>
      <c r="AI205" s="9" t="str">
        <f t="shared" si="121"/>
        <v/>
      </c>
      <c r="AJ205" s="4" t="str">
        <f t="shared" si="122"/>
        <v/>
      </c>
      <c r="AK205" s="4"/>
      <c r="AL205" s="4"/>
      <c r="AM205" s="4"/>
      <c r="AN205" s="4"/>
      <c r="AO205" s="4"/>
      <c r="AP205" s="20" t="str">
        <f t="shared" si="123"/>
        <v>-</v>
      </c>
      <c r="AQ205" s="13" t="str">
        <f t="shared" si="136"/>
        <v>-</v>
      </c>
      <c r="AR205" s="13" t="str">
        <f t="shared" si="137"/>
        <v>-</v>
      </c>
      <c r="AS205" s="13" t="str">
        <f t="shared" si="124"/>
        <v>-</v>
      </c>
      <c r="AT205" s="16" t="str">
        <f t="shared" si="138"/>
        <v>-</v>
      </c>
      <c r="AU205" s="16" t="str">
        <f t="shared" si="125"/>
        <v>-</v>
      </c>
      <c r="AV205" s="16" t="str">
        <f t="shared" si="126"/>
        <v>-</v>
      </c>
      <c r="AW205" s="16" t="str">
        <f t="shared" si="139"/>
        <v>-</v>
      </c>
      <c r="AX205" s="13" t="str">
        <f t="shared" si="140"/>
        <v>-</v>
      </c>
      <c r="AY205" s="10" t="str">
        <f t="shared" si="141"/>
        <v>-</v>
      </c>
      <c r="AZ205" s="9" t="str">
        <f t="shared" si="142"/>
        <v>-</v>
      </c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</row>
    <row r="206" spans="2:68" x14ac:dyDescent="0.3">
      <c r="B206" s="108" t="str">
        <f t="shared" si="127"/>
        <v/>
      </c>
      <c r="C206" s="108" t="str">
        <f t="shared" si="113"/>
        <v/>
      </c>
      <c r="D206" s="3"/>
      <c r="E206" s="3"/>
      <c r="F206" s="3"/>
      <c r="G206" s="20">
        <f>IFERROR(INDEX('Input - Iceland'!F$2:F$200,MATCH('Calculations - Iceland'!$C206,'Input - Iceland'!$B$2:$B$200,0)),"")</f>
        <v>0</v>
      </c>
      <c r="H206" s="20">
        <f>IFERROR(INDEX('Input - Iceland'!G$2:G$200,MATCH('Calculations - Iceland'!$C206,'Input - Iceland'!$B$2:$B$200,0)),"")</f>
        <v>0</v>
      </c>
      <c r="I206" s="21">
        <f>IFERROR(INDEX('Input - Iceland'!H$2:H$200,MATCH('Calculations - Iceland'!$C206,'Input - Iceland'!$B$2:$B$200,0)),"")</f>
        <v>0</v>
      </c>
      <c r="J206" s="21">
        <f>IFERROR(INDEX('Input - Iceland'!I$2:I$200,MATCH('Calculations - Iceland'!$C206,'Input - Iceland'!$B$2:$B$200,0)),"")</f>
        <v>0</v>
      </c>
      <c r="K206" s="20">
        <f>IFERROR(INDEX('Input - Iceland'!J$2:J$200,MATCH('Calculations - Iceland'!$C206,'Input - Iceland'!$B$2:$B$200,0)),"")</f>
        <v>0</v>
      </c>
      <c r="L206" s="20">
        <f>IFERROR(INDEX('Input - Iceland'!K$2:K$200,MATCH('Calculations - Iceland'!$C206,'Input - Iceland'!$B$2:$B$200,0)),"")</f>
        <v>0</v>
      </c>
      <c r="M206" s="21" t="str">
        <f t="shared" si="128"/>
        <v/>
      </c>
      <c r="N206" s="21" t="str">
        <f t="shared" si="114"/>
        <v/>
      </c>
      <c r="O206" s="21">
        <f t="shared" si="129"/>
        <v>0</v>
      </c>
      <c r="P206" s="9">
        <f t="shared" si="143"/>
        <v>0</v>
      </c>
      <c r="Q206" s="9">
        <f t="shared" si="144"/>
        <v>0</v>
      </c>
      <c r="R206" s="22" t="str">
        <f>IFERROR(INDEX(Iceland!$Q$11:$Q$165,MATCH('Calculations - Iceland'!$C206,Iceland!$M$11:$M$165,0)),"")</f>
        <v/>
      </c>
      <c r="S206" s="22" t="str">
        <f>IFERROR(INDEX(Iceland!$R$11:$R$165,MATCH('Calculations - Iceland'!$C206,Iceland!$M$11:$M$165,0)),"")</f>
        <v/>
      </c>
      <c r="T206" s="16" t="e">
        <f t="shared" si="115"/>
        <v>#VALUE!</v>
      </c>
      <c r="U206" s="16" t="e">
        <f t="shared" si="130"/>
        <v>#VALUE!</v>
      </c>
      <c r="V206" s="16" t="e">
        <f t="shared" si="131"/>
        <v>#VALUE!</v>
      </c>
      <c r="W206" s="10" t="str">
        <f t="shared" si="116"/>
        <v>-</v>
      </c>
      <c r="X206" s="10" t="str">
        <f t="shared" si="117"/>
        <v>-</v>
      </c>
      <c r="Y206" s="13" t="str">
        <f t="shared" si="132"/>
        <v>-</v>
      </c>
      <c r="Z206" s="9" t="str">
        <f t="shared" si="118"/>
        <v>-</v>
      </c>
      <c r="AA206" s="16" t="str">
        <f t="shared" si="133"/>
        <v>-</v>
      </c>
      <c r="AB206" s="16" t="str">
        <f t="shared" si="119"/>
        <v>-</v>
      </c>
      <c r="AC206" s="16" t="str">
        <f t="shared" si="120"/>
        <v>-</v>
      </c>
      <c r="AD206" s="16" t="str">
        <f t="shared" si="134"/>
        <v>-</v>
      </c>
      <c r="AE206" s="16"/>
      <c r="AF206" s="31" t="str">
        <f>IFERROR(INDEX(Iceland!$P$11:$P$165,MATCH('Calculations - Iceland'!C206,Iceland!$M$11:$M$165,0)),"")</f>
        <v/>
      </c>
      <c r="AG206" s="23" t="str">
        <f t="shared" si="135"/>
        <v/>
      </c>
      <c r="AH206" s="23" t="str">
        <f t="shared" si="135"/>
        <v/>
      </c>
      <c r="AI206" s="9" t="str">
        <f t="shared" si="121"/>
        <v/>
      </c>
      <c r="AJ206" s="4" t="str">
        <f t="shared" si="122"/>
        <v/>
      </c>
      <c r="AK206" s="4"/>
      <c r="AL206" s="4"/>
      <c r="AM206" s="4"/>
      <c r="AN206" s="4"/>
      <c r="AO206" s="4"/>
      <c r="AP206" s="20" t="str">
        <f t="shared" si="123"/>
        <v>-</v>
      </c>
      <c r="AQ206" s="13" t="str">
        <f t="shared" si="136"/>
        <v>-</v>
      </c>
      <c r="AR206" s="13" t="str">
        <f t="shared" si="137"/>
        <v>-</v>
      </c>
      <c r="AS206" s="13" t="str">
        <f t="shared" si="124"/>
        <v>-</v>
      </c>
      <c r="AT206" s="16" t="str">
        <f t="shared" si="138"/>
        <v>-</v>
      </c>
      <c r="AU206" s="16" t="str">
        <f t="shared" si="125"/>
        <v>-</v>
      </c>
      <c r="AV206" s="16" t="str">
        <f t="shared" si="126"/>
        <v>-</v>
      </c>
      <c r="AW206" s="16" t="str">
        <f t="shared" si="139"/>
        <v>-</v>
      </c>
      <c r="AX206" s="13" t="str">
        <f t="shared" si="140"/>
        <v>-</v>
      </c>
      <c r="AY206" s="10" t="str">
        <f t="shared" si="141"/>
        <v>-</v>
      </c>
      <c r="AZ206" s="9" t="str">
        <f t="shared" si="142"/>
        <v>-</v>
      </c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</row>
    <row r="207" spans="2:68" x14ac:dyDescent="0.3">
      <c r="B207" s="108" t="str">
        <f t="shared" si="127"/>
        <v/>
      </c>
      <c r="C207" s="108" t="str">
        <f t="shared" si="113"/>
        <v/>
      </c>
      <c r="D207" s="3"/>
      <c r="E207" s="3"/>
      <c r="F207" s="3"/>
      <c r="G207" s="20">
        <f>IFERROR(INDEX('Input - Iceland'!F$2:F$200,MATCH('Calculations - Iceland'!$C207,'Input - Iceland'!$B$2:$B$200,0)),"")</f>
        <v>0</v>
      </c>
      <c r="H207" s="20">
        <f>IFERROR(INDEX('Input - Iceland'!G$2:G$200,MATCH('Calculations - Iceland'!$C207,'Input - Iceland'!$B$2:$B$200,0)),"")</f>
        <v>0</v>
      </c>
      <c r="I207" s="21">
        <f>IFERROR(INDEX('Input - Iceland'!H$2:H$200,MATCH('Calculations - Iceland'!$C207,'Input - Iceland'!$B$2:$B$200,0)),"")</f>
        <v>0</v>
      </c>
      <c r="J207" s="21">
        <f>IFERROR(INDEX('Input - Iceland'!I$2:I$200,MATCH('Calculations - Iceland'!$C207,'Input - Iceland'!$B$2:$B$200,0)),"")</f>
        <v>0</v>
      </c>
      <c r="K207" s="20">
        <f>IFERROR(INDEX('Input - Iceland'!J$2:J$200,MATCH('Calculations - Iceland'!$C207,'Input - Iceland'!$B$2:$B$200,0)),"")</f>
        <v>0</v>
      </c>
      <c r="L207" s="20">
        <f>IFERROR(INDEX('Input - Iceland'!K$2:K$200,MATCH('Calculations - Iceland'!$C207,'Input - Iceland'!$B$2:$B$200,0)),"")</f>
        <v>0</v>
      </c>
      <c r="M207" s="21" t="str">
        <f t="shared" si="128"/>
        <v/>
      </c>
      <c r="N207" s="21" t="str">
        <f t="shared" si="114"/>
        <v/>
      </c>
      <c r="O207" s="21">
        <f t="shared" si="129"/>
        <v>0</v>
      </c>
      <c r="P207" s="9">
        <f t="shared" si="143"/>
        <v>0</v>
      </c>
      <c r="Q207" s="9">
        <f t="shared" si="144"/>
        <v>0</v>
      </c>
      <c r="R207" s="22" t="str">
        <f>IFERROR(INDEX(Iceland!$Q$11:$Q$165,MATCH('Calculations - Iceland'!$C207,Iceland!$M$11:$M$165,0)),"")</f>
        <v/>
      </c>
      <c r="S207" s="22" t="str">
        <f>IFERROR(INDEX(Iceland!$R$11:$R$165,MATCH('Calculations - Iceland'!$C207,Iceland!$M$11:$M$165,0)),"")</f>
        <v/>
      </c>
      <c r="T207" s="16" t="e">
        <f t="shared" si="115"/>
        <v>#VALUE!</v>
      </c>
      <c r="U207" s="16" t="e">
        <f t="shared" si="130"/>
        <v>#VALUE!</v>
      </c>
      <c r="V207" s="16" t="e">
        <f t="shared" si="131"/>
        <v>#VALUE!</v>
      </c>
      <c r="W207" s="10" t="str">
        <f t="shared" si="116"/>
        <v>-</v>
      </c>
      <c r="X207" s="10" t="str">
        <f t="shared" si="117"/>
        <v>-</v>
      </c>
      <c r="Y207" s="13" t="str">
        <f t="shared" si="132"/>
        <v>-</v>
      </c>
      <c r="Z207" s="9" t="str">
        <f t="shared" si="118"/>
        <v>-</v>
      </c>
      <c r="AA207" s="16" t="str">
        <f t="shared" si="133"/>
        <v>-</v>
      </c>
      <c r="AB207" s="16" t="str">
        <f t="shared" si="119"/>
        <v>-</v>
      </c>
      <c r="AC207" s="16" t="str">
        <f t="shared" si="120"/>
        <v>-</v>
      </c>
      <c r="AD207" s="16" t="str">
        <f t="shared" si="134"/>
        <v>-</v>
      </c>
      <c r="AE207" s="16"/>
      <c r="AF207" s="31" t="str">
        <f>IFERROR(INDEX(Iceland!$P$11:$P$165,MATCH('Calculations - Iceland'!C207,Iceland!$M$11:$M$165,0)),"")</f>
        <v/>
      </c>
      <c r="AG207" s="23" t="str">
        <f t="shared" si="135"/>
        <v/>
      </c>
      <c r="AH207" s="23" t="str">
        <f t="shared" si="135"/>
        <v/>
      </c>
      <c r="AI207" s="9" t="str">
        <f t="shared" si="121"/>
        <v/>
      </c>
      <c r="AJ207" s="4" t="str">
        <f t="shared" si="122"/>
        <v/>
      </c>
      <c r="AK207" s="4"/>
      <c r="AL207" s="4"/>
      <c r="AM207" s="4"/>
      <c r="AN207" s="4"/>
      <c r="AO207" s="4"/>
      <c r="AP207" s="20" t="str">
        <f t="shared" si="123"/>
        <v>-</v>
      </c>
      <c r="AQ207" s="13" t="str">
        <f t="shared" si="136"/>
        <v>-</v>
      </c>
      <c r="AR207" s="13" t="str">
        <f t="shared" si="137"/>
        <v>-</v>
      </c>
      <c r="AS207" s="13" t="str">
        <f t="shared" si="124"/>
        <v>-</v>
      </c>
      <c r="AT207" s="16" t="str">
        <f t="shared" si="138"/>
        <v>-</v>
      </c>
      <c r="AU207" s="16" t="str">
        <f t="shared" si="125"/>
        <v>-</v>
      </c>
      <c r="AV207" s="16" t="str">
        <f t="shared" si="126"/>
        <v>-</v>
      </c>
      <c r="AW207" s="16" t="str">
        <f t="shared" si="139"/>
        <v>-</v>
      </c>
      <c r="AX207" s="13" t="str">
        <f t="shared" si="140"/>
        <v>-</v>
      </c>
      <c r="AY207" s="10" t="str">
        <f t="shared" si="141"/>
        <v>-</v>
      </c>
      <c r="AZ207" s="9" t="str">
        <f t="shared" si="142"/>
        <v>-</v>
      </c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</row>
    <row r="208" spans="2:68" x14ac:dyDescent="0.3">
      <c r="B208" s="108" t="str">
        <f t="shared" si="127"/>
        <v/>
      </c>
      <c r="C208" s="108" t="str">
        <f t="shared" si="113"/>
        <v/>
      </c>
      <c r="D208" s="3"/>
      <c r="E208" s="3"/>
      <c r="F208" s="3"/>
      <c r="G208" s="20">
        <f>IFERROR(INDEX('Input - Iceland'!F$2:F$200,MATCH('Calculations - Iceland'!$C208,'Input - Iceland'!$B$2:$B$200,0)),"")</f>
        <v>0</v>
      </c>
      <c r="H208" s="20">
        <f>IFERROR(INDEX('Input - Iceland'!G$2:G$200,MATCH('Calculations - Iceland'!$C208,'Input - Iceland'!$B$2:$B$200,0)),"")</f>
        <v>0</v>
      </c>
      <c r="I208" s="21">
        <f>IFERROR(INDEX('Input - Iceland'!H$2:H$200,MATCH('Calculations - Iceland'!$C208,'Input - Iceland'!$B$2:$B$200,0)),"")</f>
        <v>0</v>
      </c>
      <c r="J208" s="21">
        <f>IFERROR(INDEX('Input - Iceland'!I$2:I$200,MATCH('Calculations - Iceland'!$C208,'Input - Iceland'!$B$2:$B$200,0)),"")</f>
        <v>0</v>
      </c>
      <c r="K208" s="20">
        <f>IFERROR(INDEX('Input - Iceland'!J$2:J$200,MATCH('Calculations - Iceland'!$C208,'Input - Iceland'!$B$2:$B$200,0)),"")</f>
        <v>0</v>
      </c>
      <c r="L208" s="20">
        <f>IFERROR(INDEX('Input - Iceland'!K$2:K$200,MATCH('Calculations - Iceland'!$C208,'Input - Iceland'!$B$2:$B$200,0)),"")</f>
        <v>0</v>
      </c>
      <c r="M208" s="21" t="str">
        <f t="shared" si="128"/>
        <v/>
      </c>
      <c r="N208" s="21" t="str">
        <f t="shared" si="114"/>
        <v/>
      </c>
      <c r="O208" s="21">
        <f t="shared" si="129"/>
        <v>0</v>
      </c>
      <c r="P208" s="9">
        <f t="shared" si="143"/>
        <v>0</v>
      </c>
      <c r="Q208" s="9">
        <f t="shared" si="144"/>
        <v>0</v>
      </c>
      <c r="R208" s="22" t="str">
        <f>IFERROR(INDEX(Iceland!$Q$11:$Q$165,MATCH('Calculations - Iceland'!$C208,Iceland!$M$11:$M$165,0)),"")</f>
        <v/>
      </c>
      <c r="S208" s="22" t="str">
        <f>IFERROR(INDEX(Iceland!$R$11:$R$165,MATCH('Calculations - Iceland'!$C208,Iceland!$M$11:$M$165,0)),"")</f>
        <v/>
      </c>
      <c r="T208" s="16" t="e">
        <f t="shared" si="115"/>
        <v>#VALUE!</v>
      </c>
      <c r="U208" s="16" t="e">
        <f t="shared" si="130"/>
        <v>#VALUE!</v>
      </c>
      <c r="V208" s="16" t="e">
        <f t="shared" si="131"/>
        <v>#VALUE!</v>
      </c>
      <c r="W208" s="10" t="str">
        <f t="shared" si="116"/>
        <v>-</v>
      </c>
      <c r="X208" s="10" t="str">
        <f t="shared" si="117"/>
        <v>-</v>
      </c>
      <c r="Y208" s="13" t="str">
        <f t="shared" si="132"/>
        <v>-</v>
      </c>
      <c r="Z208" s="9" t="str">
        <f t="shared" si="118"/>
        <v>-</v>
      </c>
      <c r="AA208" s="16" t="str">
        <f t="shared" si="133"/>
        <v>-</v>
      </c>
      <c r="AB208" s="16" t="str">
        <f t="shared" si="119"/>
        <v>-</v>
      </c>
      <c r="AC208" s="16" t="str">
        <f t="shared" si="120"/>
        <v>-</v>
      </c>
      <c r="AD208" s="16" t="str">
        <f t="shared" si="134"/>
        <v>-</v>
      </c>
      <c r="AE208" s="16"/>
      <c r="AF208" s="31" t="str">
        <f>IFERROR(INDEX(Iceland!$P$11:$P$165,MATCH('Calculations - Iceland'!C208,Iceland!$M$11:$M$165,0)),"")</f>
        <v/>
      </c>
      <c r="AG208" s="23" t="str">
        <f t="shared" si="135"/>
        <v/>
      </c>
      <c r="AH208" s="23" t="str">
        <f t="shared" si="135"/>
        <v/>
      </c>
      <c r="AI208" s="9" t="str">
        <f t="shared" si="121"/>
        <v/>
      </c>
      <c r="AJ208" s="4" t="str">
        <f t="shared" si="122"/>
        <v/>
      </c>
      <c r="AK208" s="4"/>
      <c r="AL208" s="4"/>
      <c r="AM208" s="4"/>
      <c r="AN208" s="4"/>
      <c r="AO208" s="4"/>
      <c r="AP208" s="20" t="str">
        <f t="shared" si="123"/>
        <v>-</v>
      </c>
      <c r="AQ208" s="13" t="str">
        <f t="shared" si="136"/>
        <v>-</v>
      </c>
      <c r="AR208" s="13" t="str">
        <f t="shared" si="137"/>
        <v>-</v>
      </c>
      <c r="AS208" s="13" t="str">
        <f t="shared" si="124"/>
        <v>-</v>
      </c>
      <c r="AT208" s="16" t="str">
        <f t="shared" si="138"/>
        <v>-</v>
      </c>
      <c r="AU208" s="16" t="str">
        <f t="shared" si="125"/>
        <v>-</v>
      </c>
      <c r="AV208" s="16" t="str">
        <f t="shared" si="126"/>
        <v>-</v>
      </c>
      <c r="AW208" s="16" t="str">
        <f t="shared" si="139"/>
        <v>-</v>
      </c>
      <c r="AX208" s="13" t="str">
        <f t="shared" si="140"/>
        <v>-</v>
      </c>
      <c r="AY208" s="10" t="str">
        <f t="shared" si="141"/>
        <v>-</v>
      </c>
      <c r="AZ208" s="9" t="str">
        <f t="shared" si="142"/>
        <v>-</v>
      </c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</row>
    <row r="209" spans="2:68" x14ac:dyDescent="0.3">
      <c r="B209" s="108" t="str">
        <f t="shared" si="127"/>
        <v/>
      </c>
      <c r="C209" s="108" t="str">
        <f t="shared" si="113"/>
        <v/>
      </c>
      <c r="D209" s="3"/>
      <c r="E209" s="3"/>
      <c r="F209" s="3"/>
      <c r="G209" s="20">
        <f>IFERROR(INDEX('Input - Iceland'!F$2:F$200,MATCH('Calculations - Iceland'!$C209,'Input - Iceland'!$B$2:$B$200,0)),"")</f>
        <v>0</v>
      </c>
      <c r="H209" s="20">
        <f>IFERROR(INDEX('Input - Iceland'!G$2:G$200,MATCH('Calculations - Iceland'!$C209,'Input - Iceland'!$B$2:$B$200,0)),"")</f>
        <v>0</v>
      </c>
      <c r="I209" s="21">
        <f>IFERROR(INDEX('Input - Iceland'!H$2:H$200,MATCH('Calculations - Iceland'!$C209,'Input - Iceland'!$B$2:$B$200,0)),"")</f>
        <v>0</v>
      </c>
      <c r="J209" s="21">
        <f>IFERROR(INDEX('Input - Iceland'!I$2:I$200,MATCH('Calculations - Iceland'!$C209,'Input - Iceland'!$B$2:$B$200,0)),"")</f>
        <v>0</v>
      </c>
      <c r="K209" s="20">
        <f>IFERROR(INDEX('Input - Iceland'!J$2:J$200,MATCH('Calculations - Iceland'!$C209,'Input - Iceland'!$B$2:$B$200,0)),"")</f>
        <v>0</v>
      </c>
      <c r="L209" s="20">
        <f>IFERROR(INDEX('Input - Iceland'!K$2:K$200,MATCH('Calculations - Iceland'!$C209,'Input - Iceland'!$B$2:$B$200,0)),"")</f>
        <v>0</v>
      </c>
      <c r="M209" s="21" t="str">
        <f t="shared" si="128"/>
        <v/>
      </c>
      <c r="N209" s="21" t="str">
        <f t="shared" si="114"/>
        <v/>
      </c>
      <c r="O209" s="21">
        <f t="shared" si="129"/>
        <v>0</v>
      </c>
      <c r="P209" s="9">
        <f t="shared" si="143"/>
        <v>0</v>
      </c>
      <c r="Q209" s="9">
        <f t="shared" si="144"/>
        <v>0</v>
      </c>
      <c r="R209" s="22" t="str">
        <f>IFERROR(INDEX(Iceland!$Q$11:$Q$165,MATCH('Calculations - Iceland'!$C209,Iceland!$M$11:$M$165,0)),"")</f>
        <v/>
      </c>
      <c r="S209" s="22" t="str">
        <f>IFERROR(INDEX(Iceland!$R$11:$R$165,MATCH('Calculations - Iceland'!$C209,Iceland!$M$11:$M$165,0)),"")</f>
        <v/>
      </c>
      <c r="T209" s="16" t="e">
        <f t="shared" si="115"/>
        <v>#VALUE!</v>
      </c>
      <c r="U209" s="16" t="e">
        <f t="shared" si="130"/>
        <v>#VALUE!</v>
      </c>
      <c r="V209" s="16" t="e">
        <f t="shared" si="131"/>
        <v>#VALUE!</v>
      </c>
      <c r="W209" s="10" t="str">
        <f t="shared" si="116"/>
        <v>-</v>
      </c>
      <c r="X209" s="10" t="str">
        <f t="shared" si="117"/>
        <v>-</v>
      </c>
      <c r="Y209" s="13" t="str">
        <f t="shared" si="132"/>
        <v>-</v>
      </c>
      <c r="Z209" s="9" t="str">
        <f t="shared" si="118"/>
        <v>-</v>
      </c>
      <c r="AA209" s="16" t="str">
        <f t="shared" si="133"/>
        <v>-</v>
      </c>
      <c r="AB209" s="16" t="str">
        <f t="shared" si="119"/>
        <v>-</v>
      </c>
      <c r="AC209" s="16" t="str">
        <f t="shared" si="120"/>
        <v>-</v>
      </c>
      <c r="AD209" s="16" t="str">
        <f t="shared" si="134"/>
        <v>-</v>
      </c>
      <c r="AE209" s="16"/>
      <c r="AF209" s="31" t="str">
        <f>IFERROR(INDEX(Iceland!$P$11:$P$165,MATCH('Calculations - Iceland'!C209,Iceland!$M$11:$M$165,0)),"")</f>
        <v/>
      </c>
      <c r="AG209" s="23" t="str">
        <f t="shared" si="135"/>
        <v/>
      </c>
      <c r="AH209" s="23" t="str">
        <f t="shared" si="135"/>
        <v/>
      </c>
      <c r="AI209" s="9" t="str">
        <f t="shared" si="121"/>
        <v/>
      </c>
      <c r="AJ209" s="4" t="str">
        <f t="shared" si="122"/>
        <v/>
      </c>
      <c r="AK209" s="4"/>
      <c r="AL209" s="4"/>
      <c r="AM209" s="4"/>
      <c r="AN209" s="4"/>
      <c r="AO209" s="4"/>
      <c r="AP209" s="20" t="str">
        <f t="shared" si="123"/>
        <v>-</v>
      </c>
      <c r="AQ209" s="13" t="str">
        <f t="shared" si="136"/>
        <v>-</v>
      </c>
      <c r="AR209" s="13" t="str">
        <f t="shared" si="137"/>
        <v>-</v>
      </c>
      <c r="AS209" s="13" t="str">
        <f t="shared" si="124"/>
        <v>-</v>
      </c>
      <c r="AT209" s="16" t="str">
        <f t="shared" si="138"/>
        <v>-</v>
      </c>
      <c r="AU209" s="16" t="str">
        <f t="shared" si="125"/>
        <v>-</v>
      </c>
      <c r="AV209" s="16" t="str">
        <f t="shared" si="126"/>
        <v>-</v>
      </c>
      <c r="AW209" s="16" t="str">
        <f t="shared" si="139"/>
        <v>-</v>
      </c>
      <c r="AX209" s="13" t="str">
        <f t="shared" si="140"/>
        <v>-</v>
      </c>
      <c r="AY209" s="10" t="str">
        <f t="shared" si="141"/>
        <v>-</v>
      </c>
      <c r="AZ209" s="9" t="str">
        <f t="shared" si="142"/>
        <v>-</v>
      </c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</row>
    <row r="210" spans="2:68" x14ac:dyDescent="0.3">
      <c r="B210" s="108" t="str">
        <f t="shared" si="127"/>
        <v/>
      </c>
      <c r="C210" s="108" t="str">
        <f t="shared" si="113"/>
        <v/>
      </c>
      <c r="D210" s="3"/>
      <c r="E210" s="3"/>
      <c r="F210" s="3"/>
      <c r="G210" s="20">
        <f>IFERROR(INDEX('Input - Iceland'!F$2:F$200,MATCH('Calculations - Iceland'!$C210,'Input - Iceland'!$B$2:$B$200,0)),"")</f>
        <v>0</v>
      </c>
      <c r="H210" s="20">
        <f>IFERROR(INDEX('Input - Iceland'!G$2:G$200,MATCH('Calculations - Iceland'!$C210,'Input - Iceland'!$B$2:$B$200,0)),"")</f>
        <v>0</v>
      </c>
      <c r="I210" s="21">
        <f>IFERROR(INDEX('Input - Iceland'!H$2:H$200,MATCH('Calculations - Iceland'!$C210,'Input - Iceland'!$B$2:$B$200,0)),"")</f>
        <v>0</v>
      </c>
      <c r="J210" s="21">
        <f>IFERROR(INDEX('Input - Iceland'!I$2:I$200,MATCH('Calculations - Iceland'!$C210,'Input - Iceland'!$B$2:$B$200,0)),"")</f>
        <v>0</v>
      </c>
      <c r="K210" s="20">
        <f>IFERROR(INDEX('Input - Iceland'!J$2:J$200,MATCH('Calculations - Iceland'!$C210,'Input - Iceland'!$B$2:$B$200,0)),"")</f>
        <v>0</v>
      </c>
      <c r="L210" s="20">
        <f>IFERROR(INDEX('Input - Iceland'!K$2:K$200,MATCH('Calculations - Iceland'!$C210,'Input - Iceland'!$B$2:$B$200,0)),"")</f>
        <v>0</v>
      </c>
      <c r="M210" s="21" t="str">
        <f t="shared" si="128"/>
        <v/>
      </c>
      <c r="N210" s="21" t="str">
        <f t="shared" si="114"/>
        <v/>
      </c>
      <c r="O210" s="21">
        <f t="shared" si="129"/>
        <v>0</v>
      </c>
      <c r="P210" s="9">
        <f t="shared" si="143"/>
        <v>0</v>
      </c>
      <c r="Q210" s="9">
        <f t="shared" si="144"/>
        <v>0</v>
      </c>
      <c r="R210" s="22" t="str">
        <f>IFERROR(INDEX(Iceland!$Q$11:$Q$165,MATCH('Calculations - Iceland'!$C210,Iceland!$M$11:$M$165,0)),"")</f>
        <v/>
      </c>
      <c r="S210" s="22" t="str">
        <f>IFERROR(INDEX(Iceland!$R$11:$R$165,MATCH('Calculations - Iceland'!$C210,Iceland!$M$11:$M$165,0)),"")</f>
        <v/>
      </c>
      <c r="T210" s="16" t="e">
        <f t="shared" si="115"/>
        <v>#VALUE!</v>
      </c>
      <c r="U210" s="16" t="e">
        <f t="shared" si="130"/>
        <v>#VALUE!</v>
      </c>
      <c r="V210" s="16" t="e">
        <f t="shared" si="131"/>
        <v>#VALUE!</v>
      </c>
      <c r="W210" s="10" t="str">
        <f t="shared" si="116"/>
        <v>-</v>
      </c>
      <c r="X210" s="10" t="str">
        <f t="shared" si="117"/>
        <v>-</v>
      </c>
      <c r="Y210" s="13" t="str">
        <f t="shared" si="132"/>
        <v>-</v>
      </c>
      <c r="Z210" s="9" t="str">
        <f t="shared" si="118"/>
        <v>-</v>
      </c>
      <c r="AA210" s="16" t="str">
        <f t="shared" si="133"/>
        <v>-</v>
      </c>
      <c r="AB210" s="16" t="str">
        <f t="shared" si="119"/>
        <v>-</v>
      </c>
      <c r="AC210" s="16" t="str">
        <f t="shared" si="120"/>
        <v>-</v>
      </c>
      <c r="AD210" s="16" t="str">
        <f t="shared" si="134"/>
        <v>-</v>
      </c>
      <c r="AE210" s="16"/>
      <c r="AF210" s="31" t="str">
        <f>IFERROR(INDEX(Iceland!$P$11:$P$165,MATCH('Calculations - Iceland'!C210,Iceland!$M$11:$M$165,0)),"")</f>
        <v/>
      </c>
      <c r="AG210" s="23" t="str">
        <f t="shared" si="135"/>
        <v/>
      </c>
      <c r="AH210" s="23" t="str">
        <f t="shared" si="135"/>
        <v/>
      </c>
      <c r="AI210" s="9" t="str">
        <f t="shared" si="121"/>
        <v/>
      </c>
      <c r="AJ210" s="4" t="str">
        <f t="shared" si="122"/>
        <v/>
      </c>
      <c r="AK210" s="4"/>
      <c r="AL210" s="4"/>
      <c r="AM210" s="4"/>
      <c r="AN210" s="4"/>
      <c r="AO210" s="4"/>
      <c r="AP210" s="20" t="str">
        <f t="shared" si="123"/>
        <v>-</v>
      </c>
      <c r="AQ210" s="13" t="str">
        <f t="shared" si="136"/>
        <v>-</v>
      </c>
      <c r="AR210" s="13" t="str">
        <f t="shared" si="137"/>
        <v>-</v>
      </c>
      <c r="AS210" s="13" t="str">
        <f t="shared" si="124"/>
        <v>-</v>
      </c>
      <c r="AT210" s="16" t="str">
        <f t="shared" si="138"/>
        <v>-</v>
      </c>
      <c r="AU210" s="16" t="str">
        <f t="shared" si="125"/>
        <v>-</v>
      </c>
      <c r="AV210" s="16" t="str">
        <f t="shared" si="126"/>
        <v>-</v>
      </c>
      <c r="AW210" s="16" t="str">
        <f t="shared" si="139"/>
        <v>-</v>
      </c>
      <c r="AX210" s="13" t="str">
        <f t="shared" si="140"/>
        <v>-</v>
      </c>
      <c r="AY210" s="10" t="str">
        <f t="shared" si="141"/>
        <v>-</v>
      </c>
      <c r="AZ210" s="9" t="str">
        <f t="shared" si="142"/>
        <v>-</v>
      </c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</row>
    <row r="211" spans="2:68" x14ac:dyDescent="0.3">
      <c r="B211" s="108" t="str">
        <f t="shared" si="127"/>
        <v/>
      </c>
      <c r="C211" s="108" t="str">
        <f t="shared" si="113"/>
        <v/>
      </c>
      <c r="D211" s="3"/>
      <c r="E211" s="3"/>
      <c r="F211" s="3"/>
      <c r="G211" s="20">
        <f>IFERROR(INDEX('Input - Iceland'!F$2:F$200,MATCH('Calculations - Iceland'!$C211,'Input - Iceland'!$B$2:$B$200,0)),"")</f>
        <v>0</v>
      </c>
      <c r="H211" s="20">
        <f>IFERROR(INDEX('Input - Iceland'!G$2:G$200,MATCH('Calculations - Iceland'!$C211,'Input - Iceland'!$B$2:$B$200,0)),"")</f>
        <v>0</v>
      </c>
      <c r="I211" s="21">
        <f>IFERROR(INDEX('Input - Iceland'!H$2:H$200,MATCH('Calculations - Iceland'!$C211,'Input - Iceland'!$B$2:$B$200,0)),"")</f>
        <v>0</v>
      </c>
      <c r="J211" s="21">
        <f>IFERROR(INDEX('Input - Iceland'!I$2:I$200,MATCH('Calculations - Iceland'!$C211,'Input - Iceland'!$B$2:$B$200,0)),"")</f>
        <v>0</v>
      </c>
      <c r="K211" s="20">
        <f>IFERROR(INDEX('Input - Iceland'!J$2:J$200,MATCH('Calculations - Iceland'!$C211,'Input - Iceland'!$B$2:$B$200,0)),"")</f>
        <v>0</v>
      </c>
      <c r="L211" s="20">
        <f>IFERROR(INDEX('Input - Iceland'!K$2:K$200,MATCH('Calculations - Iceland'!$C211,'Input - Iceland'!$B$2:$B$200,0)),"")</f>
        <v>0</v>
      </c>
      <c r="M211" s="21" t="str">
        <f t="shared" si="128"/>
        <v/>
      </c>
      <c r="N211" s="21" t="str">
        <f t="shared" si="114"/>
        <v/>
      </c>
      <c r="O211" s="21">
        <f t="shared" si="129"/>
        <v>0</v>
      </c>
      <c r="P211" s="9">
        <f t="shared" si="143"/>
        <v>0</v>
      </c>
      <c r="Q211" s="9">
        <f t="shared" si="144"/>
        <v>0</v>
      </c>
      <c r="R211" s="22" t="str">
        <f>IFERROR(INDEX(Iceland!$Q$11:$Q$165,MATCH('Calculations - Iceland'!$C211,Iceland!$M$11:$M$165,0)),"")</f>
        <v/>
      </c>
      <c r="S211" s="22" t="str">
        <f>IFERROR(INDEX(Iceland!$R$11:$R$165,MATCH('Calculations - Iceland'!$C211,Iceland!$M$11:$M$165,0)),"")</f>
        <v/>
      </c>
      <c r="T211" s="16" t="e">
        <f t="shared" si="115"/>
        <v>#VALUE!</v>
      </c>
      <c r="U211" s="16" t="e">
        <f t="shared" si="130"/>
        <v>#VALUE!</v>
      </c>
      <c r="V211" s="16" t="e">
        <f t="shared" si="131"/>
        <v>#VALUE!</v>
      </c>
      <c r="W211" s="10" t="str">
        <f t="shared" si="116"/>
        <v>-</v>
      </c>
      <c r="X211" s="10" t="str">
        <f t="shared" si="117"/>
        <v>-</v>
      </c>
      <c r="Y211" s="13" t="str">
        <f t="shared" si="132"/>
        <v>-</v>
      </c>
      <c r="Z211" s="9" t="str">
        <f t="shared" si="118"/>
        <v>-</v>
      </c>
      <c r="AA211" s="16" t="str">
        <f t="shared" si="133"/>
        <v>-</v>
      </c>
      <c r="AB211" s="16" t="str">
        <f t="shared" si="119"/>
        <v>-</v>
      </c>
      <c r="AC211" s="16" t="str">
        <f t="shared" si="120"/>
        <v>-</v>
      </c>
      <c r="AD211" s="16" t="str">
        <f t="shared" si="134"/>
        <v>-</v>
      </c>
      <c r="AE211" s="16"/>
      <c r="AF211" s="31" t="str">
        <f>IFERROR(INDEX(Iceland!$P$11:$P$165,MATCH('Calculations - Iceland'!C211,Iceland!$M$11:$M$165,0)),"")</f>
        <v/>
      </c>
      <c r="AG211" s="23" t="str">
        <f t="shared" si="135"/>
        <v/>
      </c>
      <c r="AH211" s="23" t="str">
        <f t="shared" si="135"/>
        <v/>
      </c>
      <c r="AI211" s="9" t="str">
        <f t="shared" si="121"/>
        <v/>
      </c>
      <c r="AJ211" s="4" t="str">
        <f t="shared" si="122"/>
        <v/>
      </c>
      <c r="AK211" s="4"/>
      <c r="AL211" s="4"/>
      <c r="AM211" s="4"/>
      <c r="AN211" s="4"/>
      <c r="AO211" s="4"/>
      <c r="AP211" s="20" t="str">
        <f t="shared" si="123"/>
        <v>-</v>
      </c>
      <c r="AQ211" s="13" t="str">
        <f t="shared" si="136"/>
        <v>-</v>
      </c>
      <c r="AR211" s="13" t="str">
        <f t="shared" si="137"/>
        <v>-</v>
      </c>
      <c r="AS211" s="13" t="str">
        <f t="shared" si="124"/>
        <v>-</v>
      </c>
      <c r="AT211" s="16" t="str">
        <f t="shared" si="138"/>
        <v>-</v>
      </c>
      <c r="AU211" s="16" t="str">
        <f t="shared" si="125"/>
        <v>-</v>
      </c>
      <c r="AV211" s="16" t="str">
        <f t="shared" si="126"/>
        <v>-</v>
      </c>
      <c r="AW211" s="16" t="str">
        <f t="shared" si="139"/>
        <v>-</v>
      </c>
      <c r="AX211" s="13" t="str">
        <f t="shared" si="140"/>
        <v>-</v>
      </c>
      <c r="AY211" s="10" t="str">
        <f t="shared" si="141"/>
        <v>-</v>
      </c>
      <c r="AZ211" s="9" t="str">
        <f t="shared" si="142"/>
        <v>-</v>
      </c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</row>
    <row r="212" spans="2:68" x14ac:dyDescent="0.3">
      <c r="B212" s="108" t="str">
        <f t="shared" si="127"/>
        <v/>
      </c>
      <c r="C212" s="108" t="str">
        <f t="shared" si="113"/>
        <v/>
      </c>
      <c r="D212" s="3"/>
      <c r="E212" s="3"/>
      <c r="F212" s="3"/>
      <c r="G212" s="20">
        <f>IFERROR(INDEX('Input - Iceland'!F$2:F$200,MATCH('Calculations - Iceland'!$C212,'Input - Iceland'!$B$2:$B$200,0)),"")</f>
        <v>0</v>
      </c>
      <c r="H212" s="20">
        <f>IFERROR(INDEX('Input - Iceland'!G$2:G$200,MATCH('Calculations - Iceland'!$C212,'Input - Iceland'!$B$2:$B$200,0)),"")</f>
        <v>0</v>
      </c>
      <c r="I212" s="21">
        <f>IFERROR(INDEX('Input - Iceland'!H$2:H$200,MATCH('Calculations - Iceland'!$C212,'Input - Iceland'!$B$2:$B$200,0)),"")</f>
        <v>0</v>
      </c>
      <c r="J212" s="21">
        <f>IFERROR(INDEX('Input - Iceland'!I$2:I$200,MATCH('Calculations - Iceland'!$C212,'Input - Iceland'!$B$2:$B$200,0)),"")</f>
        <v>0</v>
      </c>
      <c r="K212" s="20">
        <f>IFERROR(INDEX('Input - Iceland'!J$2:J$200,MATCH('Calculations - Iceland'!$C212,'Input - Iceland'!$B$2:$B$200,0)),"")</f>
        <v>0</v>
      </c>
      <c r="L212" s="20">
        <f>IFERROR(INDEX('Input - Iceland'!K$2:K$200,MATCH('Calculations - Iceland'!$C212,'Input - Iceland'!$B$2:$B$200,0)),"")</f>
        <v>0</v>
      </c>
      <c r="M212" s="21" t="str">
        <f t="shared" si="128"/>
        <v/>
      </c>
      <c r="N212" s="21" t="str">
        <f t="shared" si="114"/>
        <v/>
      </c>
      <c r="O212" s="21">
        <f t="shared" si="129"/>
        <v>0</v>
      </c>
      <c r="P212" s="9">
        <f t="shared" si="143"/>
        <v>0</v>
      </c>
      <c r="Q212" s="9">
        <f t="shared" si="144"/>
        <v>0</v>
      </c>
      <c r="R212" s="22" t="str">
        <f>IFERROR(INDEX(Iceland!$Q$11:$Q$165,MATCH('Calculations - Iceland'!$C212,Iceland!$M$11:$M$165,0)),"")</f>
        <v/>
      </c>
      <c r="S212" s="22" t="str">
        <f>IFERROR(INDEX(Iceland!$R$11:$R$165,MATCH('Calculations - Iceland'!$C212,Iceland!$M$11:$M$165,0)),"")</f>
        <v/>
      </c>
      <c r="T212" s="16" t="e">
        <f t="shared" si="115"/>
        <v>#VALUE!</v>
      </c>
      <c r="U212" s="16" t="e">
        <f t="shared" si="130"/>
        <v>#VALUE!</v>
      </c>
      <c r="V212" s="16" t="e">
        <f t="shared" si="131"/>
        <v>#VALUE!</v>
      </c>
      <c r="W212" s="10" t="str">
        <f t="shared" si="116"/>
        <v>-</v>
      </c>
      <c r="X212" s="10" t="str">
        <f t="shared" si="117"/>
        <v>-</v>
      </c>
      <c r="Y212" s="13" t="str">
        <f t="shared" si="132"/>
        <v>-</v>
      </c>
      <c r="Z212" s="9" t="str">
        <f t="shared" si="118"/>
        <v>-</v>
      </c>
      <c r="AA212" s="16" t="str">
        <f t="shared" si="133"/>
        <v>-</v>
      </c>
      <c r="AB212" s="16" t="str">
        <f t="shared" si="119"/>
        <v>-</v>
      </c>
      <c r="AC212" s="16" t="str">
        <f t="shared" si="120"/>
        <v>-</v>
      </c>
      <c r="AD212" s="16" t="str">
        <f t="shared" si="134"/>
        <v>-</v>
      </c>
      <c r="AE212" s="16"/>
      <c r="AF212" s="31" t="str">
        <f>IFERROR(INDEX(Iceland!$P$11:$P$165,MATCH('Calculations - Iceland'!C212,Iceland!$M$11:$M$165,0)),"")</f>
        <v/>
      </c>
      <c r="AG212" s="23" t="str">
        <f t="shared" si="135"/>
        <v/>
      </c>
      <c r="AH212" s="23" t="str">
        <f t="shared" si="135"/>
        <v/>
      </c>
      <c r="AI212" s="9" t="str">
        <f t="shared" si="121"/>
        <v/>
      </c>
      <c r="AJ212" s="4" t="str">
        <f t="shared" si="122"/>
        <v/>
      </c>
      <c r="AK212" s="4"/>
      <c r="AL212" s="4"/>
      <c r="AM212" s="4"/>
      <c r="AN212" s="4"/>
      <c r="AO212" s="4"/>
      <c r="AP212" s="20" t="str">
        <f t="shared" si="123"/>
        <v>-</v>
      </c>
      <c r="AQ212" s="13" t="str">
        <f t="shared" si="136"/>
        <v>-</v>
      </c>
      <c r="AR212" s="13" t="str">
        <f t="shared" si="137"/>
        <v>-</v>
      </c>
      <c r="AS212" s="13" t="str">
        <f t="shared" si="124"/>
        <v>-</v>
      </c>
      <c r="AT212" s="16" t="str">
        <f t="shared" si="138"/>
        <v>-</v>
      </c>
      <c r="AU212" s="16" t="str">
        <f t="shared" si="125"/>
        <v>-</v>
      </c>
      <c r="AV212" s="16" t="str">
        <f t="shared" si="126"/>
        <v>-</v>
      </c>
      <c r="AW212" s="16" t="str">
        <f t="shared" si="139"/>
        <v>-</v>
      </c>
      <c r="AX212" s="13" t="str">
        <f t="shared" si="140"/>
        <v>-</v>
      </c>
      <c r="AY212" s="10" t="str">
        <f t="shared" si="141"/>
        <v>-</v>
      </c>
      <c r="AZ212" s="9" t="str">
        <f t="shared" si="142"/>
        <v>-</v>
      </c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</row>
    <row r="213" spans="2:68" x14ac:dyDescent="0.3">
      <c r="B213" s="108" t="str">
        <f t="shared" si="127"/>
        <v/>
      </c>
      <c r="C213" s="108" t="str">
        <f t="shared" si="113"/>
        <v/>
      </c>
      <c r="D213" s="3"/>
      <c r="E213" s="3"/>
      <c r="F213" s="3"/>
      <c r="G213" s="20">
        <f>IFERROR(INDEX('Input - Iceland'!F$2:F$200,MATCH('Calculations - Iceland'!$C213,'Input - Iceland'!$B$2:$B$200,0)),"")</f>
        <v>0</v>
      </c>
      <c r="H213" s="20">
        <f>IFERROR(INDEX('Input - Iceland'!G$2:G$200,MATCH('Calculations - Iceland'!$C213,'Input - Iceland'!$B$2:$B$200,0)),"")</f>
        <v>0</v>
      </c>
      <c r="I213" s="21">
        <f>IFERROR(INDEX('Input - Iceland'!H$2:H$200,MATCH('Calculations - Iceland'!$C213,'Input - Iceland'!$B$2:$B$200,0)),"")</f>
        <v>0</v>
      </c>
      <c r="J213" s="21">
        <f>IFERROR(INDEX('Input - Iceland'!I$2:I$200,MATCH('Calculations - Iceland'!$C213,'Input - Iceland'!$B$2:$B$200,0)),"")</f>
        <v>0</v>
      </c>
      <c r="K213" s="20">
        <f>IFERROR(INDEX('Input - Iceland'!J$2:J$200,MATCH('Calculations - Iceland'!$C213,'Input - Iceland'!$B$2:$B$200,0)),"")</f>
        <v>0</v>
      </c>
      <c r="L213" s="20">
        <f>IFERROR(INDEX('Input - Iceland'!K$2:K$200,MATCH('Calculations - Iceland'!$C213,'Input - Iceland'!$B$2:$B$200,0)),"")</f>
        <v>0</v>
      </c>
      <c r="M213" s="21" t="str">
        <f t="shared" si="128"/>
        <v/>
      </c>
      <c r="N213" s="21" t="str">
        <f t="shared" si="114"/>
        <v/>
      </c>
      <c r="O213" s="21">
        <f t="shared" si="129"/>
        <v>0</v>
      </c>
      <c r="P213" s="9">
        <f t="shared" si="143"/>
        <v>0</v>
      </c>
      <c r="Q213" s="9">
        <f t="shared" si="144"/>
        <v>0</v>
      </c>
      <c r="R213" s="22" t="str">
        <f>IFERROR(INDEX(Iceland!$Q$11:$Q$165,MATCH('Calculations - Iceland'!$C213,Iceland!$M$11:$M$165,0)),"")</f>
        <v/>
      </c>
      <c r="S213" s="22" t="str">
        <f>IFERROR(INDEX(Iceland!$R$11:$R$165,MATCH('Calculations - Iceland'!$C213,Iceland!$M$11:$M$165,0)),"")</f>
        <v/>
      </c>
      <c r="T213" s="16" t="e">
        <f t="shared" si="115"/>
        <v>#VALUE!</v>
      </c>
      <c r="U213" s="16" t="e">
        <f t="shared" si="130"/>
        <v>#VALUE!</v>
      </c>
      <c r="V213" s="16" t="e">
        <f t="shared" si="131"/>
        <v>#VALUE!</v>
      </c>
      <c r="W213" s="10" t="str">
        <f t="shared" si="116"/>
        <v>-</v>
      </c>
      <c r="X213" s="10" t="str">
        <f t="shared" si="117"/>
        <v>-</v>
      </c>
      <c r="Y213" s="13" t="str">
        <f t="shared" si="132"/>
        <v>-</v>
      </c>
      <c r="Z213" s="9" t="str">
        <f t="shared" si="118"/>
        <v>-</v>
      </c>
      <c r="AA213" s="16" t="str">
        <f t="shared" si="133"/>
        <v>-</v>
      </c>
      <c r="AB213" s="16" t="str">
        <f t="shared" si="119"/>
        <v>-</v>
      </c>
      <c r="AC213" s="16" t="str">
        <f t="shared" si="120"/>
        <v>-</v>
      </c>
      <c r="AD213" s="16" t="str">
        <f t="shared" si="134"/>
        <v>-</v>
      </c>
      <c r="AE213" s="16"/>
      <c r="AF213" s="31" t="str">
        <f>IFERROR(INDEX(Iceland!$P$11:$P$165,MATCH('Calculations - Iceland'!C213,Iceland!$M$11:$M$165,0)),"")</f>
        <v/>
      </c>
      <c r="AG213" s="23" t="str">
        <f t="shared" si="135"/>
        <v/>
      </c>
      <c r="AH213" s="23" t="str">
        <f t="shared" si="135"/>
        <v/>
      </c>
      <c r="AI213" s="9" t="str">
        <f t="shared" si="121"/>
        <v/>
      </c>
      <c r="AJ213" s="4" t="str">
        <f t="shared" si="122"/>
        <v/>
      </c>
      <c r="AK213" s="4"/>
      <c r="AL213" s="4"/>
      <c r="AM213" s="4"/>
      <c r="AN213" s="4"/>
      <c r="AO213" s="4"/>
      <c r="AP213" s="20" t="str">
        <f t="shared" si="123"/>
        <v>-</v>
      </c>
      <c r="AQ213" s="13" t="str">
        <f t="shared" si="136"/>
        <v>-</v>
      </c>
      <c r="AR213" s="13" t="str">
        <f t="shared" si="137"/>
        <v>-</v>
      </c>
      <c r="AS213" s="13" t="str">
        <f t="shared" si="124"/>
        <v>-</v>
      </c>
      <c r="AT213" s="16" t="str">
        <f t="shared" si="138"/>
        <v>-</v>
      </c>
      <c r="AU213" s="16" t="str">
        <f t="shared" si="125"/>
        <v>-</v>
      </c>
      <c r="AV213" s="16" t="str">
        <f t="shared" si="126"/>
        <v>-</v>
      </c>
      <c r="AW213" s="16" t="str">
        <f t="shared" si="139"/>
        <v>-</v>
      </c>
      <c r="AX213" s="13" t="str">
        <f t="shared" si="140"/>
        <v>-</v>
      </c>
      <c r="AY213" s="10" t="str">
        <f t="shared" si="141"/>
        <v>-</v>
      </c>
      <c r="AZ213" s="9" t="str">
        <f t="shared" si="142"/>
        <v>-</v>
      </c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</row>
    <row r="214" spans="2:68" x14ac:dyDescent="0.3">
      <c r="B214" s="108" t="str">
        <f t="shared" si="127"/>
        <v/>
      </c>
      <c r="C214" s="108" t="str">
        <f t="shared" si="113"/>
        <v/>
      </c>
      <c r="D214" s="3"/>
      <c r="E214" s="3"/>
      <c r="F214" s="3"/>
      <c r="G214" s="20">
        <f>IFERROR(INDEX('Input - Iceland'!F$2:F$200,MATCH('Calculations - Iceland'!$C214,'Input - Iceland'!$B$2:$B$200,0)),"")</f>
        <v>0</v>
      </c>
      <c r="H214" s="20">
        <f>IFERROR(INDEX('Input - Iceland'!G$2:G$200,MATCH('Calculations - Iceland'!$C214,'Input - Iceland'!$B$2:$B$200,0)),"")</f>
        <v>0</v>
      </c>
      <c r="I214" s="21">
        <f>IFERROR(INDEX('Input - Iceland'!H$2:H$200,MATCH('Calculations - Iceland'!$C214,'Input - Iceland'!$B$2:$B$200,0)),"")</f>
        <v>0</v>
      </c>
      <c r="J214" s="21">
        <f>IFERROR(INDEX('Input - Iceland'!I$2:I$200,MATCH('Calculations - Iceland'!$C214,'Input - Iceland'!$B$2:$B$200,0)),"")</f>
        <v>0</v>
      </c>
      <c r="K214" s="20">
        <f>IFERROR(INDEX('Input - Iceland'!J$2:J$200,MATCH('Calculations - Iceland'!$C214,'Input - Iceland'!$B$2:$B$200,0)),"")</f>
        <v>0</v>
      </c>
      <c r="L214" s="20">
        <f>IFERROR(INDEX('Input - Iceland'!K$2:K$200,MATCH('Calculations - Iceland'!$C214,'Input - Iceland'!$B$2:$B$200,0)),"")</f>
        <v>0</v>
      </c>
      <c r="M214" s="21" t="str">
        <f t="shared" si="128"/>
        <v/>
      </c>
      <c r="N214" s="21" t="str">
        <f t="shared" si="114"/>
        <v/>
      </c>
      <c r="O214" s="21">
        <f t="shared" si="129"/>
        <v>0</v>
      </c>
      <c r="P214" s="9">
        <f t="shared" si="143"/>
        <v>0</v>
      </c>
      <c r="Q214" s="9">
        <f t="shared" si="144"/>
        <v>0</v>
      </c>
      <c r="R214" s="22" t="str">
        <f>IFERROR(INDEX(Iceland!$Q$11:$Q$165,MATCH('Calculations - Iceland'!$C214,Iceland!$M$11:$M$165,0)),"")</f>
        <v/>
      </c>
      <c r="S214" s="22" t="str">
        <f>IFERROR(INDEX(Iceland!$R$11:$R$165,MATCH('Calculations - Iceland'!$C214,Iceland!$M$11:$M$165,0)),"")</f>
        <v/>
      </c>
      <c r="T214" s="16" t="e">
        <f t="shared" si="115"/>
        <v>#VALUE!</v>
      </c>
      <c r="U214" s="16" t="e">
        <f t="shared" si="130"/>
        <v>#VALUE!</v>
      </c>
      <c r="V214" s="16" t="e">
        <f t="shared" si="131"/>
        <v>#VALUE!</v>
      </c>
      <c r="W214" s="10" t="str">
        <f t="shared" si="116"/>
        <v>-</v>
      </c>
      <c r="X214" s="10" t="str">
        <f t="shared" si="117"/>
        <v>-</v>
      </c>
      <c r="Y214" s="13" t="str">
        <f t="shared" si="132"/>
        <v>-</v>
      </c>
      <c r="Z214" s="9" t="str">
        <f t="shared" si="118"/>
        <v>-</v>
      </c>
      <c r="AA214" s="16" t="str">
        <f t="shared" si="133"/>
        <v>-</v>
      </c>
      <c r="AB214" s="16" t="str">
        <f t="shared" si="119"/>
        <v>-</v>
      </c>
      <c r="AC214" s="16" t="str">
        <f t="shared" si="120"/>
        <v>-</v>
      </c>
      <c r="AD214" s="16" t="str">
        <f t="shared" si="134"/>
        <v>-</v>
      </c>
      <c r="AE214" s="16"/>
      <c r="AF214" s="31" t="str">
        <f>IFERROR(INDEX(Iceland!$P$11:$P$165,MATCH('Calculations - Iceland'!C214,Iceland!$M$11:$M$165,0)),"")</f>
        <v/>
      </c>
      <c r="AG214" s="23" t="str">
        <f t="shared" si="135"/>
        <v/>
      </c>
      <c r="AH214" s="23" t="str">
        <f t="shared" si="135"/>
        <v/>
      </c>
      <c r="AI214" s="9" t="str">
        <f t="shared" si="121"/>
        <v/>
      </c>
      <c r="AJ214" s="4" t="str">
        <f t="shared" si="122"/>
        <v/>
      </c>
      <c r="AK214" s="4"/>
      <c r="AL214" s="4"/>
      <c r="AM214" s="4"/>
      <c r="AN214" s="4"/>
      <c r="AO214" s="4"/>
      <c r="AP214" s="20" t="str">
        <f t="shared" si="123"/>
        <v>-</v>
      </c>
      <c r="AQ214" s="13" t="str">
        <f t="shared" si="136"/>
        <v>-</v>
      </c>
      <c r="AR214" s="13" t="str">
        <f t="shared" si="137"/>
        <v>-</v>
      </c>
      <c r="AS214" s="13" t="str">
        <f t="shared" si="124"/>
        <v>-</v>
      </c>
      <c r="AT214" s="16" t="str">
        <f t="shared" si="138"/>
        <v>-</v>
      </c>
      <c r="AU214" s="16" t="str">
        <f t="shared" si="125"/>
        <v>-</v>
      </c>
      <c r="AV214" s="16" t="str">
        <f t="shared" si="126"/>
        <v>-</v>
      </c>
      <c r="AW214" s="16" t="str">
        <f t="shared" si="139"/>
        <v>-</v>
      </c>
      <c r="AX214" s="13" t="str">
        <f t="shared" si="140"/>
        <v>-</v>
      </c>
      <c r="AY214" s="10" t="str">
        <f t="shared" si="141"/>
        <v>-</v>
      </c>
      <c r="AZ214" s="9" t="str">
        <f t="shared" si="142"/>
        <v>-</v>
      </c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</row>
    <row r="215" spans="2:68" x14ac:dyDescent="0.3">
      <c r="B215" s="108" t="str">
        <f t="shared" si="127"/>
        <v/>
      </c>
      <c r="C215" s="108" t="str">
        <f t="shared" si="113"/>
        <v/>
      </c>
      <c r="D215" s="3"/>
      <c r="E215" s="3"/>
      <c r="F215" s="3"/>
      <c r="G215" s="20">
        <f>IFERROR(INDEX('Input - Iceland'!F$2:F$200,MATCH('Calculations - Iceland'!$C215,'Input - Iceland'!$B$2:$B$200,0)),"")</f>
        <v>0</v>
      </c>
      <c r="H215" s="20">
        <f>IFERROR(INDEX('Input - Iceland'!G$2:G$200,MATCH('Calculations - Iceland'!$C215,'Input - Iceland'!$B$2:$B$200,0)),"")</f>
        <v>0</v>
      </c>
      <c r="I215" s="21">
        <f>IFERROR(INDEX('Input - Iceland'!H$2:H$200,MATCH('Calculations - Iceland'!$C215,'Input - Iceland'!$B$2:$B$200,0)),"")</f>
        <v>0</v>
      </c>
      <c r="J215" s="21">
        <f>IFERROR(INDEX('Input - Iceland'!I$2:I$200,MATCH('Calculations - Iceland'!$C215,'Input - Iceland'!$B$2:$B$200,0)),"")</f>
        <v>0</v>
      </c>
      <c r="K215" s="20">
        <f>IFERROR(INDEX('Input - Iceland'!J$2:J$200,MATCH('Calculations - Iceland'!$C215,'Input - Iceland'!$B$2:$B$200,0)),"")</f>
        <v>0</v>
      </c>
      <c r="L215" s="20">
        <f>IFERROR(INDEX('Input - Iceland'!K$2:K$200,MATCH('Calculations - Iceland'!$C215,'Input - Iceland'!$B$2:$B$200,0)),"")</f>
        <v>0</v>
      </c>
      <c r="M215" s="21" t="str">
        <f t="shared" si="128"/>
        <v/>
      </c>
      <c r="N215" s="21" t="str">
        <f t="shared" si="114"/>
        <v/>
      </c>
      <c r="O215" s="21">
        <f t="shared" si="129"/>
        <v>0</v>
      </c>
      <c r="P215" s="9">
        <f t="shared" si="143"/>
        <v>0</v>
      </c>
      <c r="Q215" s="9">
        <f t="shared" si="144"/>
        <v>0</v>
      </c>
      <c r="R215" s="22" t="str">
        <f>IFERROR(INDEX(Iceland!$Q$11:$Q$165,MATCH('Calculations - Iceland'!$C215,Iceland!$M$11:$M$165,0)),"")</f>
        <v/>
      </c>
      <c r="S215" s="22" t="str">
        <f>IFERROR(INDEX(Iceland!$R$11:$R$165,MATCH('Calculations - Iceland'!$C215,Iceland!$M$11:$M$165,0)),"")</f>
        <v/>
      </c>
      <c r="T215" s="16" t="e">
        <f t="shared" si="115"/>
        <v>#VALUE!</v>
      </c>
      <c r="U215" s="16" t="e">
        <f t="shared" si="130"/>
        <v>#VALUE!</v>
      </c>
      <c r="V215" s="16" t="e">
        <f t="shared" si="131"/>
        <v>#VALUE!</v>
      </c>
      <c r="W215" s="10" t="str">
        <f t="shared" si="116"/>
        <v>-</v>
      </c>
      <c r="X215" s="10" t="str">
        <f t="shared" si="117"/>
        <v>-</v>
      </c>
      <c r="Y215" s="13" t="str">
        <f t="shared" si="132"/>
        <v>-</v>
      </c>
      <c r="Z215" s="9" t="str">
        <f t="shared" si="118"/>
        <v>-</v>
      </c>
      <c r="AA215" s="16" t="str">
        <f t="shared" si="133"/>
        <v>-</v>
      </c>
      <c r="AB215" s="16" t="str">
        <f t="shared" si="119"/>
        <v>-</v>
      </c>
      <c r="AC215" s="16" t="str">
        <f t="shared" si="120"/>
        <v>-</v>
      </c>
      <c r="AD215" s="16" t="str">
        <f t="shared" si="134"/>
        <v>-</v>
      </c>
      <c r="AE215" s="16"/>
      <c r="AF215" s="31" t="str">
        <f>IFERROR(INDEX(Iceland!$P$11:$P$165,MATCH('Calculations - Iceland'!C215,Iceland!$M$11:$M$165,0)),"")</f>
        <v/>
      </c>
      <c r="AG215" s="23" t="str">
        <f t="shared" si="135"/>
        <v/>
      </c>
      <c r="AH215" s="23" t="str">
        <f t="shared" si="135"/>
        <v/>
      </c>
      <c r="AI215" s="9" t="str">
        <f t="shared" si="121"/>
        <v/>
      </c>
      <c r="AJ215" s="4" t="str">
        <f t="shared" si="122"/>
        <v/>
      </c>
      <c r="AK215" s="4"/>
      <c r="AL215" s="4"/>
      <c r="AM215" s="4"/>
      <c r="AN215" s="4"/>
      <c r="AO215" s="4"/>
      <c r="AP215" s="20" t="str">
        <f t="shared" si="123"/>
        <v>-</v>
      </c>
      <c r="AQ215" s="13" t="str">
        <f t="shared" si="136"/>
        <v>-</v>
      </c>
      <c r="AR215" s="13" t="str">
        <f t="shared" si="137"/>
        <v>-</v>
      </c>
      <c r="AS215" s="13" t="str">
        <f t="shared" si="124"/>
        <v>-</v>
      </c>
      <c r="AT215" s="16" t="str">
        <f t="shared" si="138"/>
        <v>-</v>
      </c>
      <c r="AU215" s="16" t="str">
        <f t="shared" si="125"/>
        <v>-</v>
      </c>
      <c r="AV215" s="16" t="str">
        <f t="shared" si="126"/>
        <v>-</v>
      </c>
      <c r="AW215" s="16" t="str">
        <f t="shared" si="139"/>
        <v>-</v>
      </c>
      <c r="AX215" s="13" t="str">
        <f t="shared" si="140"/>
        <v>-</v>
      </c>
      <c r="AY215" s="10" t="str">
        <f t="shared" si="141"/>
        <v>-</v>
      </c>
      <c r="AZ215" s="9" t="str">
        <f t="shared" si="142"/>
        <v>-</v>
      </c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</row>
    <row r="216" spans="2:68" x14ac:dyDescent="0.3">
      <c r="B216" s="108" t="str">
        <f t="shared" si="127"/>
        <v/>
      </c>
      <c r="C216" s="108" t="str">
        <f t="shared" si="113"/>
        <v/>
      </c>
      <c r="D216" s="3"/>
      <c r="E216" s="3"/>
      <c r="F216" s="3"/>
      <c r="G216" s="20">
        <f>IFERROR(INDEX('Input - Iceland'!F$2:F$200,MATCH('Calculations - Iceland'!$C216,'Input - Iceland'!$B$2:$B$200,0)),"")</f>
        <v>0</v>
      </c>
      <c r="H216" s="20">
        <f>IFERROR(INDEX('Input - Iceland'!G$2:G$200,MATCH('Calculations - Iceland'!$C216,'Input - Iceland'!$B$2:$B$200,0)),"")</f>
        <v>0</v>
      </c>
      <c r="I216" s="21">
        <f>IFERROR(INDEX('Input - Iceland'!H$2:H$200,MATCH('Calculations - Iceland'!$C216,'Input - Iceland'!$B$2:$B$200,0)),"")</f>
        <v>0</v>
      </c>
      <c r="J216" s="21">
        <f>IFERROR(INDEX('Input - Iceland'!I$2:I$200,MATCH('Calculations - Iceland'!$C216,'Input - Iceland'!$B$2:$B$200,0)),"")</f>
        <v>0</v>
      </c>
      <c r="K216" s="20">
        <f>IFERROR(INDEX('Input - Iceland'!J$2:J$200,MATCH('Calculations - Iceland'!$C216,'Input - Iceland'!$B$2:$B$200,0)),"")</f>
        <v>0</v>
      </c>
      <c r="L216" s="20">
        <f>IFERROR(INDEX('Input - Iceland'!K$2:K$200,MATCH('Calculations - Iceland'!$C216,'Input - Iceland'!$B$2:$B$200,0)),"")</f>
        <v>0</v>
      </c>
      <c r="M216" s="21" t="str">
        <f t="shared" si="128"/>
        <v/>
      </c>
      <c r="N216" s="21" t="str">
        <f t="shared" si="114"/>
        <v/>
      </c>
      <c r="O216" s="21">
        <f t="shared" si="129"/>
        <v>0</v>
      </c>
      <c r="P216" s="9">
        <f t="shared" si="143"/>
        <v>0</v>
      </c>
      <c r="Q216" s="9">
        <f t="shared" si="144"/>
        <v>0</v>
      </c>
      <c r="R216" s="22" t="str">
        <f>IFERROR(INDEX(Iceland!$Q$11:$Q$165,MATCH('Calculations - Iceland'!$C216,Iceland!$M$11:$M$165,0)),"")</f>
        <v/>
      </c>
      <c r="S216" s="22" t="str">
        <f>IFERROR(INDEX(Iceland!$R$11:$R$165,MATCH('Calculations - Iceland'!$C216,Iceland!$M$11:$M$165,0)),"")</f>
        <v/>
      </c>
      <c r="T216" s="16" t="e">
        <f t="shared" si="115"/>
        <v>#VALUE!</v>
      </c>
      <c r="U216" s="16" t="e">
        <f t="shared" si="130"/>
        <v>#VALUE!</v>
      </c>
      <c r="V216" s="16" t="e">
        <f t="shared" si="131"/>
        <v>#VALUE!</v>
      </c>
      <c r="W216" s="10" t="str">
        <f t="shared" si="116"/>
        <v>-</v>
      </c>
      <c r="X216" s="10" t="str">
        <f t="shared" si="117"/>
        <v>-</v>
      </c>
      <c r="Y216" s="13" t="str">
        <f t="shared" si="132"/>
        <v>-</v>
      </c>
      <c r="Z216" s="9" t="str">
        <f t="shared" si="118"/>
        <v>-</v>
      </c>
      <c r="AA216" s="16" t="str">
        <f t="shared" si="133"/>
        <v>-</v>
      </c>
      <c r="AB216" s="16" t="str">
        <f t="shared" si="119"/>
        <v>-</v>
      </c>
      <c r="AC216" s="16" t="str">
        <f t="shared" si="120"/>
        <v>-</v>
      </c>
      <c r="AD216" s="16" t="str">
        <f t="shared" si="134"/>
        <v>-</v>
      </c>
      <c r="AE216" s="16"/>
      <c r="AF216" s="31" t="str">
        <f>IFERROR(INDEX(Iceland!$P$11:$P$165,MATCH('Calculations - Iceland'!C216,Iceland!$M$11:$M$165,0)),"")</f>
        <v/>
      </c>
      <c r="AG216" s="23" t="str">
        <f t="shared" si="135"/>
        <v/>
      </c>
      <c r="AH216" s="23" t="str">
        <f t="shared" si="135"/>
        <v/>
      </c>
      <c r="AI216" s="9" t="str">
        <f t="shared" si="121"/>
        <v/>
      </c>
      <c r="AJ216" s="4" t="str">
        <f t="shared" si="122"/>
        <v/>
      </c>
      <c r="AK216" s="4"/>
      <c r="AL216" s="4"/>
      <c r="AM216" s="4"/>
      <c r="AN216" s="4"/>
      <c r="AO216" s="4"/>
      <c r="AP216" s="20" t="str">
        <f t="shared" si="123"/>
        <v>-</v>
      </c>
      <c r="AQ216" s="13" t="str">
        <f t="shared" si="136"/>
        <v>-</v>
      </c>
      <c r="AR216" s="13" t="str">
        <f t="shared" si="137"/>
        <v>-</v>
      </c>
      <c r="AS216" s="13" t="str">
        <f t="shared" si="124"/>
        <v>-</v>
      </c>
      <c r="AT216" s="16" t="str">
        <f t="shared" si="138"/>
        <v>-</v>
      </c>
      <c r="AU216" s="16" t="str">
        <f t="shared" si="125"/>
        <v>-</v>
      </c>
      <c r="AV216" s="16" t="str">
        <f t="shared" si="126"/>
        <v>-</v>
      </c>
      <c r="AW216" s="16" t="str">
        <f t="shared" si="139"/>
        <v>-</v>
      </c>
      <c r="AX216" s="13" t="str">
        <f t="shared" si="140"/>
        <v>-</v>
      </c>
      <c r="AY216" s="10" t="str">
        <f t="shared" si="141"/>
        <v>-</v>
      </c>
      <c r="AZ216" s="9" t="str">
        <f t="shared" si="142"/>
        <v>-</v>
      </c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</row>
    <row r="217" spans="2:68" x14ac:dyDescent="0.3">
      <c r="B217" s="108" t="str">
        <f t="shared" si="127"/>
        <v/>
      </c>
      <c r="C217" s="108" t="str">
        <f t="shared" si="113"/>
        <v/>
      </c>
      <c r="D217" s="3"/>
      <c r="E217" s="3"/>
      <c r="F217" s="3"/>
      <c r="G217" s="20">
        <f>IFERROR(INDEX('Input - Iceland'!F$2:F$200,MATCH('Calculations - Iceland'!$C217,'Input - Iceland'!$B$2:$B$200,0)),"")</f>
        <v>0</v>
      </c>
      <c r="H217" s="20">
        <f>IFERROR(INDEX('Input - Iceland'!G$2:G$200,MATCH('Calculations - Iceland'!$C217,'Input - Iceland'!$B$2:$B$200,0)),"")</f>
        <v>0</v>
      </c>
      <c r="I217" s="21">
        <f>IFERROR(INDEX('Input - Iceland'!H$2:H$200,MATCH('Calculations - Iceland'!$C217,'Input - Iceland'!$B$2:$B$200,0)),"")</f>
        <v>0</v>
      </c>
      <c r="J217" s="21">
        <f>IFERROR(INDEX('Input - Iceland'!I$2:I$200,MATCH('Calculations - Iceland'!$C217,'Input - Iceland'!$B$2:$B$200,0)),"")</f>
        <v>0</v>
      </c>
      <c r="K217" s="20">
        <f>IFERROR(INDEX('Input - Iceland'!J$2:J$200,MATCH('Calculations - Iceland'!$C217,'Input - Iceland'!$B$2:$B$200,0)),"")</f>
        <v>0</v>
      </c>
      <c r="L217" s="20">
        <f>IFERROR(INDEX('Input - Iceland'!K$2:K$200,MATCH('Calculations - Iceland'!$C217,'Input - Iceland'!$B$2:$B$200,0)),"")</f>
        <v>0</v>
      </c>
      <c r="M217" s="21" t="str">
        <f t="shared" si="128"/>
        <v/>
      </c>
      <c r="N217" s="21" t="str">
        <f t="shared" si="114"/>
        <v/>
      </c>
      <c r="O217" s="21">
        <f t="shared" si="129"/>
        <v>0</v>
      </c>
      <c r="P217" s="9">
        <f t="shared" si="143"/>
        <v>0</v>
      </c>
      <c r="Q217" s="9">
        <f t="shared" si="144"/>
        <v>0</v>
      </c>
      <c r="R217" s="22" t="str">
        <f>IFERROR(INDEX(Iceland!$Q$11:$Q$165,MATCH('Calculations - Iceland'!$C217,Iceland!$M$11:$M$165,0)),"")</f>
        <v/>
      </c>
      <c r="S217" s="22" t="str">
        <f>IFERROR(INDEX(Iceland!$R$11:$R$165,MATCH('Calculations - Iceland'!$C217,Iceland!$M$11:$M$165,0)),"")</f>
        <v/>
      </c>
      <c r="T217" s="16" t="e">
        <f t="shared" si="115"/>
        <v>#VALUE!</v>
      </c>
      <c r="U217" s="16" t="e">
        <f t="shared" si="130"/>
        <v>#VALUE!</v>
      </c>
      <c r="V217" s="16" t="e">
        <f t="shared" si="131"/>
        <v>#VALUE!</v>
      </c>
      <c r="W217" s="10" t="str">
        <f t="shared" si="116"/>
        <v>-</v>
      </c>
      <c r="X217" s="10" t="str">
        <f t="shared" si="117"/>
        <v>-</v>
      </c>
      <c r="Y217" s="13" t="str">
        <f t="shared" si="132"/>
        <v>-</v>
      </c>
      <c r="Z217" s="9" t="str">
        <f t="shared" si="118"/>
        <v>-</v>
      </c>
      <c r="AA217" s="16" t="str">
        <f t="shared" si="133"/>
        <v>-</v>
      </c>
      <c r="AB217" s="16" t="str">
        <f t="shared" si="119"/>
        <v>-</v>
      </c>
      <c r="AC217" s="16" t="str">
        <f t="shared" si="120"/>
        <v>-</v>
      </c>
      <c r="AD217" s="16" t="str">
        <f t="shared" si="134"/>
        <v>-</v>
      </c>
      <c r="AE217" s="16"/>
      <c r="AF217" s="31" t="str">
        <f>IFERROR(INDEX(Iceland!$P$11:$P$165,MATCH('Calculations - Iceland'!C217,Iceland!$M$11:$M$165,0)),"")</f>
        <v/>
      </c>
      <c r="AG217" s="23" t="str">
        <f t="shared" si="135"/>
        <v/>
      </c>
      <c r="AH217" s="23" t="str">
        <f t="shared" si="135"/>
        <v/>
      </c>
      <c r="AI217" s="9" t="str">
        <f t="shared" si="121"/>
        <v/>
      </c>
      <c r="AJ217" s="4" t="str">
        <f t="shared" si="122"/>
        <v/>
      </c>
      <c r="AK217" s="4"/>
      <c r="AL217" s="4"/>
      <c r="AM217" s="4"/>
      <c r="AN217" s="4"/>
      <c r="AO217" s="4"/>
      <c r="AP217" s="20" t="str">
        <f t="shared" si="123"/>
        <v>-</v>
      </c>
      <c r="AQ217" s="13" t="str">
        <f t="shared" si="136"/>
        <v>-</v>
      </c>
      <c r="AR217" s="13" t="str">
        <f t="shared" si="137"/>
        <v>-</v>
      </c>
      <c r="AS217" s="13" t="str">
        <f t="shared" si="124"/>
        <v>-</v>
      </c>
      <c r="AT217" s="16" t="str">
        <f t="shared" si="138"/>
        <v>-</v>
      </c>
      <c r="AU217" s="16" t="str">
        <f t="shared" si="125"/>
        <v>-</v>
      </c>
      <c r="AV217" s="16" t="str">
        <f t="shared" si="126"/>
        <v>-</v>
      </c>
      <c r="AW217" s="16" t="str">
        <f t="shared" si="139"/>
        <v>-</v>
      </c>
      <c r="AX217" s="13" t="str">
        <f t="shared" si="140"/>
        <v>-</v>
      </c>
      <c r="AY217" s="10" t="str">
        <f t="shared" si="141"/>
        <v>-</v>
      </c>
      <c r="AZ217" s="9" t="str">
        <f t="shared" si="142"/>
        <v>-</v>
      </c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</row>
    <row r="218" spans="2:68" x14ac:dyDescent="0.3">
      <c r="B218" s="108" t="str">
        <f t="shared" si="127"/>
        <v/>
      </c>
      <c r="C218" s="108" t="str">
        <f t="shared" si="113"/>
        <v/>
      </c>
      <c r="D218" s="3"/>
      <c r="E218" s="3"/>
      <c r="F218" s="3"/>
      <c r="G218" s="20">
        <f>IFERROR(INDEX('Input - Iceland'!F$2:F$200,MATCH('Calculations - Iceland'!$C218,'Input - Iceland'!$B$2:$B$200,0)),"")</f>
        <v>0</v>
      </c>
      <c r="H218" s="20">
        <f>IFERROR(INDEX('Input - Iceland'!G$2:G$200,MATCH('Calculations - Iceland'!$C218,'Input - Iceland'!$B$2:$B$200,0)),"")</f>
        <v>0</v>
      </c>
      <c r="I218" s="21">
        <f>IFERROR(INDEX('Input - Iceland'!H$2:H$200,MATCH('Calculations - Iceland'!$C218,'Input - Iceland'!$B$2:$B$200,0)),"")</f>
        <v>0</v>
      </c>
      <c r="J218" s="21">
        <f>IFERROR(INDEX('Input - Iceland'!I$2:I$200,MATCH('Calculations - Iceland'!$C218,'Input - Iceland'!$B$2:$B$200,0)),"")</f>
        <v>0</v>
      </c>
      <c r="K218" s="20">
        <f>IFERROR(INDEX('Input - Iceland'!J$2:J$200,MATCH('Calculations - Iceland'!$C218,'Input - Iceland'!$B$2:$B$200,0)),"")</f>
        <v>0</v>
      </c>
      <c r="L218" s="20">
        <f>IFERROR(INDEX('Input - Iceland'!K$2:K$200,MATCH('Calculations - Iceland'!$C218,'Input - Iceland'!$B$2:$B$200,0)),"")</f>
        <v>0</v>
      </c>
      <c r="M218" s="21" t="str">
        <f t="shared" si="128"/>
        <v/>
      </c>
      <c r="N218" s="21" t="str">
        <f t="shared" si="114"/>
        <v/>
      </c>
      <c r="O218" s="21">
        <f t="shared" si="129"/>
        <v>0</v>
      </c>
      <c r="P218" s="9">
        <f t="shared" si="143"/>
        <v>0</v>
      </c>
      <c r="Q218" s="9">
        <f t="shared" si="144"/>
        <v>0</v>
      </c>
      <c r="R218" s="22" t="str">
        <f>IFERROR(INDEX(Iceland!$Q$11:$Q$165,MATCH('Calculations - Iceland'!$C218,Iceland!$M$11:$M$165,0)),"")</f>
        <v/>
      </c>
      <c r="S218" s="22" t="str">
        <f>IFERROR(INDEX(Iceland!$R$11:$R$165,MATCH('Calculations - Iceland'!$C218,Iceland!$M$11:$M$165,0)),"")</f>
        <v/>
      </c>
      <c r="T218" s="16" t="e">
        <f t="shared" si="115"/>
        <v>#VALUE!</v>
      </c>
      <c r="U218" s="16" t="e">
        <f t="shared" si="130"/>
        <v>#VALUE!</v>
      </c>
      <c r="V218" s="16" t="e">
        <f t="shared" si="131"/>
        <v>#VALUE!</v>
      </c>
      <c r="W218" s="10" t="str">
        <f t="shared" si="116"/>
        <v>-</v>
      </c>
      <c r="X218" s="10" t="str">
        <f t="shared" si="117"/>
        <v>-</v>
      </c>
      <c r="Y218" s="13" t="str">
        <f t="shared" si="132"/>
        <v>-</v>
      </c>
      <c r="Z218" s="9" t="str">
        <f t="shared" si="118"/>
        <v>-</v>
      </c>
      <c r="AA218" s="16" t="str">
        <f t="shared" si="133"/>
        <v>-</v>
      </c>
      <c r="AB218" s="16" t="str">
        <f t="shared" si="119"/>
        <v>-</v>
      </c>
      <c r="AC218" s="16" t="str">
        <f t="shared" si="120"/>
        <v>-</v>
      </c>
      <c r="AD218" s="16" t="str">
        <f t="shared" si="134"/>
        <v>-</v>
      </c>
      <c r="AE218" s="16"/>
      <c r="AF218" s="31" t="str">
        <f>IFERROR(INDEX(Iceland!$P$11:$P$165,MATCH('Calculations - Iceland'!C218,Iceland!$M$11:$M$165,0)),"")</f>
        <v/>
      </c>
      <c r="AG218" s="23" t="str">
        <f t="shared" si="135"/>
        <v/>
      </c>
      <c r="AH218" s="23" t="str">
        <f t="shared" si="135"/>
        <v/>
      </c>
      <c r="AI218" s="9" t="str">
        <f t="shared" si="121"/>
        <v/>
      </c>
      <c r="AJ218" s="4" t="str">
        <f t="shared" si="122"/>
        <v/>
      </c>
      <c r="AK218" s="4"/>
      <c r="AL218" s="4"/>
      <c r="AM218" s="4"/>
      <c r="AN218" s="4"/>
      <c r="AO218" s="4"/>
      <c r="AP218" s="20" t="str">
        <f t="shared" si="123"/>
        <v>-</v>
      </c>
      <c r="AQ218" s="13" t="str">
        <f t="shared" si="136"/>
        <v>-</v>
      </c>
      <c r="AR218" s="13" t="str">
        <f t="shared" si="137"/>
        <v>-</v>
      </c>
      <c r="AS218" s="13" t="str">
        <f t="shared" si="124"/>
        <v>-</v>
      </c>
      <c r="AT218" s="16" t="str">
        <f t="shared" si="138"/>
        <v>-</v>
      </c>
      <c r="AU218" s="16" t="str">
        <f t="shared" si="125"/>
        <v>-</v>
      </c>
      <c r="AV218" s="16" t="str">
        <f t="shared" si="126"/>
        <v>-</v>
      </c>
      <c r="AW218" s="16" t="str">
        <f t="shared" si="139"/>
        <v>-</v>
      </c>
      <c r="AX218" s="13" t="str">
        <f t="shared" si="140"/>
        <v>-</v>
      </c>
      <c r="AY218" s="10" t="str">
        <f t="shared" si="141"/>
        <v>-</v>
      </c>
      <c r="AZ218" s="9" t="str">
        <f t="shared" si="142"/>
        <v>-</v>
      </c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</row>
    <row r="219" spans="2:68" x14ac:dyDescent="0.3">
      <c r="B219" s="108" t="str">
        <f t="shared" si="127"/>
        <v/>
      </c>
      <c r="C219" s="108" t="str">
        <f t="shared" si="113"/>
        <v/>
      </c>
      <c r="D219" s="3"/>
      <c r="E219" s="3"/>
      <c r="F219" s="3"/>
      <c r="G219" s="20">
        <f>IFERROR(INDEX('Input - Iceland'!F$2:F$200,MATCH('Calculations - Iceland'!$C219,'Input - Iceland'!$B$2:$B$200,0)),"")</f>
        <v>0</v>
      </c>
      <c r="H219" s="20">
        <f>IFERROR(INDEX('Input - Iceland'!G$2:G$200,MATCH('Calculations - Iceland'!$C219,'Input - Iceland'!$B$2:$B$200,0)),"")</f>
        <v>0</v>
      </c>
      <c r="I219" s="21">
        <f>IFERROR(INDEX('Input - Iceland'!H$2:H$200,MATCH('Calculations - Iceland'!$C219,'Input - Iceland'!$B$2:$B$200,0)),"")</f>
        <v>0</v>
      </c>
      <c r="J219" s="21">
        <f>IFERROR(INDEX('Input - Iceland'!I$2:I$200,MATCH('Calculations - Iceland'!$C219,'Input - Iceland'!$B$2:$B$200,0)),"")</f>
        <v>0</v>
      </c>
      <c r="K219" s="20">
        <f>IFERROR(INDEX('Input - Iceland'!J$2:J$200,MATCH('Calculations - Iceland'!$C219,'Input - Iceland'!$B$2:$B$200,0)),"")</f>
        <v>0</v>
      </c>
      <c r="L219" s="20">
        <f>IFERROR(INDEX('Input - Iceland'!K$2:K$200,MATCH('Calculations - Iceland'!$C219,'Input - Iceland'!$B$2:$B$200,0)),"")</f>
        <v>0</v>
      </c>
      <c r="M219" s="21" t="str">
        <f t="shared" si="128"/>
        <v/>
      </c>
      <c r="N219" s="21" t="str">
        <f t="shared" si="114"/>
        <v/>
      </c>
      <c r="O219" s="21">
        <f t="shared" si="129"/>
        <v>0</v>
      </c>
      <c r="P219" s="9">
        <f t="shared" si="143"/>
        <v>0</v>
      </c>
      <c r="Q219" s="9">
        <f t="shared" si="144"/>
        <v>0</v>
      </c>
      <c r="R219" s="22" t="str">
        <f>IFERROR(INDEX(Iceland!$Q$11:$Q$165,MATCH('Calculations - Iceland'!$C219,Iceland!$M$11:$M$165,0)),"")</f>
        <v/>
      </c>
      <c r="S219" s="22" t="str">
        <f>IFERROR(INDEX(Iceland!$R$11:$R$165,MATCH('Calculations - Iceland'!$C219,Iceland!$M$11:$M$165,0)),"")</f>
        <v/>
      </c>
      <c r="T219" s="16" t="e">
        <f t="shared" si="115"/>
        <v>#VALUE!</v>
      </c>
      <c r="U219" s="16" t="e">
        <f t="shared" si="130"/>
        <v>#VALUE!</v>
      </c>
      <c r="V219" s="16" t="e">
        <f t="shared" si="131"/>
        <v>#VALUE!</v>
      </c>
      <c r="W219" s="10" t="str">
        <f t="shared" si="116"/>
        <v>-</v>
      </c>
      <c r="X219" s="10" t="str">
        <f t="shared" si="117"/>
        <v>-</v>
      </c>
      <c r="Y219" s="13" t="str">
        <f t="shared" si="132"/>
        <v>-</v>
      </c>
      <c r="Z219" s="9" t="str">
        <f t="shared" si="118"/>
        <v>-</v>
      </c>
      <c r="AA219" s="16" t="str">
        <f t="shared" si="133"/>
        <v>-</v>
      </c>
      <c r="AB219" s="16" t="str">
        <f t="shared" si="119"/>
        <v>-</v>
      </c>
      <c r="AC219" s="16" t="str">
        <f t="shared" si="120"/>
        <v>-</v>
      </c>
      <c r="AD219" s="16" t="str">
        <f t="shared" si="134"/>
        <v>-</v>
      </c>
      <c r="AE219" s="16"/>
      <c r="AF219" s="31" t="str">
        <f>IFERROR(INDEX(Iceland!$P$11:$P$165,MATCH('Calculations - Iceland'!C219,Iceland!$M$11:$M$165,0)),"")</f>
        <v/>
      </c>
      <c r="AG219" s="23" t="str">
        <f t="shared" si="135"/>
        <v/>
      </c>
      <c r="AH219" s="23" t="str">
        <f t="shared" si="135"/>
        <v/>
      </c>
      <c r="AI219" s="9" t="str">
        <f t="shared" si="121"/>
        <v/>
      </c>
      <c r="AJ219" s="4" t="str">
        <f t="shared" si="122"/>
        <v/>
      </c>
      <c r="AK219" s="4"/>
      <c r="AL219" s="4"/>
      <c r="AM219" s="4"/>
      <c r="AN219" s="4"/>
      <c r="AO219" s="4"/>
      <c r="AP219" s="20" t="str">
        <f t="shared" si="123"/>
        <v>-</v>
      </c>
      <c r="AQ219" s="13" t="str">
        <f t="shared" si="136"/>
        <v>-</v>
      </c>
      <c r="AR219" s="13" t="str">
        <f t="shared" si="137"/>
        <v>-</v>
      </c>
      <c r="AS219" s="13" t="str">
        <f t="shared" si="124"/>
        <v>-</v>
      </c>
      <c r="AT219" s="16" t="str">
        <f t="shared" si="138"/>
        <v>-</v>
      </c>
      <c r="AU219" s="16" t="str">
        <f t="shared" si="125"/>
        <v>-</v>
      </c>
      <c r="AV219" s="16" t="str">
        <f t="shared" si="126"/>
        <v>-</v>
      </c>
      <c r="AW219" s="16" t="str">
        <f t="shared" si="139"/>
        <v>-</v>
      </c>
      <c r="AX219" s="13" t="str">
        <f t="shared" si="140"/>
        <v>-</v>
      </c>
      <c r="AY219" s="10" t="str">
        <f t="shared" si="141"/>
        <v>-</v>
      </c>
      <c r="AZ219" s="9" t="str">
        <f t="shared" si="142"/>
        <v>-</v>
      </c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</row>
    <row r="220" spans="2:68" x14ac:dyDescent="0.3">
      <c r="B220" s="108" t="str">
        <f t="shared" si="127"/>
        <v/>
      </c>
      <c r="C220" s="108" t="str">
        <f t="shared" si="113"/>
        <v/>
      </c>
      <c r="D220" s="3"/>
      <c r="E220" s="3"/>
      <c r="F220" s="3"/>
      <c r="G220" s="20">
        <f>IFERROR(INDEX('Input - Iceland'!F$2:F$200,MATCH('Calculations - Iceland'!$C220,'Input - Iceland'!$B$2:$B$200,0)),"")</f>
        <v>0</v>
      </c>
      <c r="H220" s="20">
        <f>IFERROR(INDEX('Input - Iceland'!G$2:G$200,MATCH('Calculations - Iceland'!$C220,'Input - Iceland'!$B$2:$B$200,0)),"")</f>
        <v>0</v>
      </c>
      <c r="I220" s="21">
        <f>IFERROR(INDEX('Input - Iceland'!H$2:H$200,MATCH('Calculations - Iceland'!$C220,'Input - Iceland'!$B$2:$B$200,0)),"")</f>
        <v>0</v>
      </c>
      <c r="J220" s="21">
        <f>IFERROR(INDEX('Input - Iceland'!I$2:I$200,MATCH('Calculations - Iceland'!$C220,'Input - Iceland'!$B$2:$B$200,0)),"")</f>
        <v>0</v>
      </c>
      <c r="K220" s="20">
        <f>IFERROR(INDEX('Input - Iceland'!J$2:J$200,MATCH('Calculations - Iceland'!$C220,'Input - Iceland'!$B$2:$B$200,0)),"")</f>
        <v>0</v>
      </c>
      <c r="L220" s="20">
        <f>IFERROR(INDEX('Input - Iceland'!K$2:K$200,MATCH('Calculations - Iceland'!$C220,'Input - Iceland'!$B$2:$B$200,0)),"")</f>
        <v>0</v>
      </c>
      <c r="M220" s="21" t="str">
        <f t="shared" si="128"/>
        <v/>
      </c>
      <c r="N220" s="21" t="str">
        <f t="shared" si="114"/>
        <v/>
      </c>
      <c r="O220" s="21">
        <f t="shared" si="129"/>
        <v>0</v>
      </c>
      <c r="P220" s="9">
        <f t="shared" si="143"/>
        <v>0</v>
      </c>
      <c r="Q220" s="9">
        <f t="shared" si="144"/>
        <v>0</v>
      </c>
      <c r="R220" s="22" t="str">
        <f>IFERROR(INDEX(Iceland!$Q$11:$Q$165,MATCH('Calculations - Iceland'!$C220,Iceland!$M$11:$M$165,0)),"")</f>
        <v/>
      </c>
      <c r="S220" s="22" t="str">
        <f>IFERROR(INDEX(Iceland!$R$11:$R$165,MATCH('Calculations - Iceland'!$C220,Iceland!$M$11:$M$165,0)),"")</f>
        <v/>
      </c>
      <c r="T220" s="16" t="e">
        <f t="shared" si="115"/>
        <v>#VALUE!</v>
      </c>
      <c r="U220" s="16" t="e">
        <f t="shared" si="130"/>
        <v>#VALUE!</v>
      </c>
      <c r="V220" s="16" t="e">
        <f t="shared" si="131"/>
        <v>#VALUE!</v>
      </c>
      <c r="W220" s="10" t="str">
        <f t="shared" si="116"/>
        <v>-</v>
      </c>
      <c r="X220" s="10" t="str">
        <f t="shared" si="117"/>
        <v>-</v>
      </c>
      <c r="Y220" s="13" t="str">
        <f t="shared" si="132"/>
        <v>-</v>
      </c>
      <c r="Z220" s="9" t="str">
        <f t="shared" si="118"/>
        <v>-</v>
      </c>
      <c r="AA220" s="16" t="str">
        <f t="shared" si="133"/>
        <v>-</v>
      </c>
      <c r="AB220" s="16" t="str">
        <f t="shared" si="119"/>
        <v>-</v>
      </c>
      <c r="AC220" s="16" t="str">
        <f t="shared" si="120"/>
        <v>-</v>
      </c>
      <c r="AD220" s="16" t="str">
        <f t="shared" si="134"/>
        <v>-</v>
      </c>
      <c r="AE220" s="16"/>
      <c r="AF220" s="31" t="str">
        <f>IFERROR(INDEX(Iceland!$P$11:$P$165,MATCH('Calculations - Iceland'!C220,Iceland!$M$11:$M$165,0)),"")</f>
        <v/>
      </c>
      <c r="AG220" s="23" t="str">
        <f t="shared" si="135"/>
        <v/>
      </c>
      <c r="AH220" s="23" t="str">
        <f t="shared" si="135"/>
        <v/>
      </c>
      <c r="AI220" s="9" t="str">
        <f t="shared" si="121"/>
        <v/>
      </c>
      <c r="AJ220" s="4" t="str">
        <f t="shared" si="122"/>
        <v/>
      </c>
      <c r="AK220" s="4"/>
      <c r="AL220" s="4"/>
      <c r="AM220" s="4"/>
      <c r="AN220" s="4"/>
      <c r="AO220" s="4"/>
      <c r="AP220" s="20" t="str">
        <f t="shared" si="123"/>
        <v>-</v>
      </c>
      <c r="AQ220" s="13" t="str">
        <f t="shared" si="136"/>
        <v>-</v>
      </c>
      <c r="AR220" s="13" t="str">
        <f t="shared" si="137"/>
        <v>-</v>
      </c>
      <c r="AS220" s="13" t="str">
        <f t="shared" si="124"/>
        <v>-</v>
      </c>
      <c r="AT220" s="16" t="str">
        <f t="shared" si="138"/>
        <v>-</v>
      </c>
      <c r="AU220" s="16" t="str">
        <f t="shared" si="125"/>
        <v>-</v>
      </c>
      <c r="AV220" s="16" t="str">
        <f t="shared" si="126"/>
        <v>-</v>
      </c>
      <c r="AW220" s="16" t="str">
        <f t="shared" si="139"/>
        <v>-</v>
      </c>
      <c r="AX220" s="13" t="str">
        <f t="shared" si="140"/>
        <v>-</v>
      </c>
      <c r="AY220" s="10" t="str">
        <f t="shared" si="141"/>
        <v>-</v>
      </c>
      <c r="AZ220" s="9" t="str">
        <f t="shared" si="142"/>
        <v>-</v>
      </c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</row>
    <row r="221" spans="2:68" x14ac:dyDescent="0.3">
      <c r="B221" s="108" t="str">
        <f t="shared" si="127"/>
        <v/>
      </c>
      <c r="C221" s="108" t="str">
        <f t="shared" si="113"/>
        <v/>
      </c>
      <c r="D221" s="3"/>
      <c r="E221" s="3"/>
      <c r="F221" s="3"/>
      <c r="G221" s="20">
        <f>IFERROR(INDEX('Input - Iceland'!F$2:F$200,MATCH('Calculations - Iceland'!$C221,'Input - Iceland'!$B$2:$B$200,0)),"")</f>
        <v>0</v>
      </c>
      <c r="H221" s="20">
        <f>IFERROR(INDEX('Input - Iceland'!G$2:G$200,MATCH('Calculations - Iceland'!$C221,'Input - Iceland'!$B$2:$B$200,0)),"")</f>
        <v>0</v>
      </c>
      <c r="I221" s="21">
        <f>IFERROR(INDEX('Input - Iceland'!H$2:H$200,MATCH('Calculations - Iceland'!$C221,'Input - Iceland'!$B$2:$B$200,0)),"")</f>
        <v>0</v>
      </c>
      <c r="J221" s="21">
        <f>IFERROR(INDEX('Input - Iceland'!I$2:I$200,MATCH('Calculations - Iceland'!$C221,'Input - Iceland'!$B$2:$B$200,0)),"")</f>
        <v>0</v>
      </c>
      <c r="K221" s="20">
        <f>IFERROR(INDEX('Input - Iceland'!J$2:J$200,MATCH('Calculations - Iceland'!$C221,'Input - Iceland'!$B$2:$B$200,0)),"")</f>
        <v>0</v>
      </c>
      <c r="L221" s="20">
        <f>IFERROR(INDEX('Input - Iceland'!K$2:K$200,MATCH('Calculations - Iceland'!$C221,'Input - Iceland'!$B$2:$B$200,0)),"")</f>
        <v>0</v>
      </c>
      <c r="M221" s="21" t="str">
        <f t="shared" si="128"/>
        <v/>
      </c>
      <c r="N221" s="21" t="str">
        <f t="shared" si="114"/>
        <v/>
      </c>
      <c r="O221" s="21">
        <f t="shared" si="129"/>
        <v>0</v>
      </c>
      <c r="P221" s="9">
        <f t="shared" si="143"/>
        <v>0</v>
      </c>
      <c r="Q221" s="9">
        <f t="shared" si="144"/>
        <v>0</v>
      </c>
      <c r="R221" s="22" t="str">
        <f>IFERROR(INDEX(Iceland!$Q$11:$Q$165,MATCH('Calculations - Iceland'!$C221,Iceland!$M$11:$M$165,0)),"")</f>
        <v/>
      </c>
      <c r="S221" s="22" t="str">
        <f>IFERROR(INDEX(Iceland!$R$11:$R$165,MATCH('Calculations - Iceland'!$C221,Iceland!$M$11:$M$165,0)),"")</f>
        <v/>
      </c>
      <c r="T221" s="16" t="e">
        <f t="shared" si="115"/>
        <v>#VALUE!</v>
      </c>
      <c r="U221" s="16" t="e">
        <f t="shared" si="130"/>
        <v>#VALUE!</v>
      </c>
      <c r="V221" s="16" t="e">
        <f t="shared" si="131"/>
        <v>#VALUE!</v>
      </c>
      <c r="W221" s="10" t="str">
        <f t="shared" si="116"/>
        <v>-</v>
      </c>
      <c r="X221" s="10" t="str">
        <f t="shared" si="117"/>
        <v>-</v>
      </c>
      <c r="Y221" s="13" t="str">
        <f t="shared" si="132"/>
        <v>-</v>
      </c>
      <c r="Z221" s="9" t="str">
        <f t="shared" si="118"/>
        <v>-</v>
      </c>
      <c r="AA221" s="16" t="str">
        <f t="shared" si="133"/>
        <v>-</v>
      </c>
      <c r="AB221" s="16" t="str">
        <f t="shared" si="119"/>
        <v>-</v>
      </c>
      <c r="AC221" s="16" t="str">
        <f t="shared" si="120"/>
        <v>-</v>
      </c>
      <c r="AD221" s="16" t="str">
        <f t="shared" si="134"/>
        <v>-</v>
      </c>
      <c r="AE221" s="16"/>
      <c r="AF221" s="31" t="str">
        <f>IFERROR(INDEX(Iceland!$P$11:$P$165,MATCH('Calculations - Iceland'!C221,Iceland!$M$11:$M$165,0)),"")</f>
        <v/>
      </c>
      <c r="AG221" s="23" t="str">
        <f t="shared" si="135"/>
        <v/>
      </c>
      <c r="AH221" s="23" t="str">
        <f t="shared" si="135"/>
        <v/>
      </c>
      <c r="AI221" s="9" t="str">
        <f t="shared" si="121"/>
        <v/>
      </c>
      <c r="AJ221" s="4" t="str">
        <f t="shared" si="122"/>
        <v/>
      </c>
      <c r="AK221" s="4"/>
      <c r="AL221" s="4"/>
      <c r="AM221" s="4"/>
      <c r="AN221" s="4"/>
      <c r="AO221" s="4"/>
      <c r="AP221" s="20" t="str">
        <f t="shared" si="123"/>
        <v>-</v>
      </c>
      <c r="AQ221" s="13" t="str">
        <f t="shared" si="136"/>
        <v>-</v>
      </c>
      <c r="AR221" s="13" t="str">
        <f t="shared" si="137"/>
        <v>-</v>
      </c>
      <c r="AS221" s="13" t="str">
        <f t="shared" si="124"/>
        <v>-</v>
      </c>
      <c r="AT221" s="16" t="str">
        <f t="shared" si="138"/>
        <v>-</v>
      </c>
      <c r="AU221" s="16" t="str">
        <f t="shared" si="125"/>
        <v>-</v>
      </c>
      <c r="AV221" s="16" t="str">
        <f t="shared" si="126"/>
        <v>-</v>
      </c>
      <c r="AW221" s="16" t="str">
        <f t="shared" si="139"/>
        <v>-</v>
      </c>
      <c r="AX221" s="13" t="str">
        <f t="shared" si="140"/>
        <v>-</v>
      </c>
      <c r="AY221" s="10" t="str">
        <f t="shared" si="141"/>
        <v>-</v>
      </c>
      <c r="AZ221" s="9" t="str">
        <f t="shared" si="142"/>
        <v>-</v>
      </c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</row>
    <row r="222" spans="2:68" x14ac:dyDescent="0.3">
      <c r="B222" s="108" t="str">
        <f t="shared" si="127"/>
        <v/>
      </c>
      <c r="C222" s="108" t="str">
        <f t="shared" si="113"/>
        <v/>
      </c>
      <c r="D222" s="3"/>
      <c r="E222" s="3"/>
      <c r="F222" s="3"/>
      <c r="G222" s="20">
        <f>IFERROR(INDEX('Input - Iceland'!F$2:F$200,MATCH('Calculations - Iceland'!$C222,'Input - Iceland'!$B$2:$B$200,0)),"")</f>
        <v>0</v>
      </c>
      <c r="H222" s="20">
        <f>IFERROR(INDEX('Input - Iceland'!G$2:G$200,MATCH('Calculations - Iceland'!$C222,'Input - Iceland'!$B$2:$B$200,0)),"")</f>
        <v>0</v>
      </c>
      <c r="I222" s="21">
        <f>IFERROR(INDEX('Input - Iceland'!H$2:H$200,MATCH('Calculations - Iceland'!$C222,'Input - Iceland'!$B$2:$B$200,0)),"")</f>
        <v>0</v>
      </c>
      <c r="J222" s="21">
        <f>IFERROR(INDEX('Input - Iceland'!I$2:I$200,MATCH('Calculations - Iceland'!$C222,'Input - Iceland'!$B$2:$B$200,0)),"")</f>
        <v>0</v>
      </c>
      <c r="K222" s="20">
        <f>IFERROR(INDEX('Input - Iceland'!J$2:J$200,MATCH('Calculations - Iceland'!$C222,'Input - Iceland'!$B$2:$B$200,0)),"")</f>
        <v>0</v>
      </c>
      <c r="L222" s="20">
        <f>IFERROR(INDEX('Input - Iceland'!K$2:K$200,MATCH('Calculations - Iceland'!$C222,'Input - Iceland'!$B$2:$B$200,0)),"")</f>
        <v>0</v>
      </c>
      <c r="M222" s="21" t="str">
        <f t="shared" si="128"/>
        <v/>
      </c>
      <c r="N222" s="21" t="str">
        <f t="shared" si="114"/>
        <v/>
      </c>
      <c r="O222" s="21">
        <f t="shared" si="129"/>
        <v>0</v>
      </c>
      <c r="P222" s="9">
        <f t="shared" si="143"/>
        <v>0</v>
      </c>
      <c r="Q222" s="9">
        <f t="shared" si="144"/>
        <v>0</v>
      </c>
      <c r="R222" s="22" t="str">
        <f>IFERROR(INDEX(Iceland!$Q$11:$Q$165,MATCH('Calculations - Iceland'!$C222,Iceland!$M$11:$M$165,0)),"")</f>
        <v/>
      </c>
      <c r="S222" s="22" t="str">
        <f>IFERROR(INDEX(Iceland!$R$11:$R$165,MATCH('Calculations - Iceland'!$C222,Iceland!$M$11:$M$165,0)),"")</f>
        <v/>
      </c>
      <c r="T222" s="16" t="e">
        <f t="shared" si="115"/>
        <v>#VALUE!</v>
      </c>
      <c r="U222" s="16" t="e">
        <f t="shared" si="130"/>
        <v>#VALUE!</v>
      </c>
      <c r="V222" s="16" t="e">
        <f t="shared" si="131"/>
        <v>#VALUE!</v>
      </c>
      <c r="W222" s="10" t="str">
        <f t="shared" si="116"/>
        <v>-</v>
      </c>
      <c r="X222" s="10" t="str">
        <f t="shared" si="117"/>
        <v>-</v>
      </c>
      <c r="Y222" s="13" t="str">
        <f t="shared" si="132"/>
        <v>-</v>
      </c>
      <c r="Z222" s="9" t="str">
        <f t="shared" si="118"/>
        <v>-</v>
      </c>
      <c r="AA222" s="16" t="str">
        <f t="shared" si="133"/>
        <v>-</v>
      </c>
      <c r="AB222" s="16" t="str">
        <f t="shared" si="119"/>
        <v>-</v>
      </c>
      <c r="AC222" s="16" t="str">
        <f t="shared" si="120"/>
        <v>-</v>
      </c>
      <c r="AD222" s="16" t="str">
        <f t="shared" si="134"/>
        <v>-</v>
      </c>
      <c r="AE222" s="16"/>
      <c r="AF222" s="31" t="str">
        <f>IFERROR(INDEX(Iceland!$P$11:$P$165,MATCH('Calculations - Iceland'!C222,Iceland!$M$11:$M$165,0)),"")</f>
        <v/>
      </c>
      <c r="AG222" s="23" t="str">
        <f t="shared" si="135"/>
        <v/>
      </c>
      <c r="AH222" s="23" t="str">
        <f t="shared" si="135"/>
        <v/>
      </c>
      <c r="AI222" s="9" t="str">
        <f t="shared" si="121"/>
        <v/>
      </c>
      <c r="AJ222" s="4" t="str">
        <f t="shared" si="122"/>
        <v/>
      </c>
      <c r="AK222" s="4"/>
      <c r="AL222" s="4"/>
      <c r="AM222" s="4"/>
      <c r="AN222" s="4"/>
      <c r="AO222" s="4"/>
      <c r="AP222" s="20" t="str">
        <f t="shared" si="123"/>
        <v>-</v>
      </c>
      <c r="AQ222" s="13" t="str">
        <f t="shared" si="136"/>
        <v>-</v>
      </c>
      <c r="AR222" s="13" t="str">
        <f t="shared" si="137"/>
        <v>-</v>
      </c>
      <c r="AS222" s="13" t="str">
        <f t="shared" si="124"/>
        <v>-</v>
      </c>
      <c r="AT222" s="16" t="str">
        <f t="shared" si="138"/>
        <v>-</v>
      </c>
      <c r="AU222" s="16" t="str">
        <f t="shared" si="125"/>
        <v>-</v>
      </c>
      <c r="AV222" s="16" t="str">
        <f t="shared" si="126"/>
        <v>-</v>
      </c>
      <c r="AW222" s="16" t="str">
        <f t="shared" si="139"/>
        <v>-</v>
      </c>
      <c r="AX222" s="13" t="str">
        <f t="shared" si="140"/>
        <v>-</v>
      </c>
      <c r="AY222" s="10" t="str">
        <f t="shared" si="141"/>
        <v>-</v>
      </c>
      <c r="AZ222" s="9" t="str">
        <f t="shared" si="142"/>
        <v>-</v>
      </c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</row>
    <row r="223" spans="2:68" x14ac:dyDescent="0.3">
      <c r="B223" s="108" t="str">
        <f t="shared" si="127"/>
        <v/>
      </c>
      <c r="C223" s="108" t="str">
        <f t="shared" si="113"/>
        <v/>
      </c>
      <c r="D223" s="3"/>
      <c r="E223" s="3"/>
      <c r="F223" s="3"/>
      <c r="G223" s="20">
        <f>IFERROR(INDEX('Input - Iceland'!F$2:F$200,MATCH('Calculations - Iceland'!$C223,'Input - Iceland'!$B$2:$B$200,0)),"")</f>
        <v>0</v>
      </c>
      <c r="H223" s="20">
        <f>IFERROR(INDEX('Input - Iceland'!G$2:G$200,MATCH('Calculations - Iceland'!$C223,'Input - Iceland'!$B$2:$B$200,0)),"")</f>
        <v>0</v>
      </c>
      <c r="I223" s="21">
        <f>IFERROR(INDEX('Input - Iceland'!H$2:H$200,MATCH('Calculations - Iceland'!$C223,'Input - Iceland'!$B$2:$B$200,0)),"")</f>
        <v>0</v>
      </c>
      <c r="J223" s="21">
        <f>IFERROR(INDEX('Input - Iceland'!I$2:I$200,MATCH('Calculations - Iceland'!$C223,'Input - Iceland'!$B$2:$B$200,0)),"")</f>
        <v>0</v>
      </c>
      <c r="K223" s="20">
        <f>IFERROR(INDEX('Input - Iceland'!J$2:J$200,MATCH('Calculations - Iceland'!$C223,'Input - Iceland'!$B$2:$B$200,0)),"")</f>
        <v>0</v>
      </c>
      <c r="L223" s="20">
        <f>IFERROR(INDEX('Input - Iceland'!K$2:K$200,MATCH('Calculations - Iceland'!$C223,'Input - Iceland'!$B$2:$B$200,0)),"")</f>
        <v>0</v>
      </c>
      <c r="M223" s="21" t="str">
        <f t="shared" si="128"/>
        <v/>
      </c>
      <c r="N223" s="21" t="str">
        <f t="shared" si="114"/>
        <v/>
      </c>
      <c r="O223" s="21">
        <f t="shared" si="129"/>
        <v>0</v>
      </c>
      <c r="P223" s="9">
        <f t="shared" si="143"/>
        <v>0</v>
      </c>
      <c r="Q223" s="9">
        <f t="shared" si="144"/>
        <v>0</v>
      </c>
      <c r="R223" s="22" t="str">
        <f>IFERROR(INDEX(Iceland!$Q$11:$Q$165,MATCH('Calculations - Iceland'!$C223,Iceland!$M$11:$M$165,0)),"")</f>
        <v/>
      </c>
      <c r="S223" s="22" t="str">
        <f>IFERROR(INDEX(Iceland!$R$11:$R$165,MATCH('Calculations - Iceland'!$C223,Iceland!$M$11:$M$165,0)),"")</f>
        <v/>
      </c>
      <c r="T223" s="16" t="e">
        <f t="shared" si="115"/>
        <v>#VALUE!</v>
      </c>
      <c r="U223" s="16" t="e">
        <f t="shared" si="130"/>
        <v>#VALUE!</v>
      </c>
      <c r="V223" s="16" t="e">
        <f t="shared" si="131"/>
        <v>#VALUE!</v>
      </c>
      <c r="W223" s="10" t="str">
        <f t="shared" si="116"/>
        <v>-</v>
      </c>
      <c r="X223" s="10" t="str">
        <f t="shared" si="117"/>
        <v>-</v>
      </c>
      <c r="Y223" s="13" t="str">
        <f t="shared" si="132"/>
        <v>-</v>
      </c>
      <c r="Z223" s="9" t="str">
        <f t="shared" si="118"/>
        <v>-</v>
      </c>
      <c r="AA223" s="16" t="str">
        <f t="shared" si="133"/>
        <v>-</v>
      </c>
      <c r="AB223" s="16" t="str">
        <f t="shared" si="119"/>
        <v>-</v>
      </c>
      <c r="AC223" s="16" t="str">
        <f t="shared" si="120"/>
        <v>-</v>
      </c>
      <c r="AD223" s="16" t="str">
        <f t="shared" si="134"/>
        <v>-</v>
      </c>
      <c r="AE223" s="16"/>
      <c r="AF223" s="31" t="str">
        <f>IFERROR(INDEX(Iceland!$P$11:$P$165,MATCH('Calculations - Iceland'!C223,Iceland!$M$11:$M$165,0)),"")</f>
        <v/>
      </c>
      <c r="AG223" s="23" t="str">
        <f t="shared" si="135"/>
        <v/>
      </c>
      <c r="AH223" s="23" t="str">
        <f t="shared" si="135"/>
        <v/>
      </c>
      <c r="AI223" s="9" t="str">
        <f t="shared" si="121"/>
        <v/>
      </c>
      <c r="AJ223" s="4" t="str">
        <f t="shared" si="122"/>
        <v/>
      </c>
      <c r="AK223" s="4"/>
      <c r="AL223" s="4"/>
      <c r="AM223" s="4"/>
      <c r="AN223" s="4"/>
      <c r="AO223" s="4"/>
      <c r="AP223" s="20" t="str">
        <f t="shared" si="123"/>
        <v>-</v>
      </c>
      <c r="AQ223" s="13" t="str">
        <f t="shared" si="136"/>
        <v>-</v>
      </c>
      <c r="AR223" s="13" t="str">
        <f t="shared" si="137"/>
        <v>-</v>
      </c>
      <c r="AS223" s="13" t="str">
        <f t="shared" si="124"/>
        <v>-</v>
      </c>
      <c r="AT223" s="16" t="str">
        <f t="shared" si="138"/>
        <v>-</v>
      </c>
      <c r="AU223" s="16" t="str">
        <f t="shared" si="125"/>
        <v>-</v>
      </c>
      <c r="AV223" s="16" t="str">
        <f t="shared" si="126"/>
        <v>-</v>
      </c>
      <c r="AW223" s="16" t="str">
        <f t="shared" si="139"/>
        <v>-</v>
      </c>
      <c r="AX223" s="13" t="str">
        <f t="shared" si="140"/>
        <v>-</v>
      </c>
      <c r="AY223" s="10" t="str">
        <f t="shared" si="141"/>
        <v>-</v>
      </c>
      <c r="AZ223" s="9" t="str">
        <f t="shared" si="142"/>
        <v>-</v>
      </c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</row>
    <row r="224" spans="2:68" x14ac:dyDescent="0.3">
      <c r="B224" s="108" t="str">
        <f t="shared" si="127"/>
        <v/>
      </c>
      <c r="C224" s="108" t="str">
        <f t="shared" ref="C224:C229" si="145">IFERROR(D224&amp;E224&amp;F224,"")</f>
        <v/>
      </c>
      <c r="D224" s="3"/>
      <c r="E224" s="3"/>
      <c r="F224" s="3"/>
      <c r="G224" s="20">
        <f>IFERROR(INDEX('Input - Iceland'!F$2:F$200,MATCH('Calculations - Iceland'!$C224,'Input - Iceland'!$B$2:$B$200,0)),"")</f>
        <v>0</v>
      </c>
      <c r="H224" s="20">
        <f>IFERROR(INDEX('Input - Iceland'!G$2:G$200,MATCH('Calculations - Iceland'!$C224,'Input - Iceland'!$B$2:$B$200,0)),"")</f>
        <v>0</v>
      </c>
      <c r="I224" s="21">
        <f>IFERROR(INDEX('Input - Iceland'!H$2:H$200,MATCH('Calculations - Iceland'!$C224,'Input - Iceland'!$B$2:$B$200,0)),"")</f>
        <v>0</v>
      </c>
      <c r="J224" s="21">
        <f>IFERROR(INDEX('Input - Iceland'!I$2:I$200,MATCH('Calculations - Iceland'!$C224,'Input - Iceland'!$B$2:$B$200,0)),"")</f>
        <v>0</v>
      </c>
      <c r="K224" s="20">
        <f>IFERROR(INDEX('Input - Iceland'!J$2:J$200,MATCH('Calculations - Iceland'!$C224,'Input - Iceland'!$B$2:$B$200,0)),"")</f>
        <v>0</v>
      </c>
      <c r="L224" s="20">
        <f>IFERROR(INDEX('Input - Iceland'!K$2:K$200,MATCH('Calculations - Iceland'!$C224,'Input - Iceland'!$B$2:$B$200,0)),"")</f>
        <v>0</v>
      </c>
      <c r="M224" s="21" t="str">
        <f t="shared" si="128"/>
        <v/>
      </c>
      <c r="N224" s="21" t="str">
        <f t="shared" ref="N224:N229" si="146">IFERROR(K224/L224,"")</f>
        <v/>
      </c>
      <c r="O224" s="21">
        <f t="shared" si="129"/>
        <v>0</v>
      </c>
      <c r="P224" s="9">
        <f t="shared" si="143"/>
        <v>0</v>
      </c>
      <c r="Q224" s="9">
        <f t="shared" si="144"/>
        <v>0</v>
      </c>
      <c r="R224" s="22" t="str">
        <f>IFERROR(INDEX(Iceland!$Q$11:$Q$165,MATCH('Calculations - Iceland'!$C224,Iceland!$M$11:$M$165,0)),"")</f>
        <v/>
      </c>
      <c r="S224" s="22" t="str">
        <f>IFERROR(INDEX(Iceland!$R$11:$R$165,MATCH('Calculations - Iceland'!$C224,Iceland!$M$11:$M$165,0)),"")</f>
        <v/>
      </c>
      <c r="T224" s="16" t="e">
        <f t="shared" ref="T224:T229" si="147">R224*G224</f>
        <v>#VALUE!</v>
      </c>
      <c r="U224" s="16" t="e">
        <f t="shared" si="130"/>
        <v>#VALUE!</v>
      </c>
      <c r="V224" s="16" t="e">
        <f t="shared" si="131"/>
        <v>#VALUE!</v>
      </c>
      <c r="W224" s="10" t="str">
        <f t="shared" ref="W224:W229" si="148">IFERROR(V224/H224,"-")</f>
        <v>-</v>
      </c>
      <c r="X224" s="10" t="str">
        <f t="shared" ref="X224:X229" si="149">IFERROR((J224+M224)*H224*0.5,"-")</f>
        <v>-</v>
      </c>
      <c r="Y224" s="13" t="str">
        <f t="shared" si="132"/>
        <v>-</v>
      </c>
      <c r="Z224" s="9" t="str">
        <f t="shared" ref="Z224:Z229" si="150">IFERROR(Y224-P224,"-")</f>
        <v>-</v>
      </c>
      <c r="AA224" s="16" t="str">
        <f t="shared" si="133"/>
        <v>-</v>
      </c>
      <c r="AB224" s="16" t="str">
        <f t="shared" ref="AB224:AB229" si="151">IFERROR(AA224/M224,"-")</f>
        <v>-</v>
      </c>
      <c r="AC224" s="16" t="str">
        <f t="shared" ref="AC224:AC229" si="152">IFERROR(R224*AA224,"-")</f>
        <v>-</v>
      </c>
      <c r="AD224" s="16" t="str">
        <f t="shared" si="134"/>
        <v>-</v>
      </c>
      <c r="AE224" s="16"/>
      <c r="AF224" s="31" t="str">
        <f>IFERROR(INDEX(Iceland!$P$11:$P$165,MATCH('Calculations - Iceland'!C224,Iceland!$M$11:$M$165,0)),"")</f>
        <v/>
      </c>
      <c r="AG224" s="23" t="str">
        <f t="shared" si="135"/>
        <v/>
      </c>
      <c r="AH224" s="23" t="str">
        <f t="shared" si="135"/>
        <v/>
      </c>
      <c r="AI224" s="9" t="str">
        <f t="shared" ref="AI224:AI229" si="153">IFERROR((AF224-M224)/M224,"")</f>
        <v/>
      </c>
      <c r="AJ224" s="4" t="str">
        <f t="shared" ref="AJ224:AJ229" si="154">IFERROR(MAX((1+AI224*O224/5)*H224,0),"")</f>
        <v/>
      </c>
      <c r="AK224" s="4"/>
      <c r="AL224" s="4"/>
      <c r="AM224" s="4"/>
      <c r="AN224" s="4"/>
      <c r="AO224" s="4"/>
      <c r="AP224" s="20" t="str">
        <f t="shared" ref="AP224:AP229" si="155">IFERROR(0.5*(J224+AF224)*AJ224,"-")</f>
        <v>-</v>
      </c>
      <c r="AQ224" s="13" t="str">
        <f t="shared" si="136"/>
        <v>-</v>
      </c>
      <c r="AR224" s="13" t="str">
        <f t="shared" si="137"/>
        <v>-</v>
      </c>
      <c r="AS224" s="13" t="str">
        <f t="shared" ref="AS224:AS229" si="156">IFERROR(AR224-P224,"-")</f>
        <v>-</v>
      </c>
      <c r="AT224" s="16" t="str">
        <f t="shared" si="138"/>
        <v>-</v>
      </c>
      <c r="AU224" s="16" t="str">
        <f t="shared" ref="AU224:AU229" si="157">IFERROR(AT224/AF224,"-")</f>
        <v>-</v>
      </c>
      <c r="AV224" s="16" t="str">
        <f t="shared" ref="AV224:AV229" si="158">IFERROR(AG224*AT224,"-")</f>
        <v>-</v>
      </c>
      <c r="AW224" s="16" t="str">
        <f t="shared" si="139"/>
        <v>-</v>
      </c>
      <c r="AX224" s="13" t="str">
        <f t="shared" si="140"/>
        <v>-</v>
      </c>
      <c r="AY224" s="10" t="str">
        <f t="shared" si="141"/>
        <v>-</v>
      </c>
      <c r="AZ224" s="9" t="str">
        <f t="shared" si="142"/>
        <v>-</v>
      </c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</row>
    <row r="225" spans="2:68" x14ac:dyDescent="0.3">
      <c r="B225" s="108" t="str">
        <f t="shared" ref="B225:B229" si="159">IFERROR(D225&amp;E225,"")</f>
        <v/>
      </c>
      <c r="C225" s="108" t="str">
        <f t="shared" si="145"/>
        <v/>
      </c>
      <c r="D225" s="3"/>
      <c r="E225" s="3"/>
      <c r="F225" s="3"/>
      <c r="G225" s="20">
        <f>IFERROR(INDEX('Input - Iceland'!F$2:F$200,MATCH('Calculations - Iceland'!$C225,'Input - Iceland'!$B$2:$B$200,0)),"")</f>
        <v>0</v>
      </c>
      <c r="H225" s="20">
        <f>IFERROR(INDEX('Input - Iceland'!G$2:G$200,MATCH('Calculations - Iceland'!$C225,'Input - Iceland'!$B$2:$B$200,0)),"")</f>
        <v>0</v>
      </c>
      <c r="I225" s="21">
        <f>IFERROR(INDEX('Input - Iceland'!H$2:H$200,MATCH('Calculations - Iceland'!$C225,'Input - Iceland'!$B$2:$B$200,0)),"")</f>
        <v>0</v>
      </c>
      <c r="J225" s="21">
        <f>IFERROR(INDEX('Input - Iceland'!I$2:I$200,MATCH('Calculations - Iceland'!$C225,'Input - Iceland'!$B$2:$B$200,0)),"")</f>
        <v>0</v>
      </c>
      <c r="K225" s="20">
        <f>IFERROR(INDEX('Input - Iceland'!J$2:J$200,MATCH('Calculations - Iceland'!$C225,'Input - Iceland'!$B$2:$B$200,0)),"")</f>
        <v>0</v>
      </c>
      <c r="L225" s="20">
        <f>IFERROR(INDEX('Input - Iceland'!K$2:K$200,MATCH('Calculations - Iceland'!$C225,'Input - Iceland'!$B$2:$B$200,0)),"")</f>
        <v>0</v>
      </c>
      <c r="M225" s="21" t="str">
        <f t="shared" ref="M225:M229" si="160">IFERROR(G225/H225,"")</f>
        <v/>
      </c>
      <c r="N225" s="21" t="str">
        <f t="shared" si="146"/>
        <v/>
      </c>
      <c r="O225" s="21">
        <f t="shared" ref="O225:O229" si="161">IFERROR((M225/(M225-J225)*5),0)</f>
        <v>0</v>
      </c>
      <c r="P225" s="9">
        <f t="shared" si="143"/>
        <v>0</v>
      </c>
      <c r="Q225" s="9">
        <f t="shared" si="144"/>
        <v>0</v>
      </c>
      <c r="R225" s="22" t="str">
        <f>IFERROR(INDEX(Iceland!$Q$11:$Q$165,MATCH('Calculations - Iceland'!$C225,Iceland!$M$11:$M$165,0)),"")</f>
        <v/>
      </c>
      <c r="S225" s="22" t="str">
        <f>IFERROR(INDEX(Iceland!$R$11:$R$165,MATCH('Calculations - Iceland'!$C225,Iceland!$M$11:$M$165,0)),"")</f>
        <v/>
      </c>
      <c r="T225" s="16" t="e">
        <f t="shared" si="147"/>
        <v>#VALUE!</v>
      </c>
      <c r="U225" s="16" t="e">
        <f t="shared" ref="U225:U229" si="162">S225*T225</f>
        <v>#VALUE!</v>
      </c>
      <c r="V225" s="16" t="e">
        <f t="shared" ref="V225:V229" si="163">T225-U225</f>
        <v>#VALUE!</v>
      </c>
      <c r="W225" s="10" t="str">
        <f t="shared" si="148"/>
        <v>-</v>
      </c>
      <c r="X225" s="10" t="str">
        <f t="shared" si="149"/>
        <v>-</v>
      </c>
      <c r="Y225" s="13" t="str">
        <f t="shared" ref="Y225:Y229" si="164">IFERROR(X225/$X$30,"-")</f>
        <v>-</v>
      </c>
      <c r="Z225" s="9" t="str">
        <f t="shared" si="150"/>
        <v>-</v>
      </c>
      <c r="AA225" s="16" t="str">
        <f t="shared" ref="AA225:AA229" si="165">IFERROR(Y225*$G$30,"-")</f>
        <v>-</v>
      </c>
      <c r="AB225" s="16" t="str">
        <f t="shared" si="151"/>
        <v>-</v>
      </c>
      <c r="AC225" s="16" t="str">
        <f t="shared" si="152"/>
        <v>-</v>
      </c>
      <c r="AD225" s="16" t="str">
        <f t="shared" ref="AD225:AD229" si="166">IFERROR(AC225-(W225)*AB225,"-")</f>
        <v>-</v>
      </c>
      <c r="AE225" s="16"/>
      <c r="AF225" s="31" t="str">
        <f>IFERROR(INDEX(Iceland!$P$11:$P$165,MATCH('Calculations - Iceland'!C225,Iceland!$M$11:$M$165,0)),"")</f>
        <v/>
      </c>
      <c r="AG225" s="23" t="str">
        <f t="shared" ref="AG225:AH229" si="167">R225</f>
        <v/>
      </c>
      <c r="AH225" s="23" t="str">
        <f t="shared" si="167"/>
        <v/>
      </c>
      <c r="AI225" s="9" t="str">
        <f t="shared" si="153"/>
        <v/>
      </c>
      <c r="AJ225" s="4" t="str">
        <f t="shared" si="154"/>
        <v/>
      </c>
      <c r="AK225" s="4"/>
      <c r="AL225" s="4"/>
      <c r="AM225" s="4"/>
      <c r="AN225" s="4"/>
      <c r="AO225" s="4"/>
      <c r="AP225" s="20" t="str">
        <f t="shared" si="155"/>
        <v>-</v>
      </c>
      <c r="AQ225" s="13" t="str">
        <f t="shared" ref="AQ225:AQ229" si="168">IFERROR(AP225/AP$30,"-")</f>
        <v>-</v>
      </c>
      <c r="AR225" s="13" t="str">
        <f t="shared" ref="AR225:AR229" si="169">IFERROR(AQ225*$P$30,"-")</f>
        <v>-</v>
      </c>
      <c r="AS225" s="13" t="str">
        <f t="shared" si="156"/>
        <v>-</v>
      </c>
      <c r="AT225" s="16" t="str">
        <f t="shared" ref="AT225:AT229" si="170">IFERROR(AR225*AO$32,"-")</f>
        <v>-</v>
      </c>
      <c r="AU225" s="16" t="str">
        <f t="shared" si="157"/>
        <v>-</v>
      </c>
      <c r="AV225" s="16" t="str">
        <f t="shared" si="158"/>
        <v>-</v>
      </c>
      <c r="AW225" s="16" t="str">
        <f t="shared" ref="AW225:AW229" si="171">IFERROR(AV225-(W225*AU225),"-")</f>
        <v>-</v>
      </c>
      <c r="AX225" s="13" t="str">
        <f t="shared" ref="AX225:AX229" si="172">IFERROR(AU225/SUMIFS($AU$32:$AU$229,$B$32:$B$229,$B225),"-")</f>
        <v>-</v>
      </c>
      <c r="AY225" s="10" t="str">
        <f t="shared" ref="AY225:AY229" si="173">IFERROR(AX225*INDEX($AU$4:$AU$24,MATCH($B225,$D$4:$D$24,0)),"-")</f>
        <v>-</v>
      </c>
      <c r="AZ225" s="9" t="str">
        <f t="shared" ref="AZ225:AZ229" si="174">IFERROR(AY225/SUM($AY$32:$AY$229),"-")</f>
        <v>-</v>
      </c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</row>
    <row r="226" spans="2:68" x14ac:dyDescent="0.3">
      <c r="B226" s="108" t="str">
        <f t="shared" si="159"/>
        <v/>
      </c>
      <c r="C226" s="108" t="str">
        <f t="shared" si="145"/>
        <v/>
      </c>
      <c r="D226" s="3"/>
      <c r="E226" s="3"/>
      <c r="F226" s="3"/>
      <c r="G226" s="20">
        <f>IFERROR(INDEX('Input - Iceland'!F$2:F$200,MATCH('Calculations - Iceland'!$C226,'Input - Iceland'!$B$2:$B$200,0)),"")</f>
        <v>0</v>
      </c>
      <c r="H226" s="20">
        <f>IFERROR(INDEX('Input - Iceland'!G$2:G$200,MATCH('Calculations - Iceland'!$C226,'Input - Iceland'!$B$2:$B$200,0)),"")</f>
        <v>0</v>
      </c>
      <c r="I226" s="21">
        <f>IFERROR(INDEX('Input - Iceland'!H$2:H$200,MATCH('Calculations - Iceland'!$C226,'Input - Iceland'!$B$2:$B$200,0)),"")</f>
        <v>0</v>
      </c>
      <c r="J226" s="21">
        <f>IFERROR(INDEX('Input - Iceland'!I$2:I$200,MATCH('Calculations - Iceland'!$C226,'Input - Iceland'!$B$2:$B$200,0)),"")</f>
        <v>0</v>
      </c>
      <c r="K226" s="20">
        <f>IFERROR(INDEX('Input - Iceland'!J$2:J$200,MATCH('Calculations - Iceland'!$C226,'Input - Iceland'!$B$2:$B$200,0)),"")</f>
        <v>0</v>
      </c>
      <c r="L226" s="20">
        <f>IFERROR(INDEX('Input - Iceland'!K$2:K$200,MATCH('Calculations - Iceland'!$C226,'Input - Iceland'!$B$2:$B$200,0)),"")</f>
        <v>0</v>
      </c>
      <c r="M226" s="21" t="str">
        <f t="shared" si="160"/>
        <v/>
      </c>
      <c r="N226" s="21" t="str">
        <f t="shared" si="146"/>
        <v/>
      </c>
      <c r="O226" s="21">
        <f t="shared" si="161"/>
        <v>0</v>
      </c>
      <c r="P226" s="9">
        <f t="shared" si="143"/>
        <v>0</v>
      </c>
      <c r="Q226" s="9">
        <f t="shared" si="144"/>
        <v>0</v>
      </c>
      <c r="R226" s="22" t="str">
        <f>IFERROR(INDEX(Iceland!$Q$11:$Q$165,MATCH('Calculations - Iceland'!$C226,Iceland!$M$11:$M$165,0)),"")</f>
        <v/>
      </c>
      <c r="S226" s="22" t="str">
        <f>IFERROR(INDEX(Iceland!$R$11:$R$165,MATCH('Calculations - Iceland'!$C226,Iceland!$M$11:$M$165,0)),"")</f>
        <v/>
      </c>
      <c r="T226" s="16" t="e">
        <f t="shared" si="147"/>
        <v>#VALUE!</v>
      </c>
      <c r="U226" s="16" t="e">
        <f t="shared" si="162"/>
        <v>#VALUE!</v>
      </c>
      <c r="V226" s="16" t="e">
        <f t="shared" si="163"/>
        <v>#VALUE!</v>
      </c>
      <c r="W226" s="10" t="str">
        <f t="shared" si="148"/>
        <v>-</v>
      </c>
      <c r="X226" s="10" t="str">
        <f t="shared" si="149"/>
        <v>-</v>
      </c>
      <c r="Y226" s="13" t="str">
        <f t="shared" si="164"/>
        <v>-</v>
      </c>
      <c r="Z226" s="9" t="str">
        <f t="shared" si="150"/>
        <v>-</v>
      </c>
      <c r="AA226" s="16" t="str">
        <f t="shared" si="165"/>
        <v>-</v>
      </c>
      <c r="AB226" s="16" t="str">
        <f t="shared" si="151"/>
        <v>-</v>
      </c>
      <c r="AC226" s="16" t="str">
        <f t="shared" si="152"/>
        <v>-</v>
      </c>
      <c r="AD226" s="16" t="str">
        <f t="shared" si="166"/>
        <v>-</v>
      </c>
      <c r="AE226" s="16"/>
      <c r="AF226" s="31" t="str">
        <f>IFERROR(INDEX(Iceland!$P$11:$P$165,MATCH('Calculations - Iceland'!C226,Iceland!$M$11:$M$165,0)),"")</f>
        <v/>
      </c>
      <c r="AG226" s="23" t="str">
        <f t="shared" si="167"/>
        <v/>
      </c>
      <c r="AH226" s="23" t="str">
        <f t="shared" si="167"/>
        <v/>
      </c>
      <c r="AI226" s="9" t="str">
        <f t="shared" si="153"/>
        <v/>
      </c>
      <c r="AJ226" s="4" t="str">
        <f t="shared" si="154"/>
        <v/>
      </c>
      <c r="AK226" s="4"/>
      <c r="AL226" s="4"/>
      <c r="AM226" s="4"/>
      <c r="AN226" s="4"/>
      <c r="AO226" s="4"/>
      <c r="AP226" s="20" t="str">
        <f t="shared" si="155"/>
        <v>-</v>
      </c>
      <c r="AQ226" s="13" t="str">
        <f t="shared" si="168"/>
        <v>-</v>
      </c>
      <c r="AR226" s="13" t="str">
        <f t="shared" si="169"/>
        <v>-</v>
      </c>
      <c r="AS226" s="13" t="str">
        <f t="shared" si="156"/>
        <v>-</v>
      </c>
      <c r="AT226" s="16" t="str">
        <f t="shared" si="170"/>
        <v>-</v>
      </c>
      <c r="AU226" s="16" t="str">
        <f t="shared" si="157"/>
        <v>-</v>
      </c>
      <c r="AV226" s="16" t="str">
        <f t="shared" si="158"/>
        <v>-</v>
      </c>
      <c r="AW226" s="16" t="str">
        <f t="shared" si="171"/>
        <v>-</v>
      </c>
      <c r="AX226" s="13" t="str">
        <f t="shared" si="172"/>
        <v>-</v>
      </c>
      <c r="AY226" s="10" t="str">
        <f t="shared" si="173"/>
        <v>-</v>
      </c>
      <c r="AZ226" s="9" t="str">
        <f t="shared" si="174"/>
        <v>-</v>
      </c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</row>
    <row r="227" spans="2:68" x14ac:dyDescent="0.3">
      <c r="B227" s="108" t="str">
        <f t="shared" si="159"/>
        <v/>
      </c>
      <c r="C227" s="108" t="str">
        <f t="shared" si="145"/>
        <v/>
      </c>
      <c r="D227" s="3"/>
      <c r="E227" s="3"/>
      <c r="F227" s="3"/>
      <c r="G227" s="20">
        <f>IFERROR(INDEX('Input - Iceland'!F$2:F$200,MATCH('Calculations - Iceland'!$C227,'Input - Iceland'!$B$2:$B$200,0)),"")</f>
        <v>0</v>
      </c>
      <c r="H227" s="20">
        <f>IFERROR(INDEX('Input - Iceland'!G$2:G$200,MATCH('Calculations - Iceland'!$C227,'Input - Iceland'!$B$2:$B$200,0)),"")</f>
        <v>0</v>
      </c>
      <c r="I227" s="21">
        <f>IFERROR(INDEX('Input - Iceland'!H$2:H$200,MATCH('Calculations - Iceland'!$C227,'Input - Iceland'!$B$2:$B$200,0)),"")</f>
        <v>0</v>
      </c>
      <c r="J227" s="21">
        <f>IFERROR(INDEX('Input - Iceland'!I$2:I$200,MATCH('Calculations - Iceland'!$C227,'Input - Iceland'!$B$2:$B$200,0)),"")</f>
        <v>0</v>
      </c>
      <c r="K227" s="20">
        <f>IFERROR(INDEX('Input - Iceland'!J$2:J$200,MATCH('Calculations - Iceland'!$C227,'Input - Iceland'!$B$2:$B$200,0)),"")</f>
        <v>0</v>
      </c>
      <c r="L227" s="20">
        <f>IFERROR(INDEX('Input - Iceland'!K$2:K$200,MATCH('Calculations - Iceland'!$C227,'Input - Iceland'!$B$2:$B$200,0)),"")</f>
        <v>0</v>
      </c>
      <c r="M227" s="21" t="str">
        <f t="shared" si="160"/>
        <v/>
      </c>
      <c r="N227" s="21" t="str">
        <f t="shared" si="146"/>
        <v/>
      </c>
      <c r="O227" s="21">
        <f t="shared" si="161"/>
        <v>0</v>
      </c>
      <c r="P227" s="9">
        <f t="shared" si="143"/>
        <v>0</v>
      </c>
      <c r="Q227" s="9">
        <f t="shared" si="144"/>
        <v>0</v>
      </c>
      <c r="R227" s="22" t="str">
        <f>IFERROR(INDEX(Iceland!$Q$11:$Q$165,MATCH('Calculations - Iceland'!$C227,Iceland!$M$11:$M$165,0)),"")</f>
        <v/>
      </c>
      <c r="S227" s="22" t="str">
        <f>IFERROR(INDEX(Iceland!$R$11:$R$165,MATCH('Calculations - Iceland'!$C227,Iceland!$M$11:$M$165,0)),"")</f>
        <v/>
      </c>
      <c r="T227" s="16" t="e">
        <f t="shared" si="147"/>
        <v>#VALUE!</v>
      </c>
      <c r="U227" s="16" t="e">
        <f t="shared" si="162"/>
        <v>#VALUE!</v>
      </c>
      <c r="V227" s="16" t="e">
        <f t="shared" si="163"/>
        <v>#VALUE!</v>
      </c>
      <c r="W227" s="10" t="str">
        <f t="shared" si="148"/>
        <v>-</v>
      </c>
      <c r="X227" s="10" t="str">
        <f t="shared" si="149"/>
        <v>-</v>
      </c>
      <c r="Y227" s="13" t="str">
        <f t="shared" si="164"/>
        <v>-</v>
      </c>
      <c r="Z227" s="9" t="str">
        <f t="shared" si="150"/>
        <v>-</v>
      </c>
      <c r="AA227" s="16" t="str">
        <f t="shared" si="165"/>
        <v>-</v>
      </c>
      <c r="AB227" s="16" t="str">
        <f t="shared" si="151"/>
        <v>-</v>
      </c>
      <c r="AC227" s="16" t="str">
        <f t="shared" si="152"/>
        <v>-</v>
      </c>
      <c r="AD227" s="16" t="str">
        <f t="shared" si="166"/>
        <v>-</v>
      </c>
      <c r="AE227" s="16"/>
      <c r="AF227" s="31" t="str">
        <f>IFERROR(INDEX(Iceland!$P$11:$P$165,MATCH('Calculations - Iceland'!C227,Iceland!$M$11:$M$165,0)),"")</f>
        <v/>
      </c>
      <c r="AG227" s="23" t="str">
        <f t="shared" si="167"/>
        <v/>
      </c>
      <c r="AH227" s="23" t="str">
        <f t="shared" si="167"/>
        <v/>
      </c>
      <c r="AI227" s="9" t="str">
        <f t="shared" si="153"/>
        <v/>
      </c>
      <c r="AJ227" s="4" t="str">
        <f t="shared" si="154"/>
        <v/>
      </c>
      <c r="AK227" s="4"/>
      <c r="AL227" s="4"/>
      <c r="AM227" s="4"/>
      <c r="AN227" s="4"/>
      <c r="AO227" s="4"/>
      <c r="AP227" s="20" t="str">
        <f t="shared" si="155"/>
        <v>-</v>
      </c>
      <c r="AQ227" s="13" t="str">
        <f t="shared" si="168"/>
        <v>-</v>
      </c>
      <c r="AR227" s="13" t="str">
        <f t="shared" si="169"/>
        <v>-</v>
      </c>
      <c r="AS227" s="13" t="str">
        <f t="shared" si="156"/>
        <v>-</v>
      </c>
      <c r="AT227" s="16" t="str">
        <f t="shared" si="170"/>
        <v>-</v>
      </c>
      <c r="AU227" s="16" t="str">
        <f t="shared" si="157"/>
        <v>-</v>
      </c>
      <c r="AV227" s="16" t="str">
        <f t="shared" si="158"/>
        <v>-</v>
      </c>
      <c r="AW227" s="16" t="str">
        <f t="shared" si="171"/>
        <v>-</v>
      </c>
      <c r="AX227" s="13" t="str">
        <f t="shared" si="172"/>
        <v>-</v>
      </c>
      <c r="AY227" s="10" t="str">
        <f t="shared" si="173"/>
        <v>-</v>
      </c>
      <c r="AZ227" s="9" t="str">
        <f t="shared" si="174"/>
        <v>-</v>
      </c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</row>
    <row r="228" spans="2:68" x14ac:dyDescent="0.3">
      <c r="B228" s="108" t="str">
        <f t="shared" si="159"/>
        <v/>
      </c>
      <c r="C228" s="108" t="str">
        <f t="shared" si="145"/>
        <v/>
      </c>
      <c r="D228" s="3"/>
      <c r="E228" s="3"/>
      <c r="F228" s="3"/>
      <c r="G228" s="20">
        <f>IFERROR(INDEX('Input - Iceland'!F$2:F$200,MATCH('Calculations - Iceland'!$C228,'Input - Iceland'!$B$2:$B$200,0)),"")</f>
        <v>0</v>
      </c>
      <c r="H228" s="20">
        <f>IFERROR(INDEX('Input - Iceland'!G$2:G$200,MATCH('Calculations - Iceland'!$C228,'Input - Iceland'!$B$2:$B$200,0)),"")</f>
        <v>0</v>
      </c>
      <c r="I228" s="21">
        <f>IFERROR(INDEX('Input - Iceland'!H$2:H$200,MATCH('Calculations - Iceland'!$C228,'Input - Iceland'!$B$2:$B$200,0)),"")</f>
        <v>0</v>
      </c>
      <c r="J228" s="21">
        <f>IFERROR(INDEX('Input - Iceland'!I$2:I$200,MATCH('Calculations - Iceland'!$C228,'Input - Iceland'!$B$2:$B$200,0)),"")</f>
        <v>0</v>
      </c>
      <c r="K228" s="20">
        <f>IFERROR(INDEX('Input - Iceland'!J$2:J$200,MATCH('Calculations - Iceland'!$C228,'Input - Iceland'!$B$2:$B$200,0)),"")</f>
        <v>0</v>
      </c>
      <c r="L228" s="20">
        <f>IFERROR(INDEX('Input - Iceland'!K$2:K$200,MATCH('Calculations - Iceland'!$C228,'Input - Iceland'!$B$2:$B$200,0)),"")</f>
        <v>0</v>
      </c>
      <c r="M228" s="21" t="str">
        <f t="shared" si="160"/>
        <v/>
      </c>
      <c r="N228" s="21" t="str">
        <f t="shared" si="146"/>
        <v/>
      </c>
      <c r="O228" s="21">
        <f t="shared" si="161"/>
        <v>0</v>
      </c>
      <c r="P228" s="9">
        <f t="shared" si="143"/>
        <v>0</v>
      </c>
      <c r="Q228" s="9">
        <f t="shared" si="144"/>
        <v>0</v>
      </c>
      <c r="R228" s="22" t="str">
        <f>IFERROR(INDEX(Iceland!$Q$11:$Q$165,MATCH('Calculations - Iceland'!$C228,Iceland!$M$11:$M$165,0)),"")</f>
        <v/>
      </c>
      <c r="S228" s="22" t="str">
        <f>IFERROR(INDEX(Iceland!$R$11:$R$165,MATCH('Calculations - Iceland'!$C228,Iceland!$M$11:$M$165,0)),"")</f>
        <v/>
      </c>
      <c r="T228" s="16" t="e">
        <f t="shared" si="147"/>
        <v>#VALUE!</v>
      </c>
      <c r="U228" s="16" t="e">
        <f t="shared" si="162"/>
        <v>#VALUE!</v>
      </c>
      <c r="V228" s="16" t="e">
        <f t="shared" si="163"/>
        <v>#VALUE!</v>
      </c>
      <c r="W228" s="10" t="str">
        <f t="shared" si="148"/>
        <v>-</v>
      </c>
      <c r="X228" s="10" t="str">
        <f t="shared" si="149"/>
        <v>-</v>
      </c>
      <c r="Y228" s="13" t="str">
        <f t="shared" si="164"/>
        <v>-</v>
      </c>
      <c r="Z228" s="9" t="str">
        <f t="shared" si="150"/>
        <v>-</v>
      </c>
      <c r="AA228" s="16" t="str">
        <f t="shared" si="165"/>
        <v>-</v>
      </c>
      <c r="AB228" s="16" t="str">
        <f t="shared" si="151"/>
        <v>-</v>
      </c>
      <c r="AC228" s="16" t="str">
        <f t="shared" si="152"/>
        <v>-</v>
      </c>
      <c r="AD228" s="16" t="str">
        <f t="shared" si="166"/>
        <v>-</v>
      </c>
      <c r="AE228" s="16"/>
      <c r="AF228" s="31" t="str">
        <f>IFERROR(INDEX(Iceland!$P$11:$P$165,MATCH('Calculations - Iceland'!C228,Iceland!$M$11:$M$165,0)),"")</f>
        <v/>
      </c>
      <c r="AG228" s="23" t="str">
        <f t="shared" si="167"/>
        <v/>
      </c>
      <c r="AH228" s="23" t="str">
        <f t="shared" si="167"/>
        <v/>
      </c>
      <c r="AI228" s="9" t="str">
        <f t="shared" si="153"/>
        <v/>
      </c>
      <c r="AJ228" s="4" t="str">
        <f t="shared" si="154"/>
        <v/>
      </c>
      <c r="AK228" s="4"/>
      <c r="AL228" s="4"/>
      <c r="AM228" s="4"/>
      <c r="AN228" s="4"/>
      <c r="AO228" s="4"/>
      <c r="AP228" s="20" t="str">
        <f t="shared" si="155"/>
        <v>-</v>
      </c>
      <c r="AQ228" s="13" t="str">
        <f t="shared" si="168"/>
        <v>-</v>
      </c>
      <c r="AR228" s="13" t="str">
        <f t="shared" si="169"/>
        <v>-</v>
      </c>
      <c r="AS228" s="13" t="str">
        <f t="shared" si="156"/>
        <v>-</v>
      </c>
      <c r="AT228" s="16" t="str">
        <f t="shared" si="170"/>
        <v>-</v>
      </c>
      <c r="AU228" s="16" t="str">
        <f t="shared" si="157"/>
        <v>-</v>
      </c>
      <c r="AV228" s="16" t="str">
        <f t="shared" si="158"/>
        <v>-</v>
      </c>
      <c r="AW228" s="16" t="str">
        <f t="shared" si="171"/>
        <v>-</v>
      </c>
      <c r="AX228" s="13" t="str">
        <f t="shared" si="172"/>
        <v>-</v>
      </c>
      <c r="AY228" s="10" t="str">
        <f t="shared" si="173"/>
        <v>-</v>
      </c>
      <c r="AZ228" s="9" t="str">
        <f t="shared" si="174"/>
        <v>-</v>
      </c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</row>
    <row r="229" spans="2:68" x14ac:dyDescent="0.3">
      <c r="B229" s="108" t="str">
        <f t="shared" si="159"/>
        <v/>
      </c>
      <c r="C229" s="108" t="str">
        <f t="shared" si="145"/>
        <v/>
      </c>
      <c r="D229" s="3"/>
      <c r="E229" s="3"/>
      <c r="F229" s="3"/>
      <c r="G229" s="20">
        <f>IFERROR(INDEX('Input - Iceland'!F$2:F$200,MATCH('Calculations - Iceland'!$C229,'Input - Iceland'!$B$2:$B$200,0)),"")</f>
        <v>0</v>
      </c>
      <c r="H229" s="20">
        <f>IFERROR(INDEX('Input - Iceland'!G$2:G$200,MATCH('Calculations - Iceland'!$C229,'Input - Iceland'!$B$2:$B$200,0)),"")</f>
        <v>0</v>
      </c>
      <c r="I229" s="21">
        <f>IFERROR(INDEX('Input - Iceland'!H$2:H$200,MATCH('Calculations - Iceland'!$C229,'Input - Iceland'!$B$2:$B$200,0)),"")</f>
        <v>0</v>
      </c>
      <c r="J229" s="21">
        <f>IFERROR(INDEX('Input - Iceland'!I$2:I$200,MATCH('Calculations - Iceland'!$C229,'Input - Iceland'!$B$2:$B$200,0)),"")</f>
        <v>0</v>
      </c>
      <c r="K229" s="20">
        <f>IFERROR(INDEX('Input - Iceland'!J$2:J$200,MATCH('Calculations - Iceland'!$C229,'Input - Iceland'!$B$2:$B$200,0)),"")</f>
        <v>0</v>
      </c>
      <c r="L229" s="20">
        <f>IFERROR(INDEX('Input - Iceland'!K$2:K$200,MATCH('Calculations - Iceland'!$C229,'Input - Iceland'!$B$2:$B$200,0)),"")</f>
        <v>0</v>
      </c>
      <c r="M229" s="21" t="str">
        <f t="shared" si="160"/>
        <v/>
      </c>
      <c r="N229" s="21" t="str">
        <f t="shared" si="146"/>
        <v/>
      </c>
      <c r="O229" s="21">
        <f t="shared" si="161"/>
        <v>0</v>
      </c>
      <c r="P229" s="9">
        <f t="shared" si="143"/>
        <v>0</v>
      </c>
      <c r="Q229" s="9">
        <f t="shared" si="144"/>
        <v>0</v>
      </c>
      <c r="R229" s="22" t="str">
        <f>IFERROR(INDEX(Iceland!$Q$11:$Q$165,MATCH('Calculations - Iceland'!$C229,Iceland!$M$11:$M$165,0)),"")</f>
        <v/>
      </c>
      <c r="S229" s="22" t="str">
        <f>IFERROR(INDEX(Iceland!$R$11:$R$165,MATCH('Calculations - Iceland'!$C229,Iceland!$M$11:$M$165,0)),"")</f>
        <v/>
      </c>
      <c r="T229" s="16" t="e">
        <f t="shared" si="147"/>
        <v>#VALUE!</v>
      </c>
      <c r="U229" s="16" t="e">
        <f t="shared" si="162"/>
        <v>#VALUE!</v>
      </c>
      <c r="V229" s="16" t="e">
        <f t="shared" si="163"/>
        <v>#VALUE!</v>
      </c>
      <c r="W229" s="10" t="str">
        <f t="shared" si="148"/>
        <v>-</v>
      </c>
      <c r="X229" s="10" t="str">
        <f t="shared" si="149"/>
        <v>-</v>
      </c>
      <c r="Y229" s="13" t="str">
        <f t="shared" si="164"/>
        <v>-</v>
      </c>
      <c r="Z229" s="9" t="str">
        <f t="shared" si="150"/>
        <v>-</v>
      </c>
      <c r="AA229" s="16" t="str">
        <f t="shared" si="165"/>
        <v>-</v>
      </c>
      <c r="AB229" s="16" t="str">
        <f t="shared" si="151"/>
        <v>-</v>
      </c>
      <c r="AC229" s="16" t="str">
        <f t="shared" si="152"/>
        <v>-</v>
      </c>
      <c r="AD229" s="16" t="str">
        <f t="shared" si="166"/>
        <v>-</v>
      </c>
      <c r="AE229" s="16"/>
      <c r="AF229" s="31" t="str">
        <f>IFERROR(INDEX(Iceland!$P$11:$P$165,MATCH('Calculations - Iceland'!C229,Iceland!$M$11:$M$165,0)),"")</f>
        <v/>
      </c>
      <c r="AG229" s="23" t="str">
        <f t="shared" si="167"/>
        <v/>
      </c>
      <c r="AH229" s="23" t="str">
        <f t="shared" si="167"/>
        <v/>
      </c>
      <c r="AI229" s="9" t="str">
        <f t="shared" si="153"/>
        <v/>
      </c>
      <c r="AJ229" s="4" t="str">
        <f t="shared" si="154"/>
        <v/>
      </c>
      <c r="AK229" s="4"/>
      <c r="AL229" s="4"/>
      <c r="AM229" s="4"/>
      <c r="AN229" s="4"/>
      <c r="AO229" s="4"/>
      <c r="AP229" s="20" t="str">
        <f t="shared" si="155"/>
        <v>-</v>
      </c>
      <c r="AQ229" s="13" t="str">
        <f t="shared" si="168"/>
        <v>-</v>
      </c>
      <c r="AR229" s="13" t="str">
        <f t="shared" si="169"/>
        <v>-</v>
      </c>
      <c r="AS229" s="13" t="str">
        <f t="shared" si="156"/>
        <v>-</v>
      </c>
      <c r="AT229" s="16" t="str">
        <f t="shared" si="170"/>
        <v>-</v>
      </c>
      <c r="AU229" s="16" t="str">
        <f t="shared" si="157"/>
        <v>-</v>
      </c>
      <c r="AV229" s="16" t="str">
        <f t="shared" si="158"/>
        <v>-</v>
      </c>
      <c r="AW229" s="16" t="str">
        <f t="shared" si="171"/>
        <v>-</v>
      </c>
      <c r="AX229" s="13" t="str">
        <f t="shared" si="172"/>
        <v>-</v>
      </c>
      <c r="AY229" s="10" t="str">
        <f t="shared" si="173"/>
        <v>-</v>
      </c>
      <c r="AZ229" s="9" t="str">
        <f t="shared" si="174"/>
        <v>-</v>
      </c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DD0D-0C72-477A-A731-F7B3D4923D9C}">
  <sheetPr codeName="Sheet9"/>
  <dimension ref="A1:AE125"/>
  <sheetViews>
    <sheetView showGridLines="0" topLeftCell="J1" zoomScale="55" zoomScaleNormal="55" workbookViewId="0">
      <selection activeCell="O11" sqref="O11:P11"/>
    </sheetView>
  </sheetViews>
  <sheetFormatPr defaultColWidth="15.77734375" defaultRowHeight="14.4" x14ac:dyDescent="0.3"/>
  <cols>
    <col min="1" max="1" width="8.88671875" style="103" customWidth="1"/>
    <col min="2" max="2" width="43.88671875" style="103" bestFit="1" customWidth="1"/>
    <col min="3" max="3" width="33.44140625" style="103" bestFit="1" customWidth="1"/>
    <col min="4" max="4" width="32.109375" style="103" bestFit="1" customWidth="1"/>
    <col min="5" max="5" width="34.88671875" style="103" bestFit="1" customWidth="1"/>
    <col min="6" max="6" width="23.5546875" style="103" bestFit="1" customWidth="1"/>
    <col min="7" max="7" width="33.44140625" style="103" bestFit="1" customWidth="1"/>
    <col min="8" max="8" width="25.77734375" style="103" customWidth="1"/>
    <col min="9" max="9" width="29.33203125" style="103" bestFit="1" customWidth="1"/>
    <col min="10" max="10" width="25.77734375" style="103" customWidth="1"/>
    <col min="11" max="11" width="34.88671875" style="103" bestFit="1" customWidth="1"/>
    <col min="12" max="12" width="27.88671875" style="103" customWidth="1"/>
    <col min="13" max="13" width="23.5546875" style="103" hidden="1" customWidth="1"/>
    <col min="14" max="14" width="23.5546875" style="103" bestFit="1" customWidth="1"/>
    <col min="15" max="15" width="31.6640625" style="103" customWidth="1"/>
    <col min="16" max="16" width="35.21875" style="103" customWidth="1"/>
    <col min="17" max="17" width="26.88671875" style="103" customWidth="1"/>
    <col min="18" max="18" width="34.6640625" style="103" customWidth="1"/>
    <col min="19" max="21" width="30.77734375" style="103" customWidth="1"/>
    <col min="22" max="22" width="45.77734375" style="103" customWidth="1"/>
    <col min="23" max="23" width="33.44140625" style="103" bestFit="1" customWidth="1"/>
    <col min="24" max="26" width="29.33203125" style="103" bestFit="1" customWidth="1"/>
    <col min="27" max="27" width="34.88671875" style="103" bestFit="1" customWidth="1"/>
    <col min="28" max="28" width="25.77734375" style="103" customWidth="1"/>
    <col min="29" max="16384" width="15.77734375" style="103"/>
  </cols>
  <sheetData>
    <row r="1" spans="1:29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pans="1:29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25.05" customHeight="1" x14ac:dyDescent="0.3">
      <c r="A6"/>
      <c r="B6" s="160" t="s">
        <v>114</v>
      </c>
      <c r="C6" s="160"/>
      <c r="D6"/>
      <c r="E6"/>
      <c r="F6"/>
      <c r="G6"/>
      <c r="H6"/>
      <c r="I6"/>
      <c r="J6"/>
      <c r="K6"/>
      <c r="L6"/>
      <c r="M6"/>
      <c r="N6" s="69" t="s">
        <v>64</v>
      </c>
      <c r="O6" s="116" t="s">
        <v>116</v>
      </c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ht="25.8" x14ac:dyDescent="0.5">
      <c r="A8"/>
      <c r="B8" s="159" t="s">
        <v>49</v>
      </c>
      <c r="C8" s="159"/>
      <c r="D8" s="159"/>
      <c r="E8" s="159"/>
      <c r="F8" s="159"/>
      <c r="G8" s="159"/>
      <c r="H8" s="159"/>
      <c r="I8" s="159"/>
      <c r="J8" s="159"/>
      <c r="K8" s="159"/>
      <c r="L8" s="34"/>
      <c r="M8"/>
      <c r="N8" s="159" t="s">
        <v>50</v>
      </c>
      <c r="O8" s="159"/>
      <c r="P8" s="159"/>
      <c r="Q8" s="159"/>
      <c r="R8" s="159"/>
      <c r="S8" s="159"/>
      <c r="T8" s="159"/>
      <c r="U8"/>
      <c r="V8" s="159" t="s">
        <v>65</v>
      </c>
      <c r="W8" s="159"/>
      <c r="X8" s="159"/>
      <c r="Y8" s="159"/>
      <c r="Z8" s="159"/>
      <c r="AA8" s="159"/>
      <c r="AB8" s="159"/>
      <c r="AC8"/>
    </row>
    <row r="9" spans="1:29" ht="60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117" t="s">
        <v>100</v>
      </c>
      <c r="U9" s="117"/>
      <c r="V9"/>
      <c r="W9"/>
      <c r="X9"/>
      <c r="Y9"/>
      <c r="Z9"/>
      <c r="AA9"/>
      <c r="AB9"/>
      <c r="AC9"/>
    </row>
    <row r="10" spans="1:29" ht="30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 s="42"/>
      <c r="O10" s="32" t="s">
        <v>10</v>
      </c>
      <c r="P10" s="32" t="s">
        <v>51</v>
      </c>
      <c r="Q10" s="32" t="s">
        <v>52</v>
      </c>
      <c r="R10" s="32" t="s">
        <v>53</v>
      </c>
      <c r="S10" s="32" t="s">
        <v>54</v>
      </c>
      <c r="T10" s="32" t="s">
        <v>19</v>
      </c>
      <c r="U10" s="32"/>
      <c r="V10"/>
      <c r="W10"/>
      <c r="X10"/>
      <c r="Y10"/>
      <c r="Z10"/>
      <c r="AA10"/>
      <c r="AB10"/>
      <c r="AC10"/>
    </row>
    <row r="11" spans="1:29" ht="25.05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 s="47" t="s">
        <v>9</v>
      </c>
      <c r="N11" s="42"/>
      <c r="O11" s="165" t="str">
        <f>'Calculations - Iceland'!F4</f>
        <v>HP</v>
      </c>
      <c r="P11" s="165"/>
      <c r="Q11" s="42"/>
      <c r="R11" s="42"/>
      <c r="S11" s="41">
        <f>P12/O12-1</f>
        <v>0</v>
      </c>
      <c r="T11"/>
      <c r="U11"/>
      <c r="V11"/>
      <c r="W11"/>
      <c r="X11"/>
      <c r="Y11"/>
      <c r="Z11"/>
      <c r="AA11"/>
      <c r="AB11"/>
      <c r="AC11"/>
    </row>
    <row r="12" spans="1:29" ht="25.0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 t="str">
        <f>$O$6&amp;O11&amp;N12</f>
        <v>IcelandHP</v>
      </c>
      <c r="N12" s="42"/>
      <c r="O12" s="48">
        <f>INDEX('Calculations - Iceland'!$M$3:$M$24,MATCH(M12,'Calculations - Iceland'!$D$3:$D$24,0))</f>
        <v>5.707299115246899</v>
      </c>
      <c r="P12" s="49">
        <f>INDEX('Calculations - Iceland'!$AF$3:$AF$24,MATCH(M12,'Calculations - Iceland'!$D$3:$D$24,0))</f>
        <v>5.707299115246899</v>
      </c>
      <c r="Q12" s="64">
        <f>INDEX('Calculations - Iceland'!$R$3:$R$24,MATCH(Iceland!$O$6&amp;Iceland!$O11,'Calculations - Iceland'!$D$3:$D$24,0))</f>
        <v>0.79999999999999993</v>
      </c>
      <c r="R12" s="64">
        <f>INDEX('Calculations - Iceland'!$S$3:$S$24,MATCH(Iceland!$O$6&amp;Iceland!$O11,'Calculations - Iceland'!$D$3:$D$24,0))</f>
        <v>0.3</v>
      </c>
      <c r="S12" s="42"/>
      <c r="T12" s="121">
        <f>SUM(T13:T15)</f>
        <v>0.46787830697474853</v>
      </c>
      <c r="U12"/>
      <c r="V12"/>
      <c r="W12"/>
      <c r="X12"/>
      <c r="Y12"/>
      <c r="Z12"/>
      <c r="AA12"/>
      <c r="AB12"/>
      <c r="AC12"/>
    </row>
    <row r="13" spans="1:29" ht="25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 t="str">
        <f>$O$6&amp;O11&amp;N13</f>
        <v>IcelandHPSmall</v>
      </c>
      <c r="N13" s="33" t="s">
        <v>113</v>
      </c>
      <c r="O13" s="50">
        <f>IFERROR(INDEX('Calculations - Iceland'!$M$32:$M$229,MATCH($M13,'Calculations - Iceland'!$C$32:$C$229,0)),0)</f>
        <v>0</v>
      </c>
      <c r="P13" s="51">
        <f>O13</f>
        <v>0</v>
      </c>
      <c r="Q13" s="65">
        <v>0.8</v>
      </c>
      <c r="R13" s="65">
        <v>0.3</v>
      </c>
      <c r="S13" s="41">
        <f>IFERROR(P13/O13-1,0)</f>
        <v>0</v>
      </c>
      <c r="T13" s="122" t="str">
        <f>IFERROR(INDEX('Calculations - Iceland'!$AZ$32:$AZ$229,MATCH($M13,'Calculations - Iceland'!$C$32:$C$229,0)),"-")</f>
        <v>-</v>
      </c>
      <c r="U13"/>
      <c r="V13"/>
      <c r="W13"/>
      <c r="X13"/>
      <c r="Y13"/>
      <c r="Z13"/>
      <c r="AA13"/>
      <c r="AB13"/>
      <c r="AC13"/>
    </row>
    <row r="14" spans="1:29" ht="25.0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 t="str">
        <f>$O$6&amp;O11&amp;N14</f>
        <v>IcelandHPMedium</v>
      </c>
      <c r="N14" s="33" t="s">
        <v>111</v>
      </c>
      <c r="O14" s="50">
        <f>IFERROR(INDEX('Calculations - Iceland'!$M$32:$M$229,MATCH($M14,'Calculations - Iceland'!$C$32:$C$229,0)),0)</f>
        <v>5.8216519133036249</v>
      </c>
      <c r="P14" s="51">
        <f>O14</f>
        <v>5.8216519133036249</v>
      </c>
      <c r="Q14" s="65">
        <v>0.8</v>
      </c>
      <c r="R14" s="65">
        <v>0.3</v>
      </c>
      <c r="S14" s="41">
        <f t="shared" ref="S14:S15" si="0">IFERROR(P14/O14-1,0)</f>
        <v>0</v>
      </c>
      <c r="T14" s="122">
        <f>IFERROR(INDEX('Calculations - Iceland'!$AZ$32:$AZ$229,MATCH($M14,'Calculations - Iceland'!$C$32:$C$229,0)),"-")</f>
        <v>0.1373092249949692</v>
      </c>
      <c r="U14"/>
      <c r="V14"/>
      <c r="W14"/>
      <c r="X14"/>
      <c r="Y14"/>
      <c r="Z14"/>
      <c r="AA14"/>
      <c r="AB14"/>
      <c r="AC14"/>
    </row>
    <row r="15" spans="1:29" ht="25.0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 t="str">
        <f>$O$6&amp;O11&amp;N15</f>
        <v>IcelandHPLarge</v>
      </c>
      <c r="N15" s="33" t="s">
        <v>112</v>
      </c>
      <c r="O15" s="50">
        <f>IFERROR(INDEX('Calculations - Iceland'!$M$32:$M$229,MATCH($M15,'Calculations - Iceland'!$C$32:$C$229,0)),0)</f>
        <v>5.6595867166156406</v>
      </c>
      <c r="P15" s="51">
        <f>O15</f>
        <v>5.6595867166156406</v>
      </c>
      <c r="Q15" s="65">
        <v>0.8</v>
      </c>
      <c r="R15" s="65">
        <v>0.3</v>
      </c>
      <c r="S15" s="41">
        <f t="shared" si="0"/>
        <v>0</v>
      </c>
      <c r="T15" s="122">
        <f>IFERROR(INDEX('Calculations - Iceland'!$AZ$32:$AZ$229,MATCH($M15,'Calculations - Iceland'!$C$32:$C$229,0)),"-")</f>
        <v>0.3305690819797793</v>
      </c>
      <c r="U15"/>
      <c r="V15"/>
      <c r="W15"/>
      <c r="X15"/>
      <c r="Y15"/>
      <c r="Z15"/>
      <c r="AA15"/>
      <c r="AB15"/>
      <c r="AC15"/>
    </row>
    <row r="16" spans="1:29" ht="25.05" customHeight="1" x14ac:dyDescent="0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 s="52"/>
      <c r="P16" s="52"/>
      <c r="Q16" s="52"/>
      <c r="R16" s="52"/>
      <c r="S16"/>
      <c r="T16"/>
      <c r="U16"/>
      <c r="V16"/>
      <c r="W16"/>
      <c r="X16"/>
      <c r="Y16"/>
      <c r="Z16"/>
      <c r="AA16"/>
      <c r="AB16"/>
      <c r="AC16"/>
    </row>
    <row r="17" spans="1:31" ht="25.0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 s="42"/>
      <c r="O17" s="163" t="str">
        <f>'Calculations - Iceland'!F5</f>
        <v>DADDIES</v>
      </c>
      <c r="P17" s="163"/>
      <c r="Q17" s="66"/>
      <c r="R17" s="66"/>
      <c r="S17" s="41">
        <f>P18/O18-1</f>
        <v>0</v>
      </c>
      <c r="T17" s="118"/>
      <c r="U17"/>
      <c r="V17"/>
      <c r="W17"/>
      <c r="X17"/>
      <c r="Y17"/>
      <c r="Z17"/>
      <c r="AA17"/>
      <c r="AB17"/>
      <c r="AC17"/>
    </row>
    <row r="18" spans="1:31" ht="25.0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 t="str">
        <f>$O$6&amp;O17&amp;N18</f>
        <v>IcelandDADDIES</v>
      </c>
      <c r="N18" s="42"/>
      <c r="O18" s="48">
        <f>INDEX('Calculations - Iceland'!$M$3:$M$24,MATCH(M18,'Calculations - Iceland'!$D$3:$D$24,0))</f>
        <v>3.7517866756474003</v>
      </c>
      <c r="P18" s="53">
        <f>INDEX('Calculations - Iceland'!$AF$3:$AF$24,MATCH(M18,'Calculations - Iceland'!$D$3:$D$24,0))</f>
        <v>3.7517866756474003</v>
      </c>
      <c r="Q18" s="64">
        <f>INDEX('Calculations - Iceland'!$R$3:$R$24,MATCH(Iceland!$O$6&amp;Iceland!$O17,'Calculations - Iceland'!$D$3:$D$24,0))</f>
        <v>0.8</v>
      </c>
      <c r="R18" s="64">
        <f>INDEX('Calculations - Iceland'!$S$3:$S$24,MATCH(Iceland!$O$6&amp;Iceland!$O17,'Calculations - Iceland'!$D$3:$D$24,0))</f>
        <v>0.29999999999999993</v>
      </c>
      <c r="S18" s="42"/>
      <c r="T18" s="121">
        <f>SUM(T19:T21)</f>
        <v>0.31994221427292124</v>
      </c>
      <c r="U18"/>
      <c r="V18"/>
      <c r="W18"/>
      <c r="X18"/>
      <c r="Y18"/>
      <c r="Z18"/>
      <c r="AA18"/>
      <c r="AB18"/>
      <c r="AC18"/>
    </row>
    <row r="19" spans="1:31" ht="25.0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 t="str">
        <f>$O$6&amp;O17&amp;N19</f>
        <v>IcelandDADDIESSmall</v>
      </c>
      <c r="N19" s="33" t="s">
        <v>113</v>
      </c>
      <c r="O19" s="50">
        <f>IFERROR(INDEX('Calculations - Iceland'!$M$32:$M$229,MATCH($M19,'Calculations - Iceland'!$C$32:$C$229,0)),0)</f>
        <v>0</v>
      </c>
      <c r="P19" s="54">
        <f>O19</f>
        <v>0</v>
      </c>
      <c r="Q19" s="65">
        <v>0.8</v>
      </c>
      <c r="R19" s="65">
        <v>0.3</v>
      </c>
      <c r="S19" s="41">
        <f t="shared" ref="S19:S21" si="1">IFERROR(P19/O19-1,0)</f>
        <v>0</v>
      </c>
      <c r="T19" s="122" t="str">
        <f>IFERROR(INDEX('Calculations - Iceland'!$AZ$32:$AZ$229,MATCH($M19,'Calculations - Iceland'!$C$32:$C$229,0)),"-")</f>
        <v>-</v>
      </c>
      <c r="U19"/>
      <c r="V19"/>
      <c r="W19"/>
      <c r="X19"/>
      <c r="Y19"/>
      <c r="Z19"/>
      <c r="AA19"/>
      <c r="AB19"/>
      <c r="AC19"/>
    </row>
    <row r="20" spans="1:31" ht="25.0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 t="str">
        <f>$O$6&amp;O17&amp;N20</f>
        <v>IcelandDADDIESMedium</v>
      </c>
      <c r="N20" s="33" t="s">
        <v>111</v>
      </c>
      <c r="O20" s="50">
        <f>IFERROR(INDEX('Calculations - Iceland'!$M$32:$M$229,MATCH($M20,'Calculations - Iceland'!$C$32:$C$229,0)),0)</f>
        <v>3.7518965311883874</v>
      </c>
      <c r="P20" s="54">
        <f>O20</f>
        <v>3.7518965311883874</v>
      </c>
      <c r="Q20" s="65">
        <v>0.8</v>
      </c>
      <c r="R20" s="65">
        <v>0.3</v>
      </c>
      <c r="S20" s="41">
        <f t="shared" si="1"/>
        <v>0</v>
      </c>
      <c r="T20" s="122">
        <f>IFERROR(INDEX('Calculations - Iceland'!$AZ$32:$AZ$229,MATCH($M20,'Calculations - Iceland'!$C$32:$C$229,0)),"-")</f>
        <v>0.31991265256903001</v>
      </c>
      <c r="U20"/>
      <c r="V20"/>
      <c r="W20"/>
      <c r="X20"/>
      <c r="Y20"/>
      <c r="Z20"/>
      <c r="AA20"/>
      <c r="AB20"/>
      <c r="AC20"/>
    </row>
    <row r="21" spans="1:31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 t="str">
        <f>$O$6&amp;O17&amp;N21</f>
        <v>IcelandDADDIESLarge</v>
      </c>
      <c r="N21" s="33" t="s">
        <v>112</v>
      </c>
      <c r="O21" s="50">
        <f>IFERROR(INDEX('Calculations - Iceland'!$M$32:$M$229,MATCH($M21,'Calculations - Iceland'!$C$32:$C$229,0)),0)</f>
        <v>1.6423357664233575</v>
      </c>
      <c r="P21" s="54">
        <f>O21</f>
        <v>1.6423357664233575</v>
      </c>
      <c r="Q21" s="65">
        <v>0.8</v>
      </c>
      <c r="R21" s="65">
        <v>0.3</v>
      </c>
      <c r="S21" s="41">
        <f t="shared" si="1"/>
        <v>0</v>
      </c>
      <c r="T21" s="122">
        <f>IFERROR(INDEX('Calculations - Iceland'!$AZ$32:$AZ$229,MATCH($M21,'Calculations - Iceland'!$C$32:$C$229,0)),"-")</f>
        <v>2.9561703891260386E-5</v>
      </c>
      <c r="U21"/>
      <c r="V21"/>
      <c r="W21"/>
      <c r="X21"/>
      <c r="Y21"/>
      <c r="Z21"/>
      <c r="AA21"/>
      <c r="AB21"/>
      <c r="AC21"/>
    </row>
    <row r="22" spans="1:31" ht="25.05" customHeight="1" x14ac:dyDescent="0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 s="52"/>
      <c r="P22" s="5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31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 s="42"/>
      <c r="O23" s="164" t="str">
        <f>'Calculations - Iceland'!F6</f>
        <v>GOLD STAR</v>
      </c>
      <c r="P23" s="164"/>
      <c r="Q23" s="42"/>
      <c r="R23" s="42"/>
      <c r="S23" s="41">
        <f>P24/O24-1</f>
        <v>0</v>
      </c>
      <c r="T23" s="118"/>
      <c r="U23"/>
      <c r="V23"/>
      <c r="W23"/>
      <c r="X23"/>
      <c r="Y23"/>
      <c r="Z23"/>
      <c r="AA23"/>
      <c r="AB23"/>
      <c r="AC23"/>
    </row>
    <row r="24" spans="1:31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 t="str">
        <f>$O$6&amp;O23&amp;N24</f>
        <v>IcelandGOLD STAR</v>
      </c>
      <c r="N24" s="42"/>
      <c r="O24" s="48">
        <f>INDEX('Calculations - Iceland'!$M$3:$M$24,MATCH(M24,'Calculations - Iceland'!$D$3:$D$24,0))</f>
        <v>1.854333830673681</v>
      </c>
      <c r="P24" s="55">
        <f>INDEX('Calculations - Iceland'!$AF$3:$AF$24,MATCH(M24,'Calculations - Iceland'!$D$3:$D$24,0))</f>
        <v>1.854333830673681</v>
      </c>
      <c r="Q24"/>
      <c r="R24"/>
      <c r="S24" s="42"/>
      <c r="T24" s="121">
        <f>SUM(T25:T27)</f>
        <v>8.1878631154167464E-2</v>
      </c>
      <c r="U24"/>
      <c r="V24"/>
      <c r="W24"/>
      <c r="X24"/>
      <c r="Y24"/>
      <c r="Z24"/>
      <c r="AA24"/>
      <c r="AB24"/>
      <c r="AC24"/>
    </row>
    <row r="25" spans="1:31" ht="25.0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 t="str">
        <f>$O$6&amp;O23&amp;N25</f>
        <v>IcelandGOLD STARSmall</v>
      </c>
      <c r="N25" s="33" t="s">
        <v>113</v>
      </c>
      <c r="O25" s="50">
        <f>IFERROR(INDEX('Calculations - Iceland'!$M$32:$M$229,MATCH($M25,'Calculations - Iceland'!$C$32:$C$229,0)),0)</f>
        <v>0</v>
      </c>
      <c r="P25" s="56">
        <f>O25</f>
        <v>0</v>
      </c>
      <c r="Q25"/>
      <c r="R25"/>
      <c r="S25" s="41">
        <f t="shared" ref="S25:S27" si="2">IFERROR(P25/O25-1,0)</f>
        <v>0</v>
      </c>
      <c r="T25" s="122" t="str">
        <f>IFERROR(INDEX('Calculations - Iceland'!$AZ$32:$AZ$229,MATCH($M25,'Calculations - Iceland'!$C$32:$C$229,0)),"-")</f>
        <v>-</v>
      </c>
      <c r="U25"/>
      <c r="V25"/>
      <c r="W25"/>
      <c r="X25"/>
      <c r="Y25"/>
      <c r="Z25"/>
      <c r="AA25"/>
      <c r="AB25"/>
      <c r="AC25"/>
    </row>
    <row r="26" spans="1:31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 t="str">
        <f>$O$6&amp;O23&amp;N26</f>
        <v>IcelandGOLD STARMedium</v>
      </c>
      <c r="N26" s="33" t="s">
        <v>111</v>
      </c>
      <c r="O26" s="50">
        <f>IFERROR(INDEX('Calculations - Iceland'!$M$32:$M$229,MATCH($M26,'Calculations - Iceland'!$C$32:$C$229,0)),0)</f>
        <v>0</v>
      </c>
      <c r="P26" s="56">
        <f>O26</f>
        <v>0</v>
      </c>
      <c r="Q26"/>
      <c r="R26"/>
      <c r="S26" s="41">
        <f t="shared" si="2"/>
        <v>0</v>
      </c>
      <c r="T26" s="122" t="str">
        <f>IFERROR(INDEX('Calculations - Iceland'!$AZ$32:$AZ$229,MATCH($M26,'Calculations - Iceland'!$C$32:$C$229,0)),"-")</f>
        <v>-</v>
      </c>
      <c r="U26"/>
      <c r="V26"/>
      <c r="W26"/>
      <c r="X26"/>
      <c r="Y26"/>
      <c r="Z26"/>
      <c r="AA26"/>
      <c r="AB26"/>
      <c r="AC26"/>
    </row>
    <row r="27" spans="1:31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 t="str">
        <f>$O$6&amp;O23&amp;N27</f>
        <v>IcelandGOLD STARLarge</v>
      </c>
      <c r="N27" s="33" t="s">
        <v>112</v>
      </c>
      <c r="O27" s="50">
        <f>IFERROR(INDEX('Calculations - Iceland'!$M$32:$M$229,MATCH($M27,'Calculations - Iceland'!$C$32:$C$229,0)),0)</f>
        <v>1.854333830673681</v>
      </c>
      <c r="P27" s="56">
        <f>O27</f>
        <v>1.854333830673681</v>
      </c>
      <c r="Q27"/>
      <c r="R27"/>
      <c r="S27" s="41">
        <f t="shared" si="2"/>
        <v>0</v>
      </c>
      <c r="T27" s="122">
        <f>IFERROR(INDEX('Calculations - Iceland'!$AZ$32:$AZ$229,MATCH($M27,'Calculations - Iceland'!$C$32:$C$229,0)),"-")</f>
        <v>8.1878631154167464E-2</v>
      </c>
      <c r="U27"/>
      <c r="V27"/>
      <c r="W27"/>
      <c r="X27"/>
      <c r="Y27"/>
      <c r="Z27"/>
      <c r="AA27"/>
      <c r="AB27"/>
      <c r="AC27"/>
    </row>
    <row r="28" spans="1:31" ht="25.05" customHeight="1" x14ac:dyDescent="0.4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 s="52"/>
      <c r="P28" s="52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31" ht="25.05" customHeight="1" x14ac:dyDescent="0.5">
      <c r="A29"/>
      <c r="B29" s="159" t="s">
        <v>77</v>
      </c>
      <c r="C29" s="159"/>
      <c r="D29" s="159"/>
      <c r="E29" s="159"/>
      <c r="F29" s="159"/>
      <c r="G29" s="159"/>
      <c r="H29" s="159"/>
      <c r="I29" s="159"/>
      <c r="J29" s="159"/>
      <c r="K29" s="159"/>
      <c r="L29" s="34"/>
      <c r="M29"/>
      <c r="N29" s="42"/>
      <c r="O29" s="149" t="str">
        <f>'Calculations - Iceland'!F7</f>
        <v>RESTOFCATEGORY</v>
      </c>
      <c r="P29" s="149"/>
      <c r="Q29"/>
      <c r="R29"/>
      <c r="S29" s="41">
        <f>P30/O30-1</f>
        <v>0</v>
      </c>
      <c r="T29" s="118"/>
      <c r="U29"/>
      <c r="V29" s="158" t="s">
        <v>78</v>
      </c>
      <c r="W29" s="158"/>
      <c r="X29" s="158"/>
      <c r="Y29" s="158"/>
      <c r="Z29" s="158"/>
      <c r="AA29" s="158"/>
      <c r="AB29" s="158"/>
      <c r="AC29"/>
    </row>
    <row r="30" spans="1:31" ht="25.05" customHeight="1" x14ac:dyDescent="0.5">
      <c r="A30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/>
      <c r="M30" t="str">
        <f>$O$6&amp;O29&amp;N30</f>
        <v>IcelandRESTOFCATEGORY</v>
      </c>
      <c r="N30" s="42"/>
      <c r="O30" s="48">
        <f>INDEX('Calculations - Iceland'!$M$3:$M$24,MATCH(M30,'Calculations - Iceland'!$D$3:$D$24,0))</f>
        <v>2.332659034600598</v>
      </c>
      <c r="P30" s="59">
        <f>INDEX('Calculations - Iceland'!$AF$3:$AF$24,MATCH(M30,'Calculations - Iceland'!$D$3:$D$24,0))</f>
        <v>2.332659034600598</v>
      </c>
      <c r="Q30"/>
      <c r="R30"/>
      <c r="S30" s="42"/>
      <c r="T30" s="121">
        <f>SUM(T31:T33)</f>
        <v>0.13030084759816268</v>
      </c>
      <c r="U30"/>
      <c r="V30" s="34"/>
      <c r="W30" s="34"/>
      <c r="X30" s="34"/>
      <c r="Y30" s="34"/>
      <c r="Z30" s="34"/>
      <c r="AA30" s="34"/>
      <c r="AB30" s="34"/>
      <c r="AC30" s="34"/>
      <c r="AD30" s="104"/>
      <c r="AE30" s="104"/>
    </row>
    <row r="31" spans="1:31" ht="25.05" customHeight="1" thickBot="1" x14ac:dyDescent="0.35">
      <c r="A31"/>
      <c r="B31"/>
      <c r="C31"/>
      <c r="D31"/>
      <c r="E31"/>
      <c r="F31"/>
      <c r="G31"/>
      <c r="H31"/>
      <c r="I31"/>
      <c r="J31"/>
      <c r="K31"/>
      <c r="L31" s="43"/>
      <c r="M31" t="str">
        <f>$O$6&amp;O29&amp;N31</f>
        <v>IcelandRESTOFCATEGORYSmall</v>
      </c>
      <c r="N31" s="33" t="s">
        <v>113</v>
      </c>
      <c r="O31" s="50">
        <f>IFERROR(INDEX('Calculations - Iceland'!$M$32:$M$229,MATCH($M31,'Calculations - Iceland'!$C$32:$C$229,0)),0)</f>
        <v>0</v>
      </c>
      <c r="P31" s="60">
        <f>O31</f>
        <v>0</v>
      </c>
      <c r="Q31"/>
      <c r="R31"/>
      <c r="S31" s="41">
        <f t="shared" ref="S31:S33" si="3">IFERROR(P31/O31-1,0)</f>
        <v>0</v>
      </c>
      <c r="T31" s="122" t="str">
        <f>IFERROR(INDEX('Calculations - Iceland'!$AZ$32:$AZ$229,MATCH($M31,'Calculations - Iceland'!$C$32:$C$229,0)),"-")</f>
        <v>-</v>
      </c>
      <c r="U31"/>
      <c r="V31"/>
      <c r="W31"/>
      <c r="X31"/>
      <c r="Y31"/>
      <c r="Z31"/>
      <c r="AA31"/>
      <c r="AB31"/>
      <c r="AC31"/>
    </row>
    <row r="32" spans="1:31" ht="25.05" customHeight="1" x14ac:dyDescent="0.3">
      <c r="A32"/>
      <c r="B32" s="161" t="s">
        <v>55</v>
      </c>
      <c r="C32" s="135" t="s">
        <v>107</v>
      </c>
      <c r="D32" s="87" t="s">
        <v>106</v>
      </c>
      <c r="E32" s="67" t="s">
        <v>56</v>
      </c>
      <c r="F32" s="62"/>
      <c r="G32" s="152" t="s">
        <v>107</v>
      </c>
      <c r="H32" s="153"/>
      <c r="I32" s="154" t="s">
        <v>106</v>
      </c>
      <c r="J32" s="155"/>
      <c r="K32" s="61" t="s">
        <v>56</v>
      </c>
      <c r="L32" s="44"/>
      <c r="M32" t="str">
        <f>$O$6&amp;O29&amp;N32</f>
        <v>IcelandRESTOFCATEGORYMedium</v>
      </c>
      <c r="N32" s="33" t="s">
        <v>111</v>
      </c>
      <c r="O32" s="50">
        <f>IFERROR(INDEX('Calculations - Iceland'!$M$32:$M$229,MATCH($M32,'Calculations - Iceland'!$C$32:$C$229,0)),0)</f>
        <v>2.332659034600598</v>
      </c>
      <c r="P32" s="60">
        <f>O32</f>
        <v>2.332659034600598</v>
      </c>
      <c r="Q32"/>
      <c r="R32"/>
      <c r="S32" s="41">
        <f t="shared" si="3"/>
        <v>0</v>
      </c>
      <c r="T32" s="122">
        <f>IFERROR(INDEX('Calculations - Iceland'!$AZ$32:$AZ$229,MATCH($M32,'Calculations - Iceland'!$C$32:$C$229,0)),"-")</f>
        <v>0.13030084759816268</v>
      </c>
      <c r="U32"/>
      <c r="V32" s="150" t="s">
        <v>67</v>
      </c>
      <c r="W32" s="152" t="s">
        <v>107</v>
      </c>
      <c r="X32" s="153"/>
      <c r="Y32" s="154" t="s">
        <v>106</v>
      </c>
      <c r="Z32" s="155"/>
      <c r="AA32" s="156" t="s">
        <v>56</v>
      </c>
      <c r="AB32" s="157"/>
      <c r="AC32"/>
    </row>
    <row r="33" spans="1:29" ht="25.05" customHeight="1" thickBot="1" x14ac:dyDescent="0.35">
      <c r="A33"/>
      <c r="B33" s="162"/>
      <c r="C33" s="136" t="s">
        <v>57</v>
      </c>
      <c r="D33" s="88" t="s">
        <v>57</v>
      </c>
      <c r="E33" s="68" t="s">
        <v>57</v>
      </c>
      <c r="F33" s="62"/>
      <c r="G33" s="78" t="s">
        <v>57</v>
      </c>
      <c r="H33" s="80" t="s">
        <v>66</v>
      </c>
      <c r="I33" s="81" t="s">
        <v>57</v>
      </c>
      <c r="J33" s="82" t="s">
        <v>66</v>
      </c>
      <c r="K33" s="63" t="s">
        <v>57</v>
      </c>
      <c r="L33" s="35"/>
      <c r="M33" t="str">
        <f>$O$6&amp;O29&amp;N33</f>
        <v>IcelandRESTOFCATEGORYLarge</v>
      </c>
      <c r="N33" s="33" t="s">
        <v>112</v>
      </c>
      <c r="O33" s="50">
        <f>IFERROR(INDEX('Calculations - Iceland'!$M$32:$M$229,MATCH($M33,'Calculations - Iceland'!$C$32:$C$229,0)),0)</f>
        <v>0</v>
      </c>
      <c r="P33" s="60">
        <f>O33</f>
        <v>0</v>
      </c>
      <c r="Q33"/>
      <c r="R33"/>
      <c r="S33" s="41">
        <f t="shared" si="3"/>
        <v>0</v>
      </c>
      <c r="T33" s="122" t="str">
        <f>IFERROR(INDEX('Calculations - Iceland'!$AZ$32:$AZ$229,MATCH($M33,'Calculations - Iceland'!$C$32:$C$229,0)),"-")</f>
        <v>-</v>
      </c>
      <c r="U33"/>
      <c r="V33" s="151"/>
      <c r="W33" s="78" t="s">
        <v>57</v>
      </c>
      <c r="X33" s="80" t="s">
        <v>66</v>
      </c>
      <c r="Y33" s="81" t="s">
        <v>57</v>
      </c>
      <c r="Z33" s="82" t="s">
        <v>66</v>
      </c>
      <c r="AA33" s="79" t="s">
        <v>57</v>
      </c>
      <c r="AB33" s="68" t="s">
        <v>66</v>
      </c>
      <c r="AC33"/>
    </row>
    <row r="34" spans="1:29" ht="25.05" customHeight="1" x14ac:dyDescent="0.45">
      <c r="A34"/>
      <c r="B34" s="130" t="s">
        <v>58</v>
      </c>
      <c r="C34" s="131">
        <f>INDEX('Calculations - Iceland'!$H$4:$H$24,MATCH(Iceland!C$32,'Calculations - Iceland'!$F$4:$F$24,0))</f>
        <v>223584.97500000001</v>
      </c>
      <c r="D34" s="131">
        <f>INDEX('Calculations - Iceland'!$H$4:$H$24,MATCH(Iceland!D$32,'Calculations - Iceland'!$F$4:$F$24,0))</f>
        <v>157849.01999999999</v>
      </c>
      <c r="E34" s="132">
        <f>INDEX('Calculations - Iceland'!$H$4:$H$24,MATCH(Iceland!E$32,'Calculations - Iceland'!$F$4:$F$24,0))</f>
        <v>478698.39500000002</v>
      </c>
      <c r="F34" s="36"/>
      <c r="G34" s="73">
        <f>INDEX('Calculations - Iceland'!$AB$4:$AB$24,MATCH(Iceland!G$32,'Calculations - Iceland'!$F$4:$F$24,0))</f>
        <v>224574.97311856659</v>
      </c>
      <c r="H34" s="137">
        <f>G34/C34-1</f>
        <v>4.4278383132254628E-3</v>
      </c>
      <c r="I34" s="73">
        <f>INDEX('Calculations - Iceland'!$AB$4:$AB$24,MATCH(Iceland!I$32,'Calculations - Iceland'!$F$4:$F$24,0))</f>
        <v>153567.73994164632</v>
      </c>
      <c r="J34" s="137">
        <f>I34/D34-1</f>
        <v>-2.7122626788266824E-2</v>
      </c>
      <c r="K34" s="89">
        <f>INDEX('Calculations - Iceland'!$AB$4:$AB$24,MATCH(Iceland!K$32,'Calculations - Iceland'!$F$4:$F$24,0))</f>
        <v>479985.86335546203</v>
      </c>
      <c r="L34" s="35"/>
      <c r="M34"/>
      <c r="N34"/>
      <c r="O34" s="52"/>
      <c r="P34" s="52"/>
      <c r="Q34"/>
      <c r="R34"/>
      <c r="S34"/>
      <c r="T34"/>
      <c r="U34"/>
      <c r="V34" s="125" t="s">
        <v>58</v>
      </c>
      <c r="W34" s="126">
        <f>INDEX('Calculations - Iceland'!$AU$4:$AU$24,MATCH(Iceland!W$32,'Calculations - Iceland'!$F$4:$F$24,0))</f>
        <v>224574.97311856659</v>
      </c>
      <c r="X34" s="137">
        <f>W34/C34-1</f>
        <v>4.4278383132254628E-3</v>
      </c>
      <c r="Y34" s="126">
        <f>INDEX('Calculations - Iceland'!$AU$4:$AU$24,MATCH(Iceland!Y$32,'Calculations - Iceland'!$F$4:$F$24,0))</f>
        <v>153567.73994164634</v>
      </c>
      <c r="Z34" s="137">
        <f>Y34/D34-1</f>
        <v>-2.7122626788266713E-2</v>
      </c>
      <c r="AA34" s="127">
        <f>INDEX('Calculations - Iceland'!$AU$4:$AU$24,MATCH(Iceland!AA$32,'Calculations - Iceland'!$F$4:$F$24,0))</f>
        <v>479985.86335546203</v>
      </c>
      <c r="AB34" s="137">
        <f>AA34/E34-1</f>
        <v>2.689518847168948E-3</v>
      </c>
      <c r="AC34"/>
    </row>
    <row r="35" spans="1:29" ht="25.05" customHeight="1" x14ac:dyDescent="0.45">
      <c r="A35"/>
      <c r="B35" s="83" t="s">
        <v>3</v>
      </c>
      <c r="C35" s="90">
        <f>INDEX('Calculations - Iceland'!$G$4:$G$24,MATCH(Iceland!C$32,'Calculations - Iceland'!$F$4:$F$24,0))</f>
        <v>1276066.33</v>
      </c>
      <c r="D35" s="90">
        <f>INDEX('Calculations - Iceland'!$G$4:$G$24,MATCH(Iceland!D$32,'Calculations - Iceland'!$F$4:$F$24,0))</f>
        <v>592215.85</v>
      </c>
      <c r="E35" s="85">
        <f>INDEX('Calculations - Iceland'!$G$4:$G$24,MATCH(Iceland!E$32,'Calculations - Iceland'!$F$4:$F$24,0))</f>
        <v>2076636.83</v>
      </c>
      <c r="F35" s="37"/>
      <c r="G35" s="74">
        <f>INDEX('Calculations - Iceland'!$AA$4:$AA$24,MATCH(Iceland!G$32,'Calculations - Iceland'!$F$4:$F$24,0))</f>
        <v>1281716.5453861912</v>
      </c>
      <c r="H35" s="138">
        <f>G35/C35-1</f>
        <v>4.4278383132256849E-3</v>
      </c>
      <c r="I35" s="74">
        <f>INDEX('Calculations - Iceland'!$AA$4:$AA$24,MATCH(Iceland!I$32,'Calculations - Iceland'!$F$4:$F$24,0))</f>
        <v>576153.40052235371</v>
      </c>
      <c r="J35" s="138">
        <f>I35/D35-1</f>
        <v>-2.7122626788266935E-2</v>
      </c>
      <c r="K35" s="90">
        <f>INDEX('Calculations - Iceland'!$AA$4:$AA$24,MATCH(Iceland!K$32,'Calculations - Iceland'!$F$4:$F$24,0))</f>
        <v>2076636.8300000005</v>
      </c>
      <c r="L35" s="45"/>
      <c r="M35"/>
      <c r="N35"/>
      <c r="O35"/>
      <c r="P35"/>
      <c r="Q35"/>
      <c r="R35"/>
      <c r="S35"/>
      <c r="T35"/>
      <c r="U35"/>
      <c r="V35" s="70" t="s">
        <v>3</v>
      </c>
      <c r="W35" s="74">
        <f>INDEX('Calculations - Iceland'!$AT$4:$AT$24,MATCH(Iceland!W$32,'Calculations - Iceland'!$F$4:$F$24,0))</f>
        <v>1281716.5453861912</v>
      </c>
      <c r="X35" s="138">
        <f>W35/C35-1</f>
        <v>4.4278383132256849E-3</v>
      </c>
      <c r="Y35" s="74">
        <f>INDEX('Calculations - Iceland'!$AT$4:$AT$24,MATCH(Iceland!Y$32,'Calculations - Iceland'!$F$4:$F$24,0))</f>
        <v>576153.40052235383</v>
      </c>
      <c r="Z35" s="138">
        <f>Y35/D35-1</f>
        <v>-2.7122626788266713E-2</v>
      </c>
      <c r="AA35" s="72">
        <f>INDEX('Calculations - Iceland'!$AT$4:$AT$24,MATCH(Iceland!AA$32,'Calculations - Iceland'!$F$4:$F$24,0))</f>
        <v>2076636.8300000005</v>
      </c>
      <c r="AB35" s="138">
        <f>AA35/E35-1</f>
        <v>0</v>
      </c>
      <c r="AC35"/>
    </row>
    <row r="36" spans="1:29" ht="25.05" customHeight="1" x14ac:dyDescent="0.3">
      <c r="A36"/>
      <c r="B36" s="83" t="s">
        <v>59</v>
      </c>
      <c r="C36" s="90">
        <f>INDEX('Calculations - Iceland'!$T$4:$T$24,MATCH(Iceland!C$32,'Calculations - Iceland'!$F$4:$F$24,0))</f>
        <v>1020853.064</v>
      </c>
      <c r="D36" s="90">
        <f>INDEX('Calculations - Iceland'!$T$4:$T$24,MATCH(Iceland!D$32,'Calculations - Iceland'!$F$4:$F$24,0))</f>
        <v>473772.68</v>
      </c>
      <c r="E36" s="85">
        <f>INDEX('Calculations - Iceland'!$T$4:$T$24,MATCH(Iceland!E$32,'Calculations - Iceland'!$F$4:$F$24,0))</f>
        <v>1494625.7439999999</v>
      </c>
      <c r="F36" s="38"/>
      <c r="G36" s="74">
        <f>INDEX('Calculations - Iceland'!$AC$4:$AC$24,MATCH(Iceland!G$32,'Calculations - Iceland'!$F$4:$F$24,0))</f>
        <v>1025373.2363089529</v>
      </c>
      <c r="H36" s="138">
        <f>G36/C36-1</f>
        <v>4.4278383132254628E-3</v>
      </c>
      <c r="I36" s="74">
        <f>INDEX('Calculations - Iceland'!$AC$4:$AC$24,MATCH(Iceland!I$32,'Calculations - Iceland'!$F$4:$F$24,0))</f>
        <v>460922.72041788301</v>
      </c>
      <c r="J36" s="138">
        <f>I36/D36-1</f>
        <v>-2.7122626788266824E-2</v>
      </c>
      <c r="K36" s="90" t="s">
        <v>62</v>
      </c>
      <c r="L36" s="35"/>
      <c r="M36"/>
      <c r="N36"/>
      <c r="O36"/>
      <c r="P36"/>
      <c r="Q36"/>
      <c r="R36"/>
      <c r="S36"/>
      <c r="T36"/>
      <c r="U36"/>
      <c r="V36" s="70" t="s">
        <v>59</v>
      </c>
      <c r="W36" s="74">
        <f>INDEX('Calculations - Iceland'!$AV$4:$AV$24,MATCH(Iceland!W$32,'Calculations - Iceland'!$F$4:$F$24,0))</f>
        <v>1025373.2363089529</v>
      </c>
      <c r="X36" s="138">
        <f>W36/C36-1</f>
        <v>4.4278383132254628E-3</v>
      </c>
      <c r="Y36" s="74">
        <f>INDEX('Calculations - Iceland'!$AV$4:$AV$24,MATCH(Iceland!Y$32,'Calculations - Iceland'!$F$4:$F$24,0))</f>
        <v>460922.72041788313</v>
      </c>
      <c r="Z36" s="138">
        <f>Y36/D36-1</f>
        <v>-2.7122626788266602E-2</v>
      </c>
      <c r="AA36" s="72" t="s">
        <v>62</v>
      </c>
      <c r="AB36" s="138" t="s">
        <v>62</v>
      </c>
      <c r="AC36"/>
    </row>
    <row r="37" spans="1:29" ht="25.05" customHeight="1" x14ac:dyDescent="0.3">
      <c r="A37"/>
      <c r="B37" s="83" t="s">
        <v>60</v>
      </c>
      <c r="C37" s="91">
        <f>C36/C34</f>
        <v>4.5658392921975191</v>
      </c>
      <c r="D37" s="91">
        <f>D36/D34</f>
        <v>3.0014293405179204</v>
      </c>
      <c r="E37" s="86">
        <f>E36/E34</f>
        <v>3.1222702219421476</v>
      </c>
      <c r="F37" s="38"/>
      <c r="G37" s="75">
        <f>G36/G34</f>
        <v>4.5658392921975191</v>
      </c>
      <c r="H37" s="138">
        <f>G37/C37-1</f>
        <v>0</v>
      </c>
      <c r="I37" s="75">
        <f>I36/I34</f>
        <v>3.0014293405179204</v>
      </c>
      <c r="J37" s="138">
        <f>I37/D37-1</f>
        <v>0</v>
      </c>
      <c r="K37" s="90" t="s">
        <v>62</v>
      </c>
      <c r="L37"/>
      <c r="M37"/>
      <c r="N37"/>
      <c r="O37"/>
      <c r="P37"/>
      <c r="Q37"/>
      <c r="R37"/>
      <c r="S37"/>
      <c r="T37"/>
      <c r="U37"/>
      <c r="V37" s="70" t="s">
        <v>60</v>
      </c>
      <c r="W37" s="75">
        <f>W36/W34</f>
        <v>4.5658392921975191</v>
      </c>
      <c r="X37" s="138">
        <f>W37/C37-1</f>
        <v>0</v>
      </c>
      <c r="Y37" s="75">
        <f>Y36/Y34</f>
        <v>3.0014293405179204</v>
      </c>
      <c r="Z37" s="138">
        <f>Y37/D37-1</f>
        <v>0</v>
      </c>
      <c r="AA37" s="72" t="s">
        <v>62</v>
      </c>
      <c r="AB37" s="138" t="s">
        <v>62</v>
      </c>
      <c r="AC37"/>
    </row>
    <row r="38" spans="1:29" ht="25.05" customHeight="1" x14ac:dyDescent="0.3">
      <c r="A38"/>
      <c r="B38" s="83" t="s">
        <v>61</v>
      </c>
      <c r="C38" s="92">
        <f>INDEX('Calculations - Iceland'!$S$4:$S$24,MATCH(Iceland!C$32,'Calculations - Iceland'!$F$4:$F$24,0))</f>
        <v>0.3</v>
      </c>
      <c r="D38" s="92">
        <f>INDEX('Calculations - Iceland'!$S$4:$S$24,MATCH(Iceland!D$32,'Calculations - Iceland'!$F$4:$F$24,0))</f>
        <v>0.29999999999999993</v>
      </c>
      <c r="E38" s="85" t="s">
        <v>62</v>
      </c>
      <c r="F38" s="38"/>
      <c r="G38" s="76">
        <f>INDEX('Calculations - Iceland'!$AD$4:$AD$24,MATCH(Iceland!G$32,'Calculations - Iceland'!$F$4:$F$24,0))/G36</f>
        <v>0.29999999999999993</v>
      </c>
      <c r="H38" s="139">
        <f>(G38-C38)*10000</f>
        <v>-5.5511151231257827E-13</v>
      </c>
      <c r="I38" s="76">
        <f>INDEX('Calculations - Iceland'!$AD$4:$AD$24,MATCH(Iceland!I$32,'Calculations - Iceland'!$F$4:$F$24,0))/I36</f>
        <v>0.29999999999999988</v>
      </c>
      <c r="J38" s="139">
        <f>(I38-D38)*10000</f>
        <v>-5.5511151231257827E-13</v>
      </c>
      <c r="K38" s="90" t="s">
        <v>62</v>
      </c>
      <c r="L38"/>
      <c r="M38"/>
      <c r="N38"/>
      <c r="O38"/>
      <c r="P38"/>
      <c r="Q38"/>
      <c r="R38"/>
      <c r="S38"/>
      <c r="T38"/>
      <c r="U38"/>
      <c r="V38" s="70" t="s">
        <v>61</v>
      </c>
      <c r="W38" s="76">
        <f>INDEX('Calculations - Iceland'!$AH$4:$AH$24,MATCH(Iceland!W$32,'Calculations - Iceland'!$F$4:$F$24,0))</f>
        <v>0.3000000000000001</v>
      </c>
      <c r="X38" s="139">
        <f>(W38-C38)*10000</f>
        <v>1.1102230246251565E-12</v>
      </c>
      <c r="Y38" s="76">
        <f>INDEX('Calculations - Iceland'!$AH$4:$AH$24,MATCH(Iceland!Y$32,'Calculations - Iceland'!$F$4:$F$24,0))</f>
        <v>0.3000000000000001</v>
      </c>
      <c r="Z38" s="139">
        <f>(Y38-D38)*10000</f>
        <v>1.6653345369377348E-12</v>
      </c>
      <c r="AA38" s="72" t="s">
        <v>62</v>
      </c>
      <c r="AB38" s="139" t="s">
        <v>62</v>
      </c>
      <c r="AC38"/>
    </row>
    <row r="39" spans="1:29" ht="25.05" customHeight="1" x14ac:dyDescent="0.3">
      <c r="A39"/>
      <c r="B39" s="83" t="s">
        <v>79</v>
      </c>
      <c r="C39" s="93">
        <f>C35/$E$35</f>
        <v>0.61448699722810951</v>
      </c>
      <c r="D39" s="93">
        <f>D35/$E$35</f>
        <v>0.28518026909885824</v>
      </c>
      <c r="E39" s="85" t="s">
        <v>62</v>
      </c>
      <c r="F39" s="38"/>
      <c r="G39" s="77">
        <f>G35/$K$35</f>
        <v>0.61720784629741487</v>
      </c>
      <c r="H39" s="139">
        <f t="shared" ref="H39:H40" si="4">(G39-C39)*10000</f>
        <v>27.208490693053644</v>
      </c>
      <c r="I39" s="77">
        <f>I35/$K$35</f>
        <v>0.2774454310927123</v>
      </c>
      <c r="J39" s="139">
        <f>(I39-D39)*10000</f>
        <v>-77.34838006145938</v>
      </c>
      <c r="K39" s="93" t="s">
        <v>62</v>
      </c>
      <c r="L39"/>
      <c r="M39"/>
      <c r="N39"/>
      <c r="O39"/>
      <c r="P39"/>
      <c r="Q39"/>
      <c r="R39"/>
      <c r="S39"/>
      <c r="T39"/>
      <c r="U39"/>
      <c r="V39" s="70" t="s">
        <v>79</v>
      </c>
      <c r="W39" s="77">
        <f>W35/$AA$35</f>
        <v>0.61720784629741487</v>
      </c>
      <c r="X39" s="139">
        <f>(W39-C39)*10000</f>
        <v>27.208490693053644</v>
      </c>
      <c r="Y39" s="77">
        <f>Y35/$AA$35</f>
        <v>0.27744543109271236</v>
      </c>
      <c r="Z39" s="139">
        <f>(Y39-D39)*10000</f>
        <v>-77.348380061458826</v>
      </c>
      <c r="AA39" s="72" t="s">
        <v>62</v>
      </c>
      <c r="AB39" s="139" t="s">
        <v>62</v>
      </c>
      <c r="AC39"/>
    </row>
    <row r="40" spans="1:29" ht="25.05" customHeight="1" x14ac:dyDescent="0.3">
      <c r="A40"/>
      <c r="B40" s="83" t="s">
        <v>80</v>
      </c>
      <c r="C40" s="93">
        <f>C34/$E$34</f>
        <v>0.46706857038866822</v>
      </c>
      <c r="D40" s="93">
        <f>D34/$E$34</f>
        <v>0.32974629045915221</v>
      </c>
      <c r="E40" s="85" t="s">
        <v>62</v>
      </c>
      <c r="F40" s="38"/>
      <c r="G40" s="77">
        <f>G34/$K$34</f>
        <v>0.46787830697474858</v>
      </c>
      <c r="H40" s="139">
        <f t="shared" si="4"/>
        <v>8.0973658608035635</v>
      </c>
      <c r="I40" s="77">
        <f>I34/$K$34</f>
        <v>0.31994221427292119</v>
      </c>
      <c r="J40" s="139">
        <f>(I40-D40)*10000</f>
        <v>-98.040761862310262</v>
      </c>
      <c r="K40" s="93" t="s">
        <v>62</v>
      </c>
      <c r="L40"/>
      <c r="M40"/>
      <c r="N40"/>
      <c r="O40"/>
      <c r="P40"/>
      <c r="Q40"/>
      <c r="R40"/>
      <c r="S40"/>
      <c r="T40"/>
      <c r="U40"/>
      <c r="V40" s="70" t="s">
        <v>80</v>
      </c>
      <c r="W40" s="77">
        <f>W34/$AA$34</f>
        <v>0.46787830697474858</v>
      </c>
      <c r="X40" s="139">
        <f>(W40-C40)*10000</f>
        <v>8.0973658608035635</v>
      </c>
      <c r="Y40" s="77">
        <f>Y34/$AA$34</f>
        <v>0.3199422142729213</v>
      </c>
      <c r="Z40" s="139">
        <f>(Y40-D40)*10000</f>
        <v>-98.040761862309139</v>
      </c>
      <c r="AA40" s="72" t="s">
        <v>62</v>
      </c>
      <c r="AB40" s="139" t="s">
        <v>62</v>
      </c>
      <c r="AC40"/>
    </row>
    <row r="41" spans="1:29" ht="25.05" customHeight="1" thickBot="1" x14ac:dyDescent="0.35">
      <c r="A41"/>
      <c r="B41" s="84" t="s">
        <v>63</v>
      </c>
      <c r="C41" s="133">
        <f>C35/C34</f>
        <v>5.707299115246899</v>
      </c>
      <c r="D41" s="133">
        <f>D35/D34</f>
        <v>3.7517866756474003</v>
      </c>
      <c r="E41" s="134">
        <f>E35/E34</f>
        <v>4.3380902290261494</v>
      </c>
      <c r="F41" s="39"/>
      <c r="G41" s="128">
        <f>G35/G34</f>
        <v>5.707299115246899</v>
      </c>
      <c r="H41" s="140">
        <f t="shared" ref="H41" si="5">G41/C41-1</f>
        <v>0</v>
      </c>
      <c r="I41" s="128">
        <f>I35/I34</f>
        <v>3.7517866756474003</v>
      </c>
      <c r="J41" s="140">
        <f>I41/D41-1</f>
        <v>0</v>
      </c>
      <c r="K41" s="133">
        <f>K35/K34</f>
        <v>4.3264541490508659</v>
      </c>
      <c r="L41"/>
      <c r="M41"/>
      <c r="N41"/>
      <c r="O41"/>
      <c r="P41"/>
      <c r="Q41"/>
      <c r="R41"/>
      <c r="S41"/>
      <c r="T41"/>
      <c r="U41"/>
      <c r="V41" s="71" t="s">
        <v>63</v>
      </c>
      <c r="W41" s="128">
        <f>W35/W34</f>
        <v>5.707299115246899</v>
      </c>
      <c r="X41" s="140">
        <f>W41/C41-1</f>
        <v>0</v>
      </c>
      <c r="Y41" s="128">
        <f>Y35/Y34</f>
        <v>3.7517866756474003</v>
      </c>
      <c r="Z41" s="140">
        <f>Y41/D41-1</f>
        <v>0</v>
      </c>
      <c r="AA41" s="129">
        <f>AA35/AA34</f>
        <v>4.3264541490508659</v>
      </c>
      <c r="AB41" s="140">
        <f>AA41/E41-1</f>
        <v>-2.6823047380218901E-3</v>
      </c>
      <c r="AC41"/>
    </row>
    <row r="42" spans="1:29" ht="25.05" customHeight="1" x14ac:dyDescent="0.3">
      <c r="A42"/>
      <c r="B42"/>
      <c r="C42"/>
      <c r="D42"/>
      <c r="E42"/>
      <c r="F42" s="40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ht="25.0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ht="25.0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ht="25.0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ht="25.0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ht="25.05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ht="25.05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ht="25.05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ht="25.05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ht="25.0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ht="25.05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ht="25.05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ht="25.0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ht="25.05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ht="25.05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ht="25.05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ht="25.05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ht="25.05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ht="25.05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ht="25.05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ht="25.05" customHeight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ht="25.05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47" t="s">
        <v>76</v>
      </c>
      <c r="W63" s="143" t="str">
        <f>$O$11</f>
        <v>HP</v>
      </c>
      <c r="X63" s="144"/>
      <c r="Y63" s="145" t="str">
        <f>$O$17</f>
        <v>DADDIES</v>
      </c>
      <c r="Z63" s="146"/>
      <c r="AA63"/>
      <c r="AB63"/>
      <c r="AC63"/>
    </row>
    <row r="64" spans="1:29" ht="25.05" customHeight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48"/>
      <c r="W64" s="99" t="s">
        <v>71</v>
      </c>
      <c r="X64" s="98" t="s">
        <v>86</v>
      </c>
      <c r="Y64" s="99" t="s">
        <v>71</v>
      </c>
      <c r="Z64" s="98" t="s">
        <v>86</v>
      </c>
      <c r="AA64"/>
      <c r="AB64"/>
      <c r="AC64"/>
    </row>
    <row r="65" spans="1:29" ht="25.05" customHeigh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05" t="str">
        <f>$O$11</f>
        <v>HP</v>
      </c>
      <c r="W65" s="100">
        <f>INDEX('Calculations - Iceland'!$AZ$4:$AZ$24,MATCH(Iceland!$V65,'Calculations - Iceland'!$F$4:$F$24,0))</f>
        <v>100</v>
      </c>
      <c r="X65" s="97">
        <f>INDEX('Calculations - Iceland'!$BB$4:$BB$24,MATCH(Iceland!$V65,'Calculations - Iceland'!$F$4:$F$24,0))</f>
        <v>100</v>
      </c>
      <c r="Y65" s="100">
        <f>INDEX('Calculations - Iceland'!$BA$4:$BA$24,MATCH(Iceland!$V65,'Calculations - Iceland'!$F$4:$F$24,0))</f>
        <v>65.736640044405604</v>
      </c>
      <c r="Z65" s="97">
        <f>INDEX('Calculations - Iceland'!$BC$4:$BC$24,MATCH(Iceland!$V65,'Calculations - Iceland'!$F$4:$F$24,0))</f>
        <v>65.736640044405604</v>
      </c>
      <c r="AA65"/>
      <c r="AB65"/>
      <c r="AC65"/>
    </row>
    <row r="66" spans="1:29" ht="25.05" customHeigh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06" t="str">
        <f>$O$17</f>
        <v>DADDIES</v>
      </c>
      <c r="W66" s="101">
        <f>INDEX('Calculations - Iceland'!$AZ$4:$AZ$24,MATCH(Iceland!$V66,'Calculations - Iceland'!$F$4:$F$24,0))</f>
        <v>152.12216494857239</v>
      </c>
      <c r="X66" s="95">
        <f>INDEX('Calculations - Iceland'!$BB$4:$BB$24,MATCH(Iceland!$V66,'Calculations - Iceland'!$F$4:$F$24,0))</f>
        <v>152.12216494857239</v>
      </c>
      <c r="Y66" s="101">
        <f>INDEX('Calculations - Iceland'!$BA$4:$BA$24,MATCH(Iceland!$V66,'Calculations - Iceland'!$F$4:$F$24,0))</f>
        <v>100</v>
      </c>
      <c r="Z66" s="95">
        <f>INDEX('Calculations - Iceland'!$BC$4:$BC$24,MATCH(Iceland!$V66,'Calculations - Iceland'!$F$4:$F$24,0))</f>
        <v>100</v>
      </c>
      <c r="AA66"/>
      <c r="AB66"/>
      <c r="AC66"/>
    </row>
    <row r="67" spans="1:29" ht="25.05" customHeigh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06" t="str">
        <f>$O$23</f>
        <v>GOLD STAR</v>
      </c>
      <c r="W67" s="101">
        <f>INDEX('Calculations - Iceland'!$AZ$4:$AZ$24,MATCH(Iceland!$V67,'Calculations - Iceland'!$F$4:$F$24,0))</f>
        <v>307.78164216382942</v>
      </c>
      <c r="X67" s="95">
        <f>INDEX('Calculations - Iceland'!$BB$4:$BB$24,MATCH(Iceland!$V67,'Calculations - Iceland'!$F$4:$F$24,0))</f>
        <v>307.78164216382942</v>
      </c>
      <c r="Y67" s="101">
        <f>INDEX('Calculations - Iceland'!$BA$4:$BA$24,MATCH(Iceland!$V67,'Calculations - Iceland'!$F$4:$F$24,0))</f>
        <v>202.32531023199707</v>
      </c>
      <c r="Z67" s="95">
        <f>INDEX('Calculations - Iceland'!$BC$4:$BC$24,MATCH(Iceland!$V67,'Calculations - Iceland'!$F$4:$F$24,0))</f>
        <v>202.32531023199707</v>
      </c>
      <c r="AA67"/>
      <c r="AB67"/>
      <c r="AC67"/>
    </row>
    <row r="68" spans="1:29" ht="25.05" customHeight="1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06" t="str">
        <f>$O$29</f>
        <v>RESTOFCATEGORY</v>
      </c>
      <c r="W68" s="101">
        <f>INDEX('Calculations - Iceland'!$AZ$4:$AZ$24,MATCH(Iceland!$V68,'Calculations - Iceland'!$F$4:$F$24,0))</f>
        <v>244.66923929257894</v>
      </c>
      <c r="X68" s="95">
        <f>INDEX('Calculations - Iceland'!$BB$4:$BB$24,MATCH(Iceland!$V68,'Calculations - Iceland'!$F$4:$F$24,0))</f>
        <v>244.66923929257894</v>
      </c>
      <c r="Y68" s="101">
        <f>INDEX('Calculations - Iceland'!$BA$4:$BA$24,MATCH(Iceland!$V68,'Calculations - Iceland'!$F$4:$F$24,0))</f>
        <v>160.83733713314803</v>
      </c>
      <c r="Z68" s="95">
        <f>INDEX('Calculations - Iceland'!$BC$4:$BC$24,MATCH(Iceland!$V68,'Calculations - Iceland'!$F$4:$F$24,0))</f>
        <v>160.83733713314803</v>
      </c>
      <c r="AA68"/>
      <c r="AB68"/>
      <c r="AC68"/>
    </row>
    <row r="69" spans="1:29" ht="25.05" customHeight="1" thickBot="1" x14ac:dyDescent="0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07" t="s">
        <v>56</v>
      </c>
      <c r="W69" s="102">
        <f>INDEX('Calculations - Iceland'!$AZ$4:$AZ$24,MATCH(Iceland!$V69,'Calculations - Iceland'!$F$4:$F$24,0))</f>
        <v>131.56248058326165</v>
      </c>
      <c r="X69" s="96">
        <f>INDEX('Calculations - Iceland'!$BB$4:$BB$24,MATCH(Iceland!$V69,'Calculations - Iceland'!$F$4:$F$24,0))</f>
        <v>131.91632035437061</v>
      </c>
      <c r="Y69" s="102">
        <f>INDEX('Calculations - Iceland'!$BA$4:$BA$24,MATCH(Iceland!$V69,'Calculations - Iceland'!$F$4:$F$24,0))</f>
        <v>86.484754294509742</v>
      </c>
      <c r="Z69" s="96">
        <f>INDEX('Calculations - Iceland'!$BC$4:$BC$24,MATCH(Iceland!$V69,'Calculations - Iceland'!$F$4:$F$24,0))</f>
        <v>86.717356671177583</v>
      </c>
      <c r="AA69"/>
      <c r="AB69"/>
      <c r="AC69"/>
    </row>
    <row r="70" spans="1:29" ht="25.05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ht="25.05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ht="25.05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ht="25.05" customHeight="1" x14ac:dyDescent="0.3"/>
    <row r="74" spans="1:29" ht="25.05" customHeight="1" x14ac:dyDescent="0.3"/>
    <row r="75" spans="1:29" ht="25.05" customHeight="1" x14ac:dyDescent="0.3"/>
    <row r="76" spans="1:29" ht="25.05" customHeight="1" x14ac:dyDescent="0.3"/>
    <row r="77" spans="1:29" ht="25.05" customHeight="1" x14ac:dyDescent="0.3"/>
    <row r="78" spans="1:29" ht="25.05" customHeight="1" x14ac:dyDescent="0.3"/>
    <row r="79" spans="1:29" ht="25.05" customHeight="1" x14ac:dyDescent="0.3"/>
    <row r="80" spans="1:29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  <row r="89" ht="25.05" customHeight="1" x14ac:dyDescent="0.3"/>
    <row r="90" ht="25.05" customHeight="1" x14ac:dyDescent="0.3"/>
    <row r="91" ht="25.05" customHeight="1" x14ac:dyDescent="0.3"/>
    <row r="92" ht="25.05" customHeight="1" x14ac:dyDescent="0.3"/>
    <row r="93" ht="25.05" customHeight="1" x14ac:dyDescent="0.3"/>
    <row r="94" ht="25.05" customHeight="1" x14ac:dyDescent="0.3"/>
    <row r="95" ht="25.05" customHeight="1" x14ac:dyDescent="0.3"/>
    <row r="96" ht="25.05" customHeight="1" x14ac:dyDescent="0.3"/>
    <row r="97" ht="25.05" customHeight="1" x14ac:dyDescent="0.3"/>
    <row r="98" ht="25.05" customHeight="1" x14ac:dyDescent="0.3"/>
    <row r="99" ht="25.05" customHeight="1" x14ac:dyDescent="0.3"/>
    <row r="100" ht="25.05" customHeight="1" x14ac:dyDescent="0.3"/>
    <row r="101" ht="25.05" customHeight="1" x14ac:dyDescent="0.3"/>
    <row r="102" ht="25.05" customHeight="1" x14ac:dyDescent="0.3"/>
    <row r="103" ht="25.05" customHeight="1" x14ac:dyDescent="0.3"/>
    <row r="104" ht="25.05" customHeight="1" x14ac:dyDescent="0.3"/>
    <row r="105" ht="25.05" customHeight="1" x14ac:dyDescent="0.3"/>
    <row r="106" ht="25.05" customHeight="1" x14ac:dyDescent="0.3"/>
    <row r="107" ht="25.05" customHeight="1" x14ac:dyDescent="0.3"/>
    <row r="108" ht="25.05" customHeight="1" x14ac:dyDescent="0.3"/>
    <row r="109" ht="25.05" customHeight="1" x14ac:dyDescent="0.3"/>
    <row r="110" ht="25.05" customHeight="1" x14ac:dyDescent="0.3"/>
    <row r="111" ht="25.05" customHeight="1" x14ac:dyDescent="0.3"/>
    <row r="112" ht="25.05" customHeight="1" x14ac:dyDescent="0.3"/>
    <row r="113" ht="25.05" customHeight="1" x14ac:dyDescent="0.3"/>
    <row r="114" ht="25.05" customHeight="1" x14ac:dyDescent="0.3"/>
    <row r="115" ht="25.05" customHeight="1" x14ac:dyDescent="0.3"/>
    <row r="116" ht="25.05" customHeight="1" x14ac:dyDescent="0.3"/>
    <row r="117" ht="25.05" customHeight="1" x14ac:dyDescent="0.3"/>
    <row r="118" ht="25.05" customHeight="1" x14ac:dyDescent="0.3"/>
    <row r="119" ht="25.05" customHeight="1" x14ac:dyDescent="0.3"/>
    <row r="120" ht="25.05" customHeight="1" x14ac:dyDescent="0.3"/>
    <row r="121" ht="25.05" customHeight="1" x14ac:dyDescent="0.3"/>
    <row r="122" ht="25.05" customHeight="1" x14ac:dyDescent="0.3"/>
    <row r="123" ht="25.05" customHeight="1" x14ac:dyDescent="0.3"/>
    <row r="124" ht="25.05" customHeight="1" x14ac:dyDescent="0.3"/>
    <row r="125" ht="25.05" customHeight="1" x14ac:dyDescent="0.3"/>
  </sheetData>
  <mergeCells count="20">
    <mergeCell ref="O17:P17"/>
    <mergeCell ref="B6:C6"/>
    <mergeCell ref="B8:K8"/>
    <mergeCell ref="N8:T8"/>
    <mergeCell ref="V8:AB8"/>
    <mergeCell ref="O11:P11"/>
    <mergeCell ref="V63:V64"/>
    <mergeCell ref="W63:X63"/>
    <mergeCell ref="Y63:Z63"/>
    <mergeCell ref="O23:P23"/>
    <mergeCell ref="B29:K29"/>
    <mergeCell ref="O29:P29"/>
    <mergeCell ref="V29:AB29"/>
    <mergeCell ref="B32:B33"/>
    <mergeCell ref="G32:H32"/>
    <mergeCell ref="I32:J32"/>
    <mergeCell ref="V32:V33"/>
    <mergeCell ref="W32:X32"/>
    <mergeCell ref="Y32:Z32"/>
    <mergeCell ref="AA32:AB32"/>
  </mergeCells>
  <conditionalFormatting sqref="X65:X69 Z65:Z69">
    <cfRule type="cellIs" dxfId="1" priority="16" operator="lessThan">
      <formula>W65*0.99</formula>
    </cfRule>
    <cfRule type="cellIs" dxfId="0" priority="17" operator="greaterThan">
      <formula>W65*1.01</formula>
    </cfRule>
  </conditionalFormatting>
  <conditionalFormatting sqref="H34:H37">
    <cfRule type="colorScale" priority="15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H38:H40">
    <cfRule type="colorScale" priority="14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H41">
    <cfRule type="colorScale" priority="1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4:J37">
    <cfRule type="colorScale" priority="12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J38:J40">
    <cfRule type="colorScale" priority="11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J41">
    <cfRule type="colorScale" priority="10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4:X37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X38:X40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X41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4:Z37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Z38:Z40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Z41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4:AB37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AB38:AB40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AB41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" id="{BF6CDA14-AE58-4D71-B956-6FA416EAFCB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S11</xm:sqref>
        </x14:conditionalFormatting>
        <x14:conditionalFormatting xmlns:xm="http://schemas.microsoft.com/office/excel/2006/main">
          <x14:cfRule type="iconSet" priority="18" id="{C9430ABC-1420-42E0-B172-4F11E070D4A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0" id="{678AE46F-C8FB-4D18-AC63-03DDFB9B670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S13:S15</xm:sqref>
        </x14:conditionalFormatting>
        <x14:conditionalFormatting xmlns:xm="http://schemas.microsoft.com/office/excel/2006/main">
          <x14:cfRule type="iconSet" priority="21" id="{1F558ACD-21C9-43F2-9CDB-342379277A0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S14:S15</xm:sqref>
        </x14:conditionalFormatting>
        <x14:conditionalFormatting xmlns:xm="http://schemas.microsoft.com/office/excel/2006/main">
          <x14:cfRule type="iconSet" priority="22" id="{F29B5C8B-C029-42D5-930A-51983B0F586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3" id="{5AE18A6C-15B1-475A-9D69-80409B8C3D6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S19:S21</xm:sqref>
        </x14:conditionalFormatting>
        <x14:conditionalFormatting xmlns:xm="http://schemas.microsoft.com/office/excel/2006/main">
          <x14:cfRule type="iconSet" priority="24" id="{078B34B2-A041-4B07-9EAF-7C1EF8856EF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5" id="{6335D48A-C711-4503-8F50-AC109A7E53B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S25:S27</xm:sqref>
        </x14:conditionalFormatting>
        <x14:conditionalFormatting xmlns:xm="http://schemas.microsoft.com/office/excel/2006/main">
          <x14:cfRule type="iconSet" priority="26" id="{F60BCEF0-0F8D-48D7-829E-7C2AAB360BA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7" id="{894CB614-6731-4DBA-9FE3-7CB7639E44C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S31:S33</xm:sqref>
        </x14:conditionalFormatting>
        <x14:conditionalFormatting xmlns:xm="http://schemas.microsoft.com/office/excel/2006/main">
          <x14:cfRule type="iconSet" priority="28" id="{2A1609E0-E4A9-4248-AC1E-0BF849937A2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S29 S23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CAD89-FA41-45CE-BAF9-0C04BBA77557}">
  <sheetPr codeName="Sheet10"/>
  <dimension ref="B1:Z200"/>
  <sheetViews>
    <sheetView workbookViewId="0"/>
  </sheetViews>
  <sheetFormatPr defaultRowHeight="14.4" x14ac:dyDescent="0.3"/>
  <cols>
    <col min="1" max="1" width="3.77734375" customWidth="1"/>
    <col min="3" max="3" width="11.21875" bestFit="1" customWidth="1"/>
    <col min="4" max="4" width="18.77734375" bestFit="1" customWidth="1"/>
    <col min="5" max="5" width="14.21875" bestFit="1" customWidth="1"/>
    <col min="6" max="6" width="15.88671875" bestFit="1" customWidth="1"/>
    <col min="7" max="9" width="14.33203125" bestFit="1" customWidth="1"/>
    <col min="10" max="10" width="16.88671875" bestFit="1" customWidth="1"/>
    <col min="11" max="11" width="15.88671875" bestFit="1" customWidth="1"/>
    <col min="16" max="16" width="8" bestFit="1" customWidth="1"/>
    <col min="17" max="17" width="19.33203125" bestFit="1" customWidth="1"/>
    <col min="18" max="18" width="15.88671875" bestFit="1" customWidth="1"/>
    <col min="19" max="21" width="14.33203125" bestFit="1" customWidth="1"/>
    <col min="22" max="22" width="16.88671875" bestFit="1" customWidth="1"/>
    <col min="23" max="23" width="15.88671875" bestFit="1" customWidth="1"/>
    <col min="25" max="25" width="21.6640625" bestFit="1" customWidth="1"/>
    <col min="26" max="26" width="15.44140625" bestFit="1" customWidth="1"/>
  </cols>
  <sheetData>
    <row r="1" spans="2:26" ht="18" x14ac:dyDescent="0.35">
      <c r="B1" s="112" t="s">
        <v>84</v>
      </c>
      <c r="O1" s="112" t="s">
        <v>85</v>
      </c>
    </row>
    <row r="2" spans="2:26" x14ac:dyDescent="0.3">
      <c r="B2" t="s">
        <v>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1"/>
      <c r="M2" t="s">
        <v>33</v>
      </c>
      <c r="O2" t="s">
        <v>9</v>
      </c>
      <c r="P2" s="1" t="s">
        <v>0</v>
      </c>
      <c r="Q2" s="1" t="s">
        <v>1</v>
      </c>
      <c r="R2" s="1" t="s">
        <v>3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Y2" t="s">
        <v>81</v>
      </c>
      <c r="Z2" t="s">
        <v>82</v>
      </c>
    </row>
    <row r="3" spans="2:26" x14ac:dyDescent="0.3">
      <c r="B3" s="2" t="str">
        <f>C3&amp;D3&amp;E3</f>
        <v>ConvenienceHPMedium</v>
      </c>
      <c r="C3" s="1" t="s">
        <v>118</v>
      </c>
      <c r="D3" s="1" t="s">
        <v>107</v>
      </c>
      <c r="E3" s="1" t="s">
        <v>111</v>
      </c>
      <c r="F3" s="110">
        <v>1332737.99</v>
      </c>
      <c r="G3" s="110">
        <v>206311.21</v>
      </c>
      <c r="H3" s="111">
        <v>2.2271377444739602</v>
      </c>
      <c r="I3" s="111">
        <v>14.386959782860901</v>
      </c>
      <c r="J3" s="110">
        <v>4121058.26</v>
      </c>
      <c r="K3" s="110">
        <v>668501.81000000006</v>
      </c>
      <c r="M3" s="28">
        <v>11.89647074</v>
      </c>
      <c r="O3" s="2" t="str">
        <f>P3&amp;Q3</f>
        <v>ConvenienceHP</v>
      </c>
      <c r="P3" s="1" t="s">
        <v>118</v>
      </c>
      <c r="Q3" t="s">
        <v>107</v>
      </c>
      <c r="R3" s="110">
        <v>1829089.51</v>
      </c>
      <c r="S3" s="110">
        <v>291265.21000000002</v>
      </c>
      <c r="T3" s="111">
        <v>2.2193953879714101</v>
      </c>
      <c r="U3" s="111">
        <v>13.937376258156201</v>
      </c>
      <c r="V3" s="110">
        <v>5513650.7000000002</v>
      </c>
      <c r="W3" s="110">
        <v>931687.61</v>
      </c>
      <c r="Y3" t="str" cm="1">
        <f t="array" ref="Y3:Y4">_xlfn.UNIQUE($Q$3:$Q$200)</f>
        <v>HP</v>
      </c>
      <c r="Z3" s="103">
        <v>1</v>
      </c>
    </row>
    <row r="4" spans="2:26" x14ac:dyDescent="0.3">
      <c r="B4" s="2" t="str">
        <f t="shared" ref="B4:B67" si="0">C4&amp;D4&amp;E4</f>
        <v>ConvenienceHPLarge</v>
      </c>
      <c r="C4" s="1" t="s">
        <v>118</v>
      </c>
      <c r="D4" s="1" t="s">
        <v>107</v>
      </c>
      <c r="E4" s="1" t="s">
        <v>112</v>
      </c>
      <c r="F4" s="110">
        <v>496351.52</v>
      </c>
      <c r="G4" s="110">
        <v>84954</v>
      </c>
      <c r="H4" s="111">
        <v>2.1986066279348102</v>
      </c>
      <c r="I4" s="111">
        <v>12.8455604404444</v>
      </c>
      <c r="J4" s="110">
        <v>1392592.44</v>
      </c>
      <c r="K4" s="110">
        <v>263185.8</v>
      </c>
      <c r="O4" s="2" t="str">
        <f t="shared" ref="O4:O67" si="1">P4&amp;Q4</f>
        <v>Convenience</v>
      </c>
      <c r="P4" s="1" t="s">
        <v>118</v>
      </c>
      <c r="Q4" s="1"/>
      <c r="R4" s="110"/>
      <c r="S4" s="110"/>
      <c r="T4" s="111"/>
      <c r="U4" s="111"/>
      <c r="V4" s="110"/>
      <c r="W4" s="110"/>
      <c r="Y4">
        <v>0</v>
      </c>
    </row>
    <row r="5" spans="2:26" x14ac:dyDescent="0.3">
      <c r="B5" s="2" t="str">
        <f t="shared" si="0"/>
        <v/>
      </c>
      <c r="C5" s="1"/>
      <c r="D5" s="1"/>
      <c r="E5" s="1"/>
      <c r="F5" s="110"/>
      <c r="G5" s="110"/>
      <c r="H5" s="111"/>
      <c r="I5" s="111"/>
      <c r="J5" s="110"/>
      <c r="K5" s="110"/>
      <c r="O5" s="2" t="str">
        <f t="shared" si="1"/>
        <v>Convenience</v>
      </c>
      <c r="P5" s="1" t="s">
        <v>118</v>
      </c>
      <c r="Q5" s="1"/>
      <c r="R5" s="110"/>
      <c r="S5" s="110"/>
      <c r="T5" s="111"/>
      <c r="U5" s="111"/>
      <c r="V5" s="110"/>
      <c r="W5" s="110"/>
    </row>
    <row r="6" spans="2:26" x14ac:dyDescent="0.3">
      <c r="B6" s="2" t="str">
        <f t="shared" si="0"/>
        <v/>
      </c>
      <c r="C6" s="1"/>
      <c r="D6" s="1"/>
      <c r="E6" s="1"/>
      <c r="F6" s="110"/>
      <c r="G6" s="110"/>
      <c r="H6" s="111"/>
      <c r="I6" s="111"/>
      <c r="J6" s="110"/>
      <c r="K6" s="110"/>
      <c r="O6" s="2" t="str">
        <f t="shared" si="1"/>
        <v>Convenience</v>
      </c>
      <c r="P6" s="1" t="s">
        <v>118</v>
      </c>
      <c r="Q6" s="1"/>
      <c r="R6" s="110"/>
      <c r="S6" s="110"/>
      <c r="T6" s="111"/>
      <c r="U6" s="111"/>
      <c r="V6" s="110"/>
      <c r="W6" s="110"/>
    </row>
    <row r="7" spans="2:26" x14ac:dyDescent="0.3">
      <c r="B7" s="2" t="str">
        <f t="shared" si="0"/>
        <v/>
      </c>
      <c r="C7" s="1"/>
      <c r="D7" s="1"/>
      <c r="E7" s="1"/>
      <c r="F7" s="110"/>
      <c r="G7" s="110"/>
      <c r="H7" s="111"/>
      <c r="I7" s="111"/>
      <c r="J7" s="110"/>
      <c r="K7" s="110"/>
      <c r="O7" s="2" t="str">
        <f t="shared" si="1"/>
        <v>Convenience</v>
      </c>
      <c r="P7" s="1" t="s">
        <v>118</v>
      </c>
      <c r="Q7" s="1"/>
      <c r="R7" s="110"/>
      <c r="S7" s="110"/>
      <c r="T7" s="111"/>
      <c r="U7" s="111"/>
      <c r="V7" s="110"/>
      <c r="W7" s="110"/>
    </row>
    <row r="8" spans="2:26" x14ac:dyDescent="0.3">
      <c r="B8" s="2" t="str">
        <f t="shared" si="0"/>
        <v/>
      </c>
      <c r="C8" s="1"/>
      <c r="D8" s="1"/>
      <c r="E8" s="1"/>
      <c r="F8" s="110"/>
      <c r="G8" s="110"/>
      <c r="H8" s="111"/>
      <c r="I8" s="111"/>
      <c r="J8" s="110"/>
      <c r="K8" s="110"/>
      <c r="O8" s="2" t="str">
        <f t="shared" si="1"/>
        <v>Convenience</v>
      </c>
      <c r="P8" s="1" t="s">
        <v>118</v>
      </c>
      <c r="Q8" s="1"/>
      <c r="R8" s="110"/>
      <c r="S8" s="110"/>
      <c r="T8" s="111"/>
      <c r="U8" s="111"/>
      <c r="V8" s="110"/>
      <c r="W8" s="110"/>
    </row>
    <row r="9" spans="2:26" x14ac:dyDescent="0.3">
      <c r="B9" s="2" t="str">
        <f t="shared" si="0"/>
        <v/>
      </c>
      <c r="C9" s="1"/>
      <c r="D9" s="1"/>
      <c r="E9" s="1"/>
      <c r="F9" s="110"/>
      <c r="G9" s="110"/>
      <c r="H9" s="111"/>
      <c r="I9" s="111"/>
      <c r="J9" s="110"/>
      <c r="K9" s="110"/>
      <c r="O9" s="2" t="str">
        <f t="shared" si="1"/>
        <v>Convenience</v>
      </c>
      <c r="P9" s="1" t="s">
        <v>118</v>
      </c>
      <c r="Q9" s="1"/>
      <c r="R9" s="110"/>
      <c r="S9" s="110"/>
      <c r="T9" s="111"/>
      <c r="U9" s="111"/>
      <c r="V9" s="110"/>
      <c r="W9" s="110"/>
    </row>
    <row r="10" spans="2:26" x14ac:dyDescent="0.3">
      <c r="B10" s="2" t="str">
        <f t="shared" si="0"/>
        <v/>
      </c>
      <c r="C10" s="1"/>
      <c r="D10" s="1"/>
      <c r="E10" s="1"/>
      <c r="F10" s="110"/>
      <c r="G10" s="110"/>
      <c r="H10" s="111"/>
      <c r="I10" s="111"/>
      <c r="J10" s="110"/>
      <c r="K10" s="110"/>
      <c r="O10" s="2" t="str">
        <f t="shared" si="1"/>
        <v>Convenience</v>
      </c>
      <c r="P10" s="1" t="s">
        <v>118</v>
      </c>
      <c r="Q10" s="1"/>
      <c r="R10" s="110"/>
      <c r="S10" s="110"/>
      <c r="T10" s="111"/>
      <c r="U10" s="111"/>
      <c r="V10" s="110"/>
      <c r="W10" s="110"/>
    </row>
    <row r="11" spans="2:26" x14ac:dyDescent="0.3">
      <c r="B11" s="2" t="str">
        <f t="shared" si="0"/>
        <v/>
      </c>
      <c r="C11" s="1"/>
      <c r="D11" s="1"/>
      <c r="E11" s="1"/>
      <c r="F11" s="110"/>
      <c r="G11" s="110"/>
      <c r="H11" s="111"/>
      <c r="I11" s="111"/>
      <c r="J11" s="110"/>
      <c r="K11" s="110"/>
      <c r="O11" s="2" t="str">
        <f t="shared" si="1"/>
        <v>Convenience</v>
      </c>
      <c r="P11" s="1" t="s">
        <v>118</v>
      </c>
      <c r="Q11" s="1"/>
      <c r="R11" s="110"/>
      <c r="S11" s="110"/>
      <c r="T11" s="111"/>
      <c r="U11" s="111"/>
      <c r="V11" s="110"/>
      <c r="W11" s="110"/>
    </row>
    <row r="12" spans="2:26" x14ac:dyDescent="0.3">
      <c r="B12" s="2" t="str">
        <f t="shared" si="0"/>
        <v/>
      </c>
      <c r="C12" s="1"/>
      <c r="D12" s="1"/>
      <c r="E12" s="1"/>
      <c r="F12" s="110"/>
      <c r="G12" s="110"/>
      <c r="H12" s="111"/>
      <c r="I12" s="111"/>
      <c r="J12" s="110"/>
      <c r="K12" s="110"/>
      <c r="O12" s="2" t="str">
        <f t="shared" si="1"/>
        <v>Convenience</v>
      </c>
      <c r="P12" s="1" t="s">
        <v>118</v>
      </c>
      <c r="Q12" s="1"/>
      <c r="R12" s="110"/>
      <c r="S12" s="110"/>
      <c r="T12" s="111"/>
      <c r="U12" s="111"/>
      <c r="V12" s="110"/>
      <c r="W12" s="110"/>
    </row>
    <row r="13" spans="2:26" x14ac:dyDescent="0.3">
      <c r="B13" s="2" t="str">
        <f t="shared" si="0"/>
        <v/>
      </c>
      <c r="C13" s="1"/>
      <c r="D13" s="1"/>
      <c r="E13" s="1"/>
      <c r="F13" s="110"/>
      <c r="G13" s="110"/>
      <c r="H13" s="111"/>
      <c r="I13" s="111"/>
      <c r="J13" s="110"/>
      <c r="K13" s="110"/>
      <c r="O13" s="2" t="str">
        <f t="shared" si="1"/>
        <v>Convenience</v>
      </c>
      <c r="P13" s="1" t="s">
        <v>118</v>
      </c>
      <c r="Q13" s="1"/>
      <c r="R13" s="110"/>
      <c r="S13" s="110"/>
      <c r="T13" s="111"/>
      <c r="U13" s="111"/>
      <c r="V13" s="110"/>
      <c r="W13" s="110"/>
    </row>
    <row r="14" spans="2:26" x14ac:dyDescent="0.3">
      <c r="B14" s="2" t="str">
        <f t="shared" si="0"/>
        <v/>
      </c>
      <c r="C14" s="1"/>
      <c r="D14" s="1"/>
      <c r="E14" s="1"/>
      <c r="F14" s="110"/>
      <c r="G14" s="110"/>
      <c r="H14" s="111"/>
      <c r="I14" s="111"/>
      <c r="J14" s="110"/>
      <c r="K14" s="110"/>
      <c r="O14" s="2" t="str">
        <f t="shared" si="1"/>
        <v>Convenience</v>
      </c>
      <c r="P14" s="1" t="s">
        <v>118</v>
      </c>
      <c r="Q14" s="1"/>
      <c r="R14" s="110"/>
      <c r="S14" s="110"/>
      <c r="T14" s="111"/>
      <c r="U14" s="111"/>
      <c r="V14" s="110"/>
      <c r="W14" s="110"/>
    </row>
    <row r="15" spans="2:26" x14ac:dyDescent="0.3">
      <c r="B15" s="2" t="str">
        <f t="shared" si="0"/>
        <v/>
      </c>
      <c r="C15" s="1"/>
      <c r="D15" s="1"/>
      <c r="E15" s="1"/>
      <c r="F15" s="110"/>
      <c r="G15" s="110"/>
      <c r="H15" s="111"/>
      <c r="I15" s="111"/>
      <c r="J15" s="110"/>
      <c r="K15" s="110"/>
      <c r="O15" s="2" t="str">
        <f t="shared" si="1"/>
        <v>Convenience</v>
      </c>
      <c r="P15" s="1" t="s">
        <v>118</v>
      </c>
      <c r="Q15" s="1"/>
      <c r="R15" s="110"/>
      <c r="S15" s="110"/>
      <c r="T15" s="111"/>
      <c r="U15" s="111"/>
      <c r="V15" s="110"/>
      <c r="W15" s="110"/>
    </row>
    <row r="16" spans="2:26" x14ac:dyDescent="0.3">
      <c r="B16" s="2" t="str">
        <f t="shared" si="0"/>
        <v/>
      </c>
      <c r="C16" s="1"/>
      <c r="D16" s="1"/>
      <c r="E16" s="1"/>
      <c r="F16" s="110"/>
      <c r="G16" s="110"/>
      <c r="H16" s="111"/>
      <c r="I16" s="111"/>
      <c r="J16" s="110"/>
      <c r="K16" s="110"/>
      <c r="O16" s="2" t="str">
        <f t="shared" si="1"/>
        <v>Convenience</v>
      </c>
      <c r="P16" s="1" t="s">
        <v>118</v>
      </c>
      <c r="Q16" s="1"/>
      <c r="R16" s="110"/>
      <c r="S16" s="110"/>
      <c r="T16" s="111"/>
      <c r="U16" s="111"/>
      <c r="V16" s="110"/>
      <c r="W16" s="110"/>
    </row>
    <row r="17" spans="2:23" x14ac:dyDescent="0.3">
      <c r="B17" s="2" t="str">
        <f t="shared" si="0"/>
        <v/>
      </c>
      <c r="C17" s="1"/>
      <c r="D17" s="1"/>
      <c r="E17" s="1"/>
      <c r="F17" s="110"/>
      <c r="G17" s="110"/>
      <c r="H17" s="111"/>
      <c r="I17" s="111"/>
      <c r="J17" s="110"/>
      <c r="K17" s="110"/>
      <c r="O17" s="2" t="str">
        <f t="shared" si="1"/>
        <v>Convenience</v>
      </c>
      <c r="P17" s="1" t="s">
        <v>118</v>
      </c>
      <c r="Q17" s="1"/>
      <c r="R17" s="110"/>
      <c r="S17" s="110"/>
      <c r="T17" s="111"/>
      <c r="U17" s="111"/>
      <c r="V17" s="110"/>
      <c r="W17" s="110"/>
    </row>
    <row r="18" spans="2:23" x14ac:dyDescent="0.3">
      <c r="B18" s="2" t="str">
        <f t="shared" si="0"/>
        <v/>
      </c>
      <c r="C18" s="1"/>
      <c r="D18" s="1"/>
      <c r="E18" s="1"/>
      <c r="F18" s="110"/>
      <c r="G18" s="110"/>
      <c r="H18" s="111"/>
      <c r="I18" s="111"/>
      <c r="J18" s="110"/>
      <c r="K18" s="110"/>
      <c r="O18" s="2" t="str">
        <f t="shared" si="1"/>
        <v>Convenience</v>
      </c>
      <c r="P18" s="1" t="s">
        <v>118</v>
      </c>
      <c r="Q18" s="1"/>
      <c r="R18" s="110"/>
      <c r="S18" s="110"/>
      <c r="T18" s="111"/>
      <c r="U18" s="111"/>
      <c r="V18" s="110"/>
      <c r="W18" s="110"/>
    </row>
    <row r="19" spans="2:23" x14ac:dyDescent="0.3">
      <c r="B19" s="2" t="str">
        <f t="shared" si="0"/>
        <v/>
      </c>
      <c r="C19" s="1"/>
      <c r="D19" s="1"/>
      <c r="E19" s="1"/>
      <c r="F19" s="110"/>
      <c r="G19" s="110"/>
      <c r="H19" s="111"/>
      <c r="I19" s="111"/>
      <c r="J19" s="110"/>
      <c r="K19" s="110"/>
      <c r="O19" s="2" t="str">
        <f t="shared" si="1"/>
        <v>Convenience</v>
      </c>
      <c r="P19" s="1" t="s">
        <v>118</v>
      </c>
      <c r="Q19" s="1"/>
      <c r="R19" s="110"/>
      <c r="S19" s="110"/>
      <c r="T19" s="111"/>
      <c r="U19" s="111"/>
      <c r="V19" s="110"/>
      <c r="W19" s="110"/>
    </row>
    <row r="20" spans="2:23" x14ac:dyDescent="0.3">
      <c r="B20" s="2" t="str">
        <f t="shared" si="0"/>
        <v/>
      </c>
      <c r="C20" s="1"/>
      <c r="D20" s="1"/>
      <c r="E20" s="1"/>
      <c r="F20" s="110"/>
      <c r="G20" s="110"/>
      <c r="H20" s="111"/>
      <c r="I20" s="111"/>
      <c r="J20" s="110"/>
      <c r="K20" s="110"/>
      <c r="O20" s="2" t="str">
        <f t="shared" si="1"/>
        <v>Convenience</v>
      </c>
      <c r="P20" s="1" t="s">
        <v>118</v>
      </c>
      <c r="Q20" s="1"/>
      <c r="R20" s="110"/>
      <c r="S20" s="110"/>
      <c r="T20" s="111"/>
      <c r="U20" s="111"/>
      <c r="V20" s="110"/>
      <c r="W20" s="110"/>
    </row>
    <row r="21" spans="2:23" x14ac:dyDescent="0.3">
      <c r="B21" s="2" t="str">
        <f t="shared" si="0"/>
        <v/>
      </c>
      <c r="C21" s="1"/>
      <c r="D21" s="1"/>
      <c r="E21" s="1"/>
      <c r="F21" s="110"/>
      <c r="G21" s="110"/>
      <c r="H21" s="111"/>
      <c r="I21" s="111"/>
      <c r="J21" s="110"/>
      <c r="K21" s="110"/>
      <c r="O21" s="2" t="str">
        <f t="shared" si="1"/>
        <v>Convenience</v>
      </c>
      <c r="P21" s="1" t="s">
        <v>118</v>
      </c>
      <c r="Q21" s="1"/>
      <c r="R21" s="110"/>
      <c r="S21" s="110"/>
      <c r="T21" s="111"/>
      <c r="U21" s="111"/>
      <c r="V21" s="110"/>
      <c r="W21" s="110"/>
    </row>
    <row r="22" spans="2:23" x14ac:dyDescent="0.3">
      <c r="B22" s="2" t="str">
        <f t="shared" si="0"/>
        <v/>
      </c>
      <c r="C22" s="1"/>
      <c r="D22" s="1"/>
      <c r="E22" s="1"/>
      <c r="F22" s="110"/>
      <c r="G22" s="110"/>
      <c r="H22" s="111"/>
      <c r="I22" s="111"/>
      <c r="J22" s="110"/>
      <c r="K22" s="110"/>
      <c r="O22" s="2" t="str">
        <f t="shared" si="1"/>
        <v>Convenience</v>
      </c>
      <c r="P22" s="1" t="s">
        <v>118</v>
      </c>
      <c r="Q22" s="1"/>
      <c r="R22" s="110"/>
      <c r="S22" s="110"/>
      <c r="T22" s="111"/>
      <c r="U22" s="111"/>
      <c r="V22" s="110"/>
      <c r="W22" s="110"/>
    </row>
    <row r="23" spans="2:23" x14ac:dyDescent="0.3">
      <c r="B23" s="2" t="str">
        <f t="shared" si="0"/>
        <v/>
      </c>
      <c r="C23" s="1"/>
      <c r="D23" s="1"/>
      <c r="E23" s="1"/>
      <c r="F23" s="110"/>
      <c r="G23" s="110"/>
      <c r="H23" s="111"/>
      <c r="I23" s="111"/>
      <c r="J23" s="110"/>
      <c r="K23" s="110"/>
      <c r="O23" s="2" t="str">
        <f t="shared" si="1"/>
        <v>Convenience</v>
      </c>
      <c r="P23" s="1" t="s">
        <v>118</v>
      </c>
      <c r="Q23" s="1"/>
      <c r="R23" s="110"/>
      <c r="S23" s="110"/>
      <c r="T23" s="111"/>
      <c r="U23" s="111"/>
      <c r="V23" s="110"/>
      <c r="W23" s="110"/>
    </row>
    <row r="24" spans="2:23" x14ac:dyDescent="0.3">
      <c r="B24" s="2" t="str">
        <f t="shared" si="0"/>
        <v/>
      </c>
      <c r="C24" s="1"/>
      <c r="D24" s="1"/>
      <c r="E24" s="1"/>
      <c r="F24" s="110"/>
      <c r="G24" s="110"/>
      <c r="H24" s="111"/>
      <c r="I24" s="111"/>
      <c r="J24" s="110"/>
      <c r="K24" s="110"/>
      <c r="O24" s="2" t="str">
        <f t="shared" si="1"/>
        <v>Convenience</v>
      </c>
      <c r="P24" s="1" t="s">
        <v>118</v>
      </c>
      <c r="Q24" s="1"/>
      <c r="R24" s="110"/>
      <c r="S24" s="110"/>
      <c r="T24" s="111"/>
      <c r="U24" s="111"/>
      <c r="V24" s="110"/>
      <c r="W24" s="110"/>
    </row>
    <row r="25" spans="2:23" x14ac:dyDescent="0.3">
      <c r="B25" s="2" t="str">
        <f t="shared" si="0"/>
        <v/>
      </c>
      <c r="C25" s="1"/>
      <c r="D25" s="1"/>
      <c r="E25" s="1"/>
      <c r="F25" s="110"/>
      <c r="G25" s="110"/>
      <c r="H25" s="111"/>
      <c r="I25" s="111"/>
      <c r="J25" s="110"/>
      <c r="K25" s="110"/>
      <c r="O25" s="2" t="str">
        <f t="shared" si="1"/>
        <v>Convenience</v>
      </c>
      <c r="P25" s="1" t="s">
        <v>118</v>
      </c>
      <c r="Q25" s="1"/>
      <c r="R25" s="110"/>
      <c r="S25" s="110"/>
      <c r="T25" s="111"/>
      <c r="U25" s="111"/>
      <c r="V25" s="110"/>
      <c r="W25" s="110"/>
    </row>
    <row r="26" spans="2:23" x14ac:dyDescent="0.3">
      <c r="B26" s="2" t="str">
        <f t="shared" si="0"/>
        <v/>
      </c>
      <c r="C26" s="1"/>
      <c r="D26" s="1"/>
      <c r="E26" s="1"/>
      <c r="F26" s="110"/>
      <c r="G26" s="110"/>
      <c r="H26" s="111"/>
      <c r="I26" s="111"/>
      <c r="J26" s="110"/>
      <c r="K26" s="110"/>
      <c r="O26" s="2" t="str">
        <f t="shared" si="1"/>
        <v>Convenience</v>
      </c>
      <c r="P26" s="1" t="s">
        <v>118</v>
      </c>
      <c r="Q26" s="1"/>
      <c r="R26" s="110"/>
      <c r="S26" s="110"/>
      <c r="T26" s="111"/>
      <c r="U26" s="111"/>
      <c r="V26" s="110"/>
      <c r="W26" s="110"/>
    </row>
    <row r="27" spans="2:23" x14ac:dyDescent="0.3">
      <c r="B27" s="2" t="str">
        <f t="shared" si="0"/>
        <v/>
      </c>
      <c r="C27" s="1"/>
      <c r="D27" s="1"/>
      <c r="E27" s="1"/>
      <c r="F27" s="110"/>
      <c r="G27" s="110"/>
      <c r="H27" s="111"/>
      <c r="I27" s="111"/>
      <c r="J27" s="110"/>
      <c r="K27" s="110"/>
      <c r="O27" s="2" t="str">
        <f t="shared" si="1"/>
        <v>Convenience</v>
      </c>
      <c r="P27" s="1" t="s">
        <v>118</v>
      </c>
      <c r="Q27" s="1"/>
      <c r="R27" s="110"/>
      <c r="S27" s="110"/>
      <c r="T27" s="111"/>
      <c r="U27" s="111"/>
      <c r="V27" s="110"/>
      <c r="W27" s="110"/>
    </row>
    <row r="28" spans="2:23" x14ac:dyDescent="0.3">
      <c r="B28" s="2" t="str">
        <f t="shared" si="0"/>
        <v/>
      </c>
      <c r="C28" s="1"/>
      <c r="D28" s="1"/>
      <c r="E28" s="1"/>
      <c r="F28" s="110"/>
      <c r="G28" s="110"/>
      <c r="H28" s="111"/>
      <c r="I28" s="111"/>
      <c r="J28" s="110"/>
      <c r="K28" s="110"/>
      <c r="O28" s="2" t="str">
        <f t="shared" si="1"/>
        <v>Convenience</v>
      </c>
      <c r="P28" s="1" t="s">
        <v>118</v>
      </c>
      <c r="Q28" s="1"/>
      <c r="R28" s="110"/>
      <c r="S28" s="110"/>
      <c r="T28" s="111"/>
      <c r="U28" s="111"/>
      <c r="V28" s="110"/>
      <c r="W28" s="110"/>
    </row>
    <row r="29" spans="2:23" x14ac:dyDescent="0.3">
      <c r="B29" s="2" t="str">
        <f t="shared" si="0"/>
        <v/>
      </c>
      <c r="C29" s="1"/>
      <c r="D29" s="1"/>
      <c r="E29" s="1"/>
      <c r="F29" s="110"/>
      <c r="G29" s="110"/>
      <c r="H29" s="111"/>
      <c r="I29" s="111"/>
      <c r="J29" s="110"/>
      <c r="K29" s="110"/>
      <c r="O29" s="2" t="str">
        <f t="shared" si="1"/>
        <v>Convenience</v>
      </c>
      <c r="P29" s="1" t="s">
        <v>118</v>
      </c>
      <c r="Q29" s="1"/>
      <c r="R29" s="110"/>
      <c r="S29" s="110"/>
      <c r="T29" s="111"/>
      <c r="U29" s="111"/>
      <c r="V29" s="110"/>
      <c r="W29" s="110"/>
    </row>
    <row r="30" spans="2:23" x14ac:dyDescent="0.3">
      <c r="B30" s="2" t="str">
        <f t="shared" si="0"/>
        <v/>
      </c>
      <c r="C30" s="1"/>
      <c r="D30" s="1"/>
      <c r="E30" s="1"/>
      <c r="F30" s="110"/>
      <c r="G30" s="110"/>
      <c r="H30" s="111"/>
      <c r="I30" s="111"/>
      <c r="J30" s="110"/>
      <c r="K30" s="110"/>
      <c r="O30" s="2" t="str">
        <f t="shared" si="1"/>
        <v>Convenience</v>
      </c>
      <c r="P30" s="1" t="s">
        <v>118</v>
      </c>
      <c r="Q30" s="1"/>
      <c r="R30" s="110"/>
      <c r="S30" s="110"/>
      <c r="T30" s="111"/>
      <c r="U30" s="111"/>
      <c r="V30" s="110"/>
      <c r="W30" s="110"/>
    </row>
    <row r="31" spans="2:23" x14ac:dyDescent="0.3">
      <c r="B31" s="2" t="str">
        <f t="shared" si="0"/>
        <v/>
      </c>
      <c r="C31" s="1"/>
      <c r="D31" s="1"/>
      <c r="E31" s="1"/>
      <c r="F31" s="110"/>
      <c r="G31" s="110"/>
      <c r="H31" s="111"/>
      <c r="I31" s="111"/>
      <c r="J31" s="110"/>
      <c r="K31" s="110"/>
      <c r="O31" s="2" t="str">
        <f t="shared" si="1"/>
        <v>Convenience</v>
      </c>
      <c r="P31" s="1" t="s">
        <v>118</v>
      </c>
      <c r="Q31" s="1"/>
      <c r="R31" s="110"/>
      <c r="S31" s="110"/>
      <c r="T31" s="111"/>
      <c r="U31" s="111"/>
      <c r="V31" s="110"/>
      <c r="W31" s="110"/>
    </row>
    <row r="32" spans="2:23" x14ac:dyDescent="0.3">
      <c r="B32" s="2" t="str">
        <f t="shared" si="0"/>
        <v/>
      </c>
      <c r="C32" s="1"/>
      <c r="D32" s="1"/>
      <c r="E32" s="1"/>
      <c r="F32" s="110"/>
      <c r="G32" s="110"/>
      <c r="H32" s="111"/>
      <c r="I32" s="111"/>
      <c r="J32" s="110"/>
      <c r="K32" s="110"/>
      <c r="O32" s="2" t="str">
        <f t="shared" si="1"/>
        <v>Convenience</v>
      </c>
      <c r="P32" s="1" t="s">
        <v>118</v>
      </c>
      <c r="Q32" s="1"/>
      <c r="R32" s="110"/>
      <c r="S32" s="110"/>
      <c r="T32" s="111"/>
      <c r="U32" s="111"/>
      <c r="V32" s="110"/>
      <c r="W32" s="110"/>
    </row>
    <row r="33" spans="2:23" x14ac:dyDescent="0.3">
      <c r="B33" s="2" t="str">
        <f t="shared" si="0"/>
        <v/>
      </c>
      <c r="C33" s="1"/>
      <c r="D33" s="1"/>
      <c r="E33" s="1"/>
      <c r="F33" s="110"/>
      <c r="G33" s="110"/>
      <c r="H33" s="111"/>
      <c r="I33" s="111"/>
      <c r="J33" s="110"/>
      <c r="K33" s="110"/>
      <c r="O33" s="2" t="str">
        <f t="shared" si="1"/>
        <v>Convenience</v>
      </c>
      <c r="P33" s="1" t="s">
        <v>118</v>
      </c>
      <c r="Q33" s="1"/>
      <c r="R33" s="110"/>
      <c r="S33" s="110"/>
      <c r="T33" s="111"/>
      <c r="U33" s="111"/>
      <c r="V33" s="110"/>
      <c r="W33" s="110"/>
    </row>
    <row r="34" spans="2:23" x14ac:dyDescent="0.3">
      <c r="B34" s="2" t="str">
        <f t="shared" si="0"/>
        <v/>
      </c>
      <c r="C34" s="1"/>
      <c r="D34" s="1"/>
      <c r="E34" s="1"/>
      <c r="F34" s="110"/>
      <c r="G34" s="110"/>
      <c r="H34" s="111"/>
      <c r="I34" s="111"/>
      <c r="J34" s="110"/>
      <c r="K34" s="110"/>
      <c r="O34" s="2" t="str">
        <f t="shared" si="1"/>
        <v>Convenience</v>
      </c>
      <c r="P34" s="1" t="s">
        <v>118</v>
      </c>
      <c r="Q34" s="1"/>
      <c r="R34" s="110"/>
      <c r="S34" s="110"/>
      <c r="T34" s="111"/>
      <c r="U34" s="111"/>
      <c r="V34" s="110"/>
      <c r="W34" s="110"/>
    </row>
    <row r="35" spans="2:23" x14ac:dyDescent="0.3">
      <c r="B35" s="2" t="str">
        <f t="shared" si="0"/>
        <v/>
      </c>
      <c r="C35" s="1"/>
      <c r="D35" s="1"/>
      <c r="E35" s="1"/>
      <c r="F35" s="110"/>
      <c r="G35" s="110"/>
      <c r="H35" s="111"/>
      <c r="I35" s="111"/>
      <c r="J35" s="110"/>
      <c r="K35" s="110"/>
      <c r="O35" s="2" t="str">
        <f t="shared" si="1"/>
        <v>Convenience</v>
      </c>
      <c r="P35" s="1" t="s">
        <v>118</v>
      </c>
      <c r="Q35" s="1"/>
      <c r="R35" s="110"/>
      <c r="S35" s="110"/>
      <c r="T35" s="111"/>
      <c r="U35" s="111"/>
      <c r="V35" s="110"/>
      <c r="W35" s="110"/>
    </row>
    <row r="36" spans="2:23" x14ac:dyDescent="0.3">
      <c r="B36" s="2" t="str">
        <f t="shared" si="0"/>
        <v/>
      </c>
      <c r="C36" s="1"/>
      <c r="D36" s="1"/>
      <c r="E36" s="1"/>
      <c r="F36" s="110"/>
      <c r="G36" s="110"/>
      <c r="H36" s="111"/>
      <c r="I36" s="111"/>
      <c r="J36" s="110"/>
      <c r="K36" s="110"/>
      <c r="O36" s="2" t="str">
        <f t="shared" si="1"/>
        <v>Convenience</v>
      </c>
      <c r="P36" s="1" t="s">
        <v>118</v>
      </c>
      <c r="Q36" s="1"/>
      <c r="R36" s="110"/>
      <c r="S36" s="110"/>
      <c r="T36" s="111"/>
      <c r="U36" s="111"/>
      <c r="V36" s="110"/>
      <c r="W36" s="110"/>
    </row>
    <row r="37" spans="2:23" x14ac:dyDescent="0.3">
      <c r="B37" s="2" t="str">
        <f t="shared" si="0"/>
        <v/>
      </c>
      <c r="C37" s="1"/>
      <c r="D37" s="1"/>
      <c r="E37" s="1"/>
      <c r="F37" s="110"/>
      <c r="G37" s="110"/>
      <c r="H37" s="111"/>
      <c r="I37" s="111"/>
      <c r="J37" s="110"/>
      <c r="K37" s="110"/>
      <c r="O37" s="2" t="str">
        <f t="shared" si="1"/>
        <v>Convenience</v>
      </c>
      <c r="P37" s="1" t="s">
        <v>118</v>
      </c>
      <c r="Q37" s="1"/>
      <c r="R37" s="110"/>
      <c r="S37" s="110"/>
      <c r="T37" s="111"/>
      <c r="U37" s="111"/>
      <c r="V37" s="110"/>
      <c r="W37" s="110"/>
    </row>
    <row r="38" spans="2:23" x14ac:dyDescent="0.3">
      <c r="B38" s="2" t="str">
        <f t="shared" si="0"/>
        <v/>
      </c>
      <c r="C38" s="1"/>
      <c r="D38" s="1"/>
      <c r="E38" s="1"/>
      <c r="F38" s="110"/>
      <c r="G38" s="110"/>
      <c r="H38" s="111"/>
      <c r="I38" s="111"/>
      <c r="J38" s="110"/>
      <c r="K38" s="110"/>
      <c r="O38" s="2" t="str">
        <f t="shared" si="1"/>
        <v>Convenience</v>
      </c>
      <c r="P38" s="1" t="s">
        <v>118</v>
      </c>
      <c r="Q38" s="1"/>
      <c r="R38" s="110"/>
      <c r="S38" s="110"/>
      <c r="T38" s="111"/>
      <c r="U38" s="111"/>
      <c r="V38" s="110"/>
      <c r="W38" s="110"/>
    </row>
    <row r="39" spans="2:23" x14ac:dyDescent="0.3">
      <c r="B39" s="2" t="str">
        <f t="shared" si="0"/>
        <v/>
      </c>
      <c r="C39" s="1"/>
      <c r="D39" s="1"/>
      <c r="E39" s="1"/>
      <c r="F39" s="110"/>
      <c r="G39" s="110"/>
      <c r="H39" s="111"/>
      <c r="I39" s="111"/>
      <c r="J39" s="110"/>
      <c r="K39" s="110"/>
      <c r="O39" s="2" t="str">
        <f t="shared" si="1"/>
        <v>Convenience</v>
      </c>
      <c r="P39" s="1" t="s">
        <v>118</v>
      </c>
      <c r="Q39" s="1"/>
      <c r="R39" s="110"/>
      <c r="S39" s="110"/>
      <c r="T39" s="111"/>
      <c r="U39" s="111"/>
      <c r="V39" s="110"/>
      <c r="W39" s="110"/>
    </row>
    <row r="40" spans="2:23" x14ac:dyDescent="0.3">
      <c r="B40" s="2" t="str">
        <f t="shared" si="0"/>
        <v/>
      </c>
      <c r="C40" s="1"/>
      <c r="D40" s="1"/>
      <c r="E40" s="1"/>
      <c r="F40" s="110"/>
      <c r="G40" s="110"/>
      <c r="H40" s="111"/>
      <c r="I40" s="111"/>
      <c r="J40" s="110"/>
      <c r="K40" s="110"/>
      <c r="O40" s="2" t="str">
        <f t="shared" si="1"/>
        <v>Convenience</v>
      </c>
      <c r="P40" s="1" t="s">
        <v>118</v>
      </c>
      <c r="Q40" s="1"/>
      <c r="R40" s="110"/>
      <c r="S40" s="110"/>
      <c r="T40" s="111"/>
      <c r="U40" s="111"/>
      <c r="V40" s="110"/>
      <c r="W40" s="110"/>
    </row>
    <row r="41" spans="2:23" x14ac:dyDescent="0.3">
      <c r="B41" s="2" t="str">
        <f t="shared" si="0"/>
        <v/>
      </c>
      <c r="C41" s="1"/>
      <c r="D41" s="1"/>
      <c r="E41" s="1"/>
      <c r="F41" s="110"/>
      <c r="G41" s="110"/>
      <c r="H41" s="111"/>
      <c r="I41" s="111"/>
      <c r="J41" s="110"/>
      <c r="K41" s="110"/>
      <c r="O41" s="2" t="str">
        <f t="shared" si="1"/>
        <v>Convenience</v>
      </c>
      <c r="P41" s="1" t="s">
        <v>118</v>
      </c>
      <c r="Q41" s="1"/>
      <c r="R41" s="110"/>
      <c r="S41" s="110"/>
      <c r="T41" s="111"/>
      <c r="U41" s="111"/>
      <c r="V41" s="110"/>
      <c r="W41" s="110"/>
    </row>
    <row r="42" spans="2:23" x14ac:dyDescent="0.3">
      <c r="B42" s="2" t="str">
        <f t="shared" si="0"/>
        <v/>
      </c>
      <c r="C42" s="1"/>
      <c r="D42" s="1"/>
      <c r="E42" s="1"/>
      <c r="F42" s="110"/>
      <c r="G42" s="110"/>
      <c r="H42" s="111"/>
      <c r="I42" s="111"/>
      <c r="J42" s="110"/>
      <c r="K42" s="110"/>
      <c r="O42" s="2" t="str">
        <f t="shared" si="1"/>
        <v>Convenience</v>
      </c>
      <c r="P42" s="1" t="s">
        <v>118</v>
      </c>
      <c r="Q42" s="1"/>
      <c r="R42" s="110"/>
      <c r="S42" s="110"/>
      <c r="T42" s="111"/>
      <c r="U42" s="111"/>
      <c r="V42" s="110"/>
      <c r="W42" s="110"/>
    </row>
    <row r="43" spans="2:23" x14ac:dyDescent="0.3">
      <c r="B43" s="2" t="str">
        <f t="shared" si="0"/>
        <v/>
      </c>
      <c r="C43" s="1"/>
      <c r="D43" s="1"/>
      <c r="E43" s="1"/>
      <c r="F43" s="110"/>
      <c r="G43" s="110"/>
      <c r="H43" s="111"/>
      <c r="I43" s="111"/>
      <c r="J43" s="110"/>
      <c r="K43" s="110"/>
      <c r="O43" s="2" t="str">
        <f t="shared" si="1"/>
        <v>Convenience</v>
      </c>
      <c r="P43" s="1" t="s">
        <v>118</v>
      </c>
      <c r="Q43" s="1"/>
      <c r="R43" s="110"/>
      <c r="S43" s="110"/>
      <c r="T43" s="111"/>
      <c r="U43" s="111"/>
      <c r="V43" s="110"/>
      <c r="W43" s="110"/>
    </row>
    <row r="44" spans="2:23" x14ac:dyDescent="0.3">
      <c r="B44" s="2" t="str">
        <f t="shared" si="0"/>
        <v/>
      </c>
      <c r="C44" s="1"/>
      <c r="D44" s="1"/>
      <c r="E44" s="1"/>
      <c r="F44" s="110"/>
      <c r="G44" s="110"/>
      <c r="H44" s="111"/>
      <c r="I44" s="111"/>
      <c r="J44" s="110"/>
      <c r="K44" s="110"/>
      <c r="O44" s="2" t="str">
        <f t="shared" si="1"/>
        <v>Convenience</v>
      </c>
      <c r="P44" s="1" t="s">
        <v>118</v>
      </c>
      <c r="Q44" s="1"/>
      <c r="R44" s="110"/>
      <c r="S44" s="110"/>
      <c r="T44" s="111"/>
      <c r="U44" s="111"/>
      <c r="V44" s="110"/>
      <c r="W44" s="110"/>
    </row>
    <row r="45" spans="2:23" x14ac:dyDescent="0.3">
      <c r="B45" s="2" t="str">
        <f t="shared" si="0"/>
        <v/>
      </c>
      <c r="C45" s="1"/>
      <c r="D45" s="1"/>
      <c r="E45" s="1"/>
      <c r="F45" s="110"/>
      <c r="G45" s="110"/>
      <c r="H45" s="111"/>
      <c r="I45" s="111"/>
      <c r="J45" s="110"/>
      <c r="K45" s="110"/>
      <c r="O45" s="2" t="str">
        <f t="shared" si="1"/>
        <v>Convenience</v>
      </c>
      <c r="P45" s="1" t="s">
        <v>118</v>
      </c>
      <c r="Q45" s="1"/>
      <c r="R45" s="110"/>
      <c r="S45" s="110"/>
      <c r="T45" s="111"/>
      <c r="U45" s="111"/>
      <c r="V45" s="110"/>
      <c r="W45" s="110"/>
    </row>
    <row r="46" spans="2:23" x14ac:dyDescent="0.3">
      <c r="B46" s="2" t="str">
        <f t="shared" si="0"/>
        <v/>
      </c>
      <c r="C46" s="1"/>
      <c r="D46" s="1"/>
      <c r="E46" s="1"/>
      <c r="F46" s="110"/>
      <c r="G46" s="110"/>
      <c r="H46" s="111"/>
      <c r="I46" s="111"/>
      <c r="J46" s="110"/>
      <c r="K46" s="110"/>
      <c r="O46" s="2" t="str">
        <f t="shared" si="1"/>
        <v>Convenience</v>
      </c>
      <c r="P46" s="1" t="s">
        <v>118</v>
      </c>
      <c r="Q46" s="1"/>
      <c r="R46" s="110"/>
      <c r="S46" s="110"/>
      <c r="T46" s="111"/>
      <c r="U46" s="111"/>
      <c r="V46" s="110"/>
      <c r="W46" s="110"/>
    </row>
    <row r="47" spans="2:23" x14ac:dyDescent="0.3">
      <c r="B47" s="2" t="str">
        <f t="shared" si="0"/>
        <v/>
      </c>
      <c r="C47" s="1"/>
      <c r="D47" s="1"/>
      <c r="E47" s="1"/>
      <c r="F47" s="110"/>
      <c r="G47" s="110"/>
      <c r="H47" s="111"/>
      <c r="I47" s="111"/>
      <c r="J47" s="110"/>
      <c r="K47" s="110"/>
      <c r="O47" s="2" t="str">
        <f t="shared" si="1"/>
        <v>Convenience</v>
      </c>
      <c r="P47" s="1" t="s">
        <v>118</v>
      </c>
      <c r="Q47" s="1"/>
      <c r="R47" s="110"/>
      <c r="S47" s="110"/>
      <c r="T47" s="111"/>
      <c r="U47" s="111"/>
      <c r="V47" s="110"/>
      <c r="W47" s="110"/>
    </row>
    <row r="48" spans="2:23" x14ac:dyDescent="0.3">
      <c r="B48" s="2" t="str">
        <f t="shared" si="0"/>
        <v/>
      </c>
      <c r="C48" s="1"/>
      <c r="D48" s="1"/>
      <c r="E48" s="1"/>
      <c r="F48" s="110"/>
      <c r="G48" s="110"/>
      <c r="H48" s="111"/>
      <c r="I48" s="111"/>
      <c r="J48" s="110"/>
      <c r="K48" s="110"/>
      <c r="O48" s="2" t="str">
        <f t="shared" si="1"/>
        <v>Convenience</v>
      </c>
      <c r="P48" s="1" t="s">
        <v>118</v>
      </c>
      <c r="Q48" s="1"/>
      <c r="R48" s="110"/>
      <c r="S48" s="110"/>
      <c r="T48" s="111"/>
      <c r="U48" s="111"/>
      <c r="V48" s="110"/>
      <c r="W48" s="110"/>
    </row>
    <row r="49" spans="2:23" x14ac:dyDescent="0.3">
      <c r="B49" s="2" t="str">
        <f t="shared" si="0"/>
        <v/>
      </c>
      <c r="C49" s="1"/>
      <c r="D49" s="1"/>
      <c r="E49" s="1"/>
      <c r="F49" s="110"/>
      <c r="G49" s="110"/>
      <c r="H49" s="111"/>
      <c r="I49" s="111"/>
      <c r="J49" s="110"/>
      <c r="K49" s="110"/>
      <c r="O49" s="2" t="str">
        <f t="shared" si="1"/>
        <v>Convenience</v>
      </c>
      <c r="P49" s="1" t="s">
        <v>118</v>
      </c>
      <c r="Q49" s="1"/>
      <c r="R49" s="110"/>
      <c r="S49" s="110"/>
      <c r="T49" s="111"/>
      <c r="U49" s="111"/>
      <c r="V49" s="110"/>
      <c r="W49" s="110"/>
    </row>
    <row r="50" spans="2:23" x14ac:dyDescent="0.3">
      <c r="B50" s="2" t="str">
        <f t="shared" si="0"/>
        <v/>
      </c>
      <c r="C50" s="1"/>
      <c r="D50" s="1"/>
      <c r="E50" s="1"/>
      <c r="F50" s="110"/>
      <c r="G50" s="110"/>
      <c r="H50" s="111"/>
      <c r="I50" s="111"/>
      <c r="J50" s="110"/>
      <c r="K50" s="110"/>
      <c r="O50" s="2" t="str">
        <f t="shared" si="1"/>
        <v>Convenience</v>
      </c>
      <c r="P50" s="1" t="s">
        <v>118</v>
      </c>
      <c r="Q50" s="1"/>
      <c r="R50" s="110"/>
      <c r="S50" s="110"/>
      <c r="T50" s="111"/>
      <c r="U50" s="111"/>
      <c r="V50" s="110"/>
      <c r="W50" s="110"/>
    </row>
    <row r="51" spans="2:23" x14ac:dyDescent="0.3">
      <c r="B51" s="2" t="str">
        <f t="shared" si="0"/>
        <v/>
      </c>
      <c r="C51" s="1"/>
      <c r="D51" s="1"/>
      <c r="E51" s="1"/>
      <c r="F51" s="110"/>
      <c r="G51" s="110"/>
      <c r="H51" s="111"/>
      <c r="I51" s="111"/>
      <c r="J51" s="110"/>
      <c r="K51" s="110"/>
      <c r="O51" s="2" t="str">
        <f t="shared" si="1"/>
        <v>Convenience</v>
      </c>
      <c r="P51" s="1" t="s">
        <v>118</v>
      </c>
      <c r="Q51" s="1"/>
      <c r="R51" s="110"/>
      <c r="S51" s="110"/>
      <c r="T51" s="111"/>
      <c r="U51" s="111"/>
      <c r="V51" s="110"/>
      <c r="W51" s="110"/>
    </row>
    <row r="52" spans="2:23" x14ac:dyDescent="0.3">
      <c r="B52" s="2" t="str">
        <f t="shared" si="0"/>
        <v/>
      </c>
      <c r="C52" s="1"/>
      <c r="D52" s="1"/>
      <c r="E52" s="1"/>
      <c r="F52" s="110"/>
      <c r="G52" s="110"/>
      <c r="H52" s="111"/>
      <c r="I52" s="111"/>
      <c r="J52" s="110"/>
      <c r="K52" s="110"/>
      <c r="O52" s="2" t="str">
        <f t="shared" si="1"/>
        <v>Convenience</v>
      </c>
      <c r="P52" s="1" t="s">
        <v>118</v>
      </c>
      <c r="Q52" s="1"/>
      <c r="R52" s="110"/>
      <c r="S52" s="110"/>
      <c r="T52" s="111"/>
      <c r="U52" s="111"/>
      <c r="V52" s="110"/>
      <c r="W52" s="110"/>
    </row>
    <row r="53" spans="2:23" x14ac:dyDescent="0.3">
      <c r="B53" s="2" t="str">
        <f t="shared" si="0"/>
        <v/>
      </c>
      <c r="C53" s="1"/>
      <c r="D53" s="1"/>
      <c r="E53" s="1"/>
      <c r="F53" s="110"/>
      <c r="G53" s="110"/>
      <c r="H53" s="111"/>
      <c r="I53" s="111"/>
      <c r="J53" s="110"/>
      <c r="K53" s="110"/>
      <c r="O53" s="2" t="str">
        <f t="shared" si="1"/>
        <v>Convenience</v>
      </c>
      <c r="P53" s="1" t="s">
        <v>118</v>
      </c>
      <c r="Q53" s="1"/>
      <c r="R53" s="110"/>
      <c r="S53" s="110"/>
      <c r="T53" s="111"/>
      <c r="U53" s="111"/>
      <c r="V53" s="110"/>
      <c r="W53" s="110"/>
    </row>
    <row r="54" spans="2:23" x14ac:dyDescent="0.3">
      <c r="B54" s="2" t="str">
        <f t="shared" si="0"/>
        <v/>
      </c>
      <c r="C54" s="1"/>
      <c r="D54" s="1"/>
      <c r="E54" s="1"/>
      <c r="F54" s="110"/>
      <c r="G54" s="110"/>
      <c r="H54" s="111"/>
      <c r="I54" s="111"/>
      <c r="J54" s="110"/>
      <c r="K54" s="110"/>
      <c r="O54" s="2" t="str">
        <f t="shared" si="1"/>
        <v>Convenience</v>
      </c>
      <c r="P54" s="1" t="s">
        <v>118</v>
      </c>
      <c r="Q54" s="1"/>
      <c r="R54" s="110"/>
      <c r="S54" s="110"/>
      <c r="T54" s="111"/>
      <c r="U54" s="111"/>
      <c r="V54" s="110"/>
      <c r="W54" s="110"/>
    </row>
    <row r="55" spans="2:23" x14ac:dyDescent="0.3">
      <c r="B55" s="2" t="str">
        <f t="shared" si="0"/>
        <v/>
      </c>
      <c r="C55" s="1"/>
      <c r="D55" s="1"/>
      <c r="E55" s="1"/>
      <c r="F55" s="110"/>
      <c r="G55" s="110"/>
      <c r="H55" s="111"/>
      <c r="I55" s="111"/>
      <c r="J55" s="110"/>
      <c r="K55" s="110"/>
      <c r="O55" s="2" t="str">
        <f t="shared" si="1"/>
        <v>Convenience</v>
      </c>
      <c r="P55" s="1" t="s">
        <v>118</v>
      </c>
      <c r="Q55" s="1"/>
      <c r="R55" s="110"/>
      <c r="S55" s="110"/>
      <c r="T55" s="111"/>
      <c r="U55" s="111"/>
      <c r="V55" s="110"/>
      <c r="W55" s="110"/>
    </row>
    <row r="56" spans="2:23" x14ac:dyDescent="0.3">
      <c r="B56" s="2" t="str">
        <f t="shared" si="0"/>
        <v/>
      </c>
      <c r="C56" s="1"/>
      <c r="D56" s="1"/>
      <c r="E56" s="1"/>
      <c r="F56" s="110"/>
      <c r="G56" s="110"/>
      <c r="H56" s="111"/>
      <c r="I56" s="111"/>
      <c r="J56" s="110"/>
      <c r="K56" s="110"/>
      <c r="O56" s="2" t="str">
        <f t="shared" si="1"/>
        <v>Convenience</v>
      </c>
      <c r="P56" s="1" t="s">
        <v>118</v>
      </c>
      <c r="Q56" s="1"/>
      <c r="R56" s="110"/>
      <c r="S56" s="110"/>
      <c r="T56" s="111"/>
      <c r="U56" s="111"/>
      <c r="V56" s="110"/>
      <c r="W56" s="110"/>
    </row>
    <row r="57" spans="2:23" x14ac:dyDescent="0.3">
      <c r="B57" s="2" t="str">
        <f t="shared" si="0"/>
        <v/>
      </c>
      <c r="C57" s="1"/>
      <c r="D57" s="1"/>
      <c r="E57" s="1"/>
      <c r="F57" s="110"/>
      <c r="G57" s="110"/>
      <c r="H57" s="111"/>
      <c r="I57" s="111"/>
      <c r="J57" s="110"/>
      <c r="K57" s="110"/>
      <c r="O57" s="2" t="str">
        <f t="shared" si="1"/>
        <v>Convenience</v>
      </c>
      <c r="P57" s="1" t="s">
        <v>118</v>
      </c>
      <c r="Q57" s="1"/>
      <c r="R57" s="110"/>
      <c r="S57" s="110"/>
      <c r="T57" s="111"/>
      <c r="U57" s="111"/>
      <c r="V57" s="110"/>
      <c r="W57" s="110"/>
    </row>
    <row r="58" spans="2:23" x14ac:dyDescent="0.3">
      <c r="B58" s="2" t="str">
        <f t="shared" si="0"/>
        <v/>
      </c>
      <c r="C58" s="1"/>
      <c r="D58" s="1"/>
      <c r="E58" s="1"/>
      <c r="F58" s="110"/>
      <c r="G58" s="110"/>
      <c r="H58" s="111"/>
      <c r="I58" s="111"/>
      <c r="J58" s="110"/>
      <c r="K58" s="110"/>
      <c r="O58" s="2" t="str">
        <f t="shared" si="1"/>
        <v>Convenience</v>
      </c>
      <c r="P58" s="1" t="s">
        <v>118</v>
      </c>
      <c r="Q58" s="1"/>
      <c r="R58" s="110"/>
      <c r="S58" s="110"/>
      <c r="T58" s="111"/>
      <c r="U58" s="111"/>
      <c r="V58" s="110"/>
      <c r="W58" s="110"/>
    </row>
    <row r="59" spans="2:23" x14ac:dyDescent="0.3">
      <c r="B59" s="2" t="str">
        <f t="shared" si="0"/>
        <v/>
      </c>
      <c r="C59" s="1"/>
      <c r="D59" s="1"/>
      <c r="E59" s="1"/>
      <c r="F59" s="110"/>
      <c r="G59" s="110"/>
      <c r="H59" s="111"/>
      <c r="I59" s="111"/>
      <c r="J59" s="110"/>
      <c r="K59" s="110"/>
      <c r="O59" s="2" t="str">
        <f t="shared" si="1"/>
        <v>Convenience</v>
      </c>
      <c r="P59" s="1" t="s">
        <v>118</v>
      </c>
      <c r="Q59" s="1"/>
      <c r="R59" s="110"/>
      <c r="S59" s="110"/>
      <c r="T59" s="111"/>
      <c r="U59" s="111"/>
      <c r="V59" s="110"/>
      <c r="W59" s="110"/>
    </row>
    <row r="60" spans="2:23" x14ac:dyDescent="0.3">
      <c r="B60" s="2" t="str">
        <f t="shared" si="0"/>
        <v/>
      </c>
      <c r="C60" s="1"/>
      <c r="D60" s="1"/>
      <c r="E60" s="1"/>
      <c r="F60" s="110"/>
      <c r="G60" s="110"/>
      <c r="H60" s="111"/>
      <c r="I60" s="111"/>
      <c r="J60" s="110"/>
      <c r="K60" s="110"/>
      <c r="O60" s="2" t="str">
        <f t="shared" si="1"/>
        <v>Convenience</v>
      </c>
      <c r="P60" s="1" t="s">
        <v>118</v>
      </c>
      <c r="Q60" s="1"/>
      <c r="R60" s="110"/>
      <c r="S60" s="110"/>
      <c r="T60" s="111"/>
      <c r="U60" s="111"/>
      <c r="V60" s="110"/>
      <c r="W60" s="110"/>
    </row>
    <row r="61" spans="2:23" x14ac:dyDescent="0.3">
      <c r="B61" s="2" t="str">
        <f t="shared" si="0"/>
        <v/>
      </c>
      <c r="C61" s="1"/>
      <c r="D61" s="1"/>
      <c r="E61" s="1"/>
      <c r="F61" s="110"/>
      <c r="G61" s="110"/>
      <c r="H61" s="111"/>
      <c r="I61" s="111"/>
      <c r="J61" s="110"/>
      <c r="K61" s="110"/>
      <c r="O61" s="2" t="str">
        <f t="shared" si="1"/>
        <v>Convenience</v>
      </c>
      <c r="P61" s="1" t="s">
        <v>118</v>
      </c>
      <c r="Q61" s="1"/>
      <c r="R61" s="110"/>
      <c r="S61" s="110"/>
      <c r="T61" s="111"/>
      <c r="U61" s="111"/>
      <c r="V61" s="110"/>
      <c r="W61" s="110"/>
    </row>
    <row r="62" spans="2:23" x14ac:dyDescent="0.3">
      <c r="B62" s="2" t="str">
        <f t="shared" si="0"/>
        <v/>
      </c>
      <c r="C62" s="1"/>
      <c r="D62" s="1"/>
      <c r="E62" s="1"/>
      <c r="F62" s="110"/>
      <c r="G62" s="110"/>
      <c r="H62" s="111"/>
      <c r="I62" s="111"/>
      <c r="J62" s="110"/>
      <c r="K62" s="110"/>
      <c r="O62" s="2" t="str">
        <f t="shared" si="1"/>
        <v>Convenience</v>
      </c>
      <c r="P62" s="1" t="s">
        <v>118</v>
      </c>
      <c r="Q62" s="1"/>
      <c r="R62" s="110"/>
      <c r="S62" s="110"/>
      <c r="T62" s="111"/>
      <c r="U62" s="111"/>
      <c r="V62" s="110"/>
      <c r="W62" s="110"/>
    </row>
    <row r="63" spans="2:23" x14ac:dyDescent="0.3">
      <c r="B63" s="2" t="str">
        <f t="shared" si="0"/>
        <v/>
      </c>
      <c r="C63" s="1"/>
      <c r="D63" s="1"/>
      <c r="E63" s="1"/>
      <c r="F63" s="110"/>
      <c r="G63" s="110"/>
      <c r="H63" s="111"/>
      <c r="I63" s="111"/>
      <c r="J63" s="110"/>
      <c r="K63" s="110"/>
      <c r="O63" s="2" t="str">
        <f t="shared" si="1"/>
        <v>Convenience</v>
      </c>
      <c r="P63" s="1" t="s">
        <v>118</v>
      </c>
      <c r="Q63" s="1"/>
      <c r="R63" s="110"/>
      <c r="S63" s="110"/>
      <c r="T63" s="111"/>
      <c r="U63" s="111"/>
      <c r="V63" s="110"/>
      <c r="W63" s="110"/>
    </row>
    <row r="64" spans="2:23" x14ac:dyDescent="0.3">
      <c r="B64" s="2" t="str">
        <f t="shared" si="0"/>
        <v/>
      </c>
      <c r="C64" s="1"/>
      <c r="D64" s="1"/>
      <c r="E64" s="1"/>
      <c r="F64" s="110"/>
      <c r="G64" s="110"/>
      <c r="H64" s="111"/>
      <c r="I64" s="111"/>
      <c r="J64" s="110"/>
      <c r="K64" s="110"/>
      <c r="O64" s="2" t="str">
        <f t="shared" si="1"/>
        <v>Convenience</v>
      </c>
      <c r="P64" s="1" t="s">
        <v>118</v>
      </c>
      <c r="Q64" s="1"/>
      <c r="R64" s="110"/>
      <c r="S64" s="110"/>
      <c r="T64" s="111"/>
      <c r="U64" s="111"/>
      <c r="V64" s="110"/>
      <c r="W64" s="110"/>
    </row>
    <row r="65" spans="2:23" x14ac:dyDescent="0.3">
      <c r="B65" s="2" t="str">
        <f t="shared" si="0"/>
        <v/>
      </c>
      <c r="C65" s="1"/>
      <c r="D65" s="1"/>
      <c r="E65" s="1"/>
      <c r="F65" s="110"/>
      <c r="G65" s="110"/>
      <c r="H65" s="111"/>
      <c r="I65" s="111"/>
      <c r="J65" s="110"/>
      <c r="K65" s="110"/>
      <c r="O65" s="2" t="str">
        <f t="shared" si="1"/>
        <v>Convenience</v>
      </c>
      <c r="P65" s="1" t="s">
        <v>118</v>
      </c>
      <c r="Q65" s="1"/>
      <c r="R65" s="110"/>
      <c r="S65" s="110"/>
      <c r="T65" s="111"/>
      <c r="U65" s="111"/>
      <c r="V65" s="110"/>
      <c r="W65" s="110"/>
    </row>
    <row r="66" spans="2:23" x14ac:dyDescent="0.3">
      <c r="B66" s="2" t="str">
        <f t="shared" si="0"/>
        <v/>
      </c>
      <c r="C66" s="1"/>
      <c r="D66" s="1"/>
      <c r="E66" s="1"/>
      <c r="F66" s="110"/>
      <c r="G66" s="110"/>
      <c r="H66" s="111"/>
      <c r="I66" s="111"/>
      <c r="J66" s="110"/>
      <c r="K66" s="110"/>
      <c r="O66" s="2" t="str">
        <f t="shared" si="1"/>
        <v>Convenience</v>
      </c>
      <c r="P66" s="1" t="s">
        <v>118</v>
      </c>
      <c r="Q66" s="1"/>
      <c r="R66" s="110"/>
      <c r="S66" s="110"/>
      <c r="T66" s="111"/>
      <c r="U66" s="111"/>
      <c r="V66" s="110"/>
      <c r="W66" s="110"/>
    </row>
    <row r="67" spans="2:23" x14ac:dyDescent="0.3">
      <c r="B67" s="2" t="str">
        <f t="shared" si="0"/>
        <v/>
      </c>
      <c r="C67" s="1"/>
      <c r="D67" s="1"/>
      <c r="E67" s="1"/>
      <c r="F67" s="110"/>
      <c r="G67" s="110"/>
      <c r="H67" s="111"/>
      <c r="I67" s="111"/>
      <c r="J67" s="110"/>
      <c r="K67" s="110"/>
      <c r="O67" s="2" t="str">
        <f t="shared" si="1"/>
        <v>Convenience</v>
      </c>
      <c r="P67" s="1" t="s">
        <v>118</v>
      </c>
      <c r="Q67" s="1"/>
      <c r="R67" s="110"/>
      <c r="S67" s="110"/>
      <c r="T67" s="111"/>
      <c r="U67" s="111"/>
      <c r="V67" s="110"/>
      <c r="W67" s="110"/>
    </row>
    <row r="68" spans="2:23" x14ac:dyDescent="0.3">
      <c r="B68" s="2" t="str">
        <f t="shared" ref="B68:B131" si="2">C68&amp;D68&amp;E68</f>
        <v/>
      </c>
      <c r="C68" s="1"/>
      <c r="D68" s="1"/>
      <c r="E68" s="1"/>
      <c r="F68" s="110"/>
      <c r="G68" s="110"/>
      <c r="H68" s="111"/>
      <c r="I68" s="111"/>
      <c r="J68" s="110"/>
      <c r="K68" s="110"/>
      <c r="O68" s="2" t="str">
        <f t="shared" ref="O68:O131" si="3">P68&amp;Q68</f>
        <v>Convenience</v>
      </c>
      <c r="P68" s="1" t="s">
        <v>118</v>
      </c>
      <c r="Q68" s="1"/>
      <c r="R68" s="110"/>
      <c r="S68" s="110"/>
      <c r="T68" s="111"/>
      <c r="U68" s="111"/>
      <c r="V68" s="110"/>
      <c r="W68" s="110"/>
    </row>
    <row r="69" spans="2:23" x14ac:dyDescent="0.3">
      <c r="B69" s="2" t="str">
        <f t="shared" si="2"/>
        <v/>
      </c>
      <c r="C69" s="1"/>
      <c r="D69" s="1"/>
      <c r="E69" s="1"/>
      <c r="F69" s="110"/>
      <c r="G69" s="110"/>
      <c r="H69" s="111"/>
      <c r="I69" s="111"/>
      <c r="J69" s="110"/>
      <c r="K69" s="110"/>
      <c r="O69" s="2" t="str">
        <f t="shared" si="3"/>
        <v>Convenience</v>
      </c>
      <c r="P69" s="1" t="s">
        <v>118</v>
      </c>
      <c r="Q69" s="1"/>
      <c r="R69" s="110"/>
      <c r="S69" s="110"/>
      <c r="T69" s="111"/>
      <c r="U69" s="111"/>
      <c r="V69" s="110"/>
      <c r="W69" s="110"/>
    </row>
    <row r="70" spans="2:23" x14ac:dyDescent="0.3">
      <c r="B70" s="2" t="str">
        <f t="shared" si="2"/>
        <v/>
      </c>
      <c r="C70" s="1"/>
      <c r="D70" s="1"/>
      <c r="E70" s="1"/>
      <c r="F70" s="110"/>
      <c r="G70" s="110"/>
      <c r="H70" s="111"/>
      <c r="I70" s="111"/>
      <c r="J70" s="110"/>
      <c r="K70" s="110"/>
      <c r="O70" s="2" t="str">
        <f t="shared" si="3"/>
        <v>Convenience</v>
      </c>
      <c r="P70" s="1" t="s">
        <v>118</v>
      </c>
      <c r="Q70" s="1"/>
      <c r="R70" s="110"/>
      <c r="S70" s="110"/>
      <c r="T70" s="111"/>
      <c r="U70" s="111"/>
      <c r="V70" s="110"/>
      <c r="W70" s="110"/>
    </row>
    <row r="71" spans="2:23" x14ac:dyDescent="0.3">
      <c r="B71" s="2" t="str">
        <f t="shared" si="2"/>
        <v/>
      </c>
      <c r="C71" s="1"/>
      <c r="D71" s="1"/>
      <c r="E71" s="1"/>
      <c r="F71" s="110"/>
      <c r="G71" s="110"/>
      <c r="H71" s="111"/>
      <c r="I71" s="111"/>
      <c r="J71" s="110"/>
      <c r="K71" s="110"/>
      <c r="O71" s="2" t="str">
        <f t="shared" si="3"/>
        <v>Convenience</v>
      </c>
      <c r="P71" s="1" t="s">
        <v>118</v>
      </c>
      <c r="Q71" s="1"/>
      <c r="R71" s="110"/>
      <c r="S71" s="110"/>
      <c r="T71" s="111"/>
      <c r="U71" s="111"/>
      <c r="V71" s="110"/>
      <c r="W71" s="110"/>
    </row>
    <row r="72" spans="2:23" x14ac:dyDescent="0.3">
      <c r="B72" s="2" t="str">
        <f t="shared" si="2"/>
        <v/>
      </c>
      <c r="C72" s="1"/>
      <c r="D72" s="1"/>
      <c r="E72" s="1"/>
      <c r="F72" s="110"/>
      <c r="G72" s="110"/>
      <c r="H72" s="111"/>
      <c r="I72" s="111"/>
      <c r="J72" s="110"/>
      <c r="K72" s="110"/>
      <c r="O72" s="2" t="str">
        <f t="shared" si="3"/>
        <v>Convenience</v>
      </c>
      <c r="P72" s="1" t="s">
        <v>118</v>
      </c>
      <c r="Q72" s="1"/>
      <c r="R72" s="110"/>
      <c r="S72" s="110"/>
      <c r="T72" s="111"/>
      <c r="U72" s="111"/>
      <c r="V72" s="110"/>
      <c r="W72" s="110"/>
    </row>
    <row r="73" spans="2:23" x14ac:dyDescent="0.3">
      <c r="B73" s="2" t="str">
        <f t="shared" si="2"/>
        <v/>
      </c>
      <c r="C73" s="1"/>
      <c r="D73" s="1"/>
      <c r="E73" s="1"/>
      <c r="F73" s="110"/>
      <c r="G73" s="110"/>
      <c r="H73" s="111"/>
      <c r="I73" s="111"/>
      <c r="J73" s="110"/>
      <c r="K73" s="110"/>
      <c r="O73" s="2" t="str">
        <f t="shared" si="3"/>
        <v>Convenience</v>
      </c>
      <c r="P73" s="1" t="s">
        <v>118</v>
      </c>
      <c r="Q73" s="1"/>
      <c r="R73" s="110"/>
      <c r="S73" s="110"/>
      <c r="T73" s="111"/>
      <c r="U73" s="111"/>
      <c r="V73" s="110"/>
      <c r="W73" s="110"/>
    </row>
    <row r="74" spans="2:23" x14ac:dyDescent="0.3">
      <c r="B74" s="2" t="str">
        <f t="shared" si="2"/>
        <v/>
      </c>
      <c r="C74" s="1"/>
      <c r="D74" s="1"/>
      <c r="E74" s="1"/>
      <c r="F74" s="110"/>
      <c r="G74" s="110"/>
      <c r="H74" s="111"/>
      <c r="I74" s="111"/>
      <c r="J74" s="110"/>
      <c r="K74" s="110"/>
      <c r="O74" s="2" t="str">
        <f t="shared" si="3"/>
        <v>Convenience</v>
      </c>
      <c r="P74" s="1" t="s">
        <v>118</v>
      </c>
      <c r="Q74" s="1"/>
      <c r="R74" s="110"/>
      <c r="S74" s="110"/>
      <c r="T74" s="111"/>
      <c r="U74" s="111"/>
      <c r="V74" s="110"/>
      <c r="W74" s="110"/>
    </row>
    <row r="75" spans="2:23" x14ac:dyDescent="0.3">
      <c r="B75" s="2" t="str">
        <f t="shared" si="2"/>
        <v/>
      </c>
      <c r="C75" s="1"/>
      <c r="D75" s="1"/>
      <c r="E75" s="1"/>
      <c r="F75" s="110"/>
      <c r="G75" s="110"/>
      <c r="H75" s="111"/>
      <c r="I75" s="111"/>
      <c r="J75" s="110"/>
      <c r="K75" s="110"/>
      <c r="O75" s="2" t="str">
        <f t="shared" si="3"/>
        <v>Convenience</v>
      </c>
      <c r="P75" s="1" t="s">
        <v>118</v>
      </c>
      <c r="Q75" s="1"/>
      <c r="R75" s="110"/>
      <c r="S75" s="110"/>
      <c r="T75" s="111"/>
      <c r="U75" s="111"/>
      <c r="V75" s="110"/>
      <c r="W75" s="110"/>
    </row>
    <row r="76" spans="2:23" x14ac:dyDescent="0.3">
      <c r="B76" s="2" t="str">
        <f t="shared" si="2"/>
        <v/>
      </c>
      <c r="C76" s="1"/>
      <c r="D76" s="1"/>
      <c r="E76" s="1"/>
      <c r="F76" s="110"/>
      <c r="G76" s="110"/>
      <c r="H76" s="111"/>
      <c r="I76" s="111"/>
      <c r="J76" s="110"/>
      <c r="K76" s="110"/>
      <c r="O76" s="2" t="str">
        <f t="shared" si="3"/>
        <v>Convenience</v>
      </c>
      <c r="P76" s="1" t="s">
        <v>118</v>
      </c>
      <c r="Q76" s="1"/>
      <c r="R76" s="110"/>
      <c r="S76" s="110"/>
      <c r="T76" s="111"/>
      <c r="U76" s="111"/>
      <c r="V76" s="110"/>
      <c r="W76" s="110"/>
    </row>
    <row r="77" spans="2:23" x14ac:dyDescent="0.3">
      <c r="B77" s="2" t="str">
        <f t="shared" si="2"/>
        <v/>
      </c>
      <c r="C77" s="1"/>
      <c r="D77" s="1"/>
      <c r="E77" s="1"/>
      <c r="F77" s="110"/>
      <c r="G77" s="110"/>
      <c r="H77" s="111"/>
      <c r="I77" s="111"/>
      <c r="J77" s="110"/>
      <c r="K77" s="110"/>
      <c r="O77" s="2" t="str">
        <f t="shared" si="3"/>
        <v>Convenience</v>
      </c>
      <c r="P77" s="1" t="s">
        <v>118</v>
      </c>
      <c r="Q77" s="1"/>
      <c r="R77" s="110"/>
      <c r="S77" s="110"/>
      <c r="T77" s="111"/>
      <c r="U77" s="111"/>
      <c r="V77" s="110"/>
      <c r="W77" s="110"/>
    </row>
    <row r="78" spans="2:23" x14ac:dyDescent="0.3">
      <c r="B78" s="2" t="str">
        <f t="shared" si="2"/>
        <v/>
      </c>
      <c r="C78" s="1"/>
      <c r="D78" s="1"/>
      <c r="E78" s="1"/>
      <c r="F78" s="110"/>
      <c r="G78" s="110"/>
      <c r="H78" s="111"/>
      <c r="I78" s="111"/>
      <c r="J78" s="110"/>
      <c r="K78" s="110"/>
      <c r="O78" s="2" t="str">
        <f t="shared" si="3"/>
        <v>Convenience</v>
      </c>
      <c r="P78" s="1" t="s">
        <v>118</v>
      </c>
      <c r="Q78" s="1"/>
      <c r="R78" s="110"/>
      <c r="S78" s="110"/>
      <c r="T78" s="111"/>
      <c r="U78" s="111"/>
      <c r="V78" s="110"/>
      <c r="W78" s="110"/>
    </row>
    <row r="79" spans="2:23" x14ac:dyDescent="0.3">
      <c r="B79" s="2" t="str">
        <f t="shared" si="2"/>
        <v/>
      </c>
      <c r="C79" s="1"/>
      <c r="D79" s="1"/>
      <c r="E79" s="1"/>
      <c r="F79" s="110"/>
      <c r="G79" s="110"/>
      <c r="H79" s="111"/>
      <c r="I79" s="111"/>
      <c r="J79" s="110"/>
      <c r="K79" s="110"/>
      <c r="O79" s="2" t="str">
        <f t="shared" si="3"/>
        <v>Convenience</v>
      </c>
      <c r="P79" s="1" t="s">
        <v>118</v>
      </c>
      <c r="Q79" s="1"/>
      <c r="R79" s="110"/>
      <c r="S79" s="110"/>
      <c r="T79" s="111"/>
      <c r="U79" s="111"/>
      <c r="V79" s="110"/>
      <c r="W79" s="110"/>
    </row>
    <row r="80" spans="2:23" x14ac:dyDescent="0.3">
      <c r="B80" s="2" t="str">
        <f t="shared" si="2"/>
        <v/>
      </c>
      <c r="C80" s="1"/>
      <c r="D80" s="1"/>
      <c r="E80" s="1"/>
      <c r="F80" s="110"/>
      <c r="G80" s="110"/>
      <c r="H80" s="111"/>
      <c r="I80" s="111"/>
      <c r="J80" s="110"/>
      <c r="K80" s="110"/>
      <c r="O80" s="2" t="str">
        <f t="shared" si="3"/>
        <v>Convenience</v>
      </c>
      <c r="P80" s="1" t="s">
        <v>118</v>
      </c>
      <c r="Q80" s="1"/>
      <c r="R80" s="110"/>
      <c r="S80" s="110"/>
      <c r="T80" s="111"/>
      <c r="U80" s="111"/>
      <c r="V80" s="110"/>
      <c r="W80" s="110"/>
    </row>
    <row r="81" spans="2:23" x14ac:dyDescent="0.3">
      <c r="B81" s="2" t="str">
        <f t="shared" si="2"/>
        <v/>
      </c>
      <c r="C81" s="1"/>
      <c r="D81" s="1"/>
      <c r="E81" s="1"/>
      <c r="F81" s="110"/>
      <c r="G81" s="110"/>
      <c r="H81" s="111"/>
      <c r="I81" s="111"/>
      <c r="J81" s="110"/>
      <c r="K81" s="110"/>
      <c r="O81" s="2" t="str">
        <f t="shared" si="3"/>
        <v>Convenience</v>
      </c>
      <c r="P81" s="1" t="s">
        <v>118</v>
      </c>
      <c r="Q81" s="1"/>
      <c r="R81" s="110"/>
      <c r="S81" s="110"/>
      <c r="T81" s="111"/>
      <c r="U81" s="111"/>
      <c r="V81" s="110"/>
      <c r="W81" s="110"/>
    </row>
    <row r="82" spans="2:23" x14ac:dyDescent="0.3">
      <c r="B82" s="2" t="str">
        <f t="shared" si="2"/>
        <v/>
      </c>
      <c r="C82" s="1"/>
      <c r="D82" s="1"/>
      <c r="E82" s="1"/>
      <c r="F82" s="110"/>
      <c r="G82" s="110"/>
      <c r="H82" s="111"/>
      <c r="I82" s="111"/>
      <c r="J82" s="110"/>
      <c r="K82" s="110"/>
      <c r="O82" s="2" t="str">
        <f t="shared" si="3"/>
        <v>Convenience</v>
      </c>
      <c r="P82" s="1" t="s">
        <v>118</v>
      </c>
      <c r="Q82" s="1"/>
      <c r="R82" s="110"/>
      <c r="S82" s="110"/>
      <c r="T82" s="111"/>
      <c r="U82" s="111"/>
      <c r="V82" s="110"/>
      <c r="W82" s="110"/>
    </row>
    <row r="83" spans="2:23" x14ac:dyDescent="0.3">
      <c r="B83" s="2" t="str">
        <f t="shared" si="2"/>
        <v/>
      </c>
      <c r="C83" s="1"/>
      <c r="D83" s="1"/>
      <c r="E83" s="1"/>
      <c r="F83" s="110"/>
      <c r="G83" s="110"/>
      <c r="H83" s="111"/>
      <c r="I83" s="111"/>
      <c r="J83" s="110"/>
      <c r="K83" s="110"/>
      <c r="O83" s="2" t="str">
        <f t="shared" si="3"/>
        <v>Convenience</v>
      </c>
      <c r="P83" s="1" t="s">
        <v>118</v>
      </c>
      <c r="Q83" s="1"/>
      <c r="R83" s="110"/>
      <c r="S83" s="110"/>
      <c r="T83" s="111"/>
      <c r="U83" s="111"/>
      <c r="V83" s="110"/>
      <c r="W83" s="110"/>
    </row>
    <row r="84" spans="2:23" x14ac:dyDescent="0.3">
      <c r="B84" s="2" t="str">
        <f t="shared" si="2"/>
        <v/>
      </c>
      <c r="C84" s="1"/>
      <c r="D84" s="1"/>
      <c r="E84" s="1"/>
      <c r="F84" s="110"/>
      <c r="G84" s="110"/>
      <c r="H84" s="111"/>
      <c r="I84" s="111"/>
      <c r="J84" s="110"/>
      <c r="K84" s="110"/>
      <c r="O84" s="2" t="str">
        <f t="shared" si="3"/>
        <v>Convenience</v>
      </c>
      <c r="P84" s="1" t="s">
        <v>118</v>
      </c>
      <c r="Q84" s="1"/>
      <c r="R84" s="110"/>
      <c r="S84" s="110"/>
      <c r="T84" s="111"/>
      <c r="U84" s="111"/>
      <c r="V84" s="110"/>
      <c r="W84" s="110"/>
    </row>
    <row r="85" spans="2:23" x14ac:dyDescent="0.3">
      <c r="B85" s="2" t="str">
        <f t="shared" si="2"/>
        <v/>
      </c>
      <c r="C85" s="1"/>
      <c r="D85" s="1"/>
      <c r="E85" s="1"/>
      <c r="F85" s="110"/>
      <c r="G85" s="110"/>
      <c r="H85" s="111"/>
      <c r="I85" s="111"/>
      <c r="J85" s="110"/>
      <c r="K85" s="110"/>
      <c r="O85" s="2" t="str">
        <f t="shared" si="3"/>
        <v>Convenience</v>
      </c>
      <c r="P85" s="1" t="s">
        <v>118</v>
      </c>
      <c r="Q85" s="1"/>
      <c r="R85" s="110"/>
      <c r="S85" s="110"/>
      <c r="T85" s="111"/>
      <c r="U85" s="111"/>
      <c r="V85" s="110"/>
      <c r="W85" s="110"/>
    </row>
    <row r="86" spans="2:23" x14ac:dyDescent="0.3">
      <c r="B86" s="2" t="str">
        <f t="shared" si="2"/>
        <v/>
      </c>
      <c r="C86" s="1"/>
      <c r="D86" s="1"/>
      <c r="E86" s="1"/>
      <c r="F86" s="110"/>
      <c r="G86" s="110"/>
      <c r="H86" s="111"/>
      <c r="I86" s="111"/>
      <c r="J86" s="110"/>
      <c r="K86" s="110"/>
      <c r="O86" s="2" t="str">
        <f t="shared" si="3"/>
        <v>Convenience</v>
      </c>
      <c r="P86" s="1" t="s">
        <v>118</v>
      </c>
      <c r="Q86" s="1"/>
      <c r="R86" s="110"/>
      <c r="S86" s="110"/>
      <c r="T86" s="111"/>
      <c r="U86" s="111"/>
      <c r="V86" s="110"/>
      <c r="W86" s="110"/>
    </row>
    <row r="87" spans="2:23" x14ac:dyDescent="0.3">
      <c r="B87" s="2" t="str">
        <f t="shared" si="2"/>
        <v/>
      </c>
      <c r="C87" s="1"/>
      <c r="D87" s="1"/>
      <c r="E87" s="1"/>
      <c r="F87" s="110"/>
      <c r="G87" s="110"/>
      <c r="H87" s="111"/>
      <c r="I87" s="111"/>
      <c r="J87" s="110"/>
      <c r="K87" s="110"/>
      <c r="O87" s="2" t="str">
        <f t="shared" si="3"/>
        <v>Convenience</v>
      </c>
      <c r="P87" s="1" t="s">
        <v>118</v>
      </c>
      <c r="Q87" s="1"/>
      <c r="R87" s="110"/>
      <c r="S87" s="110"/>
      <c r="T87" s="111"/>
      <c r="U87" s="111"/>
      <c r="V87" s="110"/>
      <c r="W87" s="110"/>
    </row>
    <row r="88" spans="2:23" x14ac:dyDescent="0.3">
      <c r="B88" s="2" t="str">
        <f t="shared" si="2"/>
        <v/>
      </c>
      <c r="C88" s="1"/>
      <c r="D88" s="1"/>
      <c r="E88" s="1"/>
      <c r="F88" s="110"/>
      <c r="G88" s="110"/>
      <c r="H88" s="111"/>
      <c r="I88" s="111"/>
      <c r="J88" s="110"/>
      <c r="K88" s="110"/>
      <c r="O88" s="2" t="str">
        <f t="shared" si="3"/>
        <v>Convenience</v>
      </c>
      <c r="P88" s="1" t="s">
        <v>118</v>
      </c>
      <c r="Q88" s="1"/>
      <c r="R88" s="110"/>
      <c r="S88" s="110"/>
      <c r="T88" s="111"/>
      <c r="U88" s="111"/>
      <c r="V88" s="110"/>
      <c r="W88" s="110"/>
    </row>
    <row r="89" spans="2:23" x14ac:dyDescent="0.3">
      <c r="B89" s="2" t="str">
        <f t="shared" si="2"/>
        <v/>
      </c>
      <c r="C89" s="1"/>
      <c r="D89" s="1"/>
      <c r="E89" s="1"/>
      <c r="F89" s="110"/>
      <c r="G89" s="110"/>
      <c r="H89" s="111"/>
      <c r="I89" s="111"/>
      <c r="J89" s="110"/>
      <c r="K89" s="110"/>
      <c r="O89" s="2" t="str">
        <f t="shared" si="3"/>
        <v>Convenience</v>
      </c>
      <c r="P89" s="1" t="s">
        <v>118</v>
      </c>
      <c r="Q89" s="1"/>
      <c r="R89" s="110"/>
      <c r="S89" s="110"/>
      <c r="T89" s="111"/>
      <c r="U89" s="111"/>
      <c r="V89" s="110"/>
      <c r="W89" s="110"/>
    </row>
    <row r="90" spans="2:23" x14ac:dyDescent="0.3">
      <c r="B90" s="2" t="str">
        <f t="shared" si="2"/>
        <v/>
      </c>
      <c r="C90" s="1"/>
      <c r="D90" s="1"/>
      <c r="E90" s="1"/>
      <c r="F90" s="110"/>
      <c r="G90" s="110"/>
      <c r="H90" s="111"/>
      <c r="I90" s="111"/>
      <c r="J90" s="110"/>
      <c r="K90" s="110"/>
      <c r="O90" s="2" t="str">
        <f t="shared" si="3"/>
        <v>Convenience</v>
      </c>
      <c r="P90" s="1" t="s">
        <v>118</v>
      </c>
      <c r="Q90" s="1"/>
      <c r="R90" s="110"/>
      <c r="S90" s="110"/>
      <c r="T90" s="111"/>
      <c r="U90" s="111"/>
      <c r="V90" s="110"/>
      <c r="W90" s="110"/>
    </row>
    <row r="91" spans="2:23" x14ac:dyDescent="0.3">
      <c r="B91" s="2" t="str">
        <f t="shared" si="2"/>
        <v/>
      </c>
      <c r="C91" s="1"/>
      <c r="D91" s="1"/>
      <c r="E91" s="1"/>
      <c r="F91" s="110"/>
      <c r="G91" s="110"/>
      <c r="H91" s="111"/>
      <c r="I91" s="111"/>
      <c r="J91" s="110"/>
      <c r="K91" s="110"/>
      <c r="O91" s="2" t="str">
        <f t="shared" si="3"/>
        <v>Convenience</v>
      </c>
      <c r="P91" s="1" t="s">
        <v>118</v>
      </c>
      <c r="Q91" s="1"/>
      <c r="R91" s="110"/>
      <c r="S91" s="110"/>
      <c r="T91" s="111"/>
      <c r="U91" s="111"/>
      <c r="V91" s="110"/>
      <c r="W91" s="110"/>
    </row>
    <row r="92" spans="2:23" x14ac:dyDescent="0.3">
      <c r="B92" s="2" t="str">
        <f t="shared" si="2"/>
        <v/>
      </c>
      <c r="C92" s="1"/>
      <c r="D92" s="1"/>
      <c r="E92" s="1"/>
      <c r="F92" s="110"/>
      <c r="G92" s="110"/>
      <c r="H92" s="111"/>
      <c r="I92" s="111"/>
      <c r="J92" s="110"/>
      <c r="K92" s="110"/>
      <c r="O92" s="2" t="str">
        <f t="shared" si="3"/>
        <v>Convenience</v>
      </c>
      <c r="P92" s="1" t="s">
        <v>118</v>
      </c>
      <c r="Q92" s="1"/>
      <c r="R92" s="110"/>
      <c r="S92" s="110"/>
      <c r="T92" s="111"/>
      <c r="U92" s="111"/>
      <c r="V92" s="110"/>
      <c r="W92" s="110"/>
    </row>
    <row r="93" spans="2:23" x14ac:dyDescent="0.3">
      <c r="B93" s="2" t="str">
        <f t="shared" si="2"/>
        <v/>
      </c>
      <c r="C93" s="1"/>
      <c r="D93" s="1"/>
      <c r="E93" s="1"/>
      <c r="F93" s="110"/>
      <c r="G93" s="110"/>
      <c r="H93" s="111"/>
      <c r="I93" s="111"/>
      <c r="J93" s="110"/>
      <c r="K93" s="110"/>
      <c r="O93" s="2" t="str">
        <f t="shared" si="3"/>
        <v>Convenience</v>
      </c>
      <c r="P93" s="1" t="s">
        <v>118</v>
      </c>
      <c r="Q93" s="1"/>
      <c r="R93" s="110"/>
      <c r="S93" s="110"/>
      <c r="T93" s="111"/>
      <c r="U93" s="111"/>
      <c r="V93" s="110"/>
      <c r="W93" s="110"/>
    </row>
    <row r="94" spans="2:23" x14ac:dyDescent="0.3">
      <c r="B94" s="2" t="str">
        <f t="shared" si="2"/>
        <v/>
      </c>
      <c r="C94" s="1"/>
      <c r="D94" s="1"/>
      <c r="E94" s="1"/>
      <c r="F94" s="110"/>
      <c r="G94" s="110"/>
      <c r="H94" s="111"/>
      <c r="I94" s="111"/>
      <c r="J94" s="110"/>
      <c r="K94" s="110"/>
      <c r="O94" s="2" t="str">
        <f t="shared" si="3"/>
        <v>Convenience</v>
      </c>
      <c r="P94" s="1" t="s">
        <v>118</v>
      </c>
      <c r="Q94" s="1"/>
      <c r="R94" s="110"/>
      <c r="S94" s="110"/>
      <c r="T94" s="111"/>
      <c r="U94" s="111"/>
      <c r="V94" s="110"/>
      <c r="W94" s="110"/>
    </row>
    <row r="95" spans="2:23" x14ac:dyDescent="0.3">
      <c r="B95" s="2" t="str">
        <f t="shared" si="2"/>
        <v/>
      </c>
      <c r="C95" s="1"/>
      <c r="D95" s="1"/>
      <c r="E95" s="1"/>
      <c r="F95" s="110"/>
      <c r="G95" s="110"/>
      <c r="H95" s="111"/>
      <c r="I95" s="111"/>
      <c r="J95" s="110"/>
      <c r="K95" s="110"/>
      <c r="O95" s="2" t="str">
        <f t="shared" si="3"/>
        <v>Convenience</v>
      </c>
      <c r="P95" s="1" t="s">
        <v>118</v>
      </c>
      <c r="Q95" s="1"/>
      <c r="R95" s="110"/>
      <c r="S95" s="110"/>
      <c r="T95" s="111"/>
      <c r="U95" s="111"/>
      <c r="V95" s="110"/>
      <c r="W95" s="110"/>
    </row>
    <row r="96" spans="2:23" x14ac:dyDescent="0.3">
      <c r="B96" s="2" t="str">
        <f t="shared" si="2"/>
        <v/>
      </c>
      <c r="C96" s="1"/>
      <c r="D96" s="1"/>
      <c r="E96" s="1"/>
      <c r="F96" s="110"/>
      <c r="G96" s="110"/>
      <c r="H96" s="111"/>
      <c r="I96" s="111"/>
      <c r="J96" s="110"/>
      <c r="K96" s="110"/>
      <c r="O96" s="2" t="str">
        <f t="shared" si="3"/>
        <v>Convenience</v>
      </c>
      <c r="P96" s="1" t="s">
        <v>118</v>
      </c>
      <c r="Q96" s="1"/>
      <c r="R96" s="110"/>
      <c r="S96" s="110"/>
      <c r="T96" s="111"/>
      <c r="U96" s="111"/>
      <c r="V96" s="110"/>
      <c r="W96" s="110"/>
    </row>
    <row r="97" spans="2:23" x14ac:dyDescent="0.3">
      <c r="B97" s="2" t="str">
        <f t="shared" si="2"/>
        <v/>
      </c>
      <c r="C97" s="1"/>
      <c r="D97" s="1"/>
      <c r="E97" s="1"/>
      <c r="F97" s="110"/>
      <c r="G97" s="110"/>
      <c r="H97" s="111"/>
      <c r="I97" s="111"/>
      <c r="J97" s="110"/>
      <c r="K97" s="110"/>
      <c r="O97" s="2" t="str">
        <f t="shared" si="3"/>
        <v>Convenience</v>
      </c>
      <c r="P97" s="1" t="s">
        <v>118</v>
      </c>
      <c r="Q97" s="1"/>
      <c r="R97" s="110"/>
      <c r="S97" s="110"/>
      <c r="T97" s="111"/>
      <c r="U97" s="111"/>
      <c r="V97" s="110"/>
      <c r="W97" s="110"/>
    </row>
    <row r="98" spans="2:23" x14ac:dyDescent="0.3">
      <c r="B98" s="2" t="str">
        <f t="shared" si="2"/>
        <v/>
      </c>
      <c r="C98" s="1"/>
      <c r="D98" s="1"/>
      <c r="E98" s="1"/>
      <c r="F98" s="110"/>
      <c r="G98" s="110"/>
      <c r="H98" s="111"/>
      <c r="I98" s="111"/>
      <c r="J98" s="110"/>
      <c r="K98" s="110"/>
      <c r="O98" s="2" t="str">
        <f t="shared" si="3"/>
        <v>Convenience</v>
      </c>
      <c r="P98" s="1" t="s">
        <v>118</v>
      </c>
      <c r="Q98" s="1"/>
      <c r="R98" s="110"/>
      <c r="S98" s="110"/>
      <c r="T98" s="111"/>
      <c r="U98" s="111"/>
      <c r="V98" s="110"/>
      <c r="W98" s="110"/>
    </row>
    <row r="99" spans="2:23" x14ac:dyDescent="0.3">
      <c r="B99" s="2" t="str">
        <f t="shared" si="2"/>
        <v/>
      </c>
      <c r="C99" s="1"/>
      <c r="D99" s="1"/>
      <c r="E99" s="1"/>
      <c r="F99" s="110"/>
      <c r="G99" s="110"/>
      <c r="H99" s="111"/>
      <c r="I99" s="111"/>
      <c r="J99" s="110"/>
      <c r="K99" s="110"/>
      <c r="O99" s="2" t="str">
        <f t="shared" si="3"/>
        <v>Convenience</v>
      </c>
      <c r="P99" s="1" t="s">
        <v>118</v>
      </c>
      <c r="Q99" s="1"/>
      <c r="R99" s="110"/>
      <c r="S99" s="110"/>
      <c r="T99" s="111"/>
      <c r="U99" s="111"/>
      <c r="V99" s="110"/>
      <c r="W99" s="110"/>
    </row>
    <row r="100" spans="2:23" x14ac:dyDescent="0.3">
      <c r="B100" s="2" t="str">
        <f t="shared" si="2"/>
        <v/>
      </c>
      <c r="C100" s="1"/>
      <c r="D100" s="1"/>
      <c r="E100" s="1"/>
      <c r="F100" s="110"/>
      <c r="G100" s="110"/>
      <c r="H100" s="111"/>
      <c r="I100" s="111"/>
      <c r="J100" s="110"/>
      <c r="K100" s="110"/>
      <c r="O100" s="2" t="str">
        <f t="shared" si="3"/>
        <v>Convenience</v>
      </c>
      <c r="P100" s="1" t="s">
        <v>118</v>
      </c>
      <c r="Q100" s="1"/>
      <c r="R100" s="110"/>
      <c r="S100" s="110"/>
      <c r="T100" s="111"/>
      <c r="U100" s="111"/>
      <c r="V100" s="110"/>
      <c r="W100" s="110"/>
    </row>
    <row r="101" spans="2:23" x14ac:dyDescent="0.3">
      <c r="B101" s="2" t="str">
        <f t="shared" si="2"/>
        <v/>
      </c>
      <c r="C101" s="1"/>
      <c r="D101" s="1"/>
      <c r="E101" s="1"/>
      <c r="F101" s="110"/>
      <c r="G101" s="110"/>
      <c r="H101" s="111"/>
      <c r="I101" s="111"/>
      <c r="J101" s="110"/>
      <c r="K101" s="110"/>
      <c r="O101" s="2" t="str">
        <f t="shared" si="3"/>
        <v>Convenience</v>
      </c>
      <c r="P101" s="1" t="s">
        <v>118</v>
      </c>
      <c r="Q101" s="1"/>
      <c r="R101" s="110"/>
      <c r="S101" s="110"/>
      <c r="T101" s="111"/>
      <c r="U101" s="111"/>
      <c r="V101" s="110"/>
      <c r="W101" s="110"/>
    </row>
    <row r="102" spans="2:23" x14ac:dyDescent="0.3">
      <c r="B102" s="2" t="str">
        <f t="shared" si="2"/>
        <v/>
      </c>
      <c r="C102" s="1"/>
      <c r="D102" s="1"/>
      <c r="E102" s="1"/>
      <c r="F102" s="110"/>
      <c r="G102" s="110"/>
      <c r="H102" s="111"/>
      <c r="I102" s="111"/>
      <c r="J102" s="110"/>
      <c r="K102" s="110"/>
      <c r="O102" s="2" t="str">
        <f t="shared" si="3"/>
        <v>Convenience</v>
      </c>
      <c r="P102" s="1" t="s">
        <v>118</v>
      </c>
      <c r="Q102" s="1"/>
      <c r="R102" s="110"/>
      <c r="S102" s="110"/>
      <c r="T102" s="111"/>
      <c r="U102" s="111"/>
      <c r="V102" s="110"/>
      <c r="W102" s="110"/>
    </row>
    <row r="103" spans="2:23" x14ac:dyDescent="0.3">
      <c r="B103" s="2" t="str">
        <f t="shared" si="2"/>
        <v/>
      </c>
      <c r="C103" s="1"/>
      <c r="D103" s="1"/>
      <c r="E103" s="1"/>
      <c r="F103" s="110"/>
      <c r="G103" s="110"/>
      <c r="H103" s="111"/>
      <c r="I103" s="111"/>
      <c r="J103" s="110"/>
      <c r="K103" s="110"/>
      <c r="O103" s="2" t="str">
        <f t="shared" si="3"/>
        <v>Convenience</v>
      </c>
      <c r="P103" s="1" t="s">
        <v>118</v>
      </c>
      <c r="Q103" s="1"/>
      <c r="R103" s="110"/>
      <c r="S103" s="110"/>
      <c r="T103" s="111"/>
      <c r="U103" s="111"/>
      <c r="V103" s="110"/>
      <c r="W103" s="110"/>
    </row>
    <row r="104" spans="2:23" x14ac:dyDescent="0.3">
      <c r="B104" s="2" t="str">
        <f t="shared" si="2"/>
        <v/>
      </c>
      <c r="C104" s="1"/>
      <c r="D104" s="1"/>
      <c r="E104" s="1"/>
      <c r="F104" s="110"/>
      <c r="G104" s="110"/>
      <c r="H104" s="111"/>
      <c r="I104" s="111"/>
      <c r="J104" s="110"/>
      <c r="K104" s="110"/>
      <c r="O104" s="2" t="str">
        <f t="shared" si="3"/>
        <v>Convenience</v>
      </c>
      <c r="P104" s="1" t="s">
        <v>118</v>
      </c>
      <c r="Q104" s="1"/>
      <c r="R104" s="110"/>
      <c r="S104" s="110"/>
      <c r="T104" s="111"/>
      <c r="U104" s="111"/>
      <c r="V104" s="110"/>
      <c r="W104" s="110"/>
    </row>
    <row r="105" spans="2:23" x14ac:dyDescent="0.3">
      <c r="B105" s="2" t="str">
        <f t="shared" si="2"/>
        <v/>
      </c>
      <c r="C105" s="1"/>
      <c r="D105" s="1"/>
      <c r="E105" s="1"/>
      <c r="F105" s="110"/>
      <c r="G105" s="110"/>
      <c r="H105" s="111"/>
      <c r="I105" s="111"/>
      <c r="J105" s="110"/>
      <c r="K105" s="110"/>
      <c r="O105" s="2" t="str">
        <f t="shared" si="3"/>
        <v>Convenience</v>
      </c>
      <c r="P105" s="1" t="s">
        <v>118</v>
      </c>
      <c r="Q105" s="1"/>
      <c r="R105" s="110"/>
      <c r="S105" s="110"/>
      <c r="T105" s="111"/>
      <c r="U105" s="111"/>
      <c r="V105" s="110"/>
      <c r="W105" s="110"/>
    </row>
    <row r="106" spans="2:23" x14ac:dyDescent="0.3">
      <c r="B106" s="2" t="str">
        <f t="shared" si="2"/>
        <v/>
      </c>
      <c r="C106" s="1"/>
      <c r="D106" s="1"/>
      <c r="E106" s="1"/>
      <c r="F106" s="110"/>
      <c r="G106" s="110"/>
      <c r="H106" s="111"/>
      <c r="I106" s="111"/>
      <c r="J106" s="110"/>
      <c r="K106" s="110"/>
      <c r="O106" s="2" t="str">
        <f t="shared" si="3"/>
        <v>Convenience</v>
      </c>
      <c r="P106" s="1" t="s">
        <v>118</v>
      </c>
      <c r="Q106" s="1"/>
      <c r="R106" s="110"/>
      <c r="S106" s="110"/>
      <c r="T106" s="111"/>
      <c r="U106" s="111"/>
      <c r="V106" s="110"/>
      <c r="W106" s="110"/>
    </row>
    <row r="107" spans="2:23" x14ac:dyDescent="0.3">
      <c r="B107" s="2" t="str">
        <f t="shared" si="2"/>
        <v/>
      </c>
      <c r="C107" s="1"/>
      <c r="D107" s="1"/>
      <c r="E107" s="1"/>
      <c r="F107" s="110"/>
      <c r="G107" s="110"/>
      <c r="H107" s="111"/>
      <c r="I107" s="111"/>
      <c r="J107" s="110"/>
      <c r="K107" s="110"/>
      <c r="O107" s="2" t="str">
        <f t="shared" si="3"/>
        <v>Convenience</v>
      </c>
      <c r="P107" s="1" t="s">
        <v>118</v>
      </c>
      <c r="Q107" s="1"/>
      <c r="R107" s="110"/>
      <c r="S107" s="110"/>
      <c r="T107" s="111"/>
      <c r="U107" s="111"/>
      <c r="V107" s="110"/>
      <c r="W107" s="110"/>
    </row>
    <row r="108" spans="2:23" x14ac:dyDescent="0.3">
      <c r="B108" s="2" t="str">
        <f t="shared" si="2"/>
        <v/>
      </c>
      <c r="C108" s="1"/>
      <c r="D108" s="1"/>
      <c r="E108" s="1"/>
      <c r="F108" s="110"/>
      <c r="G108" s="110"/>
      <c r="H108" s="111"/>
      <c r="I108" s="111"/>
      <c r="J108" s="110"/>
      <c r="K108" s="110"/>
      <c r="O108" s="2" t="str">
        <f t="shared" si="3"/>
        <v>Convenience</v>
      </c>
      <c r="P108" s="1" t="s">
        <v>118</v>
      </c>
      <c r="Q108" s="1"/>
      <c r="R108" s="110"/>
      <c r="S108" s="110"/>
      <c r="T108" s="111"/>
      <c r="U108" s="111"/>
      <c r="V108" s="110"/>
      <c r="W108" s="110"/>
    </row>
    <row r="109" spans="2:23" x14ac:dyDescent="0.3">
      <c r="B109" s="2" t="str">
        <f t="shared" si="2"/>
        <v/>
      </c>
      <c r="C109" s="1"/>
      <c r="D109" s="1"/>
      <c r="E109" s="1"/>
      <c r="F109" s="110"/>
      <c r="G109" s="110"/>
      <c r="H109" s="111"/>
      <c r="I109" s="111"/>
      <c r="J109" s="110"/>
      <c r="K109" s="110"/>
      <c r="O109" s="2" t="str">
        <f t="shared" si="3"/>
        <v>Convenience</v>
      </c>
      <c r="P109" s="1" t="s">
        <v>118</v>
      </c>
      <c r="Q109" s="1"/>
      <c r="R109" s="110"/>
      <c r="S109" s="110"/>
      <c r="T109" s="111"/>
      <c r="U109" s="111"/>
      <c r="V109" s="110"/>
      <c r="W109" s="110"/>
    </row>
    <row r="110" spans="2:23" x14ac:dyDescent="0.3">
      <c r="B110" s="2" t="str">
        <f t="shared" si="2"/>
        <v/>
      </c>
      <c r="C110" s="1"/>
      <c r="D110" s="1"/>
      <c r="E110" s="1"/>
      <c r="F110" s="110"/>
      <c r="G110" s="110"/>
      <c r="H110" s="111"/>
      <c r="I110" s="111"/>
      <c r="J110" s="110"/>
      <c r="K110" s="110"/>
      <c r="O110" s="2" t="str">
        <f t="shared" si="3"/>
        <v>Convenience</v>
      </c>
      <c r="P110" s="1" t="s">
        <v>118</v>
      </c>
      <c r="Q110" s="1"/>
      <c r="R110" s="110"/>
      <c r="S110" s="110"/>
      <c r="T110" s="111"/>
      <c r="U110" s="111"/>
      <c r="V110" s="110"/>
      <c r="W110" s="110"/>
    </row>
    <row r="111" spans="2:23" x14ac:dyDescent="0.3">
      <c r="B111" s="2" t="str">
        <f t="shared" si="2"/>
        <v/>
      </c>
      <c r="C111" s="1"/>
      <c r="D111" s="1"/>
      <c r="E111" s="1"/>
      <c r="F111" s="110"/>
      <c r="G111" s="110"/>
      <c r="H111" s="111"/>
      <c r="I111" s="111"/>
      <c r="J111" s="110"/>
      <c r="K111" s="110"/>
      <c r="O111" s="2" t="str">
        <f t="shared" si="3"/>
        <v>Convenience</v>
      </c>
      <c r="P111" s="1" t="s">
        <v>118</v>
      </c>
      <c r="Q111" s="1"/>
      <c r="R111" s="110"/>
      <c r="S111" s="110"/>
      <c r="T111" s="111"/>
      <c r="U111" s="111"/>
      <c r="V111" s="110"/>
      <c r="W111" s="110"/>
    </row>
    <row r="112" spans="2:23" x14ac:dyDescent="0.3">
      <c r="B112" s="2" t="str">
        <f t="shared" si="2"/>
        <v/>
      </c>
      <c r="C112" s="1"/>
      <c r="D112" s="1"/>
      <c r="E112" s="1"/>
      <c r="F112" s="110"/>
      <c r="G112" s="110"/>
      <c r="H112" s="111"/>
      <c r="I112" s="111"/>
      <c r="J112" s="110"/>
      <c r="K112" s="110"/>
      <c r="O112" s="2" t="str">
        <f t="shared" si="3"/>
        <v>Convenience</v>
      </c>
      <c r="P112" s="1" t="s">
        <v>118</v>
      </c>
      <c r="Q112" s="1"/>
      <c r="R112" s="110"/>
      <c r="S112" s="110"/>
      <c r="T112" s="111"/>
      <c r="U112" s="111"/>
      <c r="V112" s="110"/>
      <c r="W112" s="110"/>
    </row>
    <row r="113" spans="2:23" x14ac:dyDescent="0.3">
      <c r="B113" s="2" t="str">
        <f t="shared" si="2"/>
        <v/>
      </c>
      <c r="C113" s="1"/>
      <c r="D113" s="1"/>
      <c r="E113" s="1"/>
      <c r="F113" s="110"/>
      <c r="G113" s="110"/>
      <c r="H113" s="111"/>
      <c r="I113" s="111"/>
      <c r="J113" s="110"/>
      <c r="K113" s="110"/>
      <c r="O113" s="2" t="str">
        <f t="shared" si="3"/>
        <v>Convenience</v>
      </c>
      <c r="P113" s="1" t="s">
        <v>118</v>
      </c>
      <c r="Q113" s="1"/>
      <c r="R113" s="110"/>
      <c r="S113" s="110"/>
      <c r="T113" s="111"/>
      <c r="U113" s="111"/>
      <c r="V113" s="110"/>
      <c r="W113" s="110"/>
    </row>
    <row r="114" spans="2:23" x14ac:dyDescent="0.3">
      <c r="B114" s="2" t="str">
        <f t="shared" si="2"/>
        <v/>
      </c>
      <c r="C114" s="1"/>
      <c r="D114" s="1"/>
      <c r="E114" s="1"/>
      <c r="F114" s="110"/>
      <c r="G114" s="110"/>
      <c r="H114" s="111"/>
      <c r="I114" s="111"/>
      <c r="J114" s="110"/>
      <c r="K114" s="110"/>
      <c r="O114" s="2" t="str">
        <f t="shared" si="3"/>
        <v>Convenience</v>
      </c>
      <c r="P114" s="1" t="s">
        <v>118</v>
      </c>
      <c r="Q114" s="1"/>
      <c r="R114" s="110"/>
      <c r="S114" s="110"/>
      <c r="T114" s="111"/>
      <c r="U114" s="111"/>
      <c r="V114" s="110"/>
      <c r="W114" s="110"/>
    </row>
    <row r="115" spans="2:23" x14ac:dyDescent="0.3">
      <c r="B115" s="2" t="str">
        <f t="shared" si="2"/>
        <v/>
      </c>
      <c r="C115" s="1"/>
      <c r="D115" s="1"/>
      <c r="E115" s="1"/>
      <c r="F115" s="110"/>
      <c r="G115" s="110"/>
      <c r="H115" s="111"/>
      <c r="I115" s="111"/>
      <c r="J115" s="110"/>
      <c r="K115" s="110"/>
      <c r="O115" s="2" t="str">
        <f t="shared" si="3"/>
        <v>Convenience</v>
      </c>
      <c r="P115" s="1" t="s">
        <v>118</v>
      </c>
      <c r="Q115" s="1"/>
      <c r="R115" s="110"/>
      <c r="S115" s="110"/>
      <c r="T115" s="111"/>
      <c r="U115" s="111"/>
      <c r="V115" s="110"/>
      <c r="W115" s="110"/>
    </row>
    <row r="116" spans="2:23" x14ac:dyDescent="0.3">
      <c r="B116" s="2" t="str">
        <f t="shared" si="2"/>
        <v/>
      </c>
      <c r="C116" s="1"/>
      <c r="D116" s="1"/>
      <c r="E116" s="1"/>
      <c r="F116" s="110"/>
      <c r="G116" s="110"/>
      <c r="H116" s="111"/>
      <c r="I116" s="111"/>
      <c r="J116" s="110"/>
      <c r="K116" s="110"/>
      <c r="O116" s="2" t="str">
        <f t="shared" si="3"/>
        <v>Convenience</v>
      </c>
      <c r="P116" s="1" t="s">
        <v>118</v>
      </c>
      <c r="Q116" s="1"/>
      <c r="R116" s="110"/>
      <c r="S116" s="110"/>
      <c r="T116" s="111"/>
      <c r="U116" s="111"/>
      <c r="V116" s="110"/>
      <c r="W116" s="110"/>
    </row>
    <row r="117" spans="2:23" x14ac:dyDescent="0.3">
      <c r="B117" s="2" t="str">
        <f t="shared" si="2"/>
        <v/>
      </c>
      <c r="C117" s="1"/>
      <c r="D117" s="1"/>
      <c r="E117" s="1"/>
      <c r="F117" s="110"/>
      <c r="G117" s="110"/>
      <c r="H117" s="111"/>
      <c r="I117" s="111"/>
      <c r="J117" s="110"/>
      <c r="K117" s="110"/>
      <c r="O117" s="2" t="str">
        <f t="shared" si="3"/>
        <v>Convenience</v>
      </c>
      <c r="P117" s="1" t="s">
        <v>118</v>
      </c>
      <c r="Q117" s="1"/>
      <c r="R117" s="110"/>
      <c r="S117" s="110"/>
      <c r="T117" s="111"/>
      <c r="U117" s="111"/>
      <c r="V117" s="110"/>
      <c r="W117" s="110"/>
    </row>
    <row r="118" spans="2:23" x14ac:dyDescent="0.3">
      <c r="B118" s="2" t="str">
        <f t="shared" si="2"/>
        <v/>
      </c>
      <c r="C118" s="1"/>
      <c r="D118" s="1"/>
      <c r="E118" s="1"/>
      <c r="F118" s="110"/>
      <c r="G118" s="110"/>
      <c r="H118" s="111"/>
      <c r="I118" s="111"/>
      <c r="J118" s="110"/>
      <c r="K118" s="110"/>
      <c r="O118" s="2" t="str">
        <f t="shared" si="3"/>
        <v>Convenience</v>
      </c>
      <c r="P118" s="1" t="s">
        <v>118</v>
      </c>
      <c r="Q118" s="1"/>
      <c r="R118" s="110"/>
      <c r="S118" s="110"/>
      <c r="T118" s="111"/>
      <c r="U118" s="111"/>
      <c r="V118" s="110"/>
      <c r="W118" s="110"/>
    </row>
    <row r="119" spans="2:23" x14ac:dyDescent="0.3">
      <c r="B119" s="2" t="str">
        <f t="shared" si="2"/>
        <v/>
      </c>
      <c r="C119" s="1"/>
      <c r="D119" s="1"/>
      <c r="E119" s="1"/>
      <c r="F119" s="110"/>
      <c r="G119" s="110"/>
      <c r="H119" s="111"/>
      <c r="I119" s="111"/>
      <c r="J119" s="110"/>
      <c r="K119" s="110"/>
      <c r="O119" s="2" t="str">
        <f t="shared" si="3"/>
        <v>Convenience</v>
      </c>
      <c r="P119" s="1" t="s">
        <v>118</v>
      </c>
      <c r="Q119" s="1"/>
      <c r="R119" s="110"/>
      <c r="S119" s="110"/>
      <c r="T119" s="111"/>
      <c r="U119" s="111"/>
      <c r="V119" s="110"/>
      <c r="W119" s="110"/>
    </row>
    <row r="120" spans="2:23" x14ac:dyDescent="0.3">
      <c r="B120" s="2" t="str">
        <f t="shared" si="2"/>
        <v/>
      </c>
      <c r="C120" s="1"/>
      <c r="D120" s="1"/>
      <c r="E120" s="1"/>
      <c r="F120" s="110"/>
      <c r="G120" s="110"/>
      <c r="H120" s="111"/>
      <c r="I120" s="111"/>
      <c r="J120" s="110"/>
      <c r="K120" s="110"/>
      <c r="O120" s="2" t="str">
        <f t="shared" si="3"/>
        <v>Convenience</v>
      </c>
      <c r="P120" s="1" t="s">
        <v>118</v>
      </c>
      <c r="Q120" s="1"/>
      <c r="R120" s="110"/>
      <c r="S120" s="110"/>
      <c r="T120" s="111"/>
      <c r="U120" s="111"/>
      <c r="V120" s="110"/>
      <c r="W120" s="110"/>
    </row>
    <row r="121" spans="2:23" x14ac:dyDescent="0.3">
      <c r="B121" s="2" t="str">
        <f t="shared" si="2"/>
        <v/>
      </c>
      <c r="C121" s="1"/>
      <c r="D121" s="1"/>
      <c r="E121" s="1"/>
      <c r="F121" s="110"/>
      <c r="G121" s="110"/>
      <c r="H121" s="111"/>
      <c r="I121" s="111"/>
      <c r="J121" s="110"/>
      <c r="K121" s="110"/>
      <c r="O121" s="2" t="str">
        <f t="shared" si="3"/>
        <v>Convenience</v>
      </c>
      <c r="P121" s="1" t="s">
        <v>118</v>
      </c>
      <c r="Q121" s="1"/>
      <c r="R121" s="110"/>
      <c r="S121" s="110"/>
      <c r="T121" s="111"/>
      <c r="U121" s="111"/>
      <c r="V121" s="110"/>
      <c r="W121" s="110"/>
    </row>
    <row r="122" spans="2:23" x14ac:dyDescent="0.3">
      <c r="B122" s="2" t="str">
        <f t="shared" si="2"/>
        <v/>
      </c>
      <c r="C122" s="1"/>
      <c r="D122" s="1"/>
      <c r="E122" s="1"/>
      <c r="F122" s="110"/>
      <c r="G122" s="110"/>
      <c r="H122" s="111"/>
      <c r="I122" s="111"/>
      <c r="J122" s="110"/>
      <c r="K122" s="110"/>
      <c r="O122" s="2" t="str">
        <f t="shared" si="3"/>
        <v>Convenience</v>
      </c>
      <c r="P122" s="1" t="s">
        <v>118</v>
      </c>
      <c r="Q122" s="1"/>
      <c r="R122" s="110"/>
      <c r="S122" s="110"/>
      <c r="T122" s="111"/>
      <c r="U122" s="111"/>
      <c r="V122" s="110"/>
      <c r="W122" s="110"/>
    </row>
    <row r="123" spans="2:23" x14ac:dyDescent="0.3">
      <c r="B123" s="2" t="str">
        <f t="shared" si="2"/>
        <v/>
      </c>
      <c r="C123" s="1"/>
      <c r="D123" s="1"/>
      <c r="E123" s="1"/>
      <c r="F123" s="110"/>
      <c r="G123" s="110"/>
      <c r="H123" s="111"/>
      <c r="I123" s="111"/>
      <c r="J123" s="110"/>
      <c r="K123" s="110"/>
      <c r="O123" s="2" t="str">
        <f t="shared" si="3"/>
        <v>Convenience</v>
      </c>
      <c r="P123" s="1" t="s">
        <v>118</v>
      </c>
      <c r="Q123" s="1"/>
      <c r="R123" s="110"/>
      <c r="S123" s="110"/>
      <c r="T123" s="111"/>
      <c r="U123" s="111"/>
      <c r="V123" s="110"/>
      <c r="W123" s="110"/>
    </row>
    <row r="124" spans="2:23" x14ac:dyDescent="0.3">
      <c r="B124" s="2" t="str">
        <f t="shared" si="2"/>
        <v/>
      </c>
      <c r="C124" s="1"/>
      <c r="D124" s="1"/>
      <c r="E124" s="1"/>
      <c r="F124" s="110"/>
      <c r="G124" s="110"/>
      <c r="H124" s="111"/>
      <c r="I124" s="111"/>
      <c r="J124" s="110"/>
      <c r="K124" s="110"/>
      <c r="O124" s="2" t="str">
        <f t="shared" si="3"/>
        <v>Convenience</v>
      </c>
      <c r="P124" s="1" t="s">
        <v>118</v>
      </c>
      <c r="Q124" s="1"/>
      <c r="R124" s="110"/>
      <c r="S124" s="110"/>
      <c r="T124" s="111"/>
      <c r="U124" s="111"/>
      <c r="V124" s="110"/>
      <c r="W124" s="110"/>
    </row>
    <row r="125" spans="2:23" x14ac:dyDescent="0.3">
      <c r="B125" s="2" t="str">
        <f t="shared" si="2"/>
        <v/>
      </c>
      <c r="C125" s="1"/>
      <c r="D125" s="1"/>
      <c r="E125" s="1"/>
      <c r="F125" s="110"/>
      <c r="G125" s="110"/>
      <c r="H125" s="111"/>
      <c r="I125" s="111"/>
      <c r="J125" s="110"/>
      <c r="K125" s="110"/>
      <c r="O125" s="2" t="str">
        <f t="shared" si="3"/>
        <v>Convenience</v>
      </c>
      <c r="P125" s="1" t="s">
        <v>118</v>
      </c>
      <c r="Q125" s="1"/>
      <c r="R125" s="110"/>
      <c r="S125" s="110"/>
      <c r="T125" s="111"/>
      <c r="U125" s="111"/>
      <c r="V125" s="110"/>
      <c r="W125" s="110"/>
    </row>
    <row r="126" spans="2:23" x14ac:dyDescent="0.3">
      <c r="B126" s="2" t="str">
        <f t="shared" si="2"/>
        <v/>
      </c>
      <c r="C126" s="1"/>
      <c r="D126" s="1"/>
      <c r="E126" s="1"/>
      <c r="F126" s="110"/>
      <c r="G126" s="110"/>
      <c r="H126" s="111"/>
      <c r="I126" s="111"/>
      <c r="J126" s="110"/>
      <c r="K126" s="110"/>
      <c r="O126" s="2" t="str">
        <f t="shared" si="3"/>
        <v>Convenience</v>
      </c>
      <c r="P126" s="1" t="s">
        <v>118</v>
      </c>
      <c r="Q126" s="1"/>
      <c r="R126" s="110"/>
      <c r="S126" s="110"/>
      <c r="T126" s="111"/>
      <c r="U126" s="111"/>
      <c r="V126" s="110"/>
      <c r="W126" s="110"/>
    </row>
    <row r="127" spans="2:23" x14ac:dyDescent="0.3">
      <c r="B127" s="2" t="str">
        <f t="shared" si="2"/>
        <v/>
      </c>
      <c r="C127" s="1"/>
      <c r="D127" s="1"/>
      <c r="E127" s="1"/>
      <c r="F127" s="110"/>
      <c r="G127" s="110"/>
      <c r="H127" s="111"/>
      <c r="I127" s="111"/>
      <c r="J127" s="110"/>
      <c r="K127" s="110"/>
      <c r="O127" s="2" t="str">
        <f t="shared" si="3"/>
        <v>Convenience</v>
      </c>
      <c r="P127" s="1" t="s">
        <v>118</v>
      </c>
      <c r="Q127" s="1"/>
      <c r="R127" s="110"/>
      <c r="S127" s="110"/>
      <c r="T127" s="111"/>
      <c r="U127" s="111"/>
      <c r="V127" s="110"/>
      <c r="W127" s="110"/>
    </row>
    <row r="128" spans="2:23" x14ac:dyDescent="0.3">
      <c r="B128" s="2" t="str">
        <f t="shared" si="2"/>
        <v/>
      </c>
      <c r="C128" s="1"/>
      <c r="D128" s="1"/>
      <c r="E128" s="1"/>
      <c r="F128" s="110"/>
      <c r="G128" s="110"/>
      <c r="H128" s="111"/>
      <c r="I128" s="111"/>
      <c r="J128" s="110"/>
      <c r="K128" s="110"/>
      <c r="O128" s="2" t="str">
        <f t="shared" si="3"/>
        <v>Convenience</v>
      </c>
      <c r="P128" s="1" t="s">
        <v>118</v>
      </c>
      <c r="Q128" s="1"/>
      <c r="R128" s="110"/>
      <c r="S128" s="110"/>
      <c r="T128" s="111"/>
      <c r="U128" s="111"/>
      <c r="V128" s="110"/>
      <c r="W128" s="110"/>
    </row>
    <row r="129" spans="2:23" x14ac:dyDescent="0.3">
      <c r="B129" s="2" t="str">
        <f t="shared" si="2"/>
        <v/>
      </c>
      <c r="C129" s="1"/>
      <c r="D129" s="1"/>
      <c r="E129" s="1"/>
      <c r="F129" s="110"/>
      <c r="G129" s="110"/>
      <c r="H129" s="111"/>
      <c r="I129" s="111"/>
      <c r="J129" s="110"/>
      <c r="K129" s="110"/>
      <c r="O129" s="2" t="str">
        <f t="shared" si="3"/>
        <v>Convenience</v>
      </c>
      <c r="P129" s="1" t="s">
        <v>118</v>
      </c>
      <c r="Q129" s="1"/>
      <c r="R129" s="110"/>
      <c r="S129" s="110"/>
      <c r="T129" s="111"/>
      <c r="U129" s="111"/>
      <c r="V129" s="110"/>
      <c r="W129" s="110"/>
    </row>
    <row r="130" spans="2:23" x14ac:dyDescent="0.3">
      <c r="B130" s="2" t="str">
        <f t="shared" si="2"/>
        <v/>
      </c>
      <c r="C130" s="1"/>
      <c r="D130" s="1"/>
      <c r="E130" s="1"/>
      <c r="F130" s="110"/>
      <c r="G130" s="110"/>
      <c r="H130" s="111"/>
      <c r="I130" s="111"/>
      <c r="J130" s="110"/>
      <c r="K130" s="110"/>
      <c r="O130" s="2" t="str">
        <f t="shared" si="3"/>
        <v>Convenience</v>
      </c>
      <c r="P130" s="1" t="s">
        <v>118</v>
      </c>
      <c r="Q130" s="1"/>
      <c r="R130" s="110"/>
      <c r="S130" s="110"/>
      <c r="T130" s="111"/>
      <c r="U130" s="111"/>
      <c r="V130" s="110"/>
      <c r="W130" s="110"/>
    </row>
    <row r="131" spans="2:23" x14ac:dyDescent="0.3">
      <c r="B131" s="2" t="str">
        <f t="shared" si="2"/>
        <v/>
      </c>
      <c r="C131" s="1"/>
      <c r="D131" s="1"/>
      <c r="E131" s="1"/>
      <c r="F131" s="110"/>
      <c r="G131" s="110"/>
      <c r="H131" s="111"/>
      <c r="I131" s="111"/>
      <c r="J131" s="110"/>
      <c r="K131" s="110"/>
      <c r="O131" s="2" t="str">
        <f t="shared" si="3"/>
        <v>Convenience</v>
      </c>
      <c r="P131" s="1" t="s">
        <v>118</v>
      </c>
      <c r="Q131" s="1"/>
      <c r="R131" s="110"/>
      <c r="S131" s="110"/>
      <c r="T131" s="111"/>
      <c r="U131" s="111"/>
      <c r="V131" s="110"/>
      <c r="W131" s="110"/>
    </row>
    <row r="132" spans="2:23" x14ac:dyDescent="0.3">
      <c r="B132" s="2" t="str">
        <f t="shared" ref="B132:B195" si="4">C132&amp;D132&amp;E132</f>
        <v/>
      </c>
      <c r="C132" s="1"/>
      <c r="D132" s="1"/>
      <c r="E132" s="1"/>
      <c r="F132" s="110"/>
      <c r="G132" s="110"/>
      <c r="H132" s="111"/>
      <c r="I132" s="111"/>
      <c r="J132" s="110"/>
      <c r="K132" s="110"/>
      <c r="O132" s="2" t="str">
        <f t="shared" ref="O132:O195" si="5">P132&amp;Q132</f>
        <v>Convenience</v>
      </c>
      <c r="P132" s="1" t="s">
        <v>118</v>
      </c>
      <c r="Q132" s="1"/>
      <c r="R132" s="110"/>
      <c r="S132" s="110"/>
      <c r="T132" s="111"/>
      <c r="U132" s="111"/>
      <c r="V132" s="110"/>
      <c r="W132" s="110"/>
    </row>
    <row r="133" spans="2:23" x14ac:dyDescent="0.3">
      <c r="B133" s="2" t="str">
        <f t="shared" si="4"/>
        <v/>
      </c>
      <c r="C133" s="1"/>
      <c r="D133" s="1"/>
      <c r="E133" s="1"/>
      <c r="F133" s="110"/>
      <c r="G133" s="110"/>
      <c r="H133" s="111"/>
      <c r="I133" s="111"/>
      <c r="J133" s="110"/>
      <c r="K133" s="110"/>
      <c r="O133" s="2" t="str">
        <f t="shared" si="5"/>
        <v>Convenience</v>
      </c>
      <c r="P133" s="1" t="s">
        <v>118</v>
      </c>
      <c r="Q133" s="1"/>
      <c r="R133" s="110"/>
      <c r="S133" s="110"/>
      <c r="T133" s="111"/>
      <c r="U133" s="111"/>
      <c r="V133" s="110"/>
      <c r="W133" s="110"/>
    </row>
    <row r="134" spans="2:23" x14ac:dyDescent="0.3">
      <c r="B134" s="2" t="str">
        <f t="shared" si="4"/>
        <v/>
      </c>
      <c r="C134" s="1"/>
      <c r="D134" s="1"/>
      <c r="E134" s="1"/>
      <c r="F134" s="110"/>
      <c r="G134" s="110"/>
      <c r="H134" s="111"/>
      <c r="I134" s="111"/>
      <c r="J134" s="110"/>
      <c r="K134" s="110"/>
      <c r="O134" s="2" t="str">
        <f t="shared" si="5"/>
        <v>Convenience</v>
      </c>
      <c r="P134" s="1" t="s">
        <v>118</v>
      </c>
      <c r="Q134" s="1"/>
      <c r="R134" s="110"/>
      <c r="S134" s="110"/>
      <c r="T134" s="111"/>
      <c r="U134" s="111"/>
      <c r="V134" s="110"/>
      <c r="W134" s="110"/>
    </row>
    <row r="135" spans="2:23" x14ac:dyDescent="0.3">
      <c r="B135" s="2" t="str">
        <f t="shared" si="4"/>
        <v/>
      </c>
      <c r="C135" s="1"/>
      <c r="D135" s="1"/>
      <c r="E135" s="1"/>
      <c r="F135" s="110"/>
      <c r="G135" s="110"/>
      <c r="H135" s="111"/>
      <c r="I135" s="111"/>
      <c r="J135" s="110"/>
      <c r="K135" s="110"/>
      <c r="O135" s="2" t="str">
        <f t="shared" si="5"/>
        <v>Convenience</v>
      </c>
      <c r="P135" s="1" t="s">
        <v>118</v>
      </c>
      <c r="Q135" s="1"/>
      <c r="R135" s="110"/>
      <c r="S135" s="110"/>
      <c r="T135" s="111"/>
      <c r="U135" s="111"/>
      <c r="V135" s="110"/>
      <c r="W135" s="110"/>
    </row>
    <row r="136" spans="2:23" x14ac:dyDescent="0.3">
      <c r="B136" s="2" t="str">
        <f t="shared" si="4"/>
        <v/>
      </c>
      <c r="C136" s="1"/>
      <c r="D136" s="1"/>
      <c r="E136" s="1"/>
      <c r="F136" s="110"/>
      <c r="G136" s="110"/>
      <c r="H136" s="111"/>
      <c r="I136" s="111"/>
      <c r="J136" s="110"/>
      <c r="K136" s="110"/>
      <c r="O136" s="2" t="str">
        <f t="shared" si="5"/>
        <v>Convenience</v>
      </c>
      <c r="P136" s="1" t="s">
        <v>118</v>
      </c>
      <c r="Q136" s="1"/>
      <c r="R136" s="110"/>
      <c r="S136" s="110"/>
      <c r="T136" s="111"/>
      <c r="U136" s="111"/>
      <c r="V136" s="110"/>
      <c r="W136" s="110"/>
    </row>
    <row r="137" spans="2:23" x14ac:dyDescent="0.3">
      <c r="B137" s="2" t="str">
        <f t="shared" si="4"/>
        <v/>
      </c>
      <c r="C137" s="1"/>
      <c r="D137" s="1"/>
      <c r="E137" s="1"/>
      <c r="F137" s="110"/>
      <c r="G137" s="110"/>
      <c r="H137" s="111"/>
      <c r="I137" s="111"/>
      <c r="J137" s="110"/>
      <c r="K137" s="110"/>
      <c r="O137" s="2" t="str">
        <f t="shared" si="5"/>
        <v>Convenience</v>
      </c>
      <c r="P137" s="1" t="s">
        <v>118</v>
      </c>
      <c r="Q137" s="1"/>
      <c r="R137" s="110"/>
      <c r="S137" s="110"/>
      <c r="T137" s="111"/>
      <c r="U137" s="111"/>
      <c r="V137" s="110"/>
      <c r="W137" s="110"/>
    </row>
    <row r="138" spans="2:23" x14ac:dyDescent="0.3">
      <c r="B138" s="2" t="str">
        <f t="shared" si="4"/>
        <v/>
      </c>
      <c r="C138" s="1"/>
      <c r="D138" s="1"/>
      <c r="E138" s="1"/>
      <c r="F138" s="110"/>
      <c r="G138" s="110"/>
      <c r="H138" s="111"/>
      <c r="I138" s="111"/>
      <c r="J138" s="110"/>
      <c r="K138" s="110"/>
      <c r="O138" s="2" t="str">
        <f t="shared" si="5"/>
        <v>Convenience</v>
      </c>
      <c r="P138" s="1" t="s">
        <v>118</v>
      </c>
      <c r="Q138" s="1"/>
      <c r="R138" s="110"/>
      <c r="S138" s="110"/>
      <c r="T138" s="111"/>
      <c r="U138" s="111"/>
      <c r="V138" s="110"/>
      <c r="W138" s="110"/>
    </row>
    <row r="139" spans="2:23" x14ac:dyDescent="0.3">
      <c r="B139" s="2" t="str">
        <f t="shared" si="4"/>
        <v/>
      </c>
      <c r="C139" s="1"/>
      <c r="D139" s="1"/>
      <c r="E139" s="1"/>
      <c r="F139" s="110"/>
      <c r="G139" s="110"/>
      <c r="H139" s="111"/>
      <c r="I139" s="111"/>
      <c r="J139" s="110"/>
      <c r="K139" s="110"/>
      <c r="O139" s="2" t="str">
        <f t="shared" si="5"/>
        <v>Convenience</v>
      </c>
      <c r="P139" s="1" t="s">
        <v>118</v>
      </c>
      <c r="Q139" s="1"/>
      <c r="R139" s="110"/>
      <c r="S139" s="110"/>
      <c r="T139" s="111"/>
      <c r="U139" s="111"/>
      <c r="V139" s="110"/>
      <c r="W139" s="110"/>
    </row>
    <row r="140" spans="2:23" x14ac:dyDescent="0.3">
      <c r="B140" s="2" t="str">
        <f t="shared" si="4"/>
        <v/>
      </c>
      <c r="C140" s="1"/>
      <c r="D140" s="1"/>
      <c r="E140" s="1"/>
      <c r="F140" s="110"/>
      <c r="G140" s="110"/>
      <c r="H140" s="111"/>
      <c r="I140" s="111"/>
      <c r="J140" s="110"/>
      <c r="K140" s="110"/>
      <c r="O140" s="2" t="str">
        <f t="shared" si="5"/>
        <v>Convenience</v>
      </c>
      <c r="P140" s="1" t="s">
        <v>118</v>
      </c>
      <c r="Q140" s="1"/>
      <c r="R140" s="110"/>
      <c r="S140" s="110"/>
      <c r="T140" s="111"/>
      <c r="U140" s="111"/>
      <c r="V140" s="110"/>
      <c r="W140" s="110"/>
    </row>
    <row r="141" spans="2:23" x14ac:dyDescent="0.3">
      <c r="B141" s="2" t="str">
        <f t="shared" si="4"/>
        <v/>
      </c>
      <c r="C141" s="1"/>
      <c r="D141" s="1"/>
      <c r="E141" s="1"/>
      <c r="F141" s="110"/>
      <c r="G141" s="110"/>
      <c r="H141" s="111"/>
      <c r="I141" s="111"/>
      <c r="J141" s="110"/>
      <c r="K141" s="110"/>
      <c r="O141" s="2" t="str">
        <f t="shared" si="5"/>
        <v>Convenience</v>
      </c>
      <c r="P141" s="1" t="s">
        <v>118</v>
      </c>
      <c r="Q141" s="1"/>
      <c r="R141" s="110"/>
      <c r="S141" s="110"/>
      <c r="T141" s="111"/>
      <c r="U141" s="111"/>
      <c r="V141" s="110"/>
      <c r="W141" s="110"/>
    </row>
    <row r="142" spans="2:23" x14ac:dyDescent="0.3">
      <c r="B142" s="2" t="str">
        <f t="shared" si="4"/>
        <v/>
      </c>
      <c r="C142" s="1"/>
      <c r="D142" s="1"/>
      <c r="E142" s="1"/>
      <c r="F142" s="110"/>
      <c r="G142" s="110"/>
      <c r="H142" s="111"/>
      <c r="I142" s="111"/>
      <c r="J142" s="110"/>
      <c r="K142" s="110"/>
      <c r="O142" s="2" t="str">
        <f t="shared" si="5"/>
        <v>Convenience</v>
      </c>
      <c r="P142" s="1" t="s">
        <v>118</v>
      </c>
      <c r="Q142" s="1"/>
      <c r="R142" s="110"/>
      <c r="S142" s="110"/>
      <c r="T142" s="111"/>
      <c r="U142" s="111"/>
      <c r="V142" s="110"/>
      <c r="W142" s="110"/>
    </row>
    <row r="143" spans="2:23" x14ac:dyDescent="0.3">
      <c r="B143" s="2" t="str">
        <f t="shared" si="4"/>
        <v/>
      </c>
      <c r="C143" s="1"/>
      <c r="D143" s="1"/>
      <c r="E143" s="1"/>
      <c r="F143" s="110"/>
      <c r="G143" s="110"/>
      <c r="H143" s="111"/>
      <c r="I143" s="111"/>
      <c r="J143" s="110"/>
      <c r="K143" s="110"/>
      <c r="O143" s="2" t="str">
        <f t="shared" si="5"/>
        <v>Convenience</v>
      </c>
      <c r="P143" s="1" t="s">
        <v>118</v>
      </c>
      <c r="Q143" s="1"/>
      <c r="R143" s="110"/>
      <c r="S143" s="110"/>
      <c r="T143" s="111"/>
      <c r="U143" s="111"/>
      <c r="V143" s="110"/>
      <c r="W143" s="110"/>
    </row>
    <row r="144" spans="2:23" x14ac:dyDescent="0.3">
      <c r="B144" s="2" t="str">
        <f t="shared" si="4"/>
        <v/>
      </c>
      <c r="C144" s="1"/>
      <c r="D144" s="1"/>
      <c r="E144" s="1"/>
      <c r="F144" s="110"/>
      <c r="G144" s="110"/>
      <c r="H144" s="111"/>
      <c r="I144" s="111"/>
      <c r="J144" s="110"/>
      <c r="K144" s="110"/>
      <c r="O144" s="2" t="str">
        <f t="shared" si="5"/>
        <v>Convenience</v>
      </c>
      <c r="P144" s="1" t="s">
        <v>118</v>
      </c>
      <c r="Q144" s="1"/>
      <c r="R144" s="110"/>
      <c r="S144" s="110"/>
      <c r="T144" s="111"/>
      <c r="U144" s="111"/>
      <c r="V144" s="110"/>
      <c r="W144" s="110"/>
    </row>
    <row r="145" spans="2:23" x14ac:dyDescent="0.3">
      <c r="B145" s="2" t="str">
        <f t="shared" si="4"/>
        <v/>
      </c>
      <c r="C145" s="1"/>
      <c r="D145" s="1"/>
      <c r="E145" s="1"/>
      <c r="F145" s="110"/>
      <c r="G145" s="110"/>
      <c r="H145" s="111"/>
      <c r="I145" s="111"/>
      <c r="J145" s="110"/>
      <c r="K145" s="110"/>
      <c r="O145" s="2" t="str">
        <f t="shared" si="5"/>
        <v>Convenience</v>
      </c>
      <c r="P145" s="1" t="s">
        <v>118</v>
      </c>
      <c r="Q145" s="1"/>
      <c r="R145" s="110"/>
      <c r="S145" s="110"/>
      <c r="T145" s="111"/>
      <c r="U145" s="111"/>
      <c r="V145" s="110"/>
      <c r="W145" s="110"/>
    </row>
    <row r="146" spans="2:23" x14ac:dyDescent="0.3">
      <c r="B146" s="2" t="str">
        <f t="shared" si="4"/>
        <v/>
      </c>
      <c r="C146" s="1"/>
      <c r="D146" s="1"/>
      <c r="E146" s="1"/>
      <c r="F146" s="110"/>
      <c r="G146" s="110"/>
      <c r="H146" s="111"/>
      <c r="I146" s="111"/>
      <c r="J146" s="110"/>
      <c r="K146" s="110"/>
      <c r="O146" s="2" t="str">
        <f t="shared" si="5"/>
        <v>Convenience</v>
      </c>
      <c r="P146" s="1" t="s">
        <v>118</v>
      </c>
      <c r="Q146" s="1"/>
      <c r="R146" s="110"/>
      <c r="S146" s="110"/>
      <c r="T146" s="111"/>
      <c r="U146" s="111"/>
      <c r="V146" s="110"/>
      <c r="W146" s="110"/>
    </row>
    <row r="147" spans="2:23" x14ac:dyDescent="0.3">
      <c r="B147" s="2" t="str">
        <f t="shared" si="4"/>
        <v/>
      </c>
      <c r="C147" s="1"/>
      <c r="D147" s="1"/>
      <c r="E147" s="1"/>
      <c r="F147" s="110"/>
      <c r="G147" s="110"/>
      <c r="H147" s="111"/>
      <c r="I147" s="111"/>
      <c r="J147" s="110"/>
      <c r="K147" s="110"/>
      <c r="O147" s="2" t="str">
        <f t="shared" si="5"/>
        <v>Convenience</v>
      </c>
      <c r="P147" s="1" t="s">
        <v>118</v>
      </c>
      <c r="Q147" s="1"/>
      <c r="R147" s="110"/>
      <c r="S147" s="110"/>
      <c r="T147" s="111"/>
      <c r="U147" s="111"/>
      <c r="V147" s="110"/>
      <c r="W147" s="110"/>
    </row>
    <row r="148" spans="2:23" x14ac:dyDescent="0.3">
      <c r="B148" s="2" t="str">
        <f t="shared" si="4"/>
        <v/>
      </c>
      <c r="C148" s="1"/>
      <c r="D148" s="1"/>
      <c r="E148" s="1"/>
      <c r="F148" s="110"/>
      <c r="G148" s="110"/>
      <c r="H148" s="111"/>
      <c r="I148" s="111"/>
      <c r="J148" s="110"/>
      <c r="K148" s="110"/>
      <c r="O148" s="2" t="str">
        <f t="shared" si="5"/>
        <v>Convenience</v>
      </c>
      <c r="P148" s="1" t="s">
        <v>118</v>
      </c>
      <c r="Q148" s="1"/>
      <c r="R148" s="110"/>
      <c r="S148" s="110"/>
      <c r="T148" s="111"/>
      <c r="U148" s="111"/>
      <c r="V148" s="110"/>
      <c r="W148" s="110"/>
    </row>
    <row r="149" spans="2:23" x14ac:dyDescent="0.3">
      <c r="B149" s="2" t="str">
        <f t="shared" si="4"/>
        <v/>
      </c>
      <c r="C149" s="1"/>
      <c r="D149" s="1"/>
      <c r="E149" s="1"/>
      <c r="F149" s="110"/>
      <c r="G149" s="110"/>
      <c r="H149" s="111"/>
      <c r="I149" s="111"/>
      <c r="J149" s="110"/>
      <c r="K149" s="110"/>
      <c r="O149" s="2" t="str">
        <f t="shared" si="5"/>
        <v>Convenience</v>
      </c>
      <c r="P149" s="1" t="s">
        <v>118</v>
      </c>
      <c r="Q149" s="1"/>
      <c r="R149" s="110"/>
      <c r="S149" s="110"/>
      <c r="T149" s="111"/>
      <c r="U149" s="111"/>
      <c r="V149" s="110"/>
      <c r="W149" s="110"/>
    </row>
    <row r="150" spans="2:23" x14ac:dyDescent="0.3">
      <c r="B150" s="2" t="str">
        <f t="shared" si="4"/>
        <v/>
      </c>
      <c r="C150" s="1"/>
      <c r="D150" s="1"/>
      <c r="E150" s="1"/>
      <c r="F150" s="110"/>
      <c r="G150" s="110"/>
      <c r="H150" s="111"/>
      <c r="I150" s="111"/>
      <c r="J150" s="110"/>
      <c r="K150" s="110"/>
      <c r="O150" s="2" t="str">
        <f t="shared" si="5"/>
        <v>Convenience</v>
      </c>
      <c r="P150" s="1" t="s">
        <v>118</v>
      </c>
      <c r="Q150" s="1"/>
      <c r="R150" s="110"/>
      <c r="S150" s="110"/>
      <c r="T150" s="111"/>
      <c r="U150" s="111"/>
      <c r="V150" s="110"/>
      <c r="W150" s="110"/>
    </row>
    <row r="151" spans="2:23" x14ac:dyDescent="0.3">
      <c r="B151" s="2" t="str">
        <f t="shared" si="4"/>
        <v/>
      </c>
      <c r="C151" s="1"/>
      <c r="D151" s="1"/>
      <c r="E151" s="1"/>
      <c r="F151" s="110"/>
      <c r="G151" s="110"/>
      <c r="H151" s="111"/>
      <c r="I151" s="111"/>
      <c r="J151" s="110"/>
      <c r="K151" s="110"/>
      <c r="O151" s="2" t="str">
        <f t="shared" si="5"/>
        <v>Convenience</v>
      </c>
      <c r="P151" s="1" t="s">
        <v>118</v>
      </c>
      <c r="Q151" s="1"/>
      <c r="R151" s="110"/>
      <c r="S151" s="110"/>
      <c r="T151" s="111"/>
      <c r="U151" s="111"/>
      <c r="V151" s="110"/>
      <c r="W151" s="110"/>
    </row>
    <row r="152" spans="2:23" x14ac:dyDescent="0.3">
      <c r="B152" s="2" t="str">
        <f t="shared" si="4"/>
        <v/>
      </c>
      <c r="C152" s="1"/>
      <c r="D152" s="1"/>
      <c r="E152" s="1"/>
      <c r="F152" s="110"/>
      <c r="G152" s="110"/>
      <c r="H152" s="111"/>
      <c r="I152" s="111"/>
      <c r="J152" s="110"/>
      <c r="K152" s="110"/>
      <c r="O152" s="2" t="str">
        <f t="shared" si="5"/>
        <v>Convenience</v>
      </c>
      <c r="P152" s="1" t="s">
        <v>118</v>
      </c>
      <c r="Q152" s="1"/>
      <c r="R152" s="110"/>
      <c r="S152" s="110"/>
      <c r="T152" s="111"/>
      <c r="U152" s="111"/>
      <c r="V152" s="110"/>
      <c r="W152" s="110"/>
    </row>
    <row r="153" spans="2:23" x14ac:dyDescent="0.3">
      <c r="B153" s="2" t="str">
        <f t="shared" si="4"/>
        <v/>
      </c>
      <c r="C153" s="1"/>
      <c r="D153" s="1"/>
      <c r="E153" s="1"/>
      <c r="F153" s="110"/>
      <c r="G153" s="110"/>
      <c r="H153" s="111"/>
      <c r="I153" s="111"/>
      <c r="J153" s="110"/>
      <c r="K153" s="110"/>
      <c r="O153" s="2" t="str">
        <f t="shared" si="5"/>
        <v>Convenience</v>
      </c>
      <c r="P153" s="1" t="s">
        <v>118</v>
      </c>
      <c r="Q153" s="1"/>
      <c r="R153" s="110"/>
      <c r="S153" s="110"/>
      <c r="T153" s="111"/>
      <c r="U153" s="111"/>
      <c r="V153" s="110"/>
      <c r="W153" s="110"/>
    </row>
    <row r="154" spans="2:23" x14ac:dyDescent="0.3">
      <c r="B154" s="2" t="str">
        <f t="shared" si="4"/>
        <v/>
      </c>
      <c r="C154" s="1"/>
      <c r="D154" s="1"/>
      <c r="E154" s="1"/>
      <c r="F154" s="110"/>
      <c r="G154" s="110"/>
      <c r="H154" s="111"/>
      <c r="I154" s="111"/>
      <c r="J154" s="110"/>
      <c r="K154" s="110"/>
      <c r="O154" s="2" t="str">
        <f t="shared" si="5"/>
        <v>Convenience</v>
      </c>
      <c r="P154" s="1" t="s">
        <v>118</v>
      </c>
      <c r="Q154" s="1"/>
      <c r="R154" s="110"/>
      <c r="S154" s="110"/>
      <c r="T154" s="111"/>
      <c r="U154" s="111"/>
      <c r="V154" s="110"/>
      <c r="W154" s="110"/>
    </row>
    <row r="155" spans="2:23" x14ac:dyDescent="0.3">
      <c r="B155" s="2" t="str">
        <f t="shared" si="4"/>
        <v/>
      </c>
      <c r="C155" s="1"/>
      <c r="D155" s="1"/>
      <c r="E155" s="1"/>
      <c r="F155" s="110"/>
      <c r="G155" s="110"/>
      <c r="H155" s="111"/>
      <c r="I155" s="111"/>
      <c r="J155" s="110"/>
      <c r="K155" s="110"/>
      <c r="O155" s="2" t="str">
        <f t="shared" si="5"/>
        <v>Convenience</v>
      </c>
      <c r="P155" s="1" t="s">
        <v>118</v>
      </c>
      <c r="Q155" s="1"/>
      <c r="R155" s="110"/>
      <c r="S155" s="110"/>
      <c r="T155" s="111"/>
      <c r="U155" s="111"/>
      <c r="V155" s="110"/>
      <c r="W155" s="110"/>
    </row>
    <row r="156" spans="2:23" x14ac:dyDescent="0.3">
      <c r="B156" s="2" t="str">
        <f t="shared" si="4"/>
        <v/>
      </c>
      <c r="C156" s="1"/>
      <c r="D156" s="1"/>
      <c r="E156" s="1"/>
      <c r="F156" s="110"/>
      <c r="G156" s="110"/>
      <c r="H156" s="111"/>
      <c r="I156" s="111"/>
      <c r="J156" s="110"/>
      <c r="K156" s="110"/>
      <c r="O156" s="2" t="str">
        <f t="shared" si="5"/>
        <v>Convenience</v>
      </c>
      <c r="P156" s="1" t="s">
        <v>118</v>
      </c>
      <c r="Q156" s="1"/>
      <c r="R156" s="110"/>
      <c r="S156" s="110"/>
      <c r="T156" s="111"/>
      <c r="U156" s="111"/>
      <c r="V156" s="110"/>
      <c r="W156" s="110"/>
    </row>
    <row r="157" spans="2:23" x14ac:dyDescent="0.3">
      <c r="B157" s="2" t="str">
        <f t="shared" si="4"/>
        <v/>
      </c>
      <c r="C157" s="1"/>
      <c r="D157" s="1"/>
      <c r="E157" s="1"/>
      <c r="F157" s="110"/>
      <c r="G157" s="110"/>
      <c r="H157" s="111"/>
      <c r="I157" s="111"/>
      <c r="J157" s="110"/>
      <c r="K157" s="110"/>
      <c r="O157" s="2" t="str">
        <f t="shared" si="5"/>
        <v>Convenience</v>
      </c>
      <c r="P157" s="1" t="s">
        <v>118</v>
      </c>
      <c r="Q157" s="1"/>
      <c r="R157" s="110"/>
      <c r="S157" s="110"/>
      <c r="T157" s="111"/>
      <c r="U157" s="111"/>
      <c r="V157" s="110"/>
      <c r="W157" s="110"/>
    </row>
    <row r="158" spans="2:23" x14ac:dyDescent="0.3">
      <c r="B158" s="2" t="str">
        <f t="shared" si="4"/>
        <v/>
      </c>
      <c r="C158" s="1"/>
      <c r="D158" s="1"/>
      <c r="E158" s="1"/>
      <c r="F158" s="110"/>
      <c r="G158" s="110"/>
      <c r="H158" s="111"/>
      <c r="I158" s="111"/>
      <c r="J158" s="110"/>
      <c r="K158" s="110"/>
      <c r="O158" s="2" t="str">
        <f t="shared" si="5"/>
        <v>Convenience</v>
      </c>
      <c r="P158" s="1" t="s">
        <v>118</v>
      </c>
      <c r="Q158" s="1"/>
      <c r="R158" s="110"/>
      <c r="S158" s="110"/>
      <c r="T158" s="111"/>
      <c r="U158" s="111"/>
      <c r="V158" s="110"/>
      <c r="W158" s="110"/>
    </row>
    <row r="159" spans="2:23" x14ac:dyDescent="0.3">
      <c r="B159" s="2" t="str">
        <f t="shared" si="4"/>
        <v/>
      </c>
      <c r="C159" s="1"/>
      <c r="D159" s="1"/>
      <c r="E159" s="1"/>
      <c r="F159" s="110"/>
      <c r="G159" s="110"/>
      <c r="H159" s="111"/>
      <c r="I159" s="111"/>
      <c r="J159" s="110"/>
      <c r="K159" s="110"/>
      <c r="O159" s="2" t="str">
        <f t="shared" si="5"/>
        <v>Convenience</v>
      </c>
      <c r="P159" s="1" t="s">
        <v>118</v>
      </c>
      <c r="Q159" s="1"/>
      <c r="R159" s="110"/>
      <c r="S159" s="110"/>
      <c r="T159" s="111"/>
      <c r="U159" s="111"/>
      <c r="V159" s="110"/>
      <c r="W159" s="110"/>
    </row>
    <row r="160" spans="2:23" x14ac:dyDescent="0.3">
      <c r="B160" s="2" t="str">
        <f t="shared" si="4"/>
        <v/>
      </c>
      <c r="C160" s="1"/>
      <c r="D160" s="1"/>
      <c r="E160" s="1"/>
      <c r="F160" s="110"/>
      <c r="G160" s="110"/>
      <c r="H160" s="111"/>
      <c r="I160" s="111"/>
      <c r="J160" s="110"/>
      <c r="K160" s="110"/>
      <c r="O160" s="2" t="str">
        <f t="shared" si="5"/>
        <v>Convenience</v>
      </c>
      <c r="P160" s="1" t="s">
        <v>118</v>
      </c>
      <c r="Q160" s="1"/>
      <c r="R160" s="110"/>
      <c r="S160" s="110"/>
      <c r="T160" s="111"/>
      <c r="U160" s="111"/>
      <c r="V160" s="110"/>
      <c r="W160" s="110"/>
    </row>
    <row r="161" spans="2:23" x14ac:dyDescent="0.3">
      <c r="B161" s="2" t="str">
        <f t="shared" si="4"/>
        <v/>
      </c>
      <c r="C161" s="1"/>
      <c r="D161" s="1"/>
      <c r="E161" s="1"/>
      <c r="F161" s="110"/>
      <c r="G161" s="110"/>
      <c r="H161" s="111"/>
      <c r="I161" s="111"/>
      <c r="J161" s="110"/>
      <c r="K161" s="110"/>
      <c r="O161" s="2" t="str">
        <f t="shared" si="5"/>
        <v>Convenience</v>
      </c>
      <c r="P161" s="1" t="s">
        <v>118</v>
      </c>
      <c r="Q161" s="1"/>
      <c r="R161" s="110"/>
      <c r="S161" s="110"/>
      <c r="T161" s="111"/>
      <c r="U161" s="111"/>
      <c r="V161" s="110"/>
      <c r="W161" s="110"/>
    </row>
    <row r="162" spans="2:23" x14ac:dyDescent="0.3">
      <c r="B162" s="2" t="str">
        <f t="shared" si="4"/>
        <v/>
      </c>
      <c r="C162" s="1"/>
      <c r="D162" s="1"/>
      <c r="E162" s="1"/>
      <c r="F162" s="110"/>
      <c r="G162" s="110"/>
      <c r="H162" s="111"/>
      <c r="I162" s="111"/>
      <c r="J162" s="110"/>
      <c r="K162" s="110"/>
      <c r="O162" s="2" t="str">
        <f t="shared" si="5"/>
        <v>Convenience</v>
      </c>
      <c r="P162" s="1" t="s">
        <v>118</v>
      </c>
      <c r="Q162" s="1"/>
      <c r="R162" s="110"/>
      <c r="S162" s="110"/>
      <c r="T162" s="111"/>
      <c r="U162" s="111"/>
      <c r="V162" s="110"/>
      <c r="W162" s="110"/>
    </row>
    <row r="163" spans="2:23" x14ac:dyDescent="0.3">
      <c r="B163" s="2" t="str">
        <f t="shared" si="4"/>
        <v/>
      </c>
      <c r="C163" s="1"/>
      <c r="D163" s="1"/>
      <c r="E163" s="1"/>
      <c r="F163" s="110"/>
      <c r="G163" s="110"/>
      <c r="H163" s="111"/>
      <c r="I163" s="111"/>
      <c r="J163" s="110"/>
      <c r="K163" s="110"/>
      <c r="O163" s="2" t="str">
        <f t="shared" si="5"/>
        <v>Convenience</v>
      </c>
      <c r="P163" s="1" t="s">
        <v>118</v>
      </c>
      <c r="Q163" s="1"/>
      <c r="R163" s="110"/>
      <c r="S163" s="110"/>
      <c r="T163" s="111"/>
      <c r="U163" s="111"/>
      <c r="V163" s="110"/>
      <c r="W163" s="110"/>
    </row>
    <row r="164" spans="2:23" x14ac:dyDescent="0.3">
      <c r="B164" s="2" t="str">
        <f t="shared" si="4"/>
        <v/>
      </c>
      <c r="C164" s="1"/>
      <c r="D164" s="1"/>
      <c r="E164" s="1"/>
      <c r="F164" s="110"/>
      <c r="G164" s="110"/>
      <c r="H164" s="111"/>
      <c r="I164" s="111"/>
      <c r="J164" s="110"/>
      <c r="K164" s="110"/>
      <c r="O164" s="2" t="str">
        <f t="shared" si="5"/>
        <v>Convenience</v>
      </c>
      <c r="P164" s="1" t="s">
        <v>118</v>
      </c>
      <c r="Q164" s="1"/>
      <c r="R164" s="110"/>
      <c r="S164" s="110"/>
      <c r="T164" s="111"/>
      <c r="U164" s="111"/>
      <c r="V164" s="110"/>
      <c r="W164" s="110"/>
    </row>
    <row r="165" spans="2:23" x14ac:dyDescent="0.3">
      <c r="B165" s="2" t="str">
        <f t="shared" si="4"/>
        <v/>
      </c>
      <c r="C165" s="1"/>
      <c r="D165" s="1"/>
      <c r="E165" s="1"/>
      <c r="F165" s="110"/>
      <c r="G165" s="110"/>
      <c r="H165" s="111"/>
      <c r="I165" s="111"/>
      <c r="J165" s="110"/>
      <c r="K165" s="110"/>
      <c r="O165" s="2" t="str">
        <f t="shared" si="5"/>
        <v>Convenience</v>
      </c>
      <c r="P165" s="1" t="s">
        <v>118</v>
      </c>
      <c r="Q165" s="1"/>
      <c r="R165" s="110"/>
      <c r="S165" s="110"/>
      <c r="T165" s="111"/>
      <c r="U165" s="111"/>
      <c r="V165" s="110"/>
      <c r="W165" s="110"/>
    </row>
    <row r="166" spans="2:23" x14ac:dyDescent="0.3">
      <c r="B166" s="2" t="str">
        <f t="shared" si="4"/>
        <v/>
      </c>
      <c r="C166" s="1"/>
      <c r="D166" s="1"/>
      <c r="E166" s="1"/>
      <c r="F166" s="110"/>
      <c r="G166" s="110"/>
      <c r="H166" s="111"/>
      <c r="I166" s="111"/>
      <c r="J166" s="110"/>
      <c r="K166" s="110"/>
      <c r="O166" s="2" t="str">
        <f t="shared" si="5"/>
        <v>Convenience</v>
      </c>
      <c r="P166" s="1" t="s">
        <v>118</v>
      </c>
      <c r="Q166" s="1"/>
      <c r="R166" s="110"/>
      <c r="S166" s="110"/>
      <c r="T166" s="111"/>
      <c r="U166" s="111"/>
      <c r="V166" s="110"/>
      <c r="W166" s="110"/>
    </row>
    <row r="167" spans="2:23" x14ac:dyDescent="0.3">
      <c r="B167" s="2" t="str">
        <f t="shared" si="4"/>
        <v/>
      </c>
      <c r="C167" s="1"/>
      <c r="D167" s="1"/>
      <c r="E167" s="1"/>
      <c r="F167" s="110"/>
      <c r="G167" s="110"/>
      <c r="H167" s="111"/>
      <c r="I167" s="111"/>
      <c r="J167" s="110"/>
      <c r="K167" s="110"/>
      <c r="O167" s="2" t="str">
        <f t="shared" si="5"/>
        <v>Convenience</v>
      </c>
      <c r="P167" s="1" t="s">
        <v>118</v>
      </c>
      <c r="Q167" s="1"/>
      <c r="R167" s="110"/>
      <c r="S167" s="110"/>
      <c r="T167" s="111"/>
      <c r="U167" s="111"/>
      <c r="V167" s="110"/>
      <c r="W167" s="110"/>
    </row>
    <row r="168" spans="2:23" x14ac:dyDescent="0.3">
      <c r="B168" s="2" t="str">
        <f t="shared" si="4"/>
        <v/>
      </c>
      <c r="C168" s="1"/>
      <c r="D168" s="1"/>
      <c r="E168" s="1"/>
      <c r="F168" s="110"/>
      <c r="G168" s="110"/>
      <c r="H168" s="111"/>
      <c r="I168" s="111"/>
      <c r="J168" s="110"/>
      <c r="K168" s="110"/>
      <c r="O168" s="2" t="str">
        <f t="shared" si="5"/>
        <v>Convenience</v>
      </c>
      <c r="P168" s="1" t="s">
        <v>118</v>
      </c>
      <c r="Q168" s="1"/>
      <c r="R168" s="110"/>
      <c r="S168" s="110"/>
      <c r="T168" s="111"/>
      <c r="U168" s="111"/>
      <c r="V168" s="110"/>
      <c r="W168" s="110"/>
    </row>
    <row r="169" spans="2:23" x14ac:dyDescent="0.3">
      <c r="B169" s="2" t="str">
        <f t="shared" si="4"/>
        <v/>
      </c>
      <c r="C169" s="1"/>
      <c r="D169" s="1"/>
      <c r="E169" s="1"/>
      <c r="F169" s="110"/>
      <c r="G169" s="110"/>
      <c r="H169" s="111"/>
      <c r="I169" s="111"/>
      <c r="J169" s="110"/>
      <c r="K169" s="110"/>
      <c r="O169" s="2" t="str">
        <f t="shared" si="5"/>
        <v>Convenience</v>
      </c>
      <c r="P169" s="1" t="s">
        <v>118</v>
      </c>
      <c r="Q169" s="1"/>
      <c r="R169" s="110"/>
      <c r="S169" s="110"/>
      <c r="T169" s="111"/>
      <c r="U169" s="111"/>
      <c r="V169" s="110"/>
      <c r="W169" s="110"/>
    </row>
    <row r="170" spans="2:23" x14ac:dyDescent="0.3">
      <c r="B170" s="2" t="str">
        <f t="shared" si="4"/>
        <v/>
      </c>
      <c r="C170" s="1"/>
      <c r="D170" s="1"/>
      <c r="E170" s="1"/>
      <c r="F170" s="110"/>
      <c r="G170" s="110"/>
      <c r="H170" s="111"/>
      <c r="I170" s="111"/>
      <c r="J170" s="110"/>
      <c r="K170" s="110"/>
      <c r="O170" s="2" t="str">
        <f t="shared" si="5"/>
        <v>Convenience</v>
      </c>
      <c r="P170" s="1" t="s">
        <v>118</v>
      </c>
      <c r="Q170" s="1"/>
      <c r="R170" s="110"/>
      <c r="S170" s="110"/>
      <c r="T170" s="111"/>
      <c r="U170" s="111"/>
      <c r="V170" s="110"/>
      <c r="W170" s="110"/>
    </row>
    <row r="171" spans="2:23" x14ac:dyDescent="0.3">
      <c r="B171" s="2" t="str">
        <f t="shared" si="4"/>
        <v/>
      </c>
      <c r="C171" s="1"/>
      <c r="D171" s="1"/>
      <c r="E171" s="1"/>
      <c r="F171" s="110"/>
      <c r="G171" s="110"/>
      <c r="H171" s="111"/>
      <c r="I171" s="111"/>
      <c r="J171" s="110"/>
      <c r="K171" s="110"/>
      <c r="O171" s="2" t="str">
        <f t="shared" si="5"/>
        <v>Convenience</v>
      </c>
      <c r="P171" s="1" t="s">
        <v>118</v>
      </c>
      <c r="Q171" s="1"/>
      <c r="R171" s="110"/>
      <c r="S171" s="110"/>
      <c r="T171" s="111"/>
      <c r="U171" s="111"/>
      <c r="V171" s="110"/>
      <c r="W171" s="110"/>
    </row>
    <row r="172" spans="2:23" x14ac:dyDescent="0.3">
      <c r="B172" s="2" t="str">
        <f t="shared" si="4"/>
        <v/>
      </c>
      <c r="C172" s="1"/>
      <c r="D172" s="1"/>
      <c r="E172" s="1"/>
      <c r="F172" s="110"/>
      <c r="G172" s="110"/>
      <c r="H172" s="111"/>
      <c r="I172" s="111"/>
      <c r="J172" s="110"/>
      <c r="K172" s="110"/>
      <c r="O172" s="2" t="str">
        <f t="shared" si="5"/>
        <v>Convenience</v>
      </c>
      <c r="P172" s="1" t="s">
        <v>118</v>
      </c>
      <c r="Q172" s="1"/>
      <c r="R172" s="110"/>
      <c r="S172" s="110"/>
      <c r="T172" s="111"/>
      <c r="U172" s="111"/>
      <c r="V172" s="110"/>
      <c r="W172" s="110"/>
    </row>
    <row r="173" spans="2:23" x14ac:dyDescent="0.3">
      <c r="B173" s="2" t="str">
        <f t="shared" si="4"/>
        <v/>
      </c>
      <c r="C173" s="1"/>
      <c r="D173" s="1"/>
      <c r="E173" s="1"/>
      <c r="F173" s="110"/>
      <c r="G173" s="110"/>
      <c r="H173" s="111"/>
      <c r="I173" s="111"/>
      <c r="J173" s="110"/>
      <c r="K173" s="110"/>
      <c r="O173" s="2" t="str">
        <f t="shared" si="5"/>
        <v>Convenience</v>
      </c>
      <c r="P173" s="1" t="s">
        <v>118</v>
      </c>
      <c r="Q173" s="1"/>
      <c r="R173" s="110"/>
      <c r="S173" s="110"/>
      <c r="T173" s="111"/>
      <c r="U173" s="111"/>
      <c r="V173" s="110"/>
      <c r="W173" s="110"/>
    </row>
    <row r="174" spans="2:23" x14ac:dyDescent="0.3">
      <c r="B174" s="2" t="str">
        <f t="shared" si="4"/>
        <v/>
      </c>
      <c r="C174" s="1"/>
      <c r="D174" s="1"/>
      <c r="E174" s="1"/>
      <c r="F174" s="110"/>
      <c r="G174" s="110"/>
      <c r="H174" s="111"/>
      <c r="I174" s="111"/>
      <c r="J174" s="110"/>
      <c r="K174" s="110"/>
      <c r="O174" s="2" t="str">
        <f t="shared" si="5"/>
        <v>Convenience</v>
      </c>
      <c r="P174" s="1" t="s">
        <v>118</v>
      </c>
      <c r="Q174" s="1"/>
      <c r="R174" s="110"/>
      <c r="S174" s="110"/>
      <c r="T174" s="111"/>
      <c r="U174" s="111"/>
      <c r="V174" s="110"/>
      <c r="W174" s="110"/>
    </row>
    <row r="175" spans="2:23" x14ac:dyDescent="0.3">
      <c r="B175" s="2" t="str">
        <f t="shared" si="4"/>
        <v/>
      </c>
      <c r="C175" s="1"/>
      <c r="D175" s="1"/>
      <c r="E175" s="1"/>
      <c r="F175" s="110"/>
      <c r="G175" s="110"/>
      <c r="H175" s="111"/>
      <c r="I175" s="111"/>
      <c r="J175" s="110"/>
      <c r="K175" s="110"/>
      <c r="O175" s="2" t="str">
        <f t="shared" si="5"/>
        <v>Convenience</v>
      </c>
      <c r="P175" s="1" t="s">
        <v>118</v>
      </c>
      <c r="Q175" s="1"/>
      <c r="R175" s="110"/>
      <c r="S175" s="110"/>
      <c r="T175" s="111"/>
      <c r="U175" s="111"/>
      <c r="V175" s="110"/>
      <c r="W175" s="110"/>
    </row>
    <row r="176" spans="2:23" x14ac:dyDescent="0.3">
      <c r="B176" s="2" t="str">
        <f t="shared" si="4"/>
        <v/>
      </c>
      <c r="C176" s="1"/>
      <c r="D176" s="1"/>
      <c r="E176" s="1"/>
      <c r="F176" s="110"/>
      <c r="G176" s="110"/>
      <c r="H176" s="111"/>
      <c r="I176" s="111"/>
      <c r="J176" s="110"/>
      <c r="K176" s="110"/>
      <c r="O176" s="2" t="str">
        <f t="shared" si="5"/>
        <v>Convenience</v>
      </c>
      <c r="P176" s="1" t="s">
        <v>118</v>
      </c>
      <c r="Q176" s="1"/>
      <c r="R176" s="110"/>
      <c r="S176" s="110"/>
      <c r="T176" s="111"/>
      <c r="U176" s="111"/>
      <c r="V176" s="110"/>
      <c r="W176" s="110"/>
    </row>
    <row r="177" spans="2:23" x14ac:dyDescent="0.3">
      <c r="B177" s="2" t="str">
        <f t="shared" si="4"/>
        <v/>
      </c>
      <c r="C177" s="1"/>
      <c r="D177" s="1"/>
      <c r="E177" s="1"/>
      <c r="F177" s="110"/>
      <c r="G177" s="110"/>
      <c r="H177" s="111"/>
      <c r="I177" s="111"/>
      <c r="J177" s="110"/>
      <c r="K177" s="110"/>
      <c r="O177" s="2" t="str">
        <f t="shared" si="5"/>
        <v>Convenience</v>
      </c>
      <c r="P177" s="1" t="s">
        <v>118</v>
      </c>
      <c r="Q177" s="1"/>
      <c r="R177" s="110"/>
      <c r="S177" s="110"/>
      <c r="T177" s="111"/>
      <c r="U177" s="111"/>
      <c r="V177" s="110"/>
      <c r="W177" s="110"/>
    </row>
    <row r="178" spans="2:23" x14ac:dyDescent="0.3">
      <c r="B178" s="2" t="str">
        <f t="shared" si="4"/>
        <v/>
      </c>
      <c r="C178" s="1"/>
      <c r="D178" s="1"/>
      <c r="E178" s="1"/>
      <c r="F178" s="110"/>
      <c r="G178" s="110"/>
      <c r="H178" s="111"/>
      <c r="I178" s="111"/>
      <c r="J178" s="110"/>
      <c r="K178" s="110"/>
      <c r="O178" s="2" t="str">
        <f t="shared" si="5"/>
        <v>Convenience</v>
      </c>
      <c r="P178" s="1" t="s">
        <v>118</v>
      </c>
      <c r="Q178" s="1"/>
      <c r="R178" s="110"/>
      <c r="S178" s="110"/>
      <c r="T178" s="111"/>
      <c r="U178" s="111"/>
      <c r="V178" s="110"/>
      <c r="W178" s="110"/>
    </row>
    <row r="179" spans="2:23" x14ac:dyDescent="0.3">
      <c r="B179" s="2" t="str">
        <f t="shared" si="4"/>
        <v/>
      </c>
      <c r="C179" s="1"/>
      <c r="D179" s="1"/>
      <c r="E179" s="1"/>
      <c r="F179" s="110"/>
      <c r="G179" s="110"/>
      <c r="H179" s="111"/>
      <c r="I179" s="111"/>
      <c r="J179" s="110"/>
      <c r="K179" s="110"/>
      <c r="O179" s="2" t="str">
        <f t="shared" si="5"/>
        <v>Convenience</v>
      </c>
      <c r="P179" s="1" t="s">
        <v>118</v>
      </c>
      <c r="Q179" s="1"/>
      <c r="R179" s="110"/>
      <c r="S179" s="110"/>
      <c r="T179" s="111"/>
      <c r="U179" s="111"/>
      <c r="V179" s="110"/>
      <c r="W179" s="110"/>
    </row>
    <row r="180" spans="2:23" x14ac:dyDescent="0.3">
      <c r="B180" s="2" t="str">
        <f t="shared" si="4"/>
        <v/>
      </c>
      <c r="C180" s="1"/>
      <c r="D180" s="1"/>
      <c r="E180" s="1"/>
      <c r="F180" s="110"/>
      <c r="G180" s="110"/>
      <c r="H180" s="111"/>
      <c r="I180" s="111"/>
      <c r="J180" s="110"/>
      <c r="K180" s="110"/>
      <c r="O180" s="2" t="str">
        <f t="shared" si="5"/>
        <v>Convenience</v>
      </c>
      <c r="P180" s="1" t="s">
        <v>118</v>
      </c>
      <c r="Q180" s="1"/>
      <c r="R180" s="110"/>
      <c r="S180" s="110"/>
      <c r="T180" s="111"/>
      <c r="U180" s="111"/>
      <c r="V180" s="110"/>
      <c r="W180" s="110"/>
    </row>
    <row r="181" spans="2:23" x14ac:dyDescent="0.3">
      <c r="B181" s="2" t="str">
        <f t="shared" si="4"/>
        <v/>
      </c>
      <c r="C181" s="1"/>
      <c r="D181" s="1"/>
      <c r="E181" s="1"/>
      <c r="F181" s="110"/>
      <c r="G181" s="110"/>
      <c r="H181" s="111"/>
      <c r="I181" s="111"/>
      <c r="J181" s="110"/>
      <c r="K181" s="110"/>
      <c r="O181" s="2" t="str">
        <f t="shared" si="5"/>
        <v>Convenience</v>
      </c>
      <c r="P181" s="1" t="s">
        <v>118</v>
      </c>
      <c r="Q181" s="1"/>
      <c r="R181" s="110"/>
      <c r="S181" s="110"/>
      <c r="T181" s="111"/>
      <c r="U181" s="111"/>
      <c r="V181" s="110"/>
      <c r="W181" s="110"/>
    </row>
    <row r="182" spans="2:23" x14ac:dyDescent="0.3">
      <c r="B182" s="2" t="str">
        <f t="shared" si="4"/>
        <v/>
      </c>
      <c r="C182" s="1"/>
      <c r="D182" s="1"/>
      <c r="E182" s="1"/>
      <c r="F182" s="110"/>
      <c r="G182" s="110"/>
      <c r="H182" s="111"/>
      <c r="I182" s="111"/>
      <c r="J182" s="110"/>
      <c r="K182" s="110"/>
      <c r="O182" s="2" t="str">
        <f t="shared" si="5"/>
        <v>Convenience</v>
      </c>
      <c r="P182" s="1" t="s">
        <v>118</v>
      </c>
      <c r="Q182" s="1"/>
      <c r="R182" s="110"/>
      <c r="S182" s="110"/>
      <c r="T182" s="111"/>
      <c r="U182" s="111"/>
      <c r="V182" s="110"/>
      <c r="W182" s="110"/>
    </row>
    <row r="183" spans="2:23" x14ac:dyDescent="0.3">
      <c r="B183" s="2" t="str">
        <f t="shared" si="4"/>
        <v/>
      </c>
      <c r="C183" s="1"/>
      <c r="D183" s="1"/>
      <c r="E183" s="1"/>
      <c r="F183" s="110"/>
      <c r="G183" s="110"/>
      <c r="H183" s="111"/>
      <c r="I183" s="111"/>
      <c r="J183" s="110"/>
      <c r="K183" s="110"/>
      <c r="O183" s="2" t="str">
        <f t="shared" si="5"/>
        <v>Convenience</v>
      </c>
      <c r="P183" s="1" t="s">
        <v>118</v>
      </c>
      <c r="Q183" s="1"/>
      <c r="R183" s="110"/>
      <c r="S183" s="110"/>
      <c r="T183" s="111"/>
      <c r="U183" s="111"/>
      <c r="V183" s="110"/>
      <c r="W183" s="110"/>
    </row>
    <row r="184" spans="2:23" x14ac:dyDescent="0.3">
      <c r="B184" s="2" t="str">
        <f t="shared" si="4"/>
        <v/>
      </c>
      <c r="C184" s="1"/>
      <c r="D184" s="1"/>
      <c r="E184" s="1"/>
      <c r="F184" s="110"/>
      <c r="G184" s="110"/>
      <c r="H184" s="111"/>
      <c r="I184" s="111"/>
      <c r="J184" s="110"/>
      <c r="K184" s="110"/>
      <c r="O184" s="2" t="str">
        <f t="shared" si="5"/>
        <v>Convenience</v>
      </c>
      <c r="P184" s="1" t="s">
        <v>118</v>
      </c>
      <c r="Q184" s="1"/>
      <c r="R184" s="110"/>
      <c r="S184" s="110"/>
      <c r="T184" s="111"/>
      <c r="U184" s="111"/>
      <c r="V184" s="110"/>
      <c r="W184" s="110"/>
    </row>
    <row r="185" spans="2:23" x14ac:dyDescent="0.3">
      <c r="B185" s="2" t="str">
        <f t="shared" si="4"/>
        <v/>
      </c>
      <c r="C185" s="1"/>
      <c r="D185" s="1"/>
      <c r="E185" s="1"/>
      <c r="F185" s="110"/>
      <c r="G185" s="110"/>
      <c r="H185" s="111"/>
      <c r="I185" s="111"/>
      <c r="J185" s="110"/>
      <c r="K185" s="110"/>
      <c r="O185" s="2" t="str">
        <f t="shared" si="5"/>
        <v>Convenience</v>
      </c>
      <c r="P185" s="1" t="s">
        <v>118</v>
      </c>
      <c r="Q185" s="1"/>
      <c r="R185" s="110"/>
      <c r="S185" s="110"/>
      <c r="T185" s="111"/>
      <c r="U185" s="111"/>
      <c r="V185" s="110"/>
      <c r="W185" s="110"/>
    </row>
    <row r="186" spans="2:23" x14ac:dyDescent="0.3">
      <c r="B186" s="2" t="str">
        <f t="shared" si="4"/>
        <v/>
      </c>
      <c r="C186" s="1"/>
      <c r="D186" s="1"/>
      <c r="E186" s="1"/>
      <c r="F186" s="110"/>
      <c r="G186" s="110"/>
      <c r="H186" s="111"/>
      <c r="I186" s="111"/>
      <c r="J186" s="110"/>
      <c r="K186" s="110"/>
      <c r="O186" s="2" t="str">
        <f t="shared" si="5"/>
        <v>Convenience</v>
      </c>
      <c r="P186" s="1" t="s">
        <v>118</v>
      </c>
      <c r="Q186" s="1"/>
      <c r="R186" s="110"/>
      <c r="S186" s="110"/>
      <c r="T186" s="111"/>
      <c r="U186" s="111"/>
      <c r="V186" s="110"/>
      <c r="W186" s="110"/>
    </row>
    <row r="187" spans="2:23" x14ac:dyDescent="0.3">
      <c r="B187" s="2" t="str">
        <f t="shared" si="4"/>
        <v/>
      </c>
      <c r="C187" s="1"/>
      <c r="D187" s="1"/>
      <c r="E187" s="1"/>
      <c r="F187" s="110"/>
      <c r="G187" s="110"/>
      <c r="H187" s="111"/>
      <c r="I187" s="111"/>
      <c r="J187" s="110"/>
      <c r="K187" s="110"/>
      <c r="O187" s="2" t="str">
        <f t="shared" si="5"/>
        <v>Convenience</v>
      </c>
      <c r="P187" s="1" t="s">
        <v>118</v>
      </c>
      <c r="Q187" s="1"/>
      <c r="R187" s="110"/>
      <c r="S187" s="110"/>
      <c r="T187" s="111"/>
      <c r="U187" s="111"/>
      <c r="V187" s="110"/>
      <c r="W187" s="110"/>
    </row>
    <row r="188" spans="2:23" x14ac:dyDescent="0.3">
      <c r="B188" s="2" t="str">
        <f t="shared" si="4"/>
        <v/>
      </c>
      <c r="C188" s="1"/>
      <c r="D188" s="1"/>
      <c r="E188" s="1"/>
      <c r="F188" s="110"/>
      <c r="G188" s="110"/>
      <c r="H188" s="111"/>
      <c r="I188" s="111"/>
      <c r="J188" s="110"/>
      <c r="K188" s="110"/>
      <c r="O188" s="2" t="str">
        <f t="shared" si="5"/>
        <v>Convenience</v>
      </c>
      <c r="P188" s="1" t="s">
        <v>118</v>
      </c>
      <c r="Q188" s="1"/>
      <c r="R188" s="110"/>
      <c r="S188" s="110"/>
      <c r="T188" s="111"/>
      <c r="U188" s="111"/>
      <c r="V188" s="110"/>
      <c r="W188" s="110"/>
    </row>
    <row r="189" spans="2:23" x14ac:dyDescent="0.3">
      <c r="B189" s="2" t="str">
        <f t="shared" si="4"/>
        <v/>
      </c>
      <c r="C189" s="1"/>
      <c r="D189" s="1"/>
      <c r="E189" s="1"/>
      <c r="F189" s="110"/>
      <c r="G189" s="110"/>
      <c r="H189" s="111"/>
      <c r="I189" s="111"/>
      <c r="J189" s="110"/>
      <c r="K189" s="110"/>
      <c r="O189" s="2" t="str">
        <f t="shared" si="5"/>
        <v>Convenience</v>
      </c>
      <c r="P189" s="1" t="s">
        <v>118</v>
      </c>
      <c r="Q189" s="1"/>
      <c r="R189" s="110"/>
      <c r="S189" s="110"/>
      <c r="T189" s="111"/>
      <c r="U189" s="111"/>
      <c r="V189" s="110"/>
      <c r="W189" s="110"/>
    </row>
    <row r="190" spans="2:23" x14ac:dyDescent="0.3">
      <c r="B190" s="2" t="str">
        <f t="shared" si="4"/>
        <v/>
      </c>
      <c r="C190" s="1"/>
      <c r="D190" s="1"/>
      <c r="E190" s="1"/>
      <c r="F190" s="110"/>
      <c r="G190" s="110"/>
      <c r="H190" s="111"/>
      <c r="I190" s="111"/>
      <c r="J190" s="110"/>
      <c r="K190" s="110"/>
      <c r="O190" s="2" t="str">
        <f t="shared" si="5"/>
        <v>Convenience</v>
      </c>
      <c r="P190" s="1" t="s">
        <v>118</v>
      </c>
      <c r="Q190" s="1"/>
      <c r="R190" s="110"/>
      <c r="S190" s="110"/>
      <c r="T190" s="111"/>
      <c r="U190" s="111"/>
      <c r="V190" s="110"/>
      <c r="W190" s="110"/>
    </row>
    <row r="191" spans="2:23" x14ac:dyDescent="0.3">
      <c r="B191" s="2" t="str">
        <f t="shared" si="4"/>
        <v/>
      </c>
      <c r="C191" s="1"/>
      <c r="D191" s="1"/>
      <c r="E191" s="1"/>
      <c r="F191" s="110"/>
      <c r="G191" s="110"/>
      <c r="H191" s="111"/>
      <c r="I191" s="111"/>
      <c r="J191" s="110"/>
      <c r="K191" s="110"/>
      <c r="O191" s="2" t="str">
        <f t="shared" si="5"/>
        <v>Convenience</v>
      </c>
      <c r="P191" s="1" t="s">
        <v>118</v>
      </c>
      <c r="Q191" s="1"/>
      <c r="R191" s="110"/>
      <c r="S191" s="110"/>
      <c r="T191" s="111"/>
      <c r="U191" s="111"/>
      <c r="V191" s="110"/>
      <c r="W191" s="110"/>
    </row>
    <row r="192" spans="2:23" x14ac:dyDescent="0.3">
      <c r="B192" s="2" t="str">
        <f t="shared" si="4"/>
        <v/>
      </c>
      <c r="C192" s="1"/>
      <c r="D192" s="1"/>
      <c r="E192" s="1"/>
      <c r="F192" s="110"/>
      <c r="G192" s="110"/>
      <c r="H192" s="111"/>
      <c r="I192" s="111"/>
      <c r="J192" s="110"/>
      <c r="K192" s="110"/>
      <c r="O192" s="2" t="str">
        <f t="shared" si="5"/>
        <v>Convenience</v>
      </c>
      <c r="P192" s="1" t="s">
        <v>118</v>
      </c>
      <c r="Q192" s="1"/>
      <c r="R192" s="110"/>
      <c r="S192" s="110"/>
      <c r="T192" s="111"/>
      <c r="U192" s="111"/>
      <c r="V192" s="110"/>
      <c r="W192" s="110"/>
    </row>
    <row r="193" spans="2:23" x14ac:dyDescent="0.3">
      <c r="B193" s="2" t="str">
        <f t="shared" si="4"/>
        <v/>
      </c>
      <c r="C193" s="1"/>
      <c r="D193" s="1"/>
      <c r="E193" s="1"/>
      <c r="F193" s="110"/>
      <c r="G193" s="110"/>
      <c r="H193" s="111"/>
      <c r="I193" s="111"/>
      <c r="J193" s="110"/>
      <c r="K193" s="110"/>
      <c r="O193" s="2" t="str">
        <f t="shared" si="5"/>
        <v>Convenience</v>
      </c>
      <c r="P193" s="1" t="s">
        <v>118</v>
      </c>
      <c r="Q193" s="1"/>
      <c r="R193" s="110"/>
      <c r="S193" s="110"/>
      <c r="T193" s="111"/>
      <c r="U193" s="111"/>
      <c r="V193" s="110"/>
      <c r="W193" s="110"/>
    </row>
    <row r="194" spans="2:23" x14ac:dyDescent="0.3">
      <c r="B194" s="2" t="str">
        <f t="shared" si="4"/>
        <v/>
      </c>
      <c r="C194" s="1"/>
      <c r="D194" s="1"/>
      <c r="E194" s="1"/>
      <c r="F194" s="110"/>
      <c r="G194" s="110"/>
      <c r="H194" s="111"/>
      <c r="I194" s="111"/>
      <c r="J194" s="110"/>
      <c r="K194" s="110"/>
      <c r="O194" s="2" t="str">
        <f t="shared" si="5"/>
        <v>Convenience</v>
      </c>
      <c r="P194" s="1" t="s">
        <v>118</v>
      </c>
      <c r="Q194" s="1"/>
      <c r="R194" s="110"/>
      <c r="S194" s="110"/>
      <c r="T194" s="111"/>
      <c r="U194" s="111"/>
      <c r="V194" s="110"/>
      <c r="W194" s="110"/>
    </row>
    <row r="195" spans="2:23" x14ac:dyDescent="0.3">
      <c r="B195" s="2" t="str">
        <f t="shared" si="4"/>
        <v/>
      </c>
      <c r="C195" s="1"/>
      <c r="D195" s="1"/>
      <c r="E195" s="1"/>
      <c r="F195" s="110"/>
      <c r="G195" s="110"/>
      <c r="H195" s="111"/>
      <c r="I195" s="111"/>
      <c r="J195" s="110"/>
      <c r="K195" s="110"/>
      <c r="O195" s="2" t="str">
        <f t="shared" si="5"/>
        <v>Convenience</v>
      </c>
      <c r="P195" s="1" t="s">
        <v>118</v>
      </c>
      <c r="Q195" s="1"/>
      <c r="R195" s="110"/>
      <c r="S195" s="110"/>
      <c r="T195" s="111"/>
      <c r="U195" s="111"/>
      <c r="V195" s="110"/>
      <c r="W195" s="110"/>
    </row>
    <row r="196" spans="2:23" x14ac:dyDescent="0.3">
      <c r="B196" s="2" t="str">
        <f t="shared" ref="B196:B200" si="6">C196&amp;D196&amp;E196</f>
        <v/>
      </c>
      <c r="C196" s="1"/>
      <c r="D196" s="1"/>
      <c r="E196" s="1"/>
      <c r="F196" s="110"/>
      <c r="G196" s="110"/>
      <c r="H196" s="111"/>
      <c r="I196" s="111"/>
      <c r="J196" s="110"/>
      <c r="K196" s="110"/>
      <c r="O196" s="2" t="str">
        <f t="shared" ref="O196:O200" si="7">P196&amp;Q196</f>
        <v>Convenience</v>
      </c>
      <c r="P196" s="1" t="s">
        <v>118</v>
      </c>
      <c r="Q196" s="1"/>
      <c r="R196" s="110"/>
      <c r="S196" s="110"/>
      <c r="T196" s="111"/>
      <c r="U196" s="111"/>
      <c r="V196" s="110"/>
      <c r="W196" s="110"/>
    </row>
    <row r="197" spans="2:23" x14ac:dyDescent="0.3">
      <c r="B197" s="2" t="str">
        <f t="shared" si="6"/>
        <v/>
      </c>
      <c r="C197" s="1"/>
      <c r="D197" s="1"/>
      <c r="E197" s="1"/>
      <c r="F197" s="110"/>
      <c r="G197" s="110"/>
      <c r="H197" s="111"/>
      <c r="I197" s="111"/>
      <c r="J197" s="110"/>
      <c r="K197" s="110"/>
      <c r="O197" s="2" t="str">
        <f t="shared" si="7"/>
        <v>Convenience</v>
      </c>
      <c r="P197" s="1" t="s">
        <v>118</v>
      </c>
      <c r="Q197" s="1"/>
      <c r="R197" s="110"/>
      <c r="S197" s="110"/>
      <c r="T197" s="111"/>
      <c r="U197" s="111"/>
      <c r="V197" s="110"/>
      <c r="W197" s="110"/>
    </row>
    <row r="198" spans="2:23" x14ac:dyDescent="0.3">
      <c r="B198" s="2" t="str">
        <f t="shared" si="6"/>
        <v/>
      </c>
      <c r="C198" s="1"/>
      <c r="D198" s="1"/>
      <c r="E198" s="1"/>
      <c r="F198" s="110"/>
      <c r="G198" s="110"/>
      <c r="H198" s="111"/>
      <c r="I198" s="111"/>
      <c r="J198" s="110"/>
      <c r="K198" s="110"/>
      <c r="O198" s="2" t="str">
        <f t="shared" si="7"/>
        <v>Convenience</v>
      </c>
      <c r="P198" s="1" t="s">
        <v>118</v>
      </c>
      <c r="Q198" s="1"/>
      <c r="R198" s="110"/>
      <c r="S198" s="110"/>
      <c r="T198" s="111"/>
      <c r="U198" s="111"/>
      <c r="V198" s="110"/>
      <c r="W198" s="110"/>
    </row>
    <row r="199" spans="2:23" x14ac:dyDescent="0.3">
      <c r="B199" s="2" t="str">
        <f t="shared" si="6"/>
        <v/>
      </c>
      <c r="C199" s="1"/>
      <c r="D199" s="1"/>
      <c r="E199" s="1"/>
      <c r="F199" s="110"/>
      <c r="G199" s="110"/>
      <c r="H199" s="111"/>
      <c r="I199" s="111"/>
      <c r="J199" s="110"/>
      <c r="K199" s="110"/>
      <c r="O199" s="2" t="str">
        <f t="shared" si="7"/>
        <v>Convenience</v>
      </c>
      <c r="P199" s="1" t="s">
        <v>118</v>
      </c>
      <c r="Q199" s="1"/>
      <c r="R199" s="110"/>
      <c r="S199" s="110"/>
      <c r="T199" s="111"/>
      <c r="U199" s="111"/>
      <c r="V199" s="110"/>
      <c r="W199" s="110"/>
    </row>
    <row r="200" spans="2:23" x14ac:dyDescent="0.3">
      <c r="B200" s="2" t="str">
        <f t="shared" si="6"/>
        <v/>
      </c>
      <c r="C200" s="1"/>
      <c r="D200" s="1"/>
      <c r="E200" s="1"/>
      <c r="F200" s="110"/>
      <c r="G200" s="110"/>
      <c r="H200" s="111"/>
      <c r="I200" s="111"/>
      <c r="J200" s="110"/>
      <c r="K200" s="110"/>
      <c r="O200" s="2" t="str">
        <f t="shared" si="7"/>
        <v>Convenience</v>
      </c>
      <c r="P200" s="1" t="s">
        <v>118</v>
      </c>
      <c r="Q200" s="1"/>
      <c r="R200" s="110"/>
      <c r="S200" s="110"/>
      <c r="T200" s="111"/>
      <c r="U200" s="111"/>
      <c r="V200" s="110"/>
      <c r="W200" s="110"/>
    </row>
  </sheetData>
  <autoFilter ref="C2:I200" xr:uid="{129FCD4A-814E-4BA7-9734-FE417110CDC8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12FB-089A-4A12-A3B4-6CD2098FDBF3}">
  <sheetPr codeName="Sheet11"/>
  <dimension ref="B1:BP229"/>
  <sheetViews>
    <sheetView workbookViewId="0"/>
  </sheetViews>
  <sheetFormatPr defaultRowHeight="14.4" x14ac:dyDescent="0.3"/>
  <cols>
    <col min="1" max="1" width="3.77734375" customWidth="1"/>
    <col min="2" max="2" width="23.77734375" bestFit="1" customWidth="1"/>
    <col min="3" max="3" width="10.6640625" bestFit="1" customWidth="1"/>
    <col min="4" max="4" width="19.33203125" bestFit="1" customWidth="1"/>
    <col min="5" max="5" width="8" bestFit="1" customWidth="1"/>
    <col min="6" max="6" width="19.33203125" bestFit="1" customWidth="1"/>
    <col min="7" max="7" width="14.109375" bestFit="1" customWidth="1"/>
    <col min="8" max="10" width="12" bestFit="1" customWidth="1"/>
    <col min="11" max="11" width="15.109375" bestFit="1" customWidth="1"/>
    <col min="12" max="12" width="13.109375" bestFit="1" customWidth="1"/>
    <col min="13" max="13" width="11.88671875" bestFit="1" customWidth="1"/>
    <col min="14" max="14" width="8.21875" bestFit="1" customWidth="1"/>
    <col min="15" max="15" width="8.5546875" bestFit="1" customWidth="1"/>
    <col min="16" max="16" width="9" bestFit="1" customWidth="1"/>
    <col min="17" max="17" width="9.5546875" bestFit="1" customWidth="1"/>
    <col min="18" max="18" width="16.6640625" bestFit="1" customWidth="1"/>
    <col min="19" max="22" width="12.44140625" bestFit="1" customWidth="1"/>
    <col min="23" max="23" width="16.88671875" bestFit="1" customWidth="1"/>
    <col min="24" max="24" width="16.6640625" bestFit="1" customWidth="1"/>
    <col min="25" max="25" width="6.109375" bestFit="1" customWidth="1"/>
    <col min="26" max="26" width="13" bestFit="1" customWidth="1"/>
    <col min="27" max="27" width="14.109375" bestFit="1" customWidth="1"/>
    <col min="28" max="28" width="12" bestFit="1" customWidth="1"/>
    <col min="29" max="30" width="13" bestFit="1" customWidth="1"/>
    <col min="31" max="31" width="3.6640625" bestFit="1" customWidth="1"/>
    <col min="32" max="32" width="12.109375" bestFit="1" customWidth="1"/>
    <col min="33" max="33" width="13.77734375" bestFit="1" customWidth="1"/>
    <col min="34" max="34" width="13.33203125" bestFit="1" customWidth="1"/>
    <col min="35" max="35" width="13.21875" bestFit="1" customWidth="1"/>
    <col min="36" max="36" width="18.5546875" bestFit="1" customWidth="1"/>
    <col min="37" max="37" width="20.109375" bestFit="1" customWidth="1"/>
    <col min="38" max="38" width="18.5546875" bestFit="1" customWidth="1"/>
    <col min="39" max="39" width="17.21875" bestFit="1" customWidth="1"/>
    <col min="40" max="41" width="13.88671875" bestFit="1" customWidth="1"/>
    <col min="42" max="42" width="14.109375" bestFit="1" customWidth="1"/>
    <col min="43" max="45" width="12.44140625" bestFit="1" customWidth="1"/>
    <col min="46" max="46" width="14.109375" bestFit="1" customWidth="1"/>
    <col min="47" max="48" width="12" bestFit="1" customWidth="1"/>
    <col min="49" max="49" width="13.109375" bestFit="1" customWidth="1"/>
    <col min="50" max="54" width="15.21875" customWidth="1"/>
    <col min="55" max="72" width="12" bestFit="1" customWidth="1"/>
  </cols>
  <sheetData>
    <row r="1" spans="2:55" x14ac:dyDescent="0.3">
      <c r="B1" s="115" t="s">
        <v>93</v>
      </c>
      <c r="I1" s="18" t="s">
        <v>98</v>
      </c>
      <c r="P1" s="18" t="s">
        <v>94</v>
      </c>
      <c r="Y1" s="18" t="s">
        <v>95</v>
      </c>
      <c r="AR1" s="18" t="s">
        <v>97</v>
      </c>
      <c r="AS1" s="18" t="s">
        <v>96</v>
      </c>
      <c r="AX1" s="18" t="s">
        <v>99</v>
      </c>
      <c r="AY1" s="4"/>
    </row>
    <row r="2" spans="2:55" x14ac:dyDescent="0.3">
      <c r="B2" s="113" t="str">
        <f>"L0_"&amp;B3</f>
        <v>L0_Graph_Colour</v>
      </c>
      <c r="D2" s="4" t="str">
        <f t="shared" ref="D2:F2" si="0">"L0_"&amp;D3</f>
        <v>L0_Key_Brand</v>
      </c>
      <c r="E2" s="4" t="str">
        <f t="shared" si="0"/>
        <v>L0_Channel</v>
      </c>
      <c r="F2" s="4" t="str">
        <f t="shared" si="0"/>
        <v>L0_Brand</v>
      </c>
      <c r="G2" s="4" t="str">
        <f>"L0_"&amp;G3</f>
        <v>L0_RSV</v>
      </c>
      <c r="H2" s="4" t="str">
        <f t="shared" ref="H2:BC2" si="1">"L0_"&amp;H3</f>
        <v>L0_Vol</v>
      </c>
      <c r="I2" s="4" t="str">
        <f t="shared" si="1"/>
        <v>L0_CSF</v>
      </c>
      <c r="J2" s="4" t="str">
        <f t="shared" si="1"/>
        <v>L0_MCV</v>
      </c>
      <c r="K2" s="4" t="str">
        <f t="shared" si="1"/>
        <v>L0_RSV_Total</v>
      </c>
      <c r="L2" s="4" t="str">
        <f t="shared" si="1"/>
        <v>L0_Volume_Total</v>
      </c>
      <c r="M2" s="4" t="str">
        <f t="shared" si="1"/>
        <v>L0_Current Price</v>
      </c>
      <c r="N2" s="4" t="str">
        <f t="shared" si="1"/>
        <v>L0_Price_FP</v>
      </c>
      <c r="O2" s="4" t="str">
        <f t="shared" si="1"/>
        <v>L0_Elasticity</v>
      </c>
      <c r="P2" s="4" t="str">
        <f t="shared" si="1"/>
        <v>L0_Val Share</v>
      </c>
      <c r="Q2" s="4" t="str">
        <f t="shared" si="1"/>
        <v>L0_Vol. Share</v>
      </c>
      <c r="R2" s="4" t="str">
        <f t="shared" si="1"/>
        <v>L0_NSV_to_RSV_o</v>
      </c>
      <c r="S2" s="4" t="str">
        <f t="shared" si="1"/>
        <v>L0_NSV_to_GM_o</v>
      </c>
      <c r="T2" s="4" t="str">
        <f t="shared" si="1"/>
        <v>L0_NSV_o</v>
      </c>
      <c r="U2" s="4" t="str">
        <f t="shared" si="1"/>
        <v>L0_GM_o</v>
      </c>
      <c r="V2" s="4" t="str">
        <f t="shared" si="1"/>
        <v>L0_Fixed Cost</v>
      </c>
      <c r="W2" s="4" t="str">
        <f t="shared" si="1"/>
        <v>L0_Fixed Cost per Unit</v>
      </c>
      <c r="X2" s="4" t="str">
        <f t="shared" si="1"/>
        <v>L0_TPV</v>
      </c>
      <c r="Y2" s="4" t="str">
        <f t="shared" si="1"/>
        <v>L0_PVS</v>
      </c>
      <c r="Z2" s="4" t="str">
        <f t="shared" si="1"/>
        <v>L0_MS Headroom</v>
      </c>
      <c r="AA2" s="4" t="str">
        <f t="shared" si="1"/>
        <v>L0_RSV_i</v>
      </c>
      <c r="AB2" s="4" t="str">
        <f t="shared" si="1"/>
        <v>L0_Vol_i</v>
      </c>
      <c r="AC2" s="4" t="str">
        <f t="shared" si="1"/>
        <v>L0_NSV_i</v>
      </c>
      <c r="AD2" s="4" t="str">
        <f t="shared" si="1"/>
        <v>L0_GM_i</v>
      </c>
      <c r="AE2" s="4" t="str">
        <f t="shared" si="1"/>
        <v>L0_</v>
      </c>
      <c r="AF2" s="4" t="str">
        <f t="shared" si="1"/>
        <v>L0_New Price</v>
      </c>
      <c r="AG2" s="4" t="str">
        <f t="shared" si="1"/>
        <v>L0_NSV_to_RSV</v>
      </c>
      <c r="AH2" s="4" t="str">
        <f t="shared" si="1"/>
        <v>L0_NSV_to_GM</v>
      </c>
      <c r="AI2" s="4" t="str">
        <f t="shared" si="1"/>
        <v>L0_Price_Chng</v>
      </c>
      <c r="AJ2" s="4" t="str">
        <f t="shared" si="1"/>
        <v>L0_Revised_New_Vol</v>
      </c>
      <c r="AK2" s="4" t="str">
        <f t="shared" si="1"/>
        <v>L0_New Category Price</v>
      </c>
      <c r="AL2" s="4" t="str">
        <f t="shared" si="1"/>
        <v>L0_Chg Category Price</v>
      </c>
      <c r="AM2" s="4" t="str">
        <f t="shared" si="1"/>
        <v>L0_Chng in Cat Vol.</v>
      </c>
      <c r="AN2" s="4" t="str">
        <f t="shared" si="1"/>
        <v>L0_New Cat Vol</v>
      </c>
      <c r="AO2" s="4" t="str">
        <f t="shared" si="1"/>
        <v>L0_New Cat Val</v>
      </c>
      <c r="AP2" s="4" t="str">
        <f t="shared" si="1"/>
        <v>L0_TPV_n</v>
      </c>
      <c r="AQ2" s="4" t="str">
        <f t="shared" si="1"/>
        <v>L0_TPV_Share</v>
      </c>
      <c r="AR2" s="4" t="str">
        <f t="shared" si="1"/>
        <v>L0_PVS_N</v>
      </c>
      <c r="AS2" s="4" t="str">
        <f t="shared" si="1"/>
        <v>L0_MSP_N</v>
      </c>
      <c r="AT2" s="4" t="str">
        <f t="shared" si="1"/>
        <v>L0_RSV_N</v>
      </c>
      <c r="AU2" s="4" t="str">
        <f t="shared" si="1"/>
        <v>L0_New Vol</v>
      </c>
      <c r="AV2" s="4" t="str">
        <f t="shared" si="1"/>
        <v>L0_New NSV</v>
      </c>
      <c r="AW2" s="4" t="str">
        <f t="shared" si="1"/>
        <v>L0_New GP</v>
      </c>
      <c r="AX2" s="4" t="str">
        <f t="shared" si="1"/>
        <v>L0_Final CSF</v>
      </c>
      <c r="AY2" s="4" t="str">
        <f t="shared" si="1"/>
        <v>L0_Simulated Vol Share</v>
      </c>
      <c r="AZ2" s="94" t="str">
        <f t="shared" si="1"/>
        <v>L0_Current RPI_1</v>
      </c>
      <c r="BA2" s="94" t="str">
        <f t="shared" si="1"/>
        <v>L0_Current RPI_2</v>
      </c>
      <c r="BB2" s="94" t="str">
        <f t="shared" si="1"/>
        <v>L0_Proposed RPI_1</v>
      </c>
      <c r="BC2" s="94" t="str">
        <f t="shared" si="1"/>
        <v>L0_Proposed RPI_2</v>
      </c>
    </row>
    <row r="3" spans="2:55" x14ac:dyDescent="0.3">
      <c r="B3" s="113" t="s">
        <v>87</v>
      </c>
      <c r="D3" s="4" t="s">
        <v>42</v>
      </c>
      <c r="E3" s="4" t="s">
        <v>0</v>
      </c>
      <c r="F3" s="4" t="s">
        <v>1</v>
      </c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5" t="s">
        <v>10</v>
      </c>
      <c r="N3" s="5" t="s">
        <v>12</v>
      </c>
      <c r="O3" s="5" t="s">
        <v>11</v>
      </c>
      <c r="P3" s="5" t="s">
        <v>20</v>
      </c>
      <c r="Q3" s="5" t="s">
        <v>19</v>
      </c>
      <c r="R3" s="5" t="s">
        <v>27</v>
      </c>
      <c r="S3" s="5" t="s">
        <v>28</v>
      </c>
      <c r="T3" s="9" t="s">
        <v>29</v>
      </c>
      <c r="U3" s="9" t="s">
        <v>30</v>
      </c>
      <c r="V3" s="9" t="s">
        <v>47</v>
      </c>
      <c r="W3" s="9" t="s">
        <v>48</v>
      </c>
      <c r="X3" s="5" t="s">
        <v>22</v>
      </c>
      <c r="Y3" s="5" t="s">
        <v>23</v>
      </c>
      <c r="Z3" s="5" t="s">
        <v>24</v>
      </c>
      <c r="AA3" s="5" t="s">
        <v>68</v>
      </c>
      <c r="AB3" s="5" t="s">
        <v>26</v>
      </c>
      <c r="AC3" s="5" t="s">
        <v>21</v>
      </c>
      <c r="AD3" s="5" t="s">
        <v>69</v>
      </c>
      <c r="AE3" s="5"/>
      <c r="AF3" s="5" t="s">
        <v>13</v>
      </c>
      <c r="AG3" s="30" t="s">
        <v>16</v>
      </c>
      <c r="AH3" s="30" t="s">
        <v>17</v>
      </c>
      <c r="AI3" s="5" t="s">
        <v>14</v>
      </c>
      <c r="AJ3" s="5" t="s">
        <v>15</v>
      </c>
      <c r="AK3" s="17" t="s">
        <v>31</v>
      </c>
      <c r="AL3" s="17" t="s">
        <v>83</v>
      </c>
      <c r="AM3" s="18" t="s">
        <v>32</v>
      </c>
      <c r="AN3" s="18" t="s">
        <v>34</v>
      </c>
      <c r="AO3" s="18" t="s">
        <v>35</v>
      </c>
      <c r="AP3" s="4" t="s">
        <v>36</v>
      </c>
      <c r="AQ3" s="4" t="s">
        <v>37</v>
      </c>
      <c r="AR3" s="4" t="s">
        <v>44</v>
      </c>
      <c r="AS3" s="4" t="s">
        <v>45</v>
      </c>
      <c r="AT3" s="4" t="s">
        <v>46</v>
      </c>
      <c r="AU3" s="4" t="s">
        <v>38</v>
      </c>
      <c r="AV3" s="4" t="s">
        <v>39</v>
      </c>
      <c r="AW3" s="4" t="s">
        <v>40</v>
      </c>
      <c r="AX3" s="4" t="s">
        <v>70</v>
      </c>
      <c r="AY3" s="4" t="s">
        <v>101</v>
      </c>
      <c r="AZ3" s="94" t="s">
        <v>72</v>
      </c>
      <c r="BA3" s="94" t="s">
        <v>73</v>
      </c>
      <c r="BB3" s="94" t="s">
        <v>74</v>
      </c>
      <c r="BC3" s="94" t="s">
        <v>75</v>
      </c>
    </row>
    <row r="4" spans="2:55" ht="14.4" customHeight="1" x14ac:dyDescent="0.3">
      <c r="B4" s="114" t="s">
        <v>88</v>
      </c>
      <c r="C4" s="4">
        <v>1</v>
      </c>
      <c r="D4" s="108" t="str">
        <f>IFERROR(E4&amp;F4,"")</f>
        <v>ConvenienceHP</v>
      </c>
      <c r="E4" s="3" t="s">
        <v>118</v>
      </c>
      <c r="F4" s="109" t="str">
        <f>IFERROR(INDEX('Input - Convenience'!$Y$3:$Y$200,MATCH('Calculations - Convenience'!$C4,'Input - Convenience'!$Z$3:$Z$200,0)),"")</f>
        <v>HP</v>
      </c>
      <c r="G4" s="20">
        <f>IFERROR(INDEX('Input - Convenience'!R$2:R$200,MATCH('Calculations - Convenience'!$D4,'Input - Convenience'!$O$2:$O$200,0)),"")</f>
        <v>1829089.51</v>
      </c>
      <c r="H4" s="20">
        <f>IFERROR(INDEX('Input - Convenience'!S$2:S$200,MATCH('Calculations - Convenience'!$D4,'Input - Convenience'!$O$2:$O$200,0)),"")</f>
        <v>291265.21000000002</v>
      </c>
      <c r="I4" s="27">
        <f>IFERROR(INDEX('Input - Convenience'!T$2:T$200,MATCH('Calculations - Convenience'!$D4,'Input - Convenience'!$O$2:$O$200,0)),"")</f>
        <v>2.2193953879714101</v>
      </c>
      <c r="J4" s="27">
        <f>IFERROR(INDEX('Input - Convenience'!U$2:U$200,MATCH('Calculations - Convenience'!$D4,'Input - Convenience'!$O$2:$O$200,0)),"")</f>
        <v>13.937376258156201</v>
      </c>
      <c r="K4" s="20">
        <f>IFERROR(INDEX('Input - Convenience'!V$2:V$200,MATCH('Calculations - Convenience'!$D4,'Input - Convenience'!$O$2:$O$200,0)),"")</f>
        <v>5513650.7000000002</v>
      </c>
      <c r="L4" s="20">
        <f>IFERROR(INDEX('Input - Convenience'!W$2:W$200,MATCH('Calculations - Convenience'!$D4,'Input - Convenience'!$O$2:$O$200,0)),"")</f>
        <v>931687.61</v>
      </c>
      <c r="M4" s="21">
        <f>IFERROR(G4/H4,"")</f>
        <v>6.2798077051495431</v>
      </c>
      <c r="N4" s="21">
        <f t="shared" ref="N4:N24" si="2">IFERROR(K4/L4,"")</f>
        <v>5.917917809382482</v>
      </c>
      <c r="O4" s="21">
        <f>IFERROR((M4/(M4-J4)*5),"")</f>
        <v>-4.1003927432578111</v>
      </c>
      <c r="P4" s="9">
        <f t="shared" ref="P4:P23" si="3">IFERROR(G4/SUM(G$4:G$23),"")</f>
        <v>1</v>
      </c>
      <c r="Q4" s="9">
        <f t="shared" ref="Q4:Q23" si="4">IFERROR(H4/SUM(H$4:H$23),"")</f>
        <v>1</v>
      </c>
      <c r="R4" s="8">
        <f t="shared" ref="R4:R23" si="5">IFERROR(T4/G4,"-")</f>
        <v>0.8</v>
      </c>
      <c r="S4" s="8">
        <f>IFERROR(U4/T4,"-")</f>
        <v>0.3</v>
      </c>
      <c r="T4">
        <f>IFERROR(SUMIFS(T$32:T$229,$B$32:$B$229,$D4),"-")</f>
        <v>1463271.608</v>
      </c>
      <c r="U4">
        <f>IFERROR(SUMIFS(U$32:U$229,$B$32:$B$229,$D4),"-")</f>
        <v>438981.48239999998</v>
      </c>
      <c r="V4">
        <f>IFERROR(T4-U4,"-")</f>
        <v>1024290.1256</v>
      </c>
      <c r="W4">
        <f t="shared" ref="W4:W23" si="6">IFERROR(V4/H4,"-")</f>
        <v>3.5166923148837443</v>
      </c>
      <c r="X4" s="10">
        <f t="shared" ref="X4:X23" si="7">IFERROR((J4+M4)*H4*0.5,"-")</f>
        <v>2944281.16634044</v>
      </c>
      <c r="Y4" s="7">
        <f>IFERROR(X4/$X$24,"")</f>
        <v>1</v>
      </c>
      <c r="Z4" s="13">
        <f>IFERROR(Y4-P4,"-")</f>
        <v>0</v>
      </c>
      <c r="AA4">
        <f>IFERROR(Y4*$G$24,"-")</f>
        <v>1829089.51</v>
      </c>
      <c r="AB4" s="16">
        <f t="shared" ref="AB4:AB23" si="8">IFERROR(AA4/M4,"-")</f>
        <v>291265.21000000002</v>
      </c>
      <c r="AC4" s="16">
        <f>IFERROR(R4*AA4,"-")</f>
        <v>1463271.608</v>
      </c>
      <c r="AD4" s="16">
        <f>IFERROR(AC4-(W4)*AB4,"-")</f>
        <v>438981.48239999998</v>
      </c>
      <c r="AF4" s="27" cm="1">
        <f t="array" ref="AF4">IFERROR(SUM(_xlfn._xlws.FILTER($AF$32:$AF$229*$AJ$32:$AJ$229,$B$32:$B$229=D4))/SUM(_xlfn._xlws.FILTER($AJ$32:$AJ$229,$B$32:$B$229=D4)),"-")</f>
        <v>6.2798077051495449</v>
      </c>
      <c r="AG4" s="123">
        <f>IFERROR(SUMIFS(AV$32:AV$229,$E$32:$E$229,$F4)/SUMIFS(AT$32:AT$229,$E$32:$E$229,$F4),"-")</f>
        <v>0.8</v>
      </c>
      <c r="AH4" s="124">
        <f>IFERROR(SUMIFS(AW$32:AW$229,$E$32:$E$229,$F4)/SUMIFS(AV$32:AV$229,$E$32:$E$229,$F4),"-")</f>
        <v>0.30000000000000004</v>
      </c>
      <c r="AI4" s="9">
        <f t="shared" ref="AI4:AI23" si="9">IFERROR((AF4-M4)/M4,"")</f>
        <v>2.8286803080667729E-16</v>
      </c>
      <c r="AJ4" s="4">
        <f t="shared" ref="AJ4:AJ23" si="10">IFERROR(MAX((1+AI4*O4/5)*H4,0),"")</f>
        <v>291265.20999999996</v>
      </c>
      <c r="AK4" s="18">
        <f>SUMPRODUCT(AF$4:AF$23,AJ$4:AJ$23)/SUM(AJ$4:AJ$23)</f>
        <v>6.2798077051495449</v>
      </c>
      <c r="AL4" s="24">
        <f>$AK4/$M$24-1</f>
        <v>0</v>
      </c>
      <c r="AM4" s="24">
        <f>$AL4*$O$24/5</f>
        <v>0</v>
      </c>
      <c r="AN4" s="25">
        <f>(1+$AM4)*$H$24</f>
        <v>291265.21000000002</v>
      </c>
      <c r="AO4" s="25">
        <f>AN4*AK4</f>
        <v>1829089.5100000005</v>
      </c>
      <c r="AP4" s="20">
        <f t="shared" ref="AP4:AP23" si="11">IFERROR(0.5*(J4+AF4)*AJ4,"-")</f>
        <v>2944281.16634044</v>
      </c>
      <c r="AQ4" s="13">
        <f>IFERROR(AP4/AP$24,"")</f>
        <v>1</v>
      </c>
      <c r="AR4" s="9">
        <f>IFERROR(AQ4*$P$24,"")</f>
        <v>1</v>
      </c>
      <c r="AS4" s="13">
        <f>IFERROR(AR4-P4,"")</f>
        <v>0</v>
      </c>
      <c r="AT4" s="16">
        <f>IFERROR(AR4*AO$4,"-")</f>
        <v>1829089.5100000005</v>
      </c>
      <c r="AU4" s="16">
        <f t="shared" ref="AU4:AU23" si="12">IFERROR(AT4/AF4,"-")</f>
        <v>291265.21000000002</v>
      </c>
      <c r="AV4" s="4">
        <f>IFERROR(AT4*AG4,"-")</f>
        <v>1463271.6080000005</v>
      </c>
      <c r="AW4" s="16">
        <f t="shared" ref="AW4:AW23" si="13">IFERROR(AV4-(W4*AU4),"-")</f>
        <v>438981.48240000044</v>
      </c>
      <c r="AX4">
        <f t="shared" ref="AX4:AX23" si="14">IFERROR(J4/AF4,"")</f>
        <v>2.2193953879714061</v>
      </c>
      <c r="AY4" s="9">
        <f t="shared" ref="AY4:AY23" si="15">IFERROR(AU4/$AU$24,"-")</f>
        <v>1</v>
      </c>
      <c r="AZ4" s="20">
        <f>IFERROR(100*$M$4/$M4,"")</f>
        <v>100</v>
      </c>
      <c r="BA4" s="20" t="str">
        <f>IFERROR(100*$M$5/$M4,"")</f>
        <v/>
      </c>
      <c r="BB4" s="20">
        <f>IFERROR(100*$AF$4/$AF4,"")</f>
        <v>100.00000000000001</v>
      </c>
      <c r="BC4" s="20" t="str">
        <f>IFERROR(100*$AF$5/$AF4,"")</f>
        <v/>
      </c>
    </row>
    <row r="5" spans="2:55" ht="14.4" customHeight="1" x14ac:dyDescent="0.3">
      <c r="B5" s="114" t="str">
        <f>""</f>
        <v/>
      </c>
      <c r="C5" s="4">
        <v>2</v>
      </c>
      <c r="D5" s="108" t="str">
        <f t="shared" ref="D5:D24" si="16">IFERROR(E5&amp;F5,"")</f>
        <v/>
      </c>
      <c r="E5" s="3"/>
      <c r="F5" s="109" t="str">
        <f>IFERROR(INDEX('Input - Convenience'!$Y$3:$Y$200,MATCH('Calculations - Convenience'!$C5,'Input - Convenience'!$Z$3:$Z$200,0)),"")</f>
        <v/>
      </c>
      <c r="G5" s="20" t="str">
        <f>IFERROR(INDEX('Input - Convenience'!R$2:R$200,MATCH('Calculations - Convenience'!$D5,'Input - Convenience'!$O$2:$O$200,0)),"")</f>
        <v/>
      </c>
      <c r="H5" s="20" t="str">
        <f>IFERROR(INDEX('Input - Convenience'!S$2:S$200,MATCH('Calculations - Convenience'!$D5,'Input - Convenience'!$O$2:$O$200,0)),"")</f>
        <v/>
      </c>
      <c r="I5" s="27" t="str">
        <f>IFERROR(INDEX('Input - Convenience'!T$2:T$200,MATCH('Calculations - Convenience'!$D5,'Input - Convenience'!$O$2:$O$200,0)),"")</f>
        <v/>
      </c>
      <c r="J5" s="27" t="str">
        <f>IFERROR(INDEX('Input - Convenience'!U$2:U$200,MATCH('Calculations - Convenience'!$D5,'Input - Convenience'!$O$2:$O$200,0)),"")</f>
        <v/>
      </c>
      <c r="K5" s="20" t="str">
        <f>IFERROR(INDEX('Input - Convenience'!V$2:V$200,MATCH('Calculations - Convenience'!$D5,'Input - Convenience'!$O$2:$O$200,0)),"")</f>
        <v/>
      </c>
      <c r="L5" s="20" t="str">
        <f>IFERROR(INDEX('Input - Convenience'!W$2:W$200,MATCH('Calculations - Convenience'!$D5,'Input - Convenience'!$O$2:$O$200,0)),"")</f>
        <v/>
      </c>
      <c r="M5" s="21" t="str">
        <f t="shared" ref="M5:M24" si="17">IFERROR(G5/H5,"")</f>
        <v/>
      </c>
      <c r="N5" s="21" t="str">
        <f t="shared" si="2"/>
        <v/>
      </c>
      <c r="O5" s="21" t="str">
        <f t="shared" ref="O5:O24" si="18">IFERROR((M5/(M5-J5)*5),"")</f>
        <v/>
      </c>
      <c r="P5" s="9" t="str">
        <f t="shared" si="3"/>
        <v/>
      </c>
      <c r="Q5" s="9" t="str">
        <f t="shared" si="4"/>
        <v/>
      </c>
      <c r="R5" s="8" t="str">
        <f t="shared" si="5"/>
        <v>-</v>
      </c>
      <c r="S5" s="8" t="str">
        <f t="shared" ref="S5:S23" si="19">IFERROR(U5/T5,"-")</f>
        <v>-</v>
      </c>
      <c r="T5" t="str">
        <f t="shared" ref="T5:U23" si="20">IFERROR(SUMIFS(T$32:T$229,$B$32:$B$229,$D5),"-")</f>
        <v>-</v>
      </c>
      <c r="U5" t="str">
        <f t="shared" si="20"/>
        <v>-</v>
      </c>
      <c r="V5" t="str">
        <f t="shared" ref="V5:V23" si="21">IFERROR(T5-U5,"-")</f>
        <v>-</v>
      </c>
      <c r="W5" t="str">
        <f t="shared" si="6"/>
        <v>-</v>
      </c>
      <c r="X5" s="10" t="str">
        <f t="shared" si="7"/>
        <v>-</v>
      </c>
      <c r="Y5" s="7" t="str">
        <f t="shared" ref="Y5:Y23" si="22">IFERROR(X5/$X$24,"")</f>
        <v/>
      </c>
      <c r="Z5" s="13" t="str">
        <f t="shared" ref="Z5:Z23" si="23">IFERROR(Y5-P5,"-")</f>
        <v>-</v>
      </c>
      <c r="AA5" t="str">
        <f t="shared" ref="AA5:AA23" si="24">IFERROR(Y5*$G$24,"-")</f>
        <v>-</v>
      </c>
      <c r="AB5" s="16" t="str">
        <f t="shared" si="8"/>
        <v>-</v>
      </c>
      <c r="AC5" s="16" t="str">
        <f t="shared" ref="AC5:AC23" si="25">IFERROR(R5*AA5,"-")</f>
        <v>-</v>
      </c>
      <c r="AD5" s="16" t="str">
        <f t="shared" ref="AD5:AD23" si="26">IFERROR(AC5-(W5)*AB5,"-")</f>
        <v>-</v>
      </c>
      <c r="AF5" s="27" t="str" cm="1">
        <f t="array" ref="AF5">IFERROR(SUM(_xlfn._xlws.FILTER($AF$32:$AF$229*$AJ$32:$AJ$229,$B$32:$B$229=D5))/SUM(_xlfn._xlws.FILTER($AJ$32:$AJ$229,$B$32:$B$229=D5)),"-")</f>
        <v>-</v>
      </c>
      <c r="AG5" s="123" t="str">
        <f t="shared" ref="AG5:AG23" si="27">IFERROR(SUMIFS(AV$32:AV$229,$E$32:$E$229,$F5)/SUMIFS(AT$32:AT$229,$E$32:$E$229,$F5),"-")</f>
        <v>-</v>
      </c>
      <c r="AH5" s="124" t="str">
        <f t="shared" ref="AH5:AH23" si="28">IFERROR(SUMIFS(AW$32:AW$229,$E$32:$E$229,$F5)/SUMIFS(AV$32:AV$229,$E$32:$E$229,$F5),"-")</f>
        <v>-</v>
      </c>
      <c r="AI5" s="9" t="str">
        <f t="shared" si="9"/>
        <v/>
      </c>
      <c r="AJ5" s="4" t="str">
        <f t="shared" si="10"/>
        <v/>
      </c>
      <c r="AP5" s="20" t="str">
        <f t="shared" si="11"/>
        <v>-</v>
      </c>
      <c r="AQ5" s="13" t="str">
        <f t="shared" ref="AQ5:AQ24" si="29">IFERROR(AP5/AP$24,"")</f>
        <v/>
      </c>
      <c r="AR5" s="9" t="str">
        <f t="shared" ref="AR5:AR24" si="30">IFERROR(AQ5*$P$24,"")</f>
        <v/>
      </c>
      <c r="AS5" s="13" t="str">
        <f t="shared" ref="AS5:AS24" si="31">IFERROR(AR5-P5,"")</f>
        <v/>
      </c>
      <c r="AT5" s="16" t="str">
        <f t="shared" ref="AT5:AT23" si="32">IFERROR(AR5*AO$4,"-")</f>
        <v>-</v>
      </c>
      <c r="AU5" s="16" t="str">
        <f t="shared" si="12"/>
        <v>-</v>
      </c>
      <c r="AV5" s="4" t="str">
        <f t="shared" ref="AV5:AV23" si="33">IFERROR(AT5*AG5,"-")</f>
        <v>-</v>
      </c>
      <c r="AW5" s="16" t="str">
        <f t="shared" si="13"/>
        <v>-</v>
      </c>
      <c r="AX5" t="str">
        <f t="shared" si="14"/>
        <v/>
      </c>
      <c r="AY5" s="9" t="str">
        <f t="shared" si="15"/>
        <v>-</v>
      </c>
      <c r="AZ5" s="20" t="str">
        <f t="shared" ref="AZ5:AZ24" si="34">IFERROR(100*$M$4/$M5,"")</f>
        <v/>
      </c>
      <c r="BA5" s="20" t="str">
        <f t="shared" ref="BA5:BA24" si="35">IFERROR(100*$M$5/$M5,"")</f>
        <v/>
      </c>
      <c r="BB5" s="20" t="str">
        <f t="shared" ref="BB5:BB24" si="36">IFERROR(100*$AF$4/$AF5,"")</f>
        <v/>
      </c>
      <c r="BC5" s="20" t="str">
        <f t="shared" ref="BC5:BC24" si="37">IFERROR(100*$AF$5/$AF5,"")</f>
        <v/>
      </c>
    </row>
    <row r="6" spans="2:55" ht="14.4" customHeight="1" x14ac:dyDescent="0.3">
      <c r="B6" s="114" t="str">
        <f>""</f>
        <v/>
      </c>
      <c r="C6" s="4">
        <v>3</v>
      </c>
      <c r="D6" s="108" t="str">
        <f t="shared" si="16"/>
        <v/>
      </c>
      <c r="E6" s="3"/>
      <c r="F6" s="109" t="str">
        <f>IFERROR(INDEX('Input - Convenience'!$Y$3:$Y$200,MATCH('Calculations - Convenience'!$C6,'Input - Convenience'!$Z$3:$Z$200,0)),"")</f>
        <v/>
      </c>
      <c r="G6" s="20" t="str">
        <f>IFERROR(INDEX('Input - Convenience'!R$2:R$200,MATCH('Calculations - Convenience'!$D6,'Input - Convenience'!$O$2:$O$200,0)),"")</f>
        <v/>
      </c>
      <c r="H6" s="20" t="str">
        <f>IFERROR(INDEX('Input - Convenience'!S$2:S$200,MATCH('Calculations - Convenience'!$D6,'Input - Convenience'!$O$2:$O$200,0)),"")</f>
        <v/>
      </c>
      <c r="I6" s="27" t="str">
        <f>IFERROR(INDEX('Input - Convenience'!T$2:T$200,MATCH('Calculations - Convenience'!$D6,'Input - Convenience'!$O$2:$O$200,0)),"")</f>
        <v/>
      </c>
      <c r="J6" s="27" t="str">
        <f>IFERROR(INDEX('Input - Convenience'!U$2:U$200,MATCH('Calculations - Convenience'!$D6,'Input - Convenience'!$O$2:$O$200,0)),"")</f>
        <v/>
      </c>
      <c r="K6" s="20" t="str">
        <f>IFERROR(INDEX('Input - Convenience'!V$2:V$200,MATCH('Calculations - Convenience'!$D6,'Input - Convenience'!$O$2:$O$200,0)),"")</f>
        <v/>
      </c>
      <c r="L6" s="20" t="str">
        <f>IFERROR(INDEX('Input - Convenience'!W$2:W$200,MATCH('Calculations - Convenience'!$D6,'Input - Convenience'!$O$2:$O$200,0)),"")</f>
        <v/>
      </c>
      <c r="M6" s="21" t="str">
        <f t="shared" si="17"/>
        <v/>
      </c>
      <c r="N6" s="21" t="str">
        <f t="shared" si="2"/>
        <v/>
      </c>
      <c r="O6" s="21" t="str">
        <f t="shared" si="18"/>
        <v/>
      </c>
      <c r="P6" s="9" t="str">
        <f t="shared" si="3"/>
        <v/>
      </c>
      <c r="Q6" s="9" t="str">
        <f t="shared" si="4"/>
        <v/>
      </c>
      <c r="R6" s="8" t="str">
        <f t="shared" si="5"/>
        <v>-</v>
      </c>
      <c r="S6" s="8" t="str">
        <f t="shared" si="19"/>
        <v>-</v>
      </c>
      <c r="T6" t="str">
        <f t="shared" si="20"/>
        <v>-</v>
      </c>
      <c r="U6" t="str">
        <f t="shared" si="20"/>
        <v>-</v>
      </c>
      <c r="V6" t="str">
        <f t="shared" si="21"/>
        <v>-</v>
      </c>
      <c r="W6" t="str">
        <f t="shared" si="6"/>
        <v>-</v>
      </c>
      <c r="X6" s="10" t="str">
        <f t="shared" si="7"/>
        <v>-</v>
      </c>
      <c r="Y6" s="7" t="str">
        <f t="shared" si="22"/>
        <v/>
      </c>
      <c r="Z6" s="13" t="str">
        <f t="shared" si="23"/>
        <v>-</v>
      </c>
      <c r="AA6" t="str">
        <f t="shared" si="24"/>
        <v>-</v>
      </c>
      <c r="AB6" s="16" t="str">
        <f t="shared" si="8"/>
        <v>-</v>
      </c>
      <c r="AC6" s="16" t="str">
        <f t="shared" si="25"/>
        <v>-</v>
      </c>
      <c r="AD6" s="16" t="str">
        <f t="shared" si="26"/>
        <v>-</v>
      </c>
      <c r="AF6" s="27" t="str" cm="1">
        <f t="array" ref="AF6">IFERROR(SUM(_xlfn._xlws.FILTER($AF$32:$AF$229*$AJ$32:$AJ$229,$B$32:$B$229=D6))/SUM(_xlfn._xlws.FILTER($AJ$32:$AJ$229,$B$32:$B$229=D6)),"-")</f>
        <v>-</v>
      </c>
      <c r="AG6" s="123" t="str">
        <f t="shared" si="27"/>
        <v>-</v>
      </c>
      <c r="AH6" s="124" t="str">
        <f t="shared" si="28"/>
        <v>-</v>
      </c>
      <c r="AI6" s="9" t="str">
        <f t="shared" si="9"/>
        <v/>
      </c>
      <c r="AJ6" s="4" t="str">
        <f t="shared" si="10"/>
        <v/>
      </c>
      <c r="AP6" s="20" t="str">
        <f t="shared" si="11"/>
        <v>-</v>
      </c>
      <c r="AQ6" s="13" t="str">
        <f t="shared" si="29"/>
        <v/>
      </c>
      <c r="AR6" s="9" t="str">
        <f t="shared" si="30"/>
        <v/>
      </c>
      <c r="AS6" s="13" t="str">
        <f t="shared" si="31"/>
        <v/>
      </c>
      <c r="AT6" s="16" t="str">
        <f t="shared" si="32"/>
        <v>-</v>
      </c>
      <c r="AU6" s="16" t="str">
        <f t="shared" si="12"/>
        <v>-</v>
      </c>
      <c r="AV6" s="4" t="str">
        <f t="shared" si="33"/>
        <v>-</v>
      </c>
      <c r="AW6" s="16" t="str">
        <f t="shared" si="13"/>
        <v>-</v>
      </c>
      <c r="AX6" t="str">
        <f t="shared" si="14"/>
        <v/>
      </c>
      <c r="AY6" s="9" t="str">
        <f t="shared" si="15"/>
        <v>-</v>
      </c>
      <c r="AZ6" s="20" t="str">
        <f t="shared" si="34"/>
        <v/>
      </c>
      <c r="BA6" s="20" t="str">
        <f t="shared" si="35"/>
        <v/>
      </c>
      <c r="BB6" s="20" t="str">
        <f t="shared" si="36"/>
        <v/>
      </c>
      <c r="BC6" s="20" t="str">
        <f t="shared" si="37"/>
        <v/>
      </c>
    </row>
    <row r="7" spans="2:55" ht="14.4" customHeight="1" x14ac:dyDescent="0.3">
      <c r="B7" s="114" t="str">
        <f>""</f>
        <v/>
      </c>
      <c r="C7" s="4">
        <v>4</v>
      </c>
      <c r="D7" s="108" t="str">
        <f t="shared" si="16"/>
        <v/>
      </c>
      <c r="E7" s="3"/>
      <c r="F7" s="109" t="str">
        <f>IFERROR(INDEX('Input - Convenience'!$Y$3:$Y$200,MATCH('Calculations - Convenience'!$C7,'Input - Convenience'!$Z$3:$Z$200,0)),"")</f>
        <v/>
      </c>
      <c r="G7" s="20" t="str">
        <f>IFERROR(INDEX('Input - Convenience'!R$2:R$200,MATCH('Calculations - Convenience'!$D7,'Input - Convenience'!$O$2:$O$200,0)),"")</f>
        <v/>
      </c>
      <c r="H7" s="20" t="str">
        <f>IFERROR(INDEX('Input - Convenience'!S$2:S$200,MATCH('Calculations - Convenience'!$D7,'Input - Convenience'!$O$2:$O$200,0)),"")</f>
        <v/>
      </c>
      <c r="I7" s="27" t="str">
        <f>IFERROR(INDEX('Input - Convenience'!T$2:T$200,MATCH('Calculations - Convenience'!$D7,'Input - Convenience'!$O$2:$O$200,0)),"")</f>
        <v/>
      </c>
      <c r="J7" s="27" t="str">
        <f>IFERROR(INDEX('Input - Convenience'!U$2:U$200,MATCH('Calculations - Convenience'!$D7,'Input - Convenience'!$O$2:$O$200,0)),"")</f>
        <v/>
      </c>
      <c r="K7" s="20" t="str">
        <f>IFERROR(INDEX('Input - Convenience'!V$2:V$200,MATCH('Calculations - Convenience'!$D7,'Input - Convenience'!$O$2:$O$200,0)),"")</f>
        <v/>
      </c>
      <c r="L7" s="20" t="str">
        <f>IFERROR(INDEX('Input - Convenience'!W$2:W$200,MATCH('Calculations - Convenience'!$D7,'Input - Convenience'!$O$2:$O$200,0)),"")</f>
        <v/>
      </c>
      <c r="M7" s="21" t="str">
        <f t="shared" si="17"/>
        <v/>
      </c>
      <c r="N7" s="21" t="str">
        <f t="shared" si="2"/>
        <v/>
      </c>
      <c r="O7" s="21" t="str">
        <f t="shared" si="18"/>
        <v/>
      </c>
      <c r="P7" s="9" t="str">
        <f t="shared" si="3"/>
        <v/>
      </c>
      <c r="Q7" s="9" t="str">
        <f t="shared" si="4"/>
        <v/>
      </c>
      <c r="R7" s="8" t="str">
        <f t="shared" si="5"/>
        <v>-</v>
      </c>
      <c r="S7" s="8" t="str">
        <f t="shared" si="19"/>
        <v>-</v>
      </c>
      <c r="T7" t="str">
        <f t="shared" si="20"/>
        <v>-</v>
      </c>
      <c r="U7" t="str">
        <f t="shared" si="20"/>
        <v>-</v>
      </c>
      <c r="V7" t="str">
        <f t="shared" si="21"/>
        <v>-</v>
      </c>
      <c r="W7" t="str">
        <f t="shared" si="6"/>
        <v>-</v>
      </c>
      <c r="X7" s="10" t="str">
        <f t="shared" si="7"/>
        <v>-</v>
      </c>
      <c r="Y7" s="7" t="str">
        <f t="shared" si="22"/>
        <v/>
      </c>
      <c r="Z7" s="13" t="str">
        <f t="shared" si="23"/>
        <v>-</v>
      </c>
      <c r="AA7" t="str">
        <f t="shared" si="24"/>
        <v>-</v>
      </c>
      <c r="AB7" s="16" t="str">
        <f t="shared" si="8"/>
        <v>-</v>
      </c>
      <c r="AC7" s="16" t="str">
        <f t="shared" si="25"/>
        <v>-</v>
      </c>
      <c r="AD7" s="16" t="str">
        <f t="shared" si="26"/>
        <v>-</v>
      </c>
      <c r="AF7" s="27" t="str" cm="1">
        <f t="array" ref="AF7">IFERROR(SUM(_xlfn._xlws.FILTER($AF$32:$AF$229*$AJ$32:$AJ$229,$B$32:$B$229=D7))/SUM(_xlfn._xlws.FILTER($AJ$32:$AJ$229,$B$32:$B$229=D7)),"-")</f>
        <v>-</v>
      </c>
      <c r="AG7" s="123" t="str">
        <f t="shared" si="27"/>
        <v>-</v>
      </c>
      <c r="AH7" s="124" t="str">
        <f t="shared" si="28"/>
        <v>-</v>
      </c>
      <c r="AI7" s="9" t="str">
        <f t="shared" si="9"/>
        <v/>
      </c>
      <c r="AJ7" s="4" t="str">
        <f t="shared" si="10"/>
        <v/>
      </c>
      <c r="AP7" s="20" t="str">
        <f t="shared" si="11"/>
        <v>-</v>
      </c>
      <c r="AQ7" s="13" t="str">
        <f t="shared" si="29"/>
        <v/>
      </c>
      <c r="AR7" s="9" t="str">
        <f t="shared" si="30"/>
        <v/>
      </c>
      <c r="AS7" s="13" t="str">
        <f t="shared" si="31"/>
        <v/>
      </c>
      <c r="AT7" s="16" t="str">
        <f t="shared" si="32"/>
        <v>-</v>
      </c>
      <c r="AU7" s="16" t="str">
        <f t="shared" si="12"/>
        <v>-</v>
      </c>
      <c r="AV7" s="4" t="str">
        <f t="shared" si="33"/>
        <v>-</v>
      </c>
      <c r="AW7" s="16" t="str">
        <f t="shared" si="13"/>
        <v>-</v>
      </c>
      <c r="AX7" t="str">
        <f t="shared" si="14"/>
        <v/>
      </c>
      <c r="AY7" s="9" t="str">
        <f t="shared" si="15"/>
        <v>-</v>
      </c>
      <c r="AZ7" s="20" t="str">
        <f t="shared" si="34"/>
        <v/>
      </c>
      <c r="BA7" s="20" t="str">
        <f t="shared" si="35"/>
        <v/>
      </c>
      <c r="BB7" s="20" t="str">
        <f t="shared" si="36"/>
        <v/>
      </c>
      <c r="BC7" s="20" t="str">
        <f t="shared" si="37"/>
        <v/>
      </c>
    </row>
    <row r="8" spans="2:55" ht="14.4" customHeight="1" x14ac:dyDescent="0.3">
      <c r="B8" s="114" t="str">
        <f>""</f>
        <v/>
      </c>
      <c r="C8" s="4">
        <v>5</v>
      </c>
      <c r="D8" s="108" t="str">
        <f t="shared" si="16"/>
        <v/>
      </c>
      <c r="E8" s="3"/>
      <c r="F8" s="109" t="str">
        <f>IFERROR(INDEX('Input - Convenience'!$Y$3:$Y$200,MATCH('Calculations - Convenience'!$C8,'Input - Convenience'!$Z$3:$Z$200,0)),"")</f>
        <v/>
      </c>
      <c r="G8" s="20" t="str">
        <f>IFERROR(INDEX('Input - Convenience'!R$2:R$200,MATCH('Calculations - Convenience'!$D8,'Input - Convenience'!$O$2:$O$200,0)),"")</f>
        <v/>
      </c>
      <c r="H8" s="20" t="str">
        <f>IFERROR(INDEX('Input - Convenience'!S$2:S$200,MATCH('Calculations - Convenience'!$D8,'Input - Convenience'!$O$2:$O$200,0)),"")</f>
        <v/>
      </c>
      <c r="I8" s="27" t="str">
        <f>IFERROR(INDEX('Input - Convenience'!T$2:T$200,MATCH('Calculations - Convenience'!$D8,'Input - Convenience'!$O$2:$O$200,0)),"")</f>
        <v/>
      </c>
      <c r="J8" s="27" t="str">
        <f>IFERROR(INDEX('Input - Convenience'!U$2:U$200,MATCH('Calculations - Convenience'!$D8,'Input - Convenience'!$O$2:$O$200,0)),"")</f>
        <v/>
      </c>
      <c r="K8" s="20" t="str">
        <f>IFERROR(INDEX('Input - Convenience'!V$2:V$200,MATCH('Calculations - Convenience'!$D8,'Input - Convenience'!$O$2:$O$200,0)),"")</f>
        <v/>
      </c>
      <c r="L8" s="20" t="str">
        <f>IFERROR(INDEX('Input - Convenience'!W$2:W$200,MATCH('Calculations - Convenience'!$D8,'Input - Convenience'!$O$2:$O$200,0)),"")</f>
        <v/>
      </c>
      <c r="M8" s="21" t="str">
        <f t="shared" si="17"/>
        <v/>
      </c>
      <c r="N8" s="21" t="str">
        <f t="shared" si="2"/>
        <v/>
      </c>
      <c r="O8" s="21" t="str">
        <f t="shared" si="18"/>
        <v/>
      </c>
      <c r="P8" s="9" t="str">
        <f t="shared" si="3"/>
        <v/>
      </c>
      <c r="Q8" s="9" t="str">
        <f t="shared" si="4"/>
        <v/>
      </c>
      <c r="R8" s="8" t="str">
        <f t="shared" si="5"/>
        <v>-</v>
      </c>
      <c r="S8" s="8" t="str">
        <f t="shared" si="19"/>
        <v>-</v>
      </c>
      <c r="T8" t="str">
        <f t="shared" si="20"/>
        <v>-</v>
      </c>
      <c r="U8" t="str">
        <f t="shared" si="20"/>
        <v>-</v>
      </c>
      <c r="V8" t="str">
        <f t="shared" si="21"/>
        <v>-</v>
      </c>
      <c r="W8" t="str">
        <f t="shared" si="6"/>
        <v>-</v>
      </c>
      <c r="X8" s="10" t="str">
        <f t="shared" si="7"/>
        <v>-</v>
      </c>
      <c r="Y8" s="7" t="str">
        <f t="shared" si="22"/>
        <v/>
      </c>
      <c r="Z8" s="13" t="str">
        <f t="shared" si="23"/>
        <v>-</v>
      </c>
      <c r="AA8" t="str">
        <f t="shared" si="24"/>
        <v>-</v>
      </c>
      <c r="AB8" s="16" t="str">
        <f t="shared" si="8"/>
        <v>-</v>
      </c>
      <c r="AC8" s="16" t="str">
        <f t="shared" si="25"/>
        <v>-</v>
      </c>
      <c r="AD8" s="16" t="str">
        <f t="shared" si="26"/>
        <v>-</v>
      </c>
      <c r="AF8" s="27" t="str" cm="1">
        <f t="array" ref="AF8">IFERROR(SUM(_xlfn._xlws.FILTER($AF$32:$AF$229*$AJ$32:$AJ$229,$B$32:$B$229=D8))/SUM(_xlfn._xlws.FILTER($AJ$32:$AJ$229,$B$32:$B$229=D8)),"-")</f>
        <v>-</v>
      </c>
      <c r="AG8" s="123" t="str">
        <f t="shared" si="27"/>
        <v>-</v>
      </c>
      <c r="AH8" s="124" t="str">
        <f t="shared" si="28"/>
        <v>-</v>
      </c>
      <c r="AI8" s="9" t="str">
        <f t="shared" si="9"/>
        <v/>
      </c>
      <c r="AJ8" s="4" t="str">
        <f t="shared" si="10"/>
        <v/>
      </c>
      <c r="AP8" s="20" t="str">
        <f t="shared" si="11"/>
        <v>-</v>
      </c>
      <c r="AQ8" s="13" t="str">
        <f t="shared" si="29"/>
        <v/>
      </c>
      <c r="AR8" s="9" t="str">
        <f t="shared" si="30"/>
        <v/>
      </c>
      <c r="AS8" s="13" t="str">
        <f t="shared" si="31"/>
        <v/>
      </c>
      <c r="AT8" s="16" t="str">
        <f t="shared" si="32"/>
        <v>-</v>
      </c>
      <c r="AU8" s="16" t="str">
        <f t="shared" si="12"/>
        <v>-</v>
      </c>
      <c r="AV8" s="4" t="str">
        <f t="shared" si="33"/>
        <v>-</v>
      </c>
      <c r="AW8" s="16" t="str">
        <f t="shared" si="13"/>
        <v>-</v>
      </c>
      <c r="AX8" t="str">
        <f t="shared" si="14"/>
        <v/>
      </c>
      <c r="AY8" s="9" t="str">
        <f t="shared" si="15"/>
        <v>-</v>
      </c>
      <c r="AZ8" s="20" t="str">
        <f t="shared" si="34"/>
        <v/>
      </c>
      <c r="BA8" s="20" t="str">
        <f t="shared" si="35"/>
        <v/>
      </c>
      <c r="BB8" s="20" t="str">
        <f t="shared" si="36"/>
        <v/>
      </c>
      <c r="BC8" s="20" t="str">
        <f t="shared" si="37"/>
        <v/>
      </c>
    </row>
    <row r="9" spans="2:55" ht="14.4" customHeight="1" x14ac:dyDescent="0.3">
      <c r="B9" s="114" t="str">
        <f>""</f>
        <v/>
      </c>
      <c r="C9" s="4">
        <v>6</v>
      </c>
      <c r="D9" s="108" t="str">
        <f t="shared" si="16"/>
        <v/>
      </c>
      <c r="E9" s="3"/>
      <c r="F9" s="109" t="str">
        <f>IFERROR(INDEX('Input - Convenience'!$Y$3:$Y$200,MATCH('Calculations - Convenience'!$C9,'Input - Convenience'!$Z$3:$Z$200,0)),"")</f>
        <v/>
      </c>
      <c r="G9" s="20" t="str">
        <f>IFERROR(INDEX('Input - Convenience'!R$2:R$200,MATCH('Calculations - Convenience'!$D9,'Input - Convenience'!$O$2:$O$200,0)),"")</f>
        <v/>
      </c>
      <c r="H9" s="20" t="str">
        <f>IFERROR(INDEX('Input - Convenience'!S$2:S$200,MATCH('Calculations - Convenience'!$D9,'Input - Convenience'!$O$2:$O$200,0)),"")</f>
        <v/>
      </c>
      <c r="I9" s="27" t="str">
        <f>IFERROR(INDEX('Input - Convenience'!T$2:T$200,MATCH('Calculations - Convenience'!$D9,'Input - Convenience'!$O$2:$O$200,0)),"")</f>
        <v/>
      </c>
      <c r="J9" s="27" t="str">
        <f>IFERROR(INDEX('Input - Convenience'!U$2:U$200,MATCH('Calculations - Convenience'!$D9,'Input - Convenience'!$O$2:$O$200,0)),"")</f>
        <v/>
      </c>
      <c r="K9" s="20" t="str">
        <f>IFERROR(INDEX('Input - Convenience'!V$2:V$200,MATCH('Calculations - Convenience'!$D9,'Input - Convenience'!$O$2:$O$200,0)),"")</f>
        <v/>
      </c>
      <c r="L9" s="20" t="str">
        <f>IFERROR(INDEX('Input - Convenience'!W$2:W$200,MATCH('Calculations - Convenience'!$D9,'Input - Convenience'!$O$2:$O$200,0)),"")</f>
        <v/>
      </c>
      <c r="M9" s="21" t="str">
        <f t="shared" si="17"/>
        <v/>
      </c>
      <c r="N9" s="21" t="str">
        <f t="shared" si="2"/>
        <v/>
      </c>
      <c r="O9" s="21" t="str">
        <f t="shared" si="18"/>
        <v/>
      </c>
      <c r="P9" s="9" t="str">
        <f t="shared" si="3"/>
        <v/>
      </c>
      <c r="Q9" s="9" t="str">
        <f t="shared" si="4"/>
        <v/>
      </c>
      <c r="R9" s="8" t="str">
        <f t="shared" si="5"/>
        <v>-</v>
      </c>
      <c r="S9" s="8" t="str">
        <f t="shared" si="19"/>
        <v>-</v>
      </c>
      <c r="T9" t="str">
        <f t="shared" si="20"/>
        <v>-</v>
      </c>
      <c r="U9" t="str">
        <f t="shared" si="20"/>
        <v>-</v>
      </c>
      <c r="V9" t="str">
        <f t="shared" si="21"/>
        <v>-</v>
      </c>
      <c r="W9" t="str">
        <f t="shared" si="6"/>
        <v>-</v>
      </c>
      <c r="X9" s="10" t="str">
        <f t="shared" si="7"/>
        <v>-</v>
      </c>
      <c r="Y9" s="7" t="str">
        <f t="shared" si="22"/>
        <v/>
      </c>
      <c r="Z9" s="13" t="str">
        <f t="shared" si="23"/>
        <v>-</v>
      </c>
      <c r="AA9" t="str">
        <f t="shared" si="24"/>
        <v>-</v>
      </c>
      <c r="AB9" s="16" t="str">
        <f t="shared" si="8"/>
        <v>-</v>
      </c>
      <c r="AC9" s="16" t="str">
        <f t="shared" si="25"/>
        <v>-</v>
      </c>
      <c r="AD9" s="16" t="str">
        <f t="shared" si="26"/>
        <v>-</v>
      </c>
      <c r="AF9" s="27" t="str" cm="1">
        <f t="array" ref="AF9">IFERROR(SUM(_xlfn._xlws.FILTER($AF$32:$AF$229*$AJ$32:$AJ$229,$B$32:$B$229=D9))/SUM(_xlfn._xlws.FILTER($AJ$32:$AJ$229,$B$32:$B$229=D9)),"-")</f>
        <v>-</v>
      </c>
      <c r="AG9" s="123" t="str">
        <f t="shared" si="27"/>
        <v>-</v>
      </c>
      <c r="AH9" s="124" t="str">
        <f t="shared" si="28"/>
        <v>-</v>
      </c>
      <c r="AI9" s="9" t="str">
        <f t="shared" si="9"/>
        <v/>
      </c>
      <c r="AJ9" s="4" t="str">
        <f t="shared" si="10"/>
        <v/>
      </c>
      <c r="AP9" s="20" t="str">
        <f t="shared" si="11"/>
        <v>-</v>
      </c>
      <c r="AQ9" s="13" t="str">
        <f t="shared" si="29"/>
        <v/>
      </c>
      <c r="AR9" s="9" t="str">
        <f t="shared" si="30"/>
        <v/>
      </c>
      <c r="AS9" s="13" t="str">
        <f t="shared" si="31"/>
        <v/>
      </c>
      <c r="AT9" s="16" t="str">
        <f t="shared" si="32"/>
        <v>-</v>
      </c>
      <c r="AU9" s="16" t="str">
        <f t="shared" si="12"/>
        <v>-</v>
      </c>
      <c r="AV9" s="4" t="str">
        <f t="shared" si="33"/>
        <v>-</v>
      </c>
      <c r="AW9" s="16" t="str">
        <f t="shared" si="13"/>
        <v>-</v>
      </c>
      <c r="AX9" t="str">
        <f t="shared" si="14"/>
        <v/>
      </c>
      <c r="AY9" s="9" t="str">
        <f t="shared" si="15"/>
        <v>-</v>
      </c>
      <c r="AZ9" s="20" t="str">
        <f t="shared" si="34"/>
        <v/>
      </c>
      <c r="BA9" s="20" t="str">
        <f t="shared" si="35"/>
        <v/>
      </c>
      <c r="BB9" s="20" t="str">
        <f t="shared" si="36"/>
        <v/>
      </c>
      <c r="BC9" s="20" t="str">
        <f t="shared" si="37"/>
        <v/>
      </c>
    </row>
    <row r="10" spans="2:55" x14ac:dyDescent="0.3">
      <c r="B10" s="114" t="str">
        <f>""</f>
        <v/>
      </c>
      <c r="C10" s="4">
        <v>7</v>
      </c>
      <c r="D10" s="108" t="str">
        <f t="shared" si="16"/>
        <v/>
      </c>
      <c r="E10" s="3"/>
      <c r="F10" s="109" t="str">
        <f>IFERROR(INDEX('Input - Convenience'!$Y$3:$Y$200,MATCH('Calculations - Convenience'!$C10,'Input - Convenience'!$Z$3:$Z$200,0)),"")</f>
        <v/>
      </c>
      <c r="G10" s="20" t="str">
        <f>IFERROR(INDEX('Input - Convenience'!R$2:R$200,MATCH('Calculations - Convenience'!$D10,'Input - Convenience'!$O$2:$O$200,0)),"")</f>
        <v/>
      </c>
      <c r="H10" s="20" t="str">
        <f>IFERROR(INDEX('Input - Convenience'!S$2:S$200,MATCH('Calculations - Convenience'!$D10,'Input - Convenience'!$O$2:$O$200,0)),"")</f>
        <v/>
      </c>
      <c r="I10" s="27" t="str">
        <f>IFERROR(INDEX('Input - Convenience'!T$2:T$200,MATCH('Calculations - Convenience'!$D10,'Input - Convenience'!$O$2:$O$200,0)),"")</f>
        <v/>
      </c>
      <c r="J10" s="27" t="str">
        <f>IFERROR(INDEX('Input - Convenience'!U$2:U$200,MATCH('Calculations - Convenience'!$D10,'Input - Convenience'!$O$2:$O$200,0)),"")</f>
        <v/>
      </c>
      <c r="K10" s="20" t="str">
        <f>IFERROR(INDEX('Input - Convenience'!V$2:V$200,MATCH('Calculations - Convenience'!$D10,'Input - Convenience'!$O$2:$O$200,0)),"")</f>
        <v/>
      </c>
      <c r="L10" s="20" t="str">
        <f>IFERROR(INDEX('Input - Convenience'!W$2:W$200,MATCH('Calculations - Convenience'!$D10,'Input - Convenience'!$O$2:$O$200,0)),"")</f>
        <v/>
      </c>
      <c r="M10" s="21" t="str">
        <f t="shared" si="17"/>
        <v/>
      </c>
      <c r="N10" s="21" t="str">
        <f t="shared" si="2"/>
        <v/>
      </c>
      <c r="O10" s="21" t="str">
        <f t="shared" si="18"/>
        <v/>
      </c>
      <c r="P10" s="9" t="str">
        <f t="shared" si="3"/>
        <v/>
      </c>
      <c r="Q10" s="9" t="str">
        <f t="shared" si="4"/>
        <v/>
      </c>
      <c r="R10" s="8" t="str">
        <f t="shared" si="5"/>
        <v>-</v>
      </c>
      <c r="S10" s="8" t="str">
        <f t="shared" si="19"/>
        <v>-</v>
      </c>
      <c r="T10" t="str">
        <f t="shared" si="20"/>
        <v>-</v>
      </c>
      <c r="U10" t="str">
        <f t="shared" si="20"/>
        <v>-</v>
      </c>
      <c r="V10" t="str">
        <f t="shared" si="21"/>
        <v>-</v>
      </c>
      <c r="W10" t="str">
        <f t="shared" si="6"/>
        <v>-</v>
      </c>
      <c r="X10" s="10" t="str">
        <f t="shared" si="7"/>
        <v>-</v>
      </c>
      <c r="Y10" s="7" t="str">
        <f t="shared" si="22"/>
        <v/>
      </c>
      <c r="Z10" s="13" t="str">
        <f t="shared" si="23"/>
        <v>-</v>
      </c>
      <c r="AA10" t="str">
        <f t="shared" si="24"/>
        <v>-</v>
      </c>
      <c r="AB10" s="16" t="str">
        <f t="shared" si="8"/>
        <v>-</v>
      </c>
      <c r="AC10" s="16" t="str">
        <f t="shared" si="25"/>
        <v>-</v>
      </c>
      <c r="AD10" s="16" t="str">
        <f t="shared" si="26"/>
        <v>-</v>
      </c>
      <c r="AF10" s="27" t="str" cm="1">
        <f t="array" ref="AF10">IFERROR(SUM(_xlfn._xlws.FILTER($AF$32:$AF$229*$AJ$32:$AJ$229,$B$32:$B$229=D10))/SUM(_xlfn._xlws.FILTER($AJ$32:$AJ$229,$B$32:$B$229=D10)),"-")</f>
        <v>-</v>
      </c>
      <c r="AG10" s="123" t="str">
        <f t="shared" si="27"/>
        <v>-</v>
      </c>
      <c r="AH10" s="124" t="str">
        <f t="shared" si="28"/>
        <v>-</v>
      </c>
      <c r="AI10" s="9" t="str">
        <f t="shared" si="9"/>
        <v/>
      </c>
      <c r="AJ10" s="4" t="str">
        <f t="shared" si="10"/>
        <v/>
      </c>
      <c r="AP10" s="20" t="str">
        <f t="shared" si="11"/>
        <v>-</v>
      </c>
      <c r="AQ10" s="13" t="str">
        <f t="shared" si="29"/>
        <v/>
      </c>
      <c r="AR10" s="9" t="str">
        <f t="shared" si="30"/>
        <v/>
      </c>
      <c r="AS10" s="13" t="str">
        <f t="shared" si="31"/>
        <v/>
      </c>
      <c r="AT10" s="16" t="str">
        <f t="shared" si="32"/>
        <v>-</v>
      </c>
      <c r="AU10" s="16" t="str">
        <f t="shared" si="12"/>
        <v>-</v>
      </c>
      <c r="AV10" s="4" t="str">
        <f t="shared" si="33"/>
        <v>-</v>
      </c>
      <c r="AW10" s="16" t="str">
        <f t="shared" si="13"/>
        <v>-</v>
      </c>
      <c r="AX10" t="str">
        <f t="shared" si="14"/>
        <v/>
      </c>
      <c r="AY10" s="9" t="str">
        <f t="shared" si="15"/>
        <v>-</v>
      </c>
      <c r="AZ10" s="20" t="str">
        <f t="shared" si="34"/>
        <v/>
      </c>
      <c r="BA10" s="20" t="str">
        <f t="shared" si="35"/>
        <v/>
      </c>
      <c r="BB10" s="20" t="str">
        <f t="shared" si="36"/>
        <v/>
      </c>
      <c r="BC10" s="20" t="str">
        <f t="shared" si="37"/>
        <v/>
      </c>
    </row>
    <row r="11" spans="2:55" x14ac:dyDescent="0.3">
      <c r="B11" s="114" t="str">
        <f>""</f>
        <v/>
      </c>
      <c r="C11" s="4">
        <v>8</v>
      </c>
      <c r="D11" s="108" t="str">
        <f t="shared" si="16"/>
        <v/>
      </c>
      <c r="E11" s="3"/>
      <c r="F11" s="109" t="str">
        <f>IFERROR(INDEX('Input - Convenience'!$Y$3:$Y$200,MATCH('Calculations - Convenience'!$C11,'Input - Convenience'!$Z$3:$Z$200,0)),"")</f>
        <v/>
      </c>
      <c r="G11" s="20" t="str">
        <f>IFERROR(INDEX('Input - Convenience'!R$2:R$200,MATCH('Calculations - Convenience'!$D11,'Input - Convenience'!$O$2:$O$200,0)),"")</f>
        <v/>
      </c>
      <c r="H11" s="20" t="str">
        <f>IFERROR(INDEX('Input - Convenience'!S$2:S$200,MATCH('Calculations - Convenience'!$D11,'Input - Convenience'!$O$2:$O$200,0)),"")</f>
        <v/>
      </c>
      <c r="I11" s="27" t="str">
        <f>IFERROR(INDEX('Input - Convenience'!T$2:T$200,MATCH('Calculations - Convenience'!$D11,'Input - Convenience'!$O$2:$O$200,0)),"")</f>
        <v/>
      </c>
      <c r="J11" s="27" t="str">
        <f>IFERROR(INDEX('Input - Convenience'!U$2:U$200,MATCH('Calculations - Convenience'!$D11,'Input - Convenience'!$O$2:$O$200,0)),"")</f>
        <v/>
      </c>
      <c r="K11" s="20" t="str">
        <f>IFERROR(INDEX('Input - Convenience'!V$2:V$200,MATCH('Calculations - Convenience'!$D11,'Input - Convenience'!$O$2:$O$200,0)),"")</f>
        <v/>
      </c>
      <c r="L11" s="20" t="str">
        <f>IFERROR(INDEX('Input - Convenience'!W$2:W$200,MATCH('Calculations - Convenience'!$D11,'Input - Convenience'!$O$2:$O$200,0)),"")</f>
        <v/>
      </c>
      <c r="M11" s="21" t="str">
        <f t="shared" si="17"/>
        <v/>
      </c>
      <c r="N11" s="21" t="str">
        <f t="shared" si="2"/>
        <v/>
      </c>
      <c r="O11" s="21" t="str">
        <f t="shared" si="18"/>
        <v/>
      </c>
      <c r="P11" s="9" t="str">
        <f t="shared" si="3"/>
        <v/>
      </c>
      <c r="Q11" s="9" t="str">
        <f t="shared" si="4"/>
        <v/>
      </c>
      <c r="R11" s="8" t="str">
        <f t="shared" si="5"/>
        <v>-</v>
      </c>
      <c r="S11" s="8" t="str">
        <f t="shared" si="19"/>
        <v>-</v>
      </c>
      <c r="T11" t="str">
        <f t="shared" si="20"/>
        <v>-</v>
      </c>
      <c r="U11" t="str">
        <f t="shared" si="20"/>
        <v>-</v>
      </c>
      <c r="V11" t="str">
        <f t="shared" si="21"/>
        <v>-</v>
      </c>
      <c r="W11" t="str">
        <f t="shared" si="6"/>
        <v>-</v>
      </c>
      <c r="X11" s="10" t="str">
        <f t="shared" si="7"/>
        <v>-</v>
      </c>
      <c r="Y11" s="7" t="str">
        <f t="shared" si="22"/>
        <v/>
      </c>
      <c r="Z11" s="13" t="str">
        <f t="shared" si="23"/>
        <v>-</v>
      </c>
      <c r="AA11" t="str">
        <f t="shared" si="24"/>
        <v>-</v>
      </c>
      <c r="AB11" s="16" t="str">
        <f t="shared" si="8"/>
        <v>-</v>
      </c>
      <c r="AC11" s="16" t="str">
        <f t="shared" si="25"/>
        <v>-</v>
      </c>
      <c r="AD11" s="16" t="str">
        <f t="shared" si="26"/>
        <v>-</v>
      </c>
      <c r="AF11" s="27" t="str" cm="1">
        <f t="array" ref="AF11">IFERROR(SUM(_xlfn._xlws.FILTER($AF$32:$AF$229*$AJ$32:$AJ$229,$B$32:$B$229=D11))/SUM(_xlfn._xlws.FILTER($AJ$32:$AJ$229,$B$32:$B$229=D11)),"-")</f>
        <v>-</v>
      </c>
      <c r="AG11" s="123" t="str">
        <f t="shared" si="27"/>
        <v>-</v>
      </c>
      <c r="AH11" s="124" t="str">
        <f t="shared" si="28"/>
        <v>-</v>
      </c>
      <c r="AI11" s="9" t="str">
        <f t="shared" si="9"/>
        <v/>
      </c>
      <c r="AJ11" s="4" t="str">
        <f t="shared" si="10"/>
        <v/>
      </c>
      <c r="AP11" s="20" t="str">
        <f t="shared" si="11"/>
        <v>-</v>
      </c>
      <c r="AQ11" s="13" t="str">
        <f t="shared" si="29"/>
        <v/>
      </c>
      <c r="AR11" s="9" t="str">
        <f t="shared" si="30"/>
        <v/>
      </c>
      <c r="AS11" s="13" t="str">
        <f t="shared" si="31"/>
        <v/>
      </c>
      <c r="AT11" s="16" t="str">
        <f t="shared" si="32"/>
        <v>-</v>
      </c>
      <c r="AU11" s="16" t="str">
        <f t="shared" si="12"/>
        <v>-</v>
      </c>
      <c r="AV11" s="4" t="str">
        <f t="shared" si="33"/>
        <v>-</v>
      </c>
      <c r="AW11" s="16" t="str">
        <f t="shared" si="13"/>
        <v>-</v>
      </c>
      <c r="AX11" t="str">
        <f t="shared" si="14"/>
        <v/>
      </c>
      <c r="AY11" s="9" t="str">
        <f t="shared" si="15"/>
        <v>-</v>
      </c>
      <c r="AZ11" s="20" t="str">
        <f t="shared" si="34"/>
        <v/>
      </c>
      <c r="BA11" s="20" t="str">
        <f t="shared" si="35"/>
        <v/>
      </c>
      <c r="BB11" s="20" t="str">
        <f t="shared" si="36"/>
        <v/>
      </c>
      <c r="BC11" s="20" t="str">
        <f t="shared" si="37"/>
        <v/>
      </c>
    </row>
    <row r="12" spans="2:55" x14ac:dyDescent="0.3">
      <c r="B12" s="114" t="str">
        <f>""</f>
        <v/>
      </c>
      <c r="C12" s="4">
        <v>9</v>
      </c>
      <c r="D12" s="108" t="str">
        <f t="shared" si="16"/>
        <v/>
      </c>
      <c r="E12" s="3"/>
      <c r="F12" s="109" t="str">
        <f>IFERROR(INDEX('Input - Convenience'!$Y$3:$Y$200,MATCH('Calculations - Convenience'!$C12,'Input - Convenience'!$Z$3:$Z$200,0)),"")</f>
        <v/>
      </c>
      <c r="G12" s="20" t="str">
        <f>IFERROR(INDEX('Input - Convenience'!R$2:R$200,MATCH('Calculations - Convenience'!$D12,'Input - Convenience'!$O$2:$O$200,0)),"")</f>
        <v/>
      </c>
      <c r="H12" s="20" t="str">
        <f>IFERROR(INDEX('Input - Convenience'!S$2:S$200,MATCH('Calculations - Convenience'!$D12,'Input - Convenience'!$O$2:$O$200,0)),"")</f>
        <v/>
      </c>
      <c r="I12" s="27" t="str">
        <f>IFERROR(INDEX('Input - Convenience'!T$2:T$200,MATCH('Calculations - Convenience'!$D12,'Input - Convenience'!$O$2:$O$200,0)),"")</f>
        <v/>
      </c>
      <c r="J12" s="27" t="str">
        <f>IFERROR(INDEX('Input - Convenience'!U$2:U$200,MATCH('Calculations - Convenience'!$D12,'Input - Convenience'!$O$2:$O$200,0)),"")</f>
        <v/>
      </c>
      <c r="K12" s="20" t="str">
        <f>IFERROR(INDEX('Input - Convenience'!V$2:V$200,MATCH('Calculations - Convenience'!$D12,'Input - Convenience'!$O$2:$O$200,0)),"")</f>
        <v/>
      </c>
      <c r="L12" s="20" t="str">
        <f>IFERROR(INDEX('Input - Convenience'!W$2:W$200,MATCH('Calculations - Convenience'!$D12,'Input - Convenience'!$O$2:$O$200,0)),"")</f>
        <v/>
      </c>
      <c r="M12" s="21" t="str">
        <f t="shared" si="17"/>
        <v/>
      </c>
      <c r="N12" s="21" t="str">
        <f t="shared" si="2"/>
        <v/>
      </c>
      <c r="O12" s="21" t="str">
        <f t="shared" si="18"/>
        <v/>
      </c>
      <c r="P12" s="9" t="str">
        <f t="shared" si="3"/>
        <v/>
      </c>
      <c r="Q12" s="9" t="str">
        <f t="shared" si="4"/>
        <v/>
      </c>
      <c r="R12" s="8" t="str">
        <f t="shared" si="5"/>
        <v>-</v>
      </c>
      <c r="S12" s="8" t="str">
        <f t="shared" si="19"/>
        <v>-</v>
      </c>
      <c r="T12" t="str">
        <f t="shared" si="20"/>
        <v>-</v>
      </c>
      <c r="U12" t="str">
        <f t="shared" si="20"/>
        <v>-</v>
      </c>
      <c r="V12" t="str">
        <f t="shared" si="21"/>
        <v>-</v>
      </c>
      <c r="W12" t="str">
        <f t="shared" si="6"/>
        <v>-</v>
      </c>
      <c r="X12" s="10" t="str">
        <f t="shared" si="7"/>
        <v>-</v>
      </c>
      <c r="Y12" s="7" t="str">
        <f t="shared" si="22"/>
        <v/>
      </c>
      <c r="Z12" s="13" t="str">
        <f t="shared" si="23"/>
        <v>-</v>
      </c>
      <c r="AA12" t="str">
        <f t="shared" si="24"/>
        <v>-</v>
      </c>
      <c r="AB12" s="16" t="str">
        <f t="shared" si="8"/>
        <v>-</v>
      </c>
      <c r="AC12" s="16" t="str">
        <f t="shared" si="25"/>
        <v>-</v>
      </c>
      <c r="AD12" s="16" t="str">
        <f t="shared" si="26"/>
        <v>-</v>
      </c>
      <c r="AF12" s="27" t="str" cm="1">
        <f t="array" ref="AF12">IFERROR(SUM(_xlfn._xlws.FILTER($AF$32:$AF$229*$AJ$32:$AJ$229,$B$32:$B$229=D12))/SUM(_xlfn._xlws.FILTER($AJ$32:$AJ$229,$B$32:$B$229=D12)),"-")</f>
        <v>-</v>
      </c>
      <c r="AG12" s="123" t="str">
        <f t="shared" si="27"/>
        <v>-</v>
      </c>
      <c r="AH12" s="124" t="str">
        <f t="shared" si="28"/>
        <v>-</v>
      </c>
      <c r="AI12" s="9" t="str">
        <f t="shared" si="9"/>
        <v/>
      </c>
      <c r="AJ12" s="4" t="str">
        <f t="shared" si="10"/>
        <v/>
      </c>
      <c r="AP12" s="20" t="str">
        <f t="shared" si="11"/>
        <v>-</v>
      </c>
      <c r="AQ12" s="13" t="str">
        <f t="shared" si="29"/>
        <v/>
      </c>
      <c r="AR12" s="9" t="str">
        <f t="shared" si="30"/>
        <v/>
      </c>
      <c r="AS12" s="13" t="str">
        <f t="shared" si="31"/>
        <v/>
      </c>
      <c r="AT12" s="16" t="str">
        <f t="shared" si="32"/>
        <v>-</v>
      </c>
      <c r="AU12" s="16" t="str">
        <f t="shared" si="12"/>
        <v>-</v>
      </c>
      <c r="AV12" s="4" t="str">
        <f t="shared" si="33"/>
        <v>-</v>
      </c>
      <c r="AW12" s="16" t="str">
        <f t="shared" si="13"/>
        <v>-</v>
      </c>
      <c r="AX12" t="str">
        <f t="shared" si="14"/>
        <v/>
      </c>
      <c r="AY12" s="9" t="str">
        <f t="shared" si="15"/>
        <v>-</v>
      </c>
      <c r="AZ12" s="20" t="str">
        <f t="shared" si="34"/>
        <v/>
      </c>
      <c r="BA12" s="20" t="str">
        <f t="shared" si="35"/>
        <v/>
      </c>
      <c r="BB12" s="20" t="str">
        <f t="shared" si="36"/>
        <v/>
      </c>
      <c r="BC12" s="20" t="str">
        <f t="shared" si="37"/>
        <v/>
      </c>
    </row>
    <row r="13" spans="2:55" x14ac:dyDescent="0.3">
      <c r="B13" s="114" t="str">
        <f>""</f>
        <v/>
      </c>
      <c r="C13" s="4">
        <v>10</v>
      </c>
      <c r="D13" s="108" t="str">
        <f t="shared" si="16"/>
        <v/>
      </c>
      <c r="E13" s="3"/>
      <c r="F13" s="109" t="str">
        <f>IFERROR(INDEX('Input - Convenience'!$Y$3:$Y$200,MATCH('Calculations - Convenience'!$C13,'Input - Convenience'!$Z$3:$Z$200,0)),"")</f>
        <v/>
      </c>
      <c r="G13" s="20" t="str">
        <f>IFERROR(INDEX('Input - Convenience'!R$2:R$200,MATCH('Calculations - Convenience'!$D13,'Input - Convenience'!$O$2:$O$200,0)),"")</f>
        <v/>
      </c>
      <c r="H13" s="20" t="str">
        <f>IFERROR(INDEX('Input - Convenience'!S$2:S$200,MATCH('Calculations - Convenience'!$D13,'Input - Convenience'!$O$2:$O$200,0)),"")</f>
        <v/>
      </c>
      <c r="I13" s="27" t="str">
        <f>IFERROR(INDEX('Input - Convenience'!T$2:T$200,MATCH('Calculations - Convenience'!$D13,'Input - Convenience'!$O$2:$O$200,0)),"")</f>
        <v/>
      </c>
      <c r="J13" s="27" t="str">
        <f>IFERROR(INDEX('Input - Convenience'!U$2:U$200,MATCH('Calculations - Convenience'!$D13,'Input - Convenience'!$O$2:$O$200,0)),"")</f>
        <v/>
      </c>
      <c r="K13" s="20" t="str">
        <f>IFERROR(INDEX('Input - Convenience'!V$2:V$200,MATCH('Calculations - Convenience'!$D13,'Input - Convenience'!$O$2:$O$200,0)),"")</f>
        <v/>
      </c>
      <c r="L13" s="20" t="str">
        <f>IFERROR(INDEX('Input - Convenience'!W$2:W$200,MATCH('Calculations - Convenience'!$D13,'Input - Convenience'!$O$2:$O$200,0)),"")</f>
        <v/>
      </c>
      <c r="M13" s="21" t="str">
        <f t="shared" si="17"/>
        <v/>
      </c>
      <c r="N13" s="21" t="str">
        <f t="shared" si="2"/>
        <v/>
      </c>
      <c r="O13" s="21" t="str">
        <f t="shared" si="18"/>
        <v/>
      </c>
      <c r="P13" s="9" t="str">
        <f t="shared" si="3"/>
        <v/>
      </c>
      <c r="Q13" s="9" t="str">
        <f t="shared" si="4"/>
        <v/>
      </c>
      <c r="R13" s="8" t="str">
        <f t="shared" si="5"/>
        <v>-</v>
      </c>
      <c r="S13" s="8" t="str">
        <f t="shared" si="19"/>
        <v>-</v>
      </c>
      <c r="T13" t="str">
        <f t="shared" si="20"/>
        <v>-</v>
      </c>
      <c r="U13" t="str">
        <f t="shared" si="20"/>
        <v>-</v>
      </c>
      <c r="V13" t="str">
        <f t="shared" si="21"/>
        <v>-</v>
      </c>
      <c r="W13" t="str">
        <f t="shared" si="6"/>
        <v>-</v>
      </c>
      <c r="X13" s="10" t="str">
        <f t="shared" si="7"/>
        <v>-</v>
      </c>
      <c r="Y13" s="7" t="str">
        <f t="shared" si="22"/>
        <v/>
      </c>
      <c r="Z13" s="13" t="str">
        <f t="shared" si="23"/>
        <v>-</v>
      </c>
      <c r="AA13" t="str">
        <f t="shared" si="24"/>
        <v>-</v>
      </c>
      <c r="AB13" s="16" t="str">
        <f t="shared" si="8"/>
        <v>-</v>
      </c>
      <c r="AC13" s="16" t="str">
        <f t="shared" si="25"/>
        <v>-</v>
      </c>
      <c r="AD13" s="16" t="str">
        <f t="shared" si="26"/>
        <v>-</v>
      </c>
      <c r="AF13" s="27" t="str" cm="1">
        <f t="array" ref="AF13">IFERROR(SUM(_xlfn._xlws.FILTER($AF$32:$AF$229*$AJ$32:$AJ$229,$B$32:$B$229=D13))/SUM(_xlfn._xlws.FILTER($AJ$32:$AJ$229,$B$32:$B$229=D13)),"-")</f>
        <v>-</v>
      </c>
      <c r="AG13" s="123" t="str">
        <f t="shared" si="27"/>
        <v>-</v>
      </c>
      <c r="AH13" s="124" t="str">
        <f t="shared" si="28"/>
        <v>-</v>
      </c>
      <c r="AI13" s="9" t="str">
        <f t="shared" si="9"/>
        <v/>
      </c>
      <c r="AJ13" s="4" t="str">
        <f t="shared" si="10"/>
        <v/>
      </c>
      <c r="AP13" s="20" t="str">
        <f t="shared" si="11"/>
        <v>-</v>
      </c>
      <c r="AQ13" s="13" t="str">
        <f t="shared" si="29"/>
        <v/>
      </c>
      <c r="AR13" s="9" t="str">
        <f t="shared" si="30"/>
        <v/>
      </c>
      <c r="AS13" s="13" t="str">
        <f t="shared" si="31"/>
        <v/>
      </c>
      <c r="AT13" s="16" t="str">
        <f t="shared" si="32"/>
        <v>-</v>
      </c>
      <c r="AU13" s="16" t="str">
        <f t="shared" si="12"/>
        <v>-</v>
      </c>
      <c r="AV13" s="4" t="str">
        <f t="shared" si="33"/>
        <v>-</v>
      </c>
      <c r="AW13" s="16" t="str">
        <f t="shared" si="13"/>
        <v>-</v>
      </c>
      <c r="AX13" t="str">
        <f t="shared" si="14"/>
        <v/>
      </c>
      <c r="AY13" s="9" t="str">
        <f t="shared" si="15"/>
        <v>-</v>
      </c>
      <c r="AZ13" s="20" t="str">
        <f t="shared" si="34"/>
        <v/>
      </c>
      <c r="BA13" s="20" t="str">
        <f t="shared" si="35"/>
        <v/>
      </c>
      <c r="BB13" s="20" t="str">
        <f t="shared" si="36"/>
        <v/>
      </c>
      <c r="BC13" s="20" t="str">
        <f t="shared" si="37"/>
        <v/>
      </c>
    </row>
    <row r="14" spans="2:55" x14ac:dyDescent="0.3">
      <c r="B14" s="114" t="str">
        <f>""</f>
        <v/>
      </c>
      <c r="C14" s="4">
        <v>11</v>
      </c>
      <c r="D14" s="108" t="str">
        <f t="shared" si="16"/>
        <v/>
      </c>
      <c r="E14" s="3"/>
      <c r="F14" s="109" t="str">
        <f>IFERROR(INDEX('Input - Convenience'!$Y$3:$Y$200,MATCH('Calculations - Convenience'!$C14,'Input - Convenience'!$Z$3:$Z$200,0)),"")</f>
        <v/>
      </c>
      <c r="G14" s="20" t="str">
        <f>IFERROR(INDEX('Input - Convenience'!R$2:R$200,MATCH('Calculations - Convenience'!$D14,'Input - Convenience'!$O$2:$O$200,0)),"")</f>
        <v/>
      </c>
      <c r="H14" s="20" t="str">
        <f>IFERROR(INDEX('Input - Convenience'!S$2:S$200,MATCH('Calculations - Convenience'!$D14,'Input - Convenience'!$O$2:$O$200,0)),"")</f>
        <v/>
      </c>
      <c r="I14" s="27" t="str">
        <f>IFERROR(INDEX('Input - Convenience'!T$2:T$200,MATCH('Calculations - Convenience'!$D14,'Input - Convenience'!$O$2:$O$200,0)),"")</f>
        <v/>
      </c>
      <c r="J14" s="27" t="str">
        <f>IFERROR(INDEX('Input - Convenience'!U$2:U$200,MATCH('Calculations - Convenience'!$D14,'Input - Convenience'!$O$2:$O$200,0)),"")</f>
        <v/>
      </c>
      <c r="K14" s="20" t="str">
        <f>IFERROR(INDEX('Input - Convenience'!V$2:V$200,MATCH('Calculations - Convenience'!$D14,'Input - Convenience'!$O$2:$O$200,0)),"")</f>
        <v/>
      </c>
      <c r="L14" s="20" t="str">
        <f>IFERROR(INDEX('Input - Convenience'!W$2:W$200,MATCH('Calculations - Convenience'!$D14,'Input - Convenience'!$O$2:$O$200,0)),"")</f>
        <v/>
      </c>
      <c r="M14" s="21" t="str">
        <f t="shared" si="17"/>
        <v/>
      </c>
      <c r="N14" s="21" t="str">
        <f t="shared" si="2"/>
        <v/>
      </c>
      <c r="O14" s="21" t="str">
        <f t="shared" si="18"/>
        <v/>
      </c>
      <c r="P14" s="9" t="str">
        <f t="shared" si="3"/>
        <v/>
      </c>
      <c r="Q14" s="9" t="str">
        <f t="shared" si="4"/>
        <v/>
      </c>
      <c r="R14" s="8" t="str">
        <f t="shared" si="5"/>
        <v>-</v>
      </c>
      <c r="S14" s="8" t="str">
        <f t="shared" si="19"/>
        <v>-</v>
      </c>
      <c r="T14" t="str">
        <f t="shared" si="20"/>
        <v>-</v>
      </c>
      <c r="U14" t="str">
        <f t="shared" si="20"/>
        <v>-</v>
      </c>
      <c r="V14" t="str">
        <f t="shared" si="21"/>
        <v>-</v>
      </c>
      <c r="W14" t="str">
        <f t="shared" si="6"/>
        <v>-</v>
      </c>
      <c r="X14" s="10" t="str">
        <f t="shared" si="7"/>
        <v>-</v>
      </c>
      <c r="Y14" s="7" t="str">
        <f t="shared" si="22"/>
        <v/>
      </c>
      <c r="Z14" s="13" t="str">
        <f t="shared" si="23"/>
        <v>-</v>
      </c>
      <c r="AA14" t="str">
        <f t="shared" si="24"/>
        <v>-</v>
      </c>
      <c r="AB14" s="16" t="str">
        <f t="shared" si="8"/>
        <v>-</v>
      </c>
      <c r="AC14" s="16" t="str">
        <f t="shared" si="25"/>
        <v>-</v>
      </c>
      <c r="AD14" s="16" t="str">
        <f t="shared" si="26"/>
        <v>-</v>
      </c>
      <c r="AF14" s="27" t="str" cm="1">
        <f t="array" ref="AF14">IFERROR(SUM(_xlfn._xlws.FILTER($AF$32:$AF$229*$AJ$32:$AJ$229,$B$32:$B$229=D14))/SUM(_xlfn._xlws.FILTER($AJ$32:$AJ$229,$B$32:$B$229=D14)),"-")</f>
        <v>-</v>
      </c>
      <c r="AG14" s="123" t="str">
        <f t="shared" si="27"/>
        <v>-</v>
      </c>
      <c r="AH14" s="124" t="str">
        <f t="shared" si="28"/>
        <v>-</v>
      </c>
      <c r="AI14" s="9" t="str">
        <f t="shared" si="9"/>
        <v/>
      </c>
      <c r="AJ14" s="4" t="str">
        <f t="shared" si="10"/>
        <v/>
      </c>
      <c r="AP14" s="20" t="str">
        <f t="shared" si="11"/>
        <v>-</v>
      </c>
      <c r="AQ14" s="13" t="str">
        <f t="shared" si="29"/>
        <v/>
      </c>
      <c r="AR14" s="9" t="str">
        <f t="shared" si="30"/>
        <v/>
      </c>
      <c r="AS14" s="13" t="str">
        <f t="shared" si="31"/>
        <v/>
      </c>
      <c r="AT14" s="16" t="str">
        <f t="shared" si="32"/>
        <v>-</v>
      </c>
      <c r="AU14" s="16" t="str">
        <f t="shared" si="12"/>
        <v>-</v>
      </c>
      <c r="AV14" s="4" t="str">
        <f t="shared" si="33"/>
        <v>-</v>
      </c>
      <c r="AW14" s="16" t="str">
        <f t="shared" si="13"/>
        <v>-</v>
      </c>
      <c r="AX14" t="str">
        <f t="shared" si="14"/>
        <v/>
      </c>
      <c r="AY14" s="9" t="str">
        <f t="shared" si="15"/>
        <v>-</v>
      </c>
      <c r="AZ14" s="20" t="str">
        <f t="shared" si="34"/>
        <v/>
      </c>
      <c r="BA14" s="20" t="str">
        <f t="shared" si="35"/>
        <v/>
      </c>
      <c r="BB14" s="20" t="str">
        <f t="shared" si="36"/>
        <v/>
      </c>
      <c r="BC14" s="20" t="str">
        <f t="shared" si="37"/>
        <v/>
      </c>
    </row>
    <row r="15" spans="2:55" x14ac:dyDescent="0.3">
      <c r="B15" s="114" t="str">
        <f>""</f>
        <v/>
      </c>
      <c r="C15" s="4">
        <v>12</v>
      </c>
      <c r="D15" s="108" t="str">
        <f t="shared" si="16"/>
        <v/>
      </c>
      <c r="E15" s="3"/>
      <c r="F15" s="109" t="str">
        <f>IFERROR(INDEX('Input - Convenience'!$Y$3:$Y$200,MATCH('Calculations - Convenience'!$C15,'Input - Convenience'!$Z$3:$Z$200,0)),"")</f>
        <v/>
      </c>
      <c r="G15" s="20" t="str">
        <f>IFERROR(INDEX('Input - Convenience'!R$2:R$200,MATCH('Calculations - Convenience'!$D15,'Input - Convenience'!$O$2:$O$200,0)),"")</f>
        <v/>
      </c>
      <c r="H15" s="20" t="str">
        <f>IFERROR(INDEX('Input - Convenience'!S$2:S$200,MATCH('Calculations - Convenience'!$D15,'Input - Convenience'!$O$2:$O$200,0)),"")</f>
        <v/>
      </c>
      <c r="I15" s="27" t="str">
        <f>IFERROR(INDEX('Input - Convenience'!T$2:T$200,MATCH('Calculations - Convenience'!$D15,'Input - Convenience'!$O$2:$O$200,0)),"")</f>
        <v/>
      </c>
      <c r="J15" s="27" t="str">
        <f>IFERROR(INDEX('Input - Convenience'!U$2:U$200,MATCH('Calculations - Convenience'!$D15,'Input - Convenience'!$O$2:$O$200,0)),"")</f>
        <v/>
      </c>
      <c r="K15" s="20" t="str">
        <f>IFERROR(INDEX('Input - Convenience'!V$2:V$200,MATCH('Calculations - Convenience'!$D15,'Input - Convenience'!$O$2:$O$200,0)),"")</f>
        <v/>
      </c>
      <c r="L15" s="20" t="str">
        <f>IFERROR(INDEX('Input - Convenience'!W$2:W$200,MATCH('Calculations - Convenience'!$D15,'Input - Convenience'!$O$2:$O$200,0)),"")</f>
        <v/>
      </c>
      <c r="M15" s="21" t="str">
        <f t="shared" si="17"/>
        <v/>
      </c>
      <c r="N15" s="21" t="str">
        <f t="shared" si="2"/>
        <v/>
      </c>
      <c r="O15" s="21" t="str">
        <f t="shared" si="18"/>
        <v/>
      </c>
      <c r="P15" s="9" t="str">
        <f t="shared" si="3"/>
        <v/>
      </c>
      <c r="Q15" s="9" t="str">
        <f t="shared" si="4"/>
        <v/>
      </c>
      <c r="R15" s="8" t="str">
        <f t="shared" si="5"/>
        <v>-</v>
      </c>
      <c r="S15" s="8" t="str">
        <f t="shared" si="19"/>
        <v>-</v>
      </c>
      <c r="T15" t="str">
        <f t="shared" si="20"/>
        <v>-</v>
      </c>
      <c r="U15" t="str">
        <f t="shared" si="20"/>
        <v>-</v>
      </c>
      <c r="V15" t="str">
        <f t="shared" si="21"/>
        <v>-</v>
      </c>
      <c r="W15" t="str">
        <f t="shared" si="6"/>
        <v>-</v>
      </c>
      <c r="X15" s="10" t="str">
        <f t="shared" si="7"/>
        <v>-</v>
      </c>
      <c r="Y15" s="7" t="str">
        <f t="shared" si="22"/>
        <v/>
      </c>
      <c r="Z15" s="13" t="str">
        <f t="shared" si="23"/>
        <v>-</v>
      </c>
      <c r="AA15" t="str">
        <f t="shared" si="24"/>
        <v>-</v>
      </c>
      <c r="AB15" s="16" t="str">
        <f t="shared" si="8"/>
        <v>-</v>
      </c>
      <c r="AC15" s="16" t="str">
        <f t="shared" si="25"/>
        <v>-</v>
      </c>
      <c r="AD15" s="16" t="str">
        <f t="shared" si="26"/>
        <v>-</v>
      </c>
      <c r="AF15" s="27" t="str" cm="1">
        <f t="array" ref="AF15">IFERROR(SUM(_xlfn._xlws.FILTER($AF$32:$AF$229*$AJ$32:$AJ$229,$B$32:$B$229=D15))/SUM(_xlfn._xlws.FILTER($AJ$32:$AJ$229,$B$32:$B$229=D15)),"-")</f>
        <v>-</v>
      </c>
      <c r="AG15" s="123" t="str">
        <f t="shared" si="27"/>
        <v>-</v>
      </c>
      <c r="AH15" s="124" t="str">
        <f t="shared" si="28"/>
        <v>-</v>
      </c>
      <c r="AI15" s="9" t="str">
        <f t="shared" si="9"/>
        <v/>
      </c>
      <c r="AJ15" s="4" t="str">
        <f t="shared" si="10"/>
        <v/>
      </c>
      <c r="AP15" s="20" t="str">
        <f t="shared" si="11"/>
        <v>-</v>
      </c>
      <c r="AQ15" s="13" t="str">
        <f t="shared" si="29"/>
        <v/>
      </c>
      <c r="AR15" s="9" t="str">
        <f t="shared" si="30"/>
        <v/>
      </c>
      <c r="AS15" s="13" t="str">
        <f t="shared" si="31"/>
        <v/>
      </c>
      <c r="AT15" s="16" t="str">
        <f t="shared" si="32"/>
        <v>-</v>
      </c>
      <c r="AU15" s="16" t="str">
        <f t="shared" si="12"/>
        <v>-</v>
      </c>
      <c r="AV15" s="4" t="str">
        <f t="shared" si="33"/>
        <v>-</v>
      </c>
      <c r="AW15" s="16" t="str">
        <f t="shared" si="13"/>
        <v>-</v>
      </c>
      <c r="AX15" t="str">
        <f t="shared" si="14"/>
        <v/>
      </c>
      <c r="AY15" s="9" t="str">
        <f t="shared" si="15"/>
        <v>-</v>
      </c>
      <c r="AZ15" s="20" t="str">
        <f t="shared" si="34"/>
        <v/>
      </c>
      <c r="BA15" s="20" t="str">
        <f t="shared" si="35"/>
        <v/>
      </c>
      <c r="BB15" s="20" t="str">
        <f t="shared" si="36"/>
        <v/>
      </c>
      <c r="BC15" s="20" t="str">
        <f t="shared" si="37"/>
        <v/>
      </c>
    </row>
    <row r="16" spans="2:55" x14ac:dyDescent="0.3">
      <c r="B16" s="114" t="str">
        <f>""</f>
        <v/>
      </c>
      <c r="C16" s="4">
        <v>13</v>
      </c>
      <c r="D16" s="108" t="str">
        <f t="shared" si="16"/>
        <v/>
      </c>
      <c r="E16" s="3"/>
      <c r="F16" s="109" t="str">
        <f>IFERROR(INDEX('Input - Convenience'!$Y$3:$Y$200,MATCH('Calculations - Convenience'!$C16,'Input - Convenience'!$Z$3:$Z$200,0)),"")</f>
        <v/>
      </c>
      <c r="G16" s="20" t="str">
        <f>IFERROR(INDEX('Input - Convenience'!R$2:R$200,MATCH('Calculations - Convenience'!$D16,'Input - Convenience'!$O$2:$O$200,0)),"")</f>
        <v/>
      </c>
      <c r="H16" s="20" t="str">
        <f>IFERROR(INDEX('Input - Convenience'!S$2:S$200,MATCH('Calculations - Convenience'!$D16,'Input - Convenience'!$O$2:$O$200,0)),"")</f>
        <v/>
      </c>
      <c r="I16" s="27" t="str">
        <f>IFERROR(INDEX('Input - Convenience'!T$2:T$200,MATCH('Calculations - Convenience'!$D16,'Input - Convenience'!$O$2:$O$200,0)),"")</f>
        <v/>
      </c>
      <c r="J16" s="27" t="str">
        <f>IFERROR(INDEX('Input - Convenience'!U$2:U$200,MATCH('Calculations - Convenience'!$D16,'Input - Convenience'!$O$2:$O$200,0)),"")</f>
        <v/>
      </c>
      <c r="K16" s="20" t="str">
        <f>IFERROR(INDEX('Input - Convenience'!V$2:V$200,MATCH('Calculations - Convenience'!$D16,'Input - Convenience'!$O$2:$O$200,0)),"")</f>
        <v/>
      </c>
      <c r="L16" s="20" t="str">
        <f>IFERROR(INDEX('Input - Convenience'!W$2:W$200,MATCH('Calculations - Convenience'!$D16,'Input - Convenience'!$O$2:$O$200,0)),"")</f>
        <v/>
      </c>
      <c r="M16" s="21" t="str">
        <f t="shared" si="17"/>
        <v/>
      </c>
      <c r="N16" s="21" t="str">
        <f t="shared" si="2"/>
        <v/>
      </c>
      <c r="O16" s="21" t="str">
        <f t="shared" si="18"/>
        <v/>
      </c>
      <c r="P16" s="9" t="str">
        <f t="shared" si="3"/>
        <v/>
      </c>
      <c r="Q16" s="9" t="str">
        <f t="shared" si="4"/>
        <v/>
      </c>
      <c r="R16" s="8" t="str">
        <f t="shared" si="5"/>
        <v>-</v>
      </c>
      <c r="S16" s="8" t="str">
        <f t="shared" si="19"/>
        <v>-</v>
      </c>
      <c r="T16" t="str">
        <f t="shared" si="20"/>
        <v>-</v>
      </c>
      <c r="U16" t="str">
        <f t="shared" si="20"/>
        <v>-</v>
      </c>
      <c r="V16" t="str">
        <f t="shared" si="21"/>
        <v>-</v>
      </c>
      <c r="W16" t="str">
        <f t="shared" si="6"/>
        <v>-</v>
      </c>
      <c r="X16" s="10" t="str">
        <f t="shared" si="7"/>
        <v>-</v>
      </c>
      <c r="Y16" s="7" t="str">
        <f t="shared" si="22"/>
        <v/>
      </c>
      <c r="Z16" s="13" t="str">
        <f t="shared" si="23"/>
        <v>-</v>
      </c>
      <c r="AA16" t="str">
        <f t="shared" si="24"/>
        <v>-</v>
      </c>
      <c r="AB16" s="16" t="str">
        <f t="shared" si="8"/>
        <v>-</v>
      </c>
      <c r="AC16" s="16" t="str">
        <f t="shared" si="25"/>
        <v>-</v>
      </c>
      <c r="AD16" s="16" t="str">
        <f t="shared" si="26"/>
        <v>-</v>
      </c>
      <c r="AF16" s="27" t="str" cm="1">
        <f t="array" ref="AF16">IFERROR(SUM(_xlfn._xlws.FILTER($AF$32:$AF$229*$AJ$32:$AJ$229,$B$32:$B$229=D16))/SUM(_xlfn._xlws.FILTER($AJ$32:$AJ$229,$B$32:$B$229=D16)),"-")</f>
        <v>-</v>
      </c>
      <c r="AG16" s="123" t="str">
        <f t="shared" si="27"/>
        <v>-</v>
      </c>
      <c r="AH16" s="124" t="str">
        <f t="shared" si="28"/>
        <v>-</v>
      </c>
      <c r="AI16" s="9" t="str">
        <f t="shared" si="9"/>
        <v/>
      </c>
      <c r="AJ16" s="4" t="str">
        <f t="shared" si="10"/>
        <v/>
      </c>
      <c r="AP16" s="20" t="str">
        <f t="shared" si="11"/>
        <v>-</v>
      </c>
      <c r="AQ16" s="13" t="str">
        <f t="shared" si="29"/>
        <v/>
      </c>
      <c r="AR16" s="9" t="str">
        <f t="shared" si="30"/>
        <v/>
      </c>
      <c r="AS16" s="13" t="str">
        <f t="shared" si="31"/>
        <v/>
      </c>
      <c r="AT16" s="16" t="str">
        <f t="shared" si="32"/>
        <v>-</v>
      </c>
      <c r="AU16" s="16" t="str">
        <f t="shared" si="12"/>
        <v>-</v>
      </c>
      <c r="AV16" s="4" t="str">
        <f t="shared" si="33"/>
        <v>-</v>
      </c>
      <c r="AW16" s="16" t="str">
        <f t="shared" si="13"/>
        <v>-</v>
      </c>
      <c r="AX16" t="str">
        <f t="shared" si="14"/>
        <v/>
      </c>
      <c r="AY16" s="9" t="str">
        <f t="shared" si="15"/>
        <v>-</v>
      </c>
      <c r="AZ16" s="20" t="str">
        <f t="shared" si="34"/>
        <v/>
      </c>
      <c r="BA16" s="20" t="str">
        <f t="shared" si="35"/>
        <v/>
      </c>
      <c r="BB16" s="20" t="str">
        <f t="shared" si="36"/>
        <v/>
      </c>
      <c r="BC16" s="20" t="str">
        <f t="shared" si="37"/>
        <v/>
      </c>
    </row>
    <row r="17" spans="2:68" x14ac:dyDescent="0.3">
      <c r="B17" s="114" t="str">
        <f>""</f>
        <v/>
      </c>
      <c r="C17" s="4">
        <v>14</v>
      </c>
      <c r="D17" s="108" t="str">
        <f t="shared" si="16"/>
        <v/>
      </c>
      <c r="E17" s="3"/>
      <c r="F17" s="109" t="str">
        <f>IFERROR(INDEX('Input - Convenience'!$Y$3:$Y$200,MATCH('Calculations - Convenience'!$C17,'Input - Convenience'!$Z$3:$Z$200,0)),"")</f>
        <v/>
      </c>
      <c r="G17" s="20" t="str">
        <f>IFERROR(INDEX('Input - Convenience'!R$2:R$200,MATCH('Calculations - Convenience'!$D17,'Input - Convenience'!$O$2:$O$200,0)),"")</f>
        <v/>
      </c>
      <c r="H17" s="20" t="str">
        <f>IFERROR(INDEX('Input - Convenience'!S$2:S$200,MATCH('Calculations - Convenience'!$D17,'Input - Convenience'!$O$2:$O$200,0)),"")</f>
        <v/>
      </c>
      <c r="I17" s="27" t="str">
        <f>IFERROR(INDEX('Input - Convenience'!T$2:T$200,MATCH('Calculations - Convenience'!$D17,'Input - Convenience'!$O$2:$O$200,0)),"")</f>
        <v/>
      </c>
      <c r="J17" s="27" t="str">
        <f>IFERROR(INDEX('Input - Convenience'!U$2:U$200,MATCH('Calculations - Convenience'!$D17,'Input - Convenience'!$O$2:$O$200,0)),"")</f>
        <v/>
      </c>
      <c r="K17" s="20" t="str">
        <f>IFERROR(INDEX('Input - Convenience'!V$2:V$200,MATCH('Calculations - Convenience'!$D17,'Input - Convenience'!$O$2:$O$200,0)),"")</f>
        <v/>
      </c>
      <c r="L17" s="20" t="str">
        <f>IFERROR(INDEX('Input - Convenience'!W$2:W$200,MATCH('Calculations - Convenience'!$D17,'Input - Convenience'!$O$2:$O$200,0)),"")</f>
        <v/>
      </c>
      <c r="M17" s="21" t="str">
        <f t="shared" si="17"/>
        <v/>
      </c>
      <c r="N17" s="21" t="str">
        <f t="shared" si="2"/>
        <v/>
      </c>
      <c r="O17" s="21" t="str">
        <f t="shared" si="18"/>
        <v/>
      </c>
      <c r="P17" s="9" t="str">
        <f t="shared" si="3"/>
        <v/>
      </c>
      <c r="Q17" s="9" t="str">
        <f t="shared" si="4"/>
        <v/>
      </c>
      <c r="R17" s="8" t="str">
        <f t="shared" si="5"/>
        <v>-</v>
      </c>
      <c r="S17" s="8" t="str">
        <f t="shared" si="19"/>
        <v>-</v>
      </c>
      <c r="T17" t="str">
        <f t="shared" si="20"/>
        <v>-</v>
      </c>
      <c r="U17" t="str">
        <f t="shared" si="20"/>
        <v>-</v>
      </c>
      <c r="V17" t="str">
        <f t="shared" si="21"/>
        <v>-</v>
      </c>
      <c r="W17" t="str">
        <f t="shared" si="6"/>
        <v>-</v>
      </c>
      <c r="X17" s="10" t="str">
        <f t="shared" si="7"/>
        <v>-</v>
      </c>
      <c r="Y17" s="7" t="str">
        <f t="shared" si="22"/>
        <v/>
      </c>
      <c r="Z17" s="13" t="str">
        <f t="shared" si="23"/>
        <v>-</v>
      </c>
      <c r="AA17" t="str">
        <f t="shared" si="24"/>
        <v>-</v>
      </c>
      <c r="AB17" s="16" t="str">
        <f t="shared" si="8"/>
        <v>-</v>
      </c>
      <c r="AC17" s="16" t="str">
        <f t="shared" si="25"/>
        <v>-</v>
      </c>
      <c r="AD17" s="16" t="str">
        <f t="shared" si="26"/>
        <v>-</v>
      </c>
      <c r="AF17" s="27" t="str" cm="1">
        <f t="array" ref="AF17">IFERROR(SUM(_xlfn._xlws.FILTER($AF$32:$AF$229*$AJ$32:$AJ$229,$B$32:$B$229=D17))/SUM(_xlfn._xlws.FILTER($AJ$32:$AJ$229,$B$32:$B$229=D17)),"-")</f>
        <v>-</v>
      </c>
      <c r="AG17" s="123" t="str">
        <f t="shared" si="27"/>
        <v>-</v>
      </c>
      <c r="AH17" s="124" t="str">
        <f t="shared" si="28"/>
        <v>-</v>
      </c>
      <c r="AI17" s="9" t="str">
        <f t="shared" si="9"/>
        <v/>
      </c>
      <c r="AJ17" s="4" t="str">
        <f t="shared" si="10"/>
        <v/>
      </c>
      <c r="AP17" s="20" t="str">
        <f t="shared" si="11"/>
        <v>-</v>
      </c>
      <c r="AQ17" s="13" t="str">
        <f t="shared" si="29"/>
        <v/>
      </c>
      <c r="AR17" s="9" t="str">
        <f t="shared" si="30"/>
        <v/>
      </c>
      <c r="AS17" s="13" t="str">
        <f t="shared" si="31"/>
        <v/>
      </c>
      <c r="AT17" s="16" t="str">
        <f t="shared" si="32"/>
        <v>-</v>
      </c>
      <c r="AU17" s="16" t="str">
        <f t="shared" si="12"/>
        <v>-</v>
      </c>
      <c r="AV17" s="4" t="str">
        <f t="shared" si="33"/>
        <v>-</v>
      </c>
      <c r="AW17" s="16" t="str">
        <f t="shared" si="13"/>
        <v>-</v>
      </c>
      <c r="AX17" t="str">
        <f t="shared" si="14"/>
        <v/>
      </c>
      <c r="AY17" s="9" t="str">
        <f t="shared" si="15"/>
        <v>-</v>
      </c>
      <c r="AZ17" s="20" t="str">
        <f t="shared" si="34"/>
        <v/>
      </c>
      <c r="BA17" s="20" t="str">
        <f t="shared" si="35"/>
        <v/>
      </c>
      <c r="BB17" s="20" t="str">
        <f t="shared" si="36"/>
        <v/>
      </c>
      <c r="BC17" s="20" t="str">
        <f t="shared" si="37"/>
        <v/>
      </c>
    </row>
    <row r="18" spans="2:68" x14ac:dyDescent="0.3">
      <c r="B18" s="114" t="str">
        <f>""</f>
        <v/>
      </c>
      <c r="C18" s="4">
        <v>15</v>
      </c>
      <c r="D18" s="108" t="str">
        <f t="shared" si="16"/>
        <v/>
      </c>
      <c r="E18" s="3"/>
      <c r="F18" s="109" t="str">
        <f>IFERROR(INDEX('Input - Convenience'!$Y$3:$Y$200,MATCH('Calculations - Convenience'!$C18,'Input - Convenience'!$Z$3:$Z$200,0)),"")</f>
        <v/>
      </c>
      <c r="G18" s="20" t="str">
        <f>IFERROR(INDEX('Input - Convenience'!R$2:R$200,MATCH('Calculations - Convenience'!$D18,'Input - Convenience'!$O$2:$O$200,0)),"")</f>
        <v/>
      </c>
      <c r="H18" s="20" t="str">
        <f>IFERROR(INDEX('Input - Convenience'!S$2:S$200,MATCH('Calculations - Convenience'!$D18,'Input - Convenience'!$O$2:$O$200,0)),"")</f>
        <v/>
      </c>
      <c r="I18" s="27" t="str">
        <f>IFERROR(INDEX('Input - Convenience'!T$2:T$200,MATCH('Calculations - Convenience'!$D18,'Input - Convenience'!$O$2:$O$200,0)),"")</f>
        <v/>
      </c>
      <c r="J18" s="27" t="str">
        <f>IFERROR(INDEX('Input - Convenience'!U$2:U$200,MATCH('Calculations - Convenience'!$D18,'Input - Convenience'!$O$2:$O$200,0)),"")</f>
        <v/>
      </c>
      <c r="K18" s="20" t="str">
        <f>IFERROR(INDEX('Input - Convenience'!V$2:V$200,MATCH('Calculations - Convenience'!$D18,'Input - Convenience'!$O$2:$O$200,0)),"")</f>
        <v/>
      </c>
      <c r="L18" s="20" t="str">
        <f>IFERROR(INDEX('Input - Convenience'!W$2:W$200,MATCH('Calculations - Convenience'!$D18,'Input - Convenience'!$O$2:$O$200,0)),"")</f>
        <v/>
      </c>
      <c r="M18" s="21" t="str">
        <f t="shared" si="17"/>
        <v/>
      </c>
      <c r="N18" s="21" t="str">
        <f t="shared" si="2"/>
        <v/>
      </c>
      <c r="O18" s="21" t="str">
        <f t="shared" si="18"/>
        <v/>
      </c>
      <c r="P18" s="9" t="str">
        <f t="shared" si="3"/>
        <v/>
      </c>
      <c r="Q18" s="9" t="str">
        <f t="shared" si="4"/>
        <v/>
      </c>
      <c r="R18" s="8" t="str">
        <f t="shared" si="5"/>
        <v>-</v>
      </c>
      <c r="S18" s="8" t="str">
        <f t="shared" si="19"/>
        <v>-</v>
      </c>
      <c r="T18" t="str">
        <f t="shared" si="20"/>
        <v>-</v>
      </c>
      <c r="U18" t="str">
        <f t="shared" si="20"/>
        <v>-</v>
      </c>
      <c r="V18" t="str">
        <f t="shared" si="21"/>
        <v>-</v>
      </c>
      <c r="W18" t="str">
        <f t="shared" si="6"/>
        <v>-</v>
      </c>
      <c r="X18" s="10" t="str">
        <f t="shared" si="7"/>
        <v>-</v>
      </c>
      <c r="Y18" s="7" t="str">
        <f t="shared" si="22"/>
        <v/>
      </c>
      <c r="Z18" s="13" t="str">
        <f t="shared" si="23"/>
        <v>-</v>
      </c>
      <c r="AA18" t="str">
        <f t="shared" si="24"/>
        <v>-</v>
      </c>
      <c r="AB18" s="16" t="str">
        <f t="shared" si="8"/>
        <v>-</v>
      </c>
      <c r="AC18" s="16" t="str">
        <f t="shared" si="25"/>
        <v>-</v>
      </c>
      <c r="AD18" s="16" t="str">
        <f t="shared" si="26"/>
        <v>-</v>
      </c>
      <c r="AF18" s="27" t="str" cm="1">
        <f t="array" ref="AF18">IFERROR(SUM(_xlfn._xlws.FILTER($AF$32:$AF$229*$AJ$32:$AJ$229,$B$32:$B$229=D18))/SUM(_xlfn._xlws.FILTER($AJ$32:$AJ$229,$B$32:$B$229=D18)),"-")</f>
        <v>-</v>
      </c>
      <c r="AG18" s="123" t="str">
        <f t="shared" si="27"/>
        <v>-</v>
      </c>
      <c r="AH18" s="124" t="str">
        <f t="shared" si="28"/>
        <v>-</v>
      </c>
      <c r="AI18" s="9" t="str">
        <f t="shared" si="9"/>
        <v/>
      </c>
      <c r="AJ18" s="4" t="str">
        <f t="shared" si="10"/>
        <v/>
      </c>
      <c r="AP18" s="20" t="str">
        <f t="shared" si="11"/>
        <v>-</v>
      </c>
      <c r="AQ18" s="13" t="str">
        <f t="shared" si="29"/>
        <v/>
      </c>
      <c r="AR18" s="9" t="str">
        <f t="shared" si="30"/>
        <v/>
      </c>
      <c r="AS18" s="13" t="str">
        <f t="shared" si="31"/>
        <v/>
      </c>
      <c r="AT18" s="16" t="str">
        <f t="shared" si="32"/>
        <v>-</v>
      </c>
      <c r="AU18" s="16" t="str">
        <f t="shared" si="12"/>
        <v>-</v>
      </c>
      <c r="AV18" s="4" t="str">
        <f t="shared" si="33"/>
        <v>-</v>
      </c>
      <c r="AW18" s="16" t="str">
        <f t="shared" si="13"/>
        <v>-</v>
      </c>
      <c r="AX18" t="str">
        <f t="shared" si="14"/>
        <v/>
      </c>
      <c r="AY18" s="9" t="str">
        <f t="shared" si="15"/>
        <v>-</v>
      </c>
      <c r="AZ18" s="20" t="str">
        <f t="shared" si="34"/>
        <v/>
      </c>
      <c r="BA18" s="20" t="str">
        <f t="shared" si="35"/>
        <v/>
      </c>
      <c r="BB18" s="20" t="str">
        <f t="shared" si="36"/>
        <v/>
      </c>
      <c r="BC18" s="20" t="str">
        <f t="shared" si="37"/>
        <v/>
      </c>
    </row>
    <row r="19" spans="2:68" x14ac:dyDescent="0.3">
      <c r="B19" s="114" t="str">
        <f>""</f>
        <v/>
      </c>
      <c r="C19" s="4">
        <v>16</v>
      </c>
      <c r="D19" s="108" t="str">
        <f t="shared" si="16"/>
        <v/>
      </c>
      <c r="E19" s="3"/>
      <c r="F19" s="109" t="str">
        <f>IFERROR(INDEX('Input - Convenience'!$Y$3:$Y$200,MATCH('Calculations - Convenience'!$C19,'Input - Convenience'!$Z$3:$Z$200,0)),"")</f>
        <v/>
      </c>
      <c r="G19" s="20" t="str">
        <f>IFERROR(INDEX('Input - Convenience'!R$2:R$200,MATCH('Calculations - Convenience'!$D19,'Input - Convenience'!$O$2:$O$200,0)),"")</f>
        <v/>
      </c>
      <c r="H19" s="20" t="str">
        <f>IFERROR(INDEX('Input - Convenience'!S$2:S$200,MATCH('Calculations - Convenience'!$D19,'Input - Convenience'!$O$2:$O$200,0)),"")</f>
        <v/>
      </c>
      <c r="I19" s="27" t="str">
        <f>IFERROR(INDEX('Input - Convenience'!T$2:T$200,MATCH('Calculations - Convenience'!$D19,'Input - Convenience'!$O$2:$O$200,0)),"")</f>
        <v/>
      </c>
      <c r="J19" s="27" t="str">
        <f>IFERROR(INDEX('Input - Convenience'!U$2:U$200,MATCH('Calculations - Convenience'!$D19,'Input - Convenience'!$O$2:$O$200,0)),"")</f>
        <v/>
      </c>
      <c r="K19" s="20" t="str">
        <f>IFERROR(INDEX('Input - Convenience'!V$2:V$200,MATCH('Calculations - Convenience'!$D19,'Input - Convenience'!$O$2:$O$200,0)),"")</f>
        <v/>
      </c>
      <c r="L19" s="20" t="str">
        <f>IFERROR(INDEX('Input - Convenience'!W$2:W$200,MATCH('Calculations - Convenience'!$D19,'Input - Convenience'!$O$2:$O$200,0)),"")</f>
        <v/>
      </c>
      <c r="M19" s="21" t="str">
        <f t="shared" si="17"/>
        <v/>
      </c>
      <c r="N19" s="21" t="str">
        <f t="shared" si="2"/>
        <v/>
      </c>
      <c r="O19" s="21" t="str">
        <f t="shared" si="18"/>
        <v/>
      </c>
      <c r="P19" s="9" t="str">
        <f t="shared" si="3"/>
        <v/>
      </c>
      <c r="Q19" s="9" t="str">
        <f t="shared" si="4"/>
        <v/>
      </c>
      <c r="R19" s="8" t="str">
        <f t="shared" si="5"/>
        <v>-</v>
      </c>
      <c r="S19" s="8" t="str">
        <f t="shared" si="19"/>
        <v>-</v>
      </c>
      <c r="T19" t="str">
        <f t="shared" si="20"/>
        <v>-</v>
      </c>
      <c r="U19" t="str">
        <f t="shared" si="20"/>
        <v>-</v>
      </c>
      <c r="V19" t="str">
        <f t="shared" si="21"/>
        <v>-</v>
      </c>
      <c r="W19" t="str">
        <f t="shared" si="6"/>
        <v>-</v>
      </c>
      <c r="X19" s="10" t="str">
        <f t="shared" si="7"/>
        <v>-</v>
      </c>
      <c r="Y19" s="7" t="str">
        <f t="shared" si="22"/>
        <v/>
      </c>
      <c r="Z19" s="13" t="str">
        <f t="shared" si="23"/>
        <v>-</v>
      </c>
      <c r="AA19" t="str">
        <f t="shared" si="24"/>
        <v>-</v>
      </c>
      <c r="AB19" s="16" t="str">
        <f t="shared" si="8"/>
        <v>-</v>
      </c>
      <c r="AC19" s="16" t="str">
        <f t="shared" si="25"/>
        <v>-</v>
      </c>
      <c r="AD19" s="16" t="str">
        <f t="shared" si="26"/>
        <v>-</v>
      </c>
      <c r="AF19" s="27" t="str" cm="1">
        <f t="array" ref="AF19">IFERROR(SUM(_xlfn._xlws.FILTER($AF$32:$AF$229*$AJ$32:$AJ$229,$B$32:$B$229=D19))/SUM(_xlfn._xlws.FILTER($AJ$32:$AJ$229,$B$32:$B$229=D19)),"-")</f>
        <v>-</v>
      </c>
      <c r="AG19" s="123" t="str">
        <f t="shared" si="27"/>
        <v>-</v>
      </c>
      <c r="AH19" s="124" t="str">
        <f t="shared" si="28"/>
        <v>-</v>
      </c>
      <c r="AI19" s="9" t="str">
        <f t="shared" si="9"/>
        <v/>
      </c>
      <c r="AJ19" s="4" t="str">
        <f t="shared" si="10"/>
        <v/>
      </c>
      <c r="AP19" s="20" t="str">
        <f t="shared" si="11"/>
        <v>-</v>
      </c>
      <c r="AQ19" s="13" t="str">
        <f t="shared" si="29"/>
        <v/>
      </c>
      <c r="AR19" s="9" t="str">
        <f t="shared" si="30"/>
        <v/>
      </c>
      <c r="AS19" s="13" t="str">
        <f t="shared" si="31"/>
        <v/>
      </c>
      <c r="AT19" s="16" t="str">
        <f t="shared" si="32"/>
        <v>-</v>
      </c>
      <c r="AU19" s="16" t="str">
        <f t="shared" si="12"/>
        <v>-</v>
      </c>
      <c r="AV19" s="4" t="str">
        <f t="shared" si="33"/>
        <v>-</v>
      </c>
      <c r="AW19" s="16" t="str">
        <f t="shared" si="13"/>
        <v>-</v>
      </c>
      <c r="AX19" t="str">
        <f t="shared" si="14"/>
        <v/>
      </c>
      <c r="AY19" s="9" t="str">
        <f t="shared" si="15"/>
        <v>-</v>
      </c>
      <c r="AZ19" s="20" t="str">
        <f t="shared" si="34"/>
        <v/>
      </c>
      <c r="BA19" s="20" t="str">
        <f t="shared" si="35"/>
        <v/>
      </c>
      <c r="BB19" s="20" t="str">
        <f t="shared" si="36"/>
        <v/>
      </c>
      <c r="BC19" s="20" t="str">
        <f t="shared" si="37"/>
        <v/>
      </c>
    </row>
    <row r="20" spans="2:68" x14ac:dyDescent="0.3">
      <c r="B20" s="114" t="str">
        <f>""</f>
        <v/>
      </c>
      <c r="C20" s="4">
        <v>17</v>
      </c>
      <c r="D20" s="108" t="str">
        <f t="shared" si="16"/>
        <v/>
      </c>
      <c r="E20" s="3"/>
      <c r="F20" s="109" t="str">
        <f>IFERROR(INDEX('Input - Convenience'!$Y$3:$Y$200,MATCH('Calculations - Convenience'!$C20,'Input - Convenience'!$Z$3:$Z$200,0)),"")</f>
        <v/>
      </c>
      <c r="G20" s="20" t="str">
        <f>IFERROR(INDEX('Input - Convenience'!R$2:R$200,MATCH('Calculations - Convenience'!$D20,'Input - Convenience'!$O$2:$O$200,0)),"")</f>
        <v/>
      </c>
      <c r="H20" s="20" t="str">
        <f>IFERROR(INDEX('Input - Convenience'!S$2:S$200,MATCH('Calculations - Convenience'!$D20,'Input - Convenience'!$O$2:$O$200,0)),"")</f>
        <v/>
      </c>
      <c r="I20" s="27" t="str">
        <f>IFERROR(INDEX('Input - Convenience'!T$2:T$200,MATCH('Calculations - Convenience'!$D20,'Input - Convenience'!$O$2:$O$200,0)),"")</f>
        <v/>
      </c>
      <c r="J20" s="27" t="str">
        <f>IFERROR(INDEX('Input - Convenience'!U$2:U$200,MATCH('Calculations - Convenience'!$D20,'Input - Convenience'!$O$2:$O$200,0)),"")</f>
        <v/>
      </c>
      <c r="K20" s="20" t="str">
        <f>IFERROR(INDEX('Input - Convenience'!V$2:V$200,MATCH('Calculations - Convenience'!$D20,'Input - Convenience'!$O$2:$O$200,0)),"")</f>
        <v/>
      </c>
      <c r="L20" s="20" t="str">
        <f>IFERROR(INDEX('Input - Convenience'!W$2:W$200,MATCH('Calculations - Convenience'!$D20,'Input - Convenience'!$O$2:$O$200,0)),"")</f>
        <v/>
      </c>
      <c r="M20" s="21" t="str">
        <f t="shared" si="17"/>
        <v/>
      </c>
      <c r="N20" s="21" t="str">
        <f t="shared" si="2"/>
        <v/>
      </c>
      <c r="O20" s="21" t="str">
        <f t="shared" si="18"/>
        <v/>
      </c>
      <c r="P20" s="9" t="str">
        <f t="shared" si="3"/>
        <v/>
      </c>
      <c r="Q20" s="9" t="str">
        <f t="shared" si="4"/>
        <v/>
      </c>
      <c r="R20" s="8" t="str">
        <f t="shared" si="5"/>
        <v>-</v>
      </c>
      <c r="S20" s="8" t="str">
        <f t="shared" si="19"/>
        <v>-</v>
      </c>
      <c r="T20" t="str">
        <f t="shared" si="20"/>
        <v>-</v>
      </c>
      <c r="U20" t="str">
        <f t="shared" si="20"/>
        <v>-</v>
      </c>
      <c r="V20" t="str">
        <f t="shared" si="21"/>
        <v>-</v>
      </c>
      <c r="W20" t="str">
        <f t="shared" si="6"/>
        <v>-</v>
      </c>
      <c r="X20" s="10" t="str">
        <f t="shared" si="7"/>
        <v>-</v>
      </c>
      <c r="Y20" s="7" t="str">
        <f t="shared" si="22"/>
        <v/>
      </c>
      <c r="Z20" s="13" t="str">
        <f t="shared" si="23"/>
        <v>-</v>
      </c>
      <c r="AA20" t="str">
        <f t="shared" si="24"/>
        <v>-</v>
      </c>
      <c r="AB20" s="16" t="str">
        <f t="shared" si="8"/>
        <v>-</v>
      </c>
      <c r="AC20" s="16" t="str">
        <f t="shared" si="25"/>
        <v>-</v>
      </c>
      <c r="AD20" s="16" t="str">
        <f t="shared" si="26"/>
        <v>-</v>
      </c>
      <c r="AF20" s="27" t="str" cm="1">
        <f t="array" ref="AF20">IFERROR(SUM(_xlfn._xlws.FILTER($AF$32:$AF$229*$AJ$32:$AJ$229,$B$32:$B$229=D20))/SUM(_xlfn._xlws.FILTER($AJ$32:$AJ$229,$B$32:$B$229=D20)),"-")</f>
        <v>-</v>
      </c>
      <c r="AG20" s="123" t="str">
        <f t="shared" si="27"/>
        <v>-</v>
      </c>
      <c r="AH20" s="124" t="str">
        <f t="shared" si="28"/>
        <v>-</v>
      </c>
      <c r="AI20" s="9" t="str">
        <f t="shared" si="9"/>
        <v/>
      </c>
      <c r="AJ20" s="4" t="str">
        <f t="shared" si="10"/>
        <v/>
      </c>
      <c r="AP20" s="20" t="str">
        <f t="shared" si="11"/>
        <v>-</v>
      </c>
      <c r="AQ20" s="13" t="str">
        <f t="shared" si="29"/>
        <v/>
      </c>
      <c r="AR20" s="9" t="str">
        <f t="shared" si="30"/>
        <v/>
      </c>
      <c r="AS20" s="13" t="str">
        <f t="shared" si="31"/>
        <v/>
      </c>
      <c r="AT20" s="16" t="str">
        <f t="shared" si="32"/>
        <v>-</v>
      </c>
      <c r="AU20" s="16" t="str">
        <f t="shared" si="12"/>
        <v>-</v>
      </c>
      <c r="AV20" s="4" t="str">
        <f t="shared" si="33"/>
        <v>-</v>
      </c>
      <c r="AW20" s="16" t="str">
        <f t="shared" si="13"/>
        <v>-</v>
      </c>
      <c r="AX20" t="str">
        <f t="shared" si="14"/>
        <v/>
      </c>
      <c r="AY20" s="9" t="str">
        <f t="shared" si="15"/>
        <v>-</v>
      </c>
      <c r="AZ20" s="20" t="str">
        <f t="shared" si="34"/>
        <v/>
      </c>
      <c r="BA20" s="20" t="str">
        <f t="shared" si="35"/>
        <v/>
      </c>
      <c r="BB20" s="20" t="str">
        <f t="shared" si="36"/>
        <v/>
      </c>
      <c r="BC20" s="20" t="str">
        <f t="shared" si="37"/>
        <v/>
      </c>
    </row>
    <row r="21" spans="2:68" x14ac:dyDescent="0.3">
      <c r="B21" s="114" t="str">
        <f>""</f>
        <v/>
      </c>
      <c r="C21" s="4">
        <v>18</v>
      </c>
      <c r="D21" s="108" t="str">
        <f t="shared" si="16"/>
        <v/>
      </c>
      <c r="E21" s="3"/>
      <c r="F21" s="109" t="str">
        <f>IFERROR(INDEX('Input - Convenience'!$Y$3:$Y$200,MATCH('Calculations - Convenience'!$C21,'Input - Convenience'!$Z$3:$Z$200,0)),"")</f>
        <v/>
      </c>
      <c r="G21" s="20" t="str">
        <f>IFERROR(INDEX('Input - Convenience'!R$2:R$200,MATCH('Calculations - Convenience'!$D21,'Input - Convenience'!$O$2:$O$200,0)),"")</f>
        <v/>
      </c>
      <c r="H21" s="20" t="str">
        <f>IFERROR(INDEX('Input - Convenience'!S$2:S$200,MATCH('Calculations - Convenience'!$D21,'Input - Convenience'!$O$2:$O$200,0)),"")</f>
        <v/>
      </c>
      <c r="I21" s="27" t="str">
        <f>IFERROR(INDEX('Input - Convenience'!T$2:T$200,MATCH('Calculations - Convenience'!$D21,'Input - Convenience'!$O$2:$O$200,0)),"")</f>
        <v/>
      </c>
      <c r="J21" s="27" t="str">
        <f>IFERROR(INDEX('Input - Convenience'!U$2:U$200,MATCH('Calculations - Convenience'!$D21,'Input - Convenience'!$O$2:$O$200,0)),"")</f>
        <v/>
      </c>
      <c r="K21" s="20" t="str">
        <f>IFERROR(INDEX('Input - Convenience'!V$2:V$200,MATCH('Calculations - Convenience'!$D21,'Input - Convenience'!$O$2:$O$200,0)),"")</f>
        <v/>
      </c>
      <c r="L21" s="20" t="str">
        <f>IFERROR(INDEX('Input - Convenience'!W$2:W$200,MATCH('Calculations - Convenience'!$D21,'Input - Convenience'!$O$2:$O$200,0)),"")</f>
        <v/>
      </c>
      <c r="M21" s="21" t="str">
        <f t="shared" si="17"/>
        <v/>
      </c>
      <c r="N21" s="21" t="str">
        <f t="shared" si="2"/>
        <v/>
      </c>
      <c r="O21" s="21" t="str">
        <f t="shared" si="18"/>
        <v/>
      </c>
      <c r="P21" s="9" t="str">
        <f t="shared" si="3"/>
        <v/>
      </c>
      <c r="Q21" s="9" t="str">
        <f t="shared" si="4"/>
        <v/>
      </c>
      <c r="R21" s="8" t="str">
        <f t="shared" si="5"/>
        <v>-</v>
      </c>
      <c r="S21" s="8" t="str">
        <f t="shared" si="19"/>
        <v>-</v>
      </c>
      <c r="T21" t="str">
        <f t="shared" si="20"/>
        <v>-</v>
      </c>
      <c r="U21" t="str">
        <f t="shared" si="20"/>
        <v>-</v>
      </c>
      <c r="V21" t="str">
        <f t="shared" si="21"/>
        <v>-</v>
      </c>
      <c r="W21" t="str">
        <f t="shared" si="6"/>
        <v>-</v>
      </c>
      <c r="X21" s="10" t="str">
        <f t="shared" si="7"/>
        <v>-</v>
      </c>
      <c r="Y21" s="7" t="str">
        <f t="shared" si="22"/>
        <v/>
      </c>
      <c r="Z21" s="13" t="str">
        <f t="shared" si="23"/>
        <v>-</v>
      </c>
      <c r="AA21" t="str">
        <f t="shared" si="24"/>
        <v>-</v>
      </c>
      <c r="AB21" s="16" t="str">
        <f t="shared" si="8"/>
        <v>-</v>
      </c>
      <c r="AC21" s="16" t="str">
        <f t="shared" si="25"/>
        <v>-</v>
      </c>
      <c r="AD21" s="16" t="str">
        <f t="shared" si="26"/>
        <v>-</v>
      </c>
      <c r="AF21" s="27" t="str" cm="1">
        <f t="array" ref="AF21">IFERROR(SUM(_xlfn._xlws.FILTER($AF$32:$AF$229*$AJ$32:$AJ$229,$B$32:$B$229=D21))/SUM(_xlfn._xlws.FILTER($AJ$32:$AJ$229,$B$32:$B$229=D21)),"-")</f>
        <v>-</v>
      </c>
      <c r="AG21" s="123" t="str">
        <f t="shared" si="27"/>
        <v>-</v>
      </c>
      <c r="AH21" s="124" t="str">
        <f t="shared" si="28"/>
        <v>-</v>
      </c>
      <c r="AI21" s="9" t="str">
        <f t="shared" si="9"/>
        <v/>
      </c>
      <c r="AJ21" s="4" t="str">
        <f t="shared" si="10"/>
        <v/>
      </c>
      <c r="AP21" s="20" t="str">
        <f t="shared" si="11"/>
        <v>-</v>
      </c>
      <c r="AQ21" s="13" t="str">
        <f t="shared" si="29"/>
        <v/>
      </c>
      <c r="AR21" s="9" t="str">
        <f t="shared" si="30"/>
        <v/>
      </c>
      <c r="AS21" s="13" t="str">
        <f t="shared" si="31"/>
        <v/>
      </c>
      <c r="AT21" s="16" t="str">
        <f t="shared" si="32"/>
        <v>-</v>
      </c>
      <c r="AU21" s="16" t="str">
        <f t="shared" si="12"/>
        <v>-</v>
      </c>
      <c r="AV21" s="4" t="str">
        <f t="shared" si="33"/>
        <v>-</v>
      </c>
      <c r="AW21" s="16" t="str">
        <f t="shared" si="13"/>
        <v>-</v>
      </c>
      <c r="AX21" t="str">
        <f t="shared" si="14"/>
        <v/>
      </c>
      <c r="AY21" s="9" t="str">
        <f t="shared" si="15"/>
        <v>-</v>
      </c>
      <c r="AZ21" s="20" t="str">
        <f t="shared" si="34"/>
        <v/>
      </c>
      <c r="BA21" s="20" t="str">
        <f t="shared" si="35"/>
        <v/>
      </c>
      <c r="BB21" s="20" t="str">
        <f t="shared" si="36"/>
        <v/>
      </c>
      <c r="BC21" s="20" t="str">
        <f t="shared" si="37"/>
        <v/>
      </c>
    </row>
    <row r="22" spans="2:68" x14ac:dyDescent="0.3">
      <c r="B22" s="114" t="str">
        <f>""</f>
        <v/>
      </c>
      <c r="C22" s="4">
        <v>19</v>
      </c>
      <c r="D22" s="108" t="str">
        <f t="shared" si="16"/>
        <v/>
      </c>
      <c r="E22" s="3"/>
      <c r="F22" s="109" t="str">
        <f>IFERROR(INDEX('Input - Convenience'!$Y$3:$Y$200,MATCH('Calculations - Convenience'!$C22,'Input - Convenience'!$Z$3:$Z$200,0)),"")</f>
        <v/>
      </c>
      <c r="G22" s="20" t="str">
        <f>IFERROR(INDEX('Input - Convenience'!R$2:R$200,MATCH('Calculations - Convenience'!$D22,'Input - Convenience'!$O$2:$O$200,0)),"")</f>
        <v/>
      </c>
      <c r="H22" s="20" t="str">
        <f>IFERROR(INDEX('Input - Convenience'!S$2:S$200,MATCH('Calculations - Convenience'!$D22,'Input - Convenience'!$O$2:$O$200,0)),"")</f>
        <v/>
      </c>
      <c r="I22" s="27" t="str">
        <f>IFERROR(INDEX('Input - Convenience'!T$2:T$200,MATCH('Calculations - Convenience'!$D22,'Input - Convenience'!$O$2:$O$200,0)),"")</f>
        <v/>
      </c>
      <c r="J22" s="27" t="str">
        <f>IFERROR(INDEX('Input - Convenience'!U$2:U$200,MATCH('Calculations - Convenience'!$D22,'Input - Convenience'!$O$2:$O$200,0)),"")</f>
        <v/>
      </c>
      <c r="K22" s="20" t="str">
        <f>IFERROR(INDEX('Input - Convenience'!V$2:V$200,MATCH('Calculations - Convenience'!$D22,'Input - Convenience'!$O$2:$O$200,0)),"")</f>
        <v/>
      </c>
      <c r="L22" s="20" t="str">
        <f>IFERROR(INDEX('Input - Convenience'!W$2:W$200,MATCH('Calculations - Convenience'!$D22,'Input - Convenience'!$O$2:$O$200,0)),"")</f>
        <v/>
      </c>
      <c r="M22" s="21" t="str">
        <f t="shared" si="17"/>
        <v/>
      </c>
      <c r="N22" s="21" t="str">
        <f t="shared" si="2"/>
        <v/>
      </c>
      <c r="O22" s="21" t="str">
        <f t="shared" si="18"/>
        <v/>
      </c>
      <c r="P22" s="9" t="str">
        <f t="shared" si="3"/>
        <v/>
      </c>
      <c r="Q22" s="9" t="str">
        <f t="shared" si="4"/>
        <v/>
      </c>
      <c r="R22" s="8" t="str">
        <f t="shared" si="5"/>
        <v>-</v>
      </c>
      <c r="S22" s="8" t="str">
        <f t="shared" si="19"/>
        <v>-</v>
      </c>
      <c r="T22" t="str">
        <f t="shared" si="20"/>
        <v>-</v>
      </c>
      <c r="U22" t="str">
        <f t="shared" si="20"/>
        <v>-</v>
      </c>
      <c r="V22" t="str">
        <f t="shared" si="21"/>
        <v>-</v>
      </c>
      <c r="W22" t="str">
        <f t="shared" si="6"/>
        <v>-</v>
      </c>
      <c r="X22" s="10" t="str">
        <f t="shared" si="7"/>
        <v>-</v>
      </c>
      <c r="Y22" s="7" t="str">
        <f t="shared" si="22"/>
        <v/>
      </c>
      <c r="Z22" s="13" t="str">
        <f t="shared" si="23"/>
        <v>-</v>
      </c>
      <c r="AA22" t="str">
        <f t="shared" si="24"/>
        <v>-</v>
      </c>
      <c r="AB22" s="16" t="str">
        <f t="shared" si="8"/>
        <v>-</v>
      </c>
      <c r="AC22" s="16" t="str">
        <f t="shared" si="25"/>
        <v>-</v>
      </c>
      <c r="AD22" s="16" t="str">
        <f t="shared" si="26"/>
        <v>-</v>
      </c>
      <c r="AF22" s="27" t="str" cm="1">
        <f t="array" ref="AF22">IFERROR(SUM(_xlfn._xlws.FILTER($AF$32:$AF$229*$AJ$32:$AJ$229,$B$32:$B$229=D22))/SUM(_xlfn._xlws.FILTER($AJ$32:$AJ$229,$B$32:$B$229=D22)),"-")</f>
        <v>-</v>
      </c>
      <c r="AG22" s="123" t="str">
        <f t="shared" si="27"/>
        <v>-</v>
      </c>
      <c r="AH22" s="124" t="str">
        <f t="shared" si="28"/>
        <v>-</v>
      </c>
      <c r="AI22" s="9" t="str">
        <f t="shared" si="9"/>
        <v/>
      </c>
      <c r="AJ22" s="4" t="str">
        <f t="shared" si="10"/>
        <v/>
      </c>
      <c r="AP22" s="20" t="str">
        <f t="shared" si="11"/>
        <v>-</v>
      </c>
      <c r="AQ22" s="13" t="str">
        <f t="shared" si="29"/>
        <v/>
      </c>
      <c r="AR22" s="9" t="str">
        <f t="shared" si="30"/>
        <v/>
      </c>
      <c r="AS22" s="13" t="str">
        <f t="shared" si="31"/>
        <v/>
      </c>
      <c r="AT22" s="16" t="str">
        <f t="shared" si="32"/>
        <v>-</v>
      </c>
      <c r="AU22" s="16" t="str">
        <f t="shared" si="12"/>
        <v>-</v>
      </c>
      <c r="AV22" s="4" t="str">
        <f t="shared" si="33"/>
        <v>-</v>
      </c>
      <c r="AW22" s="16" t="str">
        <f t="shared" si="13"/>
        <v>-</v>
      </c>
      <c r="AX22" t="str">
        <f t="shared" si="14"/>
        <v/>
      </c>
      <c r="AY22" s="9" t="str">
        <f t="shared" si="15"/>
        <v>-</v>
      </c>
      <c r="AZ22" s="20" t="str">
        <f t="shared" si="34"/>
        <v/>
      </c>
      <c r="BA22" s="20" t="str">
        <f t="shared" si="35"/>
        <v/>
      </c>
      <c r="BB22" s="20" t="str">
        <f t="shared" si="36"/>
        <v/>
      </c>
      <c r="BC22" s="20" t="str">
        <f t="shared" si="37"/>
        <v/>
      </c>
    </row>
    <row r="23" spans="2:68" x14ac:dyDescent="0.3">
      <c r="B23" s="114" t="str">
        <f>""</f>
        <v/>
      </c>
      <c r="C23" s="4">
        <v>20</v>
      </c>
      <c r="D23" s="108" t="str">
        <f t="shared" si="16"/>
        <v/>
      </c>
      <c r="E23" s="3"/>
      <c r="F23" s="109" t="str">
        <f>IFERROR(INDEX('Input - Convenience'!$Y$3:$Y$200,MATCH('Calculations - Convenience'!$C23,'Input - Convenience'!$Z$3:$Z$200,0)),"")</f>
        <v/>
      </c>
      <c r="G23" s="20" t="str">
        <f>IFERROR(INDEX('Input - Convenience'!R$2:R$200,MATCH('Calculations - Convenience'!$D23,'Input - Convenience'!$O$2:$O$200,0)),"")</f>
        <v/>
      </c>
      <c r="H23" s="20" t="str">
        <f>IFERROR(INDEX('Input - Convenience'!S$2:S$200,MATCH('Calculations - Convenience'!$D23,'Input - Convenience'!$O$2:$O$200,0)),"")</f>
        <v/>
      </c>
      <c r="I23" s="27" t="str">
        <f>IFERROR(INDEX('Input - Convenience'!T$2:T$200,MATCH('Calculations - Convenience'!$D23,'Input - Convenience'!$O$2:$O$200,0)),"")</f>
        <v/>
      </c>
      <c r="J23" s="27" t="str">
        <f>IFERROR(INDEX('Input - Convenience'!U$2:U$200,MATCH('Calculations - Convenience'!$D23,'Input - Convenience'!$O$2:$O$200,0)),"")</f>
        <v/>
      </c>
      <c r="K23" s="20" t="str">
        <f>IFERROR(INDEX('Input - Convenience'!V$2:V$200,MATCH('Calculations - Convenience'!$D23,'Input - Convenience'!$O$2:$O$200,0)),"")</f>
        <v/>
      </c>
      <c r="L23" s="20" t="str">
        <f>IFERROR(INDEX('Input - Convenience'!W$2:W$200,MATCH('Calculations - Convenience'!$D23,'Input - Convenience'!$O$2:$O$200,0)),"")</f>
        <v/>
      </c>
      <c r="M23" s="21" t="str">
        <f t="shared" si="17"/>
        <v/>
      </c>
      <c r="N23" s="21" t="str">
        <f t="shared" si="2"/>
        <v/>
      </c>
      <c r="O23" s="21" t="str">
        <f t="shared" si="18"/>
        <v/>
      </c>
      <c r="P23" s="9" t="str">
        <f t="shared" si="3"/>
        <v/>
      </c>
      <c r="Q23" s="9" t="str">
        <f t="shared" si="4"/>
        <v/>
      </c>
      <c r="R23" s="8" t="str">
        <f t="shared" si="5"/>
        <v>-</v>
      </c>
      <c r="S23" s="8" t="str">
        <f t="shared" si="19"/>
        <v>-</v>
      </c>
      <c r="T23" t="str">
        <f t="shared" si="20"/>
        <v>-</v>
      </c>
      <c r="U23" t="str">
        <f t="shared" si="20"/>
        <v>-</v>
      </c>
      <c r="V23" t="str">
        <f t="shared" si="21"/>
        <v>-</v>
      </c>
      <c r="W23" t="str">
        <f t="shared" si="6"/>
        <v>-</v>
      </c>
      <c r="X23" s="10" t="str">
        <f t="shared" si="7"/>
        <v>-</v>
      </c>
      <c r="Y23" s="7" t="str">
        <f t="shared" si="22"/>
        <v/>
      </c>
      <c r="Z23" s="13" t="str">
        <f t="shared" si="23"/>
        <v>-</v>
      </c>
      <c r="AA23" t="str">
        <f t="shared" si="24"/>
        <v>-</v>
      </c>
      <c r="AB23" s="16" t="str">
        <f t="shared" si="8"/>
        <v>-</v>
      </c>
      <c r="AC23" s="16" t="str">
        <f t="shared" si="25"/>
        <v>-</v>
      </c>
      <c r="AD23" s="16" t="str">
        <f t="shared" si="26"/>
        <v>-</v>
      </c>
      <c r="AF23" s="27" t="str" cm="1">
        <f t="array" ref="AF23">IFERROR(SUM(_xlfn._xlws.FILTER($AF$32:$AF$229*$AJ$32:$AJ$229,$B$32:$B$229=D23))/SUM(_xlfn._xlws.FILTER($AJ$32:$AJ$229,$B$32:$B$229=D23)),"-")</f>
        <v>-</v>
      </c>
      <c r="AG23" s="123" t="str">
        <f t="shared" si="27"/>
        <v>-</v>
      </c>
      <c r="AH23" s="124" t="str">
        <f t="shared" si="28"/>
        <v>-</v>
      </c>
      <c r="AI23" s="9" t="str">
        <f t="shared" si="9"/>
        <v/>
      </c>
      <c r="AJ23" s="4" t="str">
        <f t="shared" si="10"/>
        <v/>
      </c>
      <c r="AP23" s="20" t="str">
        <f t="shared" si="11"/>
        <v>-</v>
      </c>
      <c r="AQ23" s="13" t="str">
        <f t="shared" si="29"/>
        <v/>
      </c>
      <c r="AR23" s="9" t="str">
        <f t="shared" si="30"/>
        <v/>
      </c>
      <c r="AS23" s="13" t="str">
        <f t="shared" si="31"/>
        <v/>
      </c>
      <c r="AT23" s="16" t="str">
        <f t="shared" si="32"/>
        <v>-</v>
      </c>
      <c r="AU23" s="16" t="str">
        <f t="shared" si="12"/>
        <v>-</v>
      </c>
      <c r="AV23" s="4" t="str">
        <f t="shared" si="33"/>
        <v>-</v>
      </c>
      <c r="AW23" s="16" t="str">
        <f t="shared" si="13"/>
        <v>-</v>
      </c>
      <c r="AX23" t="str">
        <f t="shared" si="14"/>
        <v/>
      </c>
      <c r="AY23" s="9" t="str">
        <f t="shared" si="15"/>
        <v>-</v>
      </c>
      <c r="AZ23" s="20" t="str">
        <f t="shared" si="34"/>
        <v/>
      </c>
      <c r="BA23" s="20" t="str">
        <f t="shared" si="35"/>
        <v/>
      </c>
      <c r="BB23" s="20" t="str">
        <f t="shared" si="36"/>
        <v/>
      </c>
      <c r="BC23" s="20" t="str">
        <f t="shared" si="37"/>
        <v/>
      </c>
    </row>
    <row r="24" spans="2:68" x14ac:dyDescent="0.3">
      <c r="D24" s="108" t="str">
        <f t="shared" si="16"/>
        <v>ConvenienceTOTAL CATEGORY</v>
      </c>
      <c r="E24" s="109" t="str">
        <f>E4</f>
        <v>Convenience</v>
      </c>
      <c r="F24" s="3" t="s">
        <v>43</v>
      </c>
      <c r="G24" s="20">
        <f>SUM(G4:G23)</f>
        <v>1829089.51</v>
      </c>
      <c r="H24" s="20">
        <f>SUM(H4:H23)</f>
        <v>291265.21000000002</v>
      </c>
      <c r="I24" s="27" t="str">
        <f>IFERROR(INDEX('Input - Convenience'!T$2:T$200,MATCH('Calculations - Convenience'!$D24,'Input - Convenience'!$O$2:$O$200,0)),"")</f>
        <v/>
      </c>
      <c r="J24" s="27">
        <f>'Input - Convenience'!M3</f>
        <v>11.89647074</v>
      </c>
      <c r="K24" s="20">
        <f t="shared" ref="K24:L24" si="38">SUM(K4:K23)</f>
        <v>5513650.7000000002</v>
      </c>
      <c r="L24" s="20">
        <f t="shared" si="38"/>
        <v>931687.61</v>
      </c>
      <c r="M24" s="21">
        <f t="shared" si="17"/>
        <v>6.2798077051495431</v>
      </c>
      <c r="N24" s="21">
        <f t="shared" si="2"/>
        <v>5.917917809382482</v>
      </c>
      <c r="O24" s="21">
        <f t="shared" si="18"/>
        <v>-5.5903368834701173</v>
      </c>
      <c r="P24" s="9">
        <f>IFERROR(G24/SUM(G$4:G$23),"")</f>
        <v>1</v>
      </c>
      <c r="Q24" s="8">
        <f t="shared" ref="Q24" si="39">SUM(Q4:Q23)</f>
        <v>1</v>
      </c>
      <c r="R24" s="20"/>
      <c r="S24" s="20"/>
      <c r="T24" s="20">
        <f t="shared" ref="T24:X24" si="40">SUM(T4:T23)</f>
        <v>1463271.608</v>
      </c>
      <c r="U24" s="20">
        <f t="shared" si="40"/>
        <v>438981.48239999998</v>
      </c>
      <c r="V24" s="8"/>
      <c r="W24" s="20"/>
      <c r="X24" s="20">
        <f t="shared" si="40"/>
        <v>2944281.16634044</v>
      </c>
      <c r="Y24" s="20"/>
      <c r="AA24" s="20">
        <f t="shared" ref="AA24:AB24" si="41">SUM(AA4:AA23)</f>
        <v>1829089.51</v>
      </c>
      <c r="AB24" s="20">
        <f t="shared" si="41"/>
        <v>291265.21000000002</v>
      </c>
      <c r="AC24" s="20"/>
      <c r="AD24" s="20"/>
      <c r="AF24" s="27">
        <f>AT24/AU24</f>
        <v>6.2798077051495449</v>
      </c>
      <c r="AJ24" s="20">
        <f t="shared" ref="AJ24" si="42">SUM(AJ4:AJ23)</f>
        <v>291265.20999999996</v>
      </c>
      <c r="AP24" s="15">
        <f>SUM(AP4:AP23)</f>
        <v>2944281.16634044</v>
      </c>
      <c r="AQ24" s="13">
        <f t="shared" si="29"/>
        <v>1</v>
      </c>
      <c r="AR24" s="9">
        <f t="shared" si="30"/>
        <v>1</v>
      </c>
      <c r="AS24" s="13">
        <f t="shared" si="31"/>
        <v>0</v>
      </c>
      <c r="AT24" s="15">
        <f t="shared" ref="AT24" si="43">SUM(AT4:AT23)</f>
        <v>1829089.5100000005</v>
      </c>
      <c r="AU24" s="15">
        <f>SUM(AU4:AU23)</f>
        <v>291265.21000000002</v>
      </c>
      <c r="AZ24" s="20">
        <f t="shared" si="34"/>
        <v>100</v>
      </c>
      <c r="BA24" s="20" t="str">
        <f t="shared" si="35"/>
        <v/>
      </c>
      <c r="BB24" s="20">
        <f t="shared" si="36"/>
        <v>100.00000000000001</v>
      </c>
      <c r="BC24" s="20" t="str">
        <f t="shared" si="37"/>
        <v/>
      </c>
    </row>
    <row r="29" spans="2:68" x14ac:dyDescent="0.3">
      <c r="B29" t="str">
        <f>"L2_"&amp;B31</f>
        <v>L2_Key_Brand</v>
      </c>
      <c r="C29" t="str">
        <f t="shared" ref="C29:AW29" si="44">"L2_"&amp;C31</f>
        <v>L2_Key_Input</v>
      </c>
      <c r="D29" t="str">
        <f t="shared" si="44"/>
        <v>L2_Channel</v>
      </c>
      <c r="E29" t="str">
        <f t="shared" si="44"/>
        <v>L2_Brand</v>
      </c>
      <c r="F29" t="str">
        <f t="shared" si="44"/>
        <v>L2_PPG</v>
      </c>
      <c r="G29" t="str">
        <f t="shared" si="44"/>
        <v>L2_RSV</v>
      </c>
      <c r="H29" t="str">
        <f t="shared" si="44"/>
        <v>L2_Vol</v>
      </c>
      <c r="I29" t="str">
        <f t="shared" si="44"/>
        <v>L2_CSF</v>
      </c>
      <c r="J29" t="str">
        <f t="shared" si="44"/>
        <v>L2_MCV</v>
      </c>
      <c r="K29" t="str">
        <f t="shared" si="44"/>
        <v>L2_RSV_Total</v>
      </c>
      <c r="L29" t="str">
        <f t="shared" si="44"/>
        <v>L2_Volume_Total</v>
      </c>
      <c r="M29" t="str">
        <f t="shared" si="44"/>
        <v>L2_Current Price</v>
      </c>
      <c r="N29" t="str">
        <f t="shared" si="44"/>
        <v>L2_Price_FP</v>
      </c>
      <c r="O29" t="str">
        <f t="shared" si="44"/>
        <v>L2_Elasticity</v>
      </c>
      <c r="P29" t="str">
        <f t="shared" si="44"/>
        <v>L2_Val Share</v>
      </c>
      <c r="Q29" t="str">
        <f t="shared" si="44"/>
        <v>L2_Vol. Share</v>
      </c>
      <c r="R29" t="str">
        <f t="shared" si="44"/>
        <v>L2_NSV_to_RSV_o</v>
      </c>
      <c r="S29" t="str">
        <f t="shared" si="44"/>
        <v>L2_NSV_to_GM_o</v>
      </c>
      <c r="T29" t="str">
        <f t="shared" si="44"/>
        <v>L2_NSV_o</v>
      </c>
      <c r="U29" t="str">
        <f t="shared" si="44"/>
        <v>L2_GM_o</v>
      </c>
      <c r="V29" t="str">
        <f t="shared" si="44"/>
        <v>L2_Fixed Cost</v>
      </c>
      <c r="W29" t="str">
        <f t="shared" si="44"/>
        <v>L2_Fixed Cost per Unit</v>
      </c>
      <c r="X29" t="str">
        <f t="shared" si="44"/>
        <v>L2_TPV</v>
      </c>
      <c r="Y29" t="str">
        <f t="shared" si="44"/>
        <v>L2_PVS</v>
      </c>
      <c r="Z29" t="str">
        <f t="shared" si="44"/>
        <v>L2_MS Headroom</v>
      </c>
      <c r="AA29" t="str">
        <f t="shared" si="44"/>
        <v>L2_New RSV</v>
      </c>
      <c r="AB29" t="str">
        <f t="shared" si="44"/>
        <v>L2_Vol_i</v>
      </c>
      <c r="AC29" t="str">
        <f t="shared" si="44"/>
        <v>L2_NSV_i</v>
      </c>
      <c r="AD29" t="str">
        <f t="shared" si="44"/>
        <v>L2_GM</v>
      </c>
      <c r="AF29" t="str">
        <f t="shared" si="44"/>
        <v>L2_New Price</v>
      </c>
      <c r="AG29" t="str">
        <f t="shared" si="44"/>
        <v>L2_NSV_to_RSV</v>
      </c>
      <c r="AH29" t="str">
        <f t="shared" si="44"/>
        <v>L2_NSV_to_GM</v>
      </c>
      <c r="AI29" t="str">
        <f t="shared" si="44"/>
        <v>L2_Price_Chng</v>
      </c>
      <c r="AJ29" t="str">
        <f t="shared" si="44"/>
        <v>L2_Revised_New_Vol</v>
      </c>
      <c r="AK29" t="str">
        <f t="shared" si="44"/>
        <v>L2_New Category Price</v>
      </c>
      <c r="AL29" t="str">
        <f t="shared" si="44"/>
        <v>L2_Chg Category Price</v>
      </c>
      <c r="AM29" t="str">
        <f t="shared" si="44"/>
        <v>L2_Chng in Cat Vol.</v>
      </c>
      <c r="AN29" t="str">
        <f t="shared" si="44"/>
        <v>L2_New Cat Vol</v>
      </c>
      <c r="AO29" t="str">
        <f t="shared" si="44"/>
        <v>L2_New Cat Val</v>
      </c>
      <c r="AP29" t="str">
        <f t="shared" si="44"/>
        <v>L2_TPV_n</v>
      </c>
      <c r="AQ29" t="str">
        <f t="shared" si="44"/>
        <v>L2_TPV_Share</v>
      </c>
      <c r="AR29" t="str">
        <f t="shared" si="44"/>
        <v>L2_PVS_N</v>
      </c>
      <c r="AS29" t="str">
        <f t="shared" si="44"/>
        <v>L2_MSP_N</v>
      </c>
      <c r="AT29" t="str">
        <f t="shared" si="44"/>
        <v>L2_RSV_N</v>
      </c>
      <c r="AU29" t="str">
        <f t="shared" si="44"/>
        <v>L2_New Vol</v>
      </c>
      <c r="AV29" t="str">
        <f t="shared" si="44"/>
        <v>L2_New NSV</v>
      </c>
      <c r="AW29" t="str">
        <f t="shared" si="44"/>
        <v>L2_New GP</v>
      </c>
      <c r="AX29" s="108" t="str">
        <f t="shared" ref="AX29:AZ29" si="45">"L3_"&amp;AX31</f>
        <v>L3_Vol_Contri</v>
      </c>
      <c r="AY29" s="108" t="str">
        <f t="shared" si="45"/>
        <v>L3_Updated_Vol</v>
      </c>
      <c r="AZ29" s="108" t="str">
        <f t="shared" si="45"/>
        <v>L3_Sim. Vol Share</v>
      </c>
    </row>
    <row r="30" spans="2:68" x14ac:dyDescent="0.3">
      <c r="B30" s="26" t="str">
        <f>IFERROR(D30&amp;E30,"")</f>
        <v>ConvenienceTOTAL CATEGORY</v>
      </c>
      <c r="D30" s="109" t="str">
        <f>D32</f>
        <v>Convenience</v>
      </c>
      <c r="E30" s="3" t="s">
        <v>43</v>
      </c>
      <c r="G30" s="15">
        <f>SUM(G32:G229)</f>
        <v>1829089.51</v>
      </c>
      <c r="H30" s="15">
        <f>SUM(H32:H229)</f>
        <v>291265.20999999996</v>
      </c>
      <c r="J30" s="29">
        <f>'Input - Convenience'!M3</f>
        <v>11.89647074</v>
      </c>
      <c r="K30" s="15">
        <f t="shared" ref="K30:L30" si="46">SUM(K32:K229)</f>
        <v>5513650.6999999993</v>
      </c>
      <c r="L30" s="15">
        <f t="shared" si="46"/>
        <v>931687.6100000001</v>
      </c>
      <c r="M30" s="14">
        <f>IFERROR(G30/H30,"")</f>
        <v>6.2798077051495449</v>
      </c>
      <c r="N30" s="14">
        <f>IFERROR(K30/L30,"")</f>
        <v>5.9179178093824802</v>
      </c>
      <c r="O30" s="14">
        <f>IFERROR((M30/(M30-J30)*5),0)</f>
        <v>-5.5903368834701208</v>
      </c>
      <c r="P30" s="19">
        <f>SUM(P32:P229)</f>
        <v>1</v>
      </c>
      <c r="X30" s="12">
        <f>SUM(X32:X229)</f>
        <v>2944281.1663404414</v>
      </c>
      <c r="AP30" s="15">
        <f>SUM(AP32:AP229)</f>
        <v>2944281.1663404414</v>
      </c>
      <c r="AX30" s="108"/>
      <c r="AY30" s="108"/>
      <c r="AZ30" s="108"/>
      <c r="BE30" s="4"/>
    </row>
    <row r="31" spans="2:68" x14ac:dyDescent="0.3">
      <c r="B31" s="4" t="s">
        <v>42</v>
      </c>
      <c r="C31" s="4" t="s">
        <v>41</v>
      </c>
      <c r="D31" s="4" t="s">
        <v>0</v>
      </c>
      <c r="E31" s="4" t="s">
        <v>1</v>
      </c>
      <c r="F31" s="4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5" t="s">
        <v>10</v>
      </c>
      <c r="N31" s="5" t="s">
        <v>12</v>
      </c>
      <c r="O31" s="5" t="s">
        <v>11</v>
      </c>
      <c r="P31" s="5" t="s">
        <v>20</v>
      </c>
      <c r="Q31" s="5" t="s">
        <v>19</v>
      </c>
      <c r="R31" s="5" t="s">
        <v>27</v>
      </c>
      <c r="S31" s="5" t="s">
        <v>28</v>
      </c>
      <c r="T31" s="9" t="s">
        <v>29</v>
      </c>
      <c r="U31" s="9" t="s">
        <v>30</v>
      </c>
      <c r="V31" s="9" t="s">
        <v>47</v>
      </c>
      <c r="W31" s="9" t="s">
        <v>48</v>
      </c>
      <c r="X31" s="5" t="s">
        <v>22</v>
      </c>
      <c r="Y31" s="5" t="s">
        <v>23</v>
      </c>
      <c r="Z31" s="5" t="s">
        <v>24</v>
      </c>
      <c r="AA31" s="5" t="s">
        <v>25</v>
      </c>
      <c r="AB31" s="5" t="s">
        <v>26</v>
      </c>
      <c r="AC31" s="5" t="s">
        <v>21</v>
      </c>
      <c r="AD31" s="5" t="s">
        <v>18</v>
      </c>
      <c r="AE31" s="5"/>
      <c r="AF31" s="5" t="s">
        <v>13</v>
      </c>
      <c r="AG31" s="5" t="s">
        <v>16</v>
      </c>
      <c r="AH31" s="5" t="s">
        <v>17</v>
      </c>
      <c r="AI31" s="5" t="s">
        <v>14</v>
      </c>
      <c r="AJ31" s="5" t="s">
        <v>15</v>
      </c>
      <c r="AK31" s="17" t="s">
        <v>31</v>
      </c>
      <c r="AL31" s="17" t="s">
        <v>83</v>
      </c>
      <c r="AM31" s="18" t="s">
        <v>32</v>
      </c>
      <c r="AN31" s="18" t="s">
        <v>34</v>
      </c>
      <c r="AO31" s="18" t="s">
        <v>35</v>
      </c>
      <c r="AP31" s="4" t="s">
        <v>36</v>
      </c>
      <c r="AQ31" s="4" t="s">
        <v>37</v>
      </c>
      <c r="AR31" s="4" t="s">
        <v>44</v>
      </c>
      <c r="AS31" s="4" t="s">
        <v>45</v>
      </c>
      <c r="AT31" s="4" t="s">
        <v>46</v>
      </c>
      <c r="AU31" s="4" t="s">
        <v>38</v>
      </c>
      <c r="AV31" s="4" t="s">
        <v>39</v>
      </c>
      <c r="AW31" s="4" t="s">
        <v>40</v>
      </c>
      <c r="AX31" s="119" t="s">
        <v>102</v>
      </c>
      <c r="AY31" s="120" t="s">
        <v>103</v>
      </c>
      <c r="AZ31" s="120" t="s">
        <v>104</v>
      </c>
    </row>
    <row r="32" spans="2:68" x14ac:dyDescent="0.3">
      <c r="B32" s="108" t="str">
        <f>IFERROR(D32&amp;E32,"")</f>
        <v>ConvenienceHP</v>
      </c>
      <c r="C32" s="108" t="str">
        <f t="shared" ref="C32:C95" si="47">IFERROR(D32&amp;E32&amp;F32,"")</f>
        <v>ConvenienceHPMedium</v>
      </c>
      <c r="D32" s="3" t="s">
        <v>118</v>
      </c>
      <c r="E32" s="3" t="s">
        <v>107</v>
      </c>
      <c r="F32" s="3" t="s">
        <v>111</v>
      </c>
      <c r="G32" s="20">
        <f>IFERROR(INDEX('Input - Convenience'!F$2:F$200,MATCH('Calculations - Convenience'!$C32,'Input - Convenience'!$B$2:$B$200,0)),"")</f>
        <v>1332737.99</v>
      </c>
      <c r="H32" s="20">
        <f>IFERROR(INDEX('Input - Convenience'!G$2:G$200,MATCH('Calculations - Convenience'!$C32,'Input - Convenience'!$B$2:$B$200,0)),"")</f>
        <v>206311.21</v>
      </c>
      <c r="I32" s="21">
        <f>IFERROR(INDEX('Input - Convenience'!H$2:H$200,MATCH('Calculations - Convenience'!$C32,'Input - Convenience'!$B$2:$B$200,0)),"")</f>
        <v>2.2271377444739602</v>
      </c>
      <c r="J32" s="21">
        <f>IFERROR(INDEX('Input - Convenience'!I$2:I$200,MATCH('Calculations - Convenience'!$C32,'Input - Convenience'!$B$2:$B$200,0)),"")</f>
        <v>14.386959782860901</v>
      </c>
      <c r="K32" s="20">
        <f>IFERROR(INDEX('Input - Convenience'!J$2:J$200,MATCH('Calculations - Convenience'!$C32,'Input - Convenience'!$B$2:$B$200,0)),"")</f>
        <v>4121058.26</v>
      </c>
      <c r="L32" s="20">
        <f>IFERROR(INDEX('Input - Convenience'!K$2:K$200,MATCH('Calculations - Convenience'!$C32,'Input - Convenience'!$B$2:$B$200,0)),"")</f>
        <v>668501.81000000006</v>
      </c>
      <c r="M32" s="21">
        <f>IFERROR(G32/H32,"")</f>
        <v>6.4598428267664181</v>
      </c>
      <c r="N32" s="21">
        <f t="shared" ref="N32:N95" si="48">IFERROR(K32/L32,"")</f>
        <v>6.1646179536896089</v>
      </c>
      <c r="O32" s="21">
        <f>IFERROR((M32/(M32-J32)*5),0)</f>
        <v>-4.0745222144098667</v>
      </c>
      <c r="P32" s="9">
        <f t="shared" ref="P32:P63" si="49">G32/SUM(G$32:G$229)</f>
        <v>0.72863464730055771</v>
      </c>
      <c r="Q32" s="9">
        <f t="shared" ref="Q32:Q63" si="50">H32/SUM(H$32:H$229)</f>
        <v>0.70832767840690625</v>
      </c>
      <c r="R32" s="22">
        <f>IFERROR(INDEX(Convenience!$N$11:$N$148,MATCH('Calculations - Convenience'!$C32,Convenience!$J$11:$J$148,0)),"")</f>
        <v>0.8</v>
      </c>
      <c r="S32" s="22">
        <f>IFERROR(INDEX(Convenience!$O$11:$O$148,MATCH('Calculations - Convenience'!$C32,Convenience!$J$11:$J$148,0)),"")</f>
        <v>0.3</v>
      </c>
      <c r="T32" s="16">
        <f t="shared" ref="T32:T95" si="51">R32*G32</f>
        <v>1066190.392</v>
      </c>
      <c r="U32" s="16">
        <f>S32*T32</f>
        <v>319857.1176</v>
      </c>
      <c r="V32" s="16">
        <f>T32-U32</f>
        <v>746333.27439999999</v>
      </c>
      <c r="W32" s="10">
        <f t="shared" ref="W32:W95" si="52">IFERROR(V32/H32,"-")</f>
        <v>3.617511982989194</v>
      </c>
      <c r="X32" s="10">
        <f t="shared" ref="X32:X95" si="53">IFERROR((J32+M32)*H32*0.5,"-")</f>
        <v>2150464.5355116846</v>
      </c>
      <c r="Y32" s="13">
        <f>IFERROR(X32/$X$30,"-")</f>
        <v>0.73038694812716487</v>
      </c>
      <c r="Z32" s="9">
        <f t="shared" ref="Z32:Z95" si="54">IFERROR(Y32-P32,"-")</f>
        <v>1.752300826607156E-3</v>
      </c>
      <c r="AA32" s="16">
        <f>IFERROR(Y32*$G$30,"-")</f>
        <v>1335943.1050603115</v>
      </c>
      <c r="AB32" s="16">
        <f t="shared" ref="AB32:AB95" si="55">IFERROR(AA32/M32,"-")</f>
        <v>206807.36991383426</v>
      </c>
      <c r="AC32" s="16">
        <f t="shared" ref="AC32:AC95" si="56">IFERROR(R32*AA32,"-")</f>
        <v>1068754.4840482492</v>
      </c>
      <c r="AD32" s="16">
        <f>IFERROR(AC32-(W32)*AB32,"-")</f>
        <v>320626.34521447483</v>
      </c>
      <c r="AE32" s="16"/>
      <c r="AF32" s="31">
        <f>IFERROR(INDEX(Convenience!$M$11:$M$148,MATCH('Calculations - Convenience'!C32,Convenience!$J$11:$J$148,0)),"")</f>
        <v>6.4598428267664181</v>
      </c>
      <c r="AG32" s="23">
        <f>R32</f>
        <v>0.8</v>
      </c>
      <c r="AH32" s="23">
        <f>S32</f>
        <v>0.3</v>
      </c>
      <c r="AI32" s="9">
        <f t="shared" ref="AI32:AI95" si="57">IFERROR((AF32-M32)/M32,"")</f>
        <v>0</v>
      </c>
      <c r="AJ32" s="4">
        <f t="shared" ref="AJ32:AJ95" si="58">IFERROR(MAX((1+AI32*O32/5)*H32,0),"")</f>
        <v>206311.21</v>
      </c>
      <c r="AK32" s="18">
        <f>SUMPRODUCT(AF$32:AF$229,AJ$32:AJ$229)/SUM(AJ$32:AJ$229)</f>
        <v>6.2798077051495449</v>
      </c>
      <c r="AL32" s="24">
        <f>$AK32/$M$30-1</f>
        <v>0</v>
      </c>
      <c r="AM32" s="24">
        <f>$AL32*$O$30/5</f>
        <v>0</v>
      </c>
      <c r="AN32" s="25">
        <f>(1+$AM32)*$H$30</f>
        <v>291265.20999999996</v>
      </c>
      <c r="AO32" s="25">
        <f>AN32*AK32</f>
        <v>1829089.51</v>
      </c>
      <c r="AP32" s="20">
        <f t="shared" ref="AP32:AP95" si="59">IFERROR(0.5*(J32+AF32)*AJ32,"-")</f>
        <v>2150464.5355116846</v>
      </c>
      <c r="AQ32" s="13">
        <f>IFERROR(AP32/AP$30,"-")</f>
        <v>0.73038694812716487</v>
      </c>
      <c r="AR32" s="13">
        <f>IFERROR(AQ32*$P$30,"-")</f>
        <v>0.73038694812716487</v>
      </c>
      <c r="AS32" s="13">
        <f t="shared" ref="AS32:AS95" si="60">IFERROR(AR32-P32,"-")</f>
        <v>1.752300826607156E-3</v>
      </c>
      <c r="AT32" s="16">
        <f>IFERROR(AR32*AO$32,"-")</f>
        <v>1335943.1050603115</v>
      </c>
      <c r="AU32" s="16">
        <f t="shared" ref="AU32:AU95" si="61">IFERROR(AT32/AF32,"-")</f>
        <v>206807.36991383426</v>
      </c>
      <c r="AV32" s="16">
        <f t="shared" ref="AV32:AV95" si="62">IFERROR(AG32*AT32,"-")</f>
        <v>1068754.4840482492</v>
      </c>
      <c r="AW32" s="16">
        <f>IFERROR(AV32-(W32*AU32),"-")</f>
        <v>320626.34521447483</v>
      </c>
      <c r="AX32" s="13">
        <f>IFERROR(AU32/SUMIFS($AU$32:$AU$229,$B$32:$B$229,$B32),"-")</f>
        <v>0.71015894699599513</v>
      </c>
      <c r="AY32" s="10">
        <f>IFERROR(AX32*INDEX($AU$4:$AU$24,MATCH($B32,$D$4:$D$24,0)),"-")</f>
        <v>206844.59483016739</v>
      </c>
      <c r="AZ32" s="9">
        <f>IFERROR(AY32/SUM($AY$32:$AY$229),"-")</f>
        <v>0.71015894699599513</v>
      </c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</row>
    <row r="33" spans="2:68" x14ac:dyDescent="0.3">
      <c r="B33" s="108" t="str">
        <f t="shared" ref="B33:B96" si="63">IFERROR(D33&amp;E33,"")</f>
        <v>ConvenienceHP</v>
      </c>
      <c r="C33" s="108" t="str">
        <f t="shared" si="47"/>
        <v>ConvenienceHPLarge</v>
      </c>
      <c r="D33" s="3" t="s">
        <v>118</v>
      </c>
      <c r="E33" s="3" t="s">
        <v>107</v>
      </c>
      <c r="F33" s="3" t="s">
        <v>112</v>
      </c>
      <c r="G33" s="20">
        <f>IFERROR(INDEX('Input - Convenience'!F$2:F$200,MATCH('Calculations - Convenience'!$C33,'Input - Convenience'!$B$2:$B$200,0)),"")</f>
        <v>496351.52</v>
      </c>
      <c r="H33" s="20">
        <f>IFERROR(INDEX('Input - Convenience'!G$2:G$200,MATCH('Calculations - Convenience'!$C33,'Input - Convenience'!$B$2:$B$200,0)),"")</f>
        <v>84954</v>
      </c>
      <c r="I33" s="21">
        <f>IFERROR(INDEX('Input - Convenience'!H$2:H$200,MATCH('Calculations - Convenience'!$C33,'Input - Convenience'!$B$2:$B$200,0)),"")</f>
        <v>2.1986066279348102</v>
      </c>
      <c r="J33" s="21">
        <f>IFERROR(INDEX('Input - Convenience'!I$2:I$200,MATCH('Calculations - Convenience'!$C33,'Input - Convenience'!$B$2:$B$200,0)),"")</f>
        <v>12.8455604404444</v>
      </c>
      <c r="K33" s="20">
        <f>IFERROR(INDEX('Input - Convenience'!J$2:J$200,MATCH('Calculations - Convenience'!$C33,'Input - Convenience'!$B$2:$B$200,0)),"")</f>
        <v>1392592.44</v>
      </c>
      <c r="L33" s="20">
        <f>IFERROR(INDEX('Input - Convenience'!K$2:K$200,MATCH('Calculations - Convenience'!$C33,'Input - Convenience'!$B$2:$B$200,0)),"")</f>
        <v>263185.8</v>
      </c>
      <c r="M33" s="21">
        <f t="shared" ref="M33:M96" si="64">IFERROR(G33/H33,"")</f>
        <v>5.8425915201167689</v>
      </c>
      <c r="N33" s="21">
        <f t="shared" si="48"/>
        <v>5.2912901835889325</v>
      </c>
      <c r="O33" s="21">
        <f t="shared" ref="O33:O96" si="65">IFERROR((M33/(M33-J33)*5),0)</f>
        <v>-4.1715103883706988</v>
      </c>
      <c r="P33" s="9">
        <f t="shared" si="49"/>
        <v>0.27136535269944223</v>
      </c>
      <c r="Q33" s="9">
        <f t="shared" si="50"/>
        <v>0.29167232159309386</v>
      </c>
      <c r="R33" s="22">
        <f>IFERROR(INDEX(Convenience!$N$11:$N$148,MATCH('Calculations - Convenience'!$C33,Convenience!$J$11:$J$148,0)),"")</f>
        <v>0.8</v>
      </c>
      <c r="S33" s="22">
        <f>IFERROR(INDEX(Convenience!$O$11:$O$148,MATCH('Calculations - Convenience'!$C33,Convenience!$J$11:$J$148,0)),"")</f>
        <v>0.3</v>
      </c>
      <c r="T33" s="16">
        <f t="shared" si="51"/>
        <v>397081.21600000001</v>
      </c>
      <c r="U33" s="16">
        <f t="shared" ref="U33:U96" si="66">S33*T33</f>
        <v>119124.3648</v>
      </c>
      <c r="V33" s="16">
        <f t="shared" ref="V33:V96" si="67">T33-U33</f>
        <v>277956.85120000003</v>
      </c>
      <c r="W33" s="10">
        <f t="shared" si="52"/>
        <v>3.271851251265391</v>
      </c>
      <c r="X33" s="10">
        <f t="shared" si="53"/>
        <v>793816.63082875672</v>
      </c>
      <c r="Y33" s="13">
        <f t="shared" ref="Y33:Y96" si="68">IFERROR(X33/$X$30,"-")</f>
        <v>0.26961305187283507</v>
      </c>
      <c r="Z33" s="9">
        <f t="shared" si="54"/>
        <v>-1.752300826607156E-3</v>
      </c>
      <c r="AA33" s="16">
        <f t="shared" ref="AA33:AA96" si="69">IFERROR(Y33*$G$30,"-")</f>
        <v>493146.40493968851</v>
      </c>
      <c r="AB33" s="16">
        <f t="shared" si="55"/>
        <v>84405.422361245714</v>
      </c>
      <c r="AC33" s="16">
        <f t="shared" si="56"/>
        <v>394517.12395175081</v>
      </c>
      <c r="AD33" s="16">
        <f t="shared" ref="AD33:AD96" si="70">IFERROR(AC33-(W33)*AB33,"-")</f>
        <v>118355.13718552521</v>
      </c>
      <c r="AE33" s="16"/>
      <c r="AF33" s="31">
        <f>IFERROR(INDEX(Convenience!$M$11:$M$148,MATCH('Calculations - Convenience'!C33,Convenience!$J$11:$J$148,0)),"")</f>
        <v>5.8425915201167689</v>
      </c>
      <c r="AG33" s="23">
        <f t="shared" ref="AG33:AH96" si="71">R33</f>
        <v>0.8</v>
      </c>
      <c r="AH33" s="23">
        <f t="shared" si="71"/>
        <v>0.3</v>
      </c>
      <c r="AI33" s="9">
        <f t="shared" si="57"/>
        <v>0</v>
      </c>
      <c r="AJ33" s="4">
        <f t="shared" si="58"/>
        <v>84954</v>
      </c>
      <c r="AK33" s="4"/>
      <c r="AL33" s="4"/>
      <c r="AM33" s="4"/>
      <c r="AN33" s="4"/>
      <c r="AO33" s="4"/>
      <c r="AP33" s="20">
        <f t="shared" si="59"/>
        <v>793816.63082875672</v>
      </c>
      <c r="AQ33" s="13">
        <f t="shared" ref="AQ33:AQ96" si="72">IFERROR(AP33/AP$30,"-")</f>
        <v>0.26961305187283507</v>
      </c>
      <c r="AR33" s="13">
        <f t="shared" ref="AR33:AR96" si="73">IFERROR(AQ33*$P$30,"-")</f>
        <v>0.26961305187283507</v>
      </c>
      <c r="AS33" s="13">
        <f t="shared" si="60"/>
        <v>-1.752300826607156E-3</v>
      </c>
      <c r="AT33" s="16">
        <f t="shared" ref="AT33:AT96" si="74">IFERROR(AR33*AO$32,"-")</f>
        <v>493146.40493968851</v>
      </c>
      <c r="AU33" s="16">
        <f t="shared" si="61"/>
        <v>84405.422361245714</v>
      </c>
      <c r="AV33" s="16">
        <f t="shared" si="62"/>
        <v>394517.12395175081</v>
      </c>
      <c r="AW33" s="16">
        <f t="shared" ref="AW33:AW96" si="75">IFERROR(AV33-(W33*AU33),"-")</f>
        <v>118355.13718552521</v>
      </c>
      <c r="AX33" s="13">
        <f t="shared" ref="AX33:AX96" si="76">IFERROR(AU33/SUMIFS($AU$32:$AU$229,$B$32:$B$229,$B33),"-")</f>
        <v>0.28984105300400487</v>
      </c>
      <c r="AY33" s="10">
        <f t="shared" ref="AY33:AY96" si="77">IFERROR(AX33*INDEX($AU$4:$AU$24,MATCH($B33,$D$4:$D$24,0)),"-")</f>
        <v>84420.615169832614</v>
      </c>
      <c r="AZ33" s="9">
        <f t="shared" ref="AZ33:AZ96" si="78">IFERROR(AY33/SUM($AY$32:$AY$229),"-")</f>
        <v>0.28984105300400487</v>
      </c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</row>
    <row r="34" spans="2:68" x14ac:dyDescent="0.3">
      <c r="B34" s="108" t="str">
        <f t="shared" si="63"/>
        <v/>
      </c>
      <c r="C34" s="108" t="str">
        <f t="shared" si="47"/>
        <v/>
      </c>
      <c r="D34" s="3"/>
      <c r="E34" s="3"/>
      <c r="F34" s="3"/>
      <c r="G34" s="20">
        <f>IFERROR(INDEX('Input - Convenience'!F$2:F$200,MATCH('Calculations - Convenience'!$C34,'Input - Convenience'!$B$2:$B$200,0)),"")</f>
        <v>0</v>
      </c>
      <c r="H34" s="20">
        <f>IFERROR(INDEX('Input - Convenience'!G$2:G$200,MATCH('Calculations - Convenience'!$C34,'Input - Convenience'!$B$2:$B$200,0)),"")</f>
        <v>0</v>
      </c>
      <c r="I34" s="21">
        <f>IFERROR(INDEX('Input - Convenience'!H$2:H$200,MATCH('Calculations - Convenience'!$C34,'Input - Convenience'!$B$2:$B$200,0)),"")</f>
        <v>0</v>
      </c>
      <c r="J34" s="21">
        <f>IFERROR(INDEX('Input - Convenience'!I$2:I$200,MATCH('Calculations - Convenience'!$C34,'Input - Convenience'!$B$2:$B$200,0)),"")</f>
        <v>0</v>
      </c>
      <c r="K34" s="20">
        <f>IFERROR(INDEX('Input - Convenience'!J$2:J$200,MATCH('Calculations - Convenience'!$C34,'Input - Convenience'!$B$2:$B$200,0)),"")</f>
        <v>0</v>
      </c>
      <c r="L34" s="20">
        <f>IFERROR(INDEX('Input - Convenience'!K$2:K$200,MATCH('Calculations - Convenience'!$C34,'Input - Convenience'!$B$2:$B$200,0)),"")</f>
        <v>0</v>
      </c>
      <c r="M34" s="21" t="str">
        <f t="shared" si="64"/>
        <v/>
      </c>
      <c r="N34" s="21" t="str">
        <f t="shared" si="48"/>
        <v/>
      </c>
      <c r="O34" s="21">
        <f t="shared" si="65"/>
        <v>0</v>
      </c>
      <c r="P34" s="9">
        <f t="shared" si="49"/>
        <v>0</v>
      </c>
      <c r="Q34" s="9">
        <f t="shared" si="50"/>
        <v>0</v>
      </c>
      <c r="R34" s="22" t="str">
        <f>IFERROR(INDEX(Convenience!$N$11:$N$148,MATCH('Calculations - Convenience'!$C34,Convenience!$J$11:$J$148,0)),"")</f>
        <v/>
      </c>
      <c r="S34" s="22" t="str">
        <f>IFERROR(INDEX(Convenience!$O$11:$O$148,MATCH('Calculations - Convenience'!$C34,Convenience!$J$11:$J$148,0)),"")</f>
        <v/>
      </c>
      <c r="T34" s="16" t="e">
        <f t="shared" si="51"/>
        <v>#VALUE!</v>
      </c>
      <c r="U34" s="16" t="e">
        <f t="shared" si="66"/>
        <v>#VALUE!</v>
      </c>
      <c r="V34" s="16" t="e">
        <f t="shared" si="67"/>
        <v>#VALUE!</v>
      </c>
      <c r="W34" s="10" t="str">
        <f t="shared" si="52"/>
        <v>-</v>
      </c>
      <c r="X34" s="10" t="str">
        <f t="shared" si="53"/>
        <v>-</v>
      </c>
      <c r="Y34" s="13" t="str">
        <f t="shared" si="68"/>
        <v>-</v>
      </c>
      <c r="Z34" s="9" t="str">
        <f t="shared" si="54"/>
        <v>-</v>
      </c>
      <c r="AA34" s="16" t="str">
        <f t="shared" si="69"/>
        <v>-</v>
      </c>
      <c r="AB34" s="16" t="str">
        <f t="shared" si="55"/>
        <v>-</v>
      </c>
      <c r="AC34" s="16" t="str">
        <f t="shared" si="56"/>
        <v>-</v>
      </c>
      <c r="AD34" s="16" t="str">
        <f t="shared" si="70"/>
        <v>-</v>
      </c>
      <c r="AE34" s="16"/>
      <c r="AF34" s="31" t="str">
        <f>IFERROR(INDEX(Convenience!$M$11:$M$148,MATCH('Calculations - Convenience'!C34,Convenience!$J$11:$J$148,0)),"")</f>
        <v/>
      </c>
      <c r="AG34" s="23" t="str">
        <f t="shared" si="71"/>
        <v/>
      </c>
      <c r="AH34" s="23" t="str">
        <f t="shared" si="71"/>
        <v/>
      </c>
      <c r="AI34" s="9" t="str">
        <f t="shared" si="57"/>
        <v/>
      </c>
      <c r="AJ34" s="4" t="str">
        <f t="shared" si="58"/>
        <v/>
      </c>
      <c r="AK34" s="4"/>
      <c r="AL34" s="4"/>
      <c r="AM34" s="4"/>
      <c r="AN34" s="4"/>
      <c r="AO34" s="4"/>
      <c r="AP34" s="20" t="str">
        <f t="shared" si="59"/>
        <v>-</v>
      </c>
      <c r="AQ34" s="13" t="str">
        <f t="shared" si="72"/>
        <v>-</v>
      </c>
      <c r="AR34" s="13" t="str">
        <f t="shared" si="73"/>
        <v>-</v>
      </c>
      <c r="AS34" s="13" t="str">
        <f t="shared" si="60"/>
        <v>-</v>
      </c>
      <c r="AT34" s="16" t="str">
        <f t="shared" si="74"/>
        <v>-</v>
      </c>
      <c r="AU34" s="16" t="str">
        <f t="shared" si="61"/>
        <v>-</v>
      </c>
      <c r="AV34" s="16" t="str">
        <f t="shared" si="62"/>
        <v>-</v>
      </c>
      <c r="AW34" s="16" t="str">
        <f t="shared" si="75"/>
        <v>-</v>
      </c>
      <c r="AX34" s="13" t="str">
        <f t="shared" si="76"/>
        <v>-</v>
      </c>
      <c r="AY34" s="10" t="str">
        <f t="shared" si="77"/>
        <v>-</v>
      </c>
      <c r="AZ34" s="9" t="str">
        <f t="shared" si="78"/>
        <v>-</v>
      </c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</row>
    <row r="35" spans="2:68" x14ac:dyDescent="0.3">
      <c r="B35" s="108" t="str">
        <f t="shared" si="63"/>
        <v/>
      </c>
      <c r="C35" s="108" t="str">
        <f t="shared" si="47"/>
        <v/>
      </c>
      <c r="D35" s="3"/>
      <c r="E35" s="3"/>
      <c r="F35" s="3"/>
      <c r="G35" s="20">
        <f>IFERROR(INDEX('Input - Convenience'!F$2:F$200,MATCH('Calculations - Convenience'!$C35,'Input - Convenience'!$B$2:$B$200,0)),"")</f>
        <v>0</v>
      </c>
      <c r="H35" s="20">
        <f>IFERROR(INDEX('Input - Convenience'!G$2:G$200,MATCH('Calculations - Convenience'!$C35,'Input - Convenience'!$B$2:$B$200,0)),"")</f>
        <v>0</v>
      </c>
      <c r="I35" s="21">
        <f>IFERROR(INDEX('Input - Convenience'!H$2:H$200,MATCH('Calculations - Convenience'!$C35,'Input - Convenience'!$B$2:$B$200,0)),"")</f>
        <v>0</v>
      </c>
      <c r="J35" s="21">
        <f>IFERROR(INDEX('Input - Convenience'!I$2:I$200,MATCH('Calculations - Convenience'!$C35,'Input - Convenience'!$B$2:$B$200,0)),"")</f>
        <v>0</v>
      </c>
      <c r="K35" s="20">
        <f>IFERROR(INDEX('Input - Convenience'!J$2:J$200,MATCH('Calculations - Convenience'!$C35,'Input - Convenience'!$B$2:$B$200,0)),"")</f>
        <v>0</v>
      </c>
      <c r="L35" s="20">
        <f>IFERROR(INDEX('Input - Convenience'!K$2:K$200,MATCH('Calculations - Convenience'!$C35,'Input - Convenience'!$B$2:$B$200,0)),"")</f>
        <v>0</v>
      </c>
      <c r="M35" s="21" t="str">
        <f t="shared" si="64"/>
        <v/>
      </c>
      <c r="N35" s="21" t="str">
        <f t="shared" si="48"/>
        <v/>
      </c>
      <c r="O35" s="21">
        <f t="shared" si="65"/>
        <v>0</v>
      </c>
      <c r="P35" s="9">
        <f t="shared" si="49"/>
        <v>0</v>
      </c>
      <c r="Q35" s="9">
        <f t="shared" si="50"/>
        <v>0</v>
      </c>
      <c r="R35" s="22" t="str">
        <f>IFERROR(INDEX(Convenience!$N$11:$N$148,MATCH('Calculations - Convenience'!$C35,Convenience!$J$11:$J$148,0)),"")</f>
        <v/>
      </c>
      <c r="S35" s="22" t="str">
        <f>IFERROR(INDEX(Convenience!$O$11:$O$148,MATCH('Calculations - Convenience'!$C35,Convenience!$J$11:$J$148,0)),"")</f>
        <v/>
      </c>
      <c r="T35" s="16" t="e">
        <f t="shared" si="51"/>
        <v>#VALUE!</v>
      </c>
      <c r="U35" s="16" t="e">
        <f t="shared" si="66"/>
        <v>#VALUE!</v>
      </c>
      <c r="V35" s="16" t="e">
        <f t="shared" si="67"/>
        <v>#VALUE!</v>
      </c>
      <c r="W35" s="10" t="str">
        <f t="shared" si="52"/>
        <v>-</v>
      </c>
      <c r="X35" s="10" t="str">
        <f t="shared" si="53"/>
        <v>-</v>
      </c>
      <c r="Y35" s="13" t="str">
        <f t="shared" si="68"/>
        <v>-</v>
      </c>
      <c r="Z35" s="9" t="str">
        <f t="shared" si="54"/>
        <v>-</v>
      </c>
      <c r="AA35" s="16" t="str">
        <f t="shared" si="69"/>
        <v>-</v>
      </c>
      <c r="AB35" s="16" t="str">
        <f t="shared" si="55"/>
        <v>-</v>
      </c>
      <c r="AC35" s="16" t="str">
        <f t="shared" si="56"/>
        <v>-</v>
      </c>
      <c r="AD35" s="16" t="str">
        <f t="shared" si="70"/>
        <v>-</v>
      </c>
      <c r="AE35" s="16"/>
      <c r="AF35" s="31" t="str">
        <f>IFERROR(INDEX(Convenience!$M$11:$M$148,MATCH('Calculations - Convenience'!C35,Convenience!$J$11:$J$148,0)),"")</f>
        <v/>
      </c>
      <c r="AG35" s="23" t="str">
        <f t="shared" si="71"/>
        <v/>
      </c>
      <c r="AH35" s="23" t="str">
        <f t="shared" si="71"/>
        <v/>
      </c>
      <c r="AI35" s="9" t="str">
        <f t="shared" si="57"/>
        <v/>
      </c>
      <c r="AJ35" s="4" t="str">
        <f t="shared" si="58"/>
        <v/>
      </c>
      <c r="AK35" s="4"/>
      <c r="AL35" s="4"/>
      <c r="AM35" s="4"/>
      <c r="AN35" s="4"/>
      <c r="AO35" s="4"/>
      <c r="AP35" s="20" t="str">
        <f t="shared" si="59"/>
        <v>-</v>
      </c>
      <c r="AQ35" s="13" t="str">
        <f t="shared" si="72"/>
        <v>-</v>
      </c>
      <c r="AR35" s="13" t="str">
        <f t="shared" si="73"/>
        <v>-</v>
      </c>
      <c r="AS35" s="13" t="str">
        <f t="shared" si="60"/>
        <v>-</v>
      </c>
      <c r="AT35" s="16" t="str">
        <f t="shared" si="74"/>
        <v>-</v>
      </c>
      <c r="AU35" s="16" t="str">
        <f t="shared" si="61"/>
        <v>-</v>
      </c>
      <c r="AV35" s="16" t="str">
        <f t="shared" si="62"/>
        <v>-</v>
      </c>
      <c r="AW35" s="16" t="str">
        <f t="shared" si="75"/>
        <v>-</v>
      </c>
      <c r="AX35" s="13" t="str">
        <f t="shared" si="76"/>
        <v>-</v>
      </c>
      <c r="AY35" s="10" t="str">
        <f t="shared" si="77"/>
        <v>-</v>
      </c>
      <c r="AZ35" s="9" t="str">
        <f t="shared" si="78"/>
        <v>-</v>
      </c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</row>
    <row r="36" spans="2:68" x14ac:dyDescent="0.3">
      <c r="B36" s="108" t="str">
        <f t="shared" si="63"/>
        <v/>
      </c>
      <c r="C36" s="108" t="str">
        <f t="shared" si="47"/>
        <v/>
      </c>
      <c r="D36" s="3"/>
      <c r="E36" s="3"/>
      <c r="F36" s="3"/>
      <c r="G36" s="20">
        <f>IFERROR(INDEX('Input - Convenience'!F$2:F$200,MATCH('Calculations - Convenience'!$C36,'Input - Convenience'!$B$2:$B$200,0)),"")</f>
        <v>0</v>
      </c>
      <c r="H36" s="20">
        <f>IFERROR(INDEX('Input - Convenience'!G$2:G$200,MATCH('Calculations - Convenience'!$C36,'Input - Convenience'!$B$2:$B$200,0)),"")</f>
        <v>0</v>
      </c>
      <c r="I36" s="21">
        <f>IFERROR(INDEX('Input - Convenience'!H$2:H$200,MATCH('Calculations - Convenience'!$C36,'Input - Convenience'!$B$2:$B$200,0)),"")</f>
        <v>0</v>
      </c>
      <c r="J36" s="21">
        <f>IFERROR(INDEX('Input - Convenience'!I$2:I$200,MATCH('Calculations - Convenience'!$C36,'Input - Convenience'!$B$2:$B$200,0)),"")</f>
        <v>0</v>
      </c>
      <c r="K36" s="20">
        <f>IFERROR(INDEX('Input - Convenience'!J$2:J$200,MATCH('Calculations - Convenience'!$C36,'Input - Convenience'!$B$2:$B$200,0)),"")</f>
        <v>0</v>
      </c>
      <c r="L36" s="20">
        <f>IFERROR(INDEX('Input - Convenience'!K$2:K$200,MATCH('Calculations - Convenience'!$C36,'Input - Convenience'!$B$2:$B$200,0)),"")</f>
        <v>0</v>
      </c>
      <c r="M36" s="21" t="str">
        <f t="shared" si="64"/>
        <v/>
      </c>
      <c r="N36" s="21" t="str">
        <f t="shared" si="48"/>
        <v/>
      </c>
      <c r="O36" s="21">
        <f t="shared" si="65"/>
        <v>0</v>
      </c>
      <c r="P36" s="9">
        <f t="shared" si="49"/>
        <v>0</v>
      </c>
      <c r="Q36" s="9">
        <f t="shared" si="50"/>
        <v>0</v>
      </c>
      <c r="R36" s="22" t="str">
        <f>IFERROR(INDEX(Convenience!$N$11:$N$148,MATCH('Calculations - Convenience'!$C36,Convenience!$J$11:$J$148,0)),"")</f>
        <v/>
      </c>
      <c r="S36" s="22" t="str">
        <f>IFERROR(INDEX(Convenience!$O$11:$O$148,MATCH('Calculations - Convenience'!$C36,Convenience!$J$11:$J$148,0)),"")</f>
        <v/>
      </c>
      <c r="T36" s="16" t="e">
        <f t="shared" si="51"/>
        <v>#VALUE!</v>
      </c>
      <c r="U36" s="16" t="e">
        <f t="shared" si="66"/>
        <v>#VALUE!</v>
      </c>
      <c r="V36" s="16" t="e">
        <f t="shared" si="67"/>
        <v>#VALUE!</v>
      </c>
      <c r="W36" s="10" t="str">
        <f t="shared" si="52"/>
        <v>-</v>
      </c>
      <c r="X36" s="10" t="str">
        <f t="shared" si="53"/>
        <v>-</v>
      </c>
      <c r="Y36" s="13" t="str">
        <f t="shared" si="68"/>
        <v>-</v>
      </c>
      <c r="Z36" s="9" t="str">
        <f t="shared" si="54"/>
        <v>-</v>
      </c>
      <c r="AA36" s="16" t="str">
        <f t="shared" si="69"/>
        <v>-</v>
      </c>
      <c r="AB36" s="16" t="str">
        <f t="shared" si="55"/>
        <v>-</v>
      </c>
      <c r="AC36" s="16" t="str">
        <f t="shared" si="56"/>
        <v>-</v>
      </c>
      <c r="AD36" s="16" t="str">
        <f t="shared" si="70"/>
        <v>-</v>
      </c>
      <c r="AE36" s="16"/>
      <c r="AF36" s="31" t="str">
        <f>IFERROR(INDEX(Convenience!$M$11:$M$148,MATCH('Calculations - Convenience'!C36,Convenience!$J$11:$J$148,0)),"")</f>
        <v/>
      </c>
      <c r="AG36" s="23" t="str">
        <f t="shared" si="71"/>
        <v/>
      </c>
      <c r="AH36" s="23" t="str">
        <f t="shared" si="71"/>
        <v/>
      </c>
      <c r="AI36" s="9" t="str">
        <f t="shared" si="57"/>
        <v/>
      </c>
      <c r="AJ36" s="4" t="str">
        <f t="shared" si="58"/>
        <v/>
      </c>
      <c r="AK36" s="4"/>
      <c r="AL36" s="4"/>
      <c r="AM36" s="4"/>
      <c r="AN36" s="4"/>
      <c r="AO36" s="4"/>
      <c r="AP36" s="20" t="str">
        <f t="shared" si="59"/>
        <v>-</v>
      </c>
      <c r="AQ36" s="13" t="str">
        <f t="shared" si="72"/>
        <v>-</v>
      </c>
      <c r="AR36" s="13" t="str">
        <f t="shared" si="73"/>
        <v>-</v>
      </c>
      <c r="AS36" s="13" t="str">
        <f t="shared" si="60"/>
        <v>-</v>
      </c>
      <c r="AT36" s="16" t="str">
        <f t="shared" si="74"/>
        <v>-</v>
      </c>
      <c r="AU36" s="16" t="str">
        <f t="shared" si="61"/>
        <v>-</v>
      </c>
      <c r="AV36" s="16" t="str">
        <f t="shared" si="62"/>
        <v>-</v>
      </c>
      <c r="AW36" s="16" t="str">
        <f t="shared" si="75"/>
        <v>-</v>
      </c>
      <c r="AX36" s="13" t="str">
        <f t="shared" si="76"/>
        <v>-</v>
      </c>
      <c r="AY36" s="10" t="str">
        <f t="shared" si="77"/>
        <v>-</v>
      </c>
      <c r="AZ36" s="9" t="str">
        <f t="shared" si="78"/>
        <v>-</v>
      </c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</row>
    <row r="37" spans="2:68" x14ac:dyDescent="0.3">
      <c r="B37" s="108" t="str">
        <f t="shared" si="63"/>
        <v/>
      </c>
      <c r="C37" s="108" t="str">
        <f t="shared" si="47"/>
        <v/>
      </c>
      <c r="D37" s="3"/>
      <c r="E37" s="3"/>
      <c r="F37" s="3"/>
      <c r="G37" s="20">
        <f>IFERROR(INDEX('Input - Convenience'!F$2:F$200,MATCH('Calculations - Convenience'!$C37,'Input - Convenience'!$B$2:$B$200,0)),"")</f>
        <v>0</v>
      </c>
      <c r="H37" s="20">
        <f>IFERROR(INDEX('Input - Convenience'!G$2:G$200,MATCH('Calculations - Convenience'!$C37,'Input - Convenience'!$B$2:$B$200,0)),"")</f>
        <v>0</v>
      </c>
      <c r="I37" s="21">
        <f>IFERROR(INDEX('Input - Convenience'!H$2:H$200,MATCH('Calculations - Convenience'!$C37,'Input - Convenience'!$B$2:$B$200,0)),"")</f>
        <v>0</v>
      </c>
      <c r="J37" s="21">
        <f>IFERROR(INDEX('Input - Convenience'!I$2:I$200,MATCH('Calculations - Convenience'!$C37,'Input - Convenience'!$B$2:$B$200,0)),"")</f>
        <v>0</v>
      </c>
      <c r="K37" s="20">
        <f>IFERROR(INDEX('Input - Convenience'!J$2:J$200,MATCH('Calculations - Convenience'!$C37,'Input - Convenience'!$B$2:$B$200,0)),"")</f>
        <v>0</v>
      </c>
      <c r="L37" s="20">
        <f>IFERROR(INDEX('Input - Convenience'!K$2:K$200,MATCH('Calculations - Convenience'!$C37,'Input - Convenience'!$B$2:$B$200,0)),"")</f>
        <v>0</v>
      </c>
      <c r="M37" s="21" t="str">
        <f t="shared" si="64"/>
        <v/>
      </c>
      <c r="N37" s="21" t="str">
        <f t="shared" si="48"/>
        <v/>
      </c>
      <c r="O37" s="21">
        <f t="shared" si="65"/>
        <v>0</v>
      </c>
      <c r="P37" s="9">
        <f t="shared" si="49"/>
        <v>0</v>
      </c>
      <c r="Q37" s="9">
        <f t="shared" si="50"/>
        <v>0</v>
      </c>
      <c r="R37" s="22" t="str">
        <f>IFERROR(INDEX(Convenience!$N$11:$N$148,MATCH('Calculations - Convenience'!$C37,Convenience!$J$11:$J$148,0)),"")</f>
        <v/>
      </c>
      <c r="S37" s="22" t="str">
        <f>IFERROR(INDEX(Convenience!$O$11:$O$148,MATCH('Calculations - Convenience'!$C37,Convenience!$J$11:$J$148,0)),"")</f>
        <v/>
      </c>
      <c r="T37" s="16" t="e">
        <f t="shared" si="51"/>
        <v>#VALUE!</v>
      </c>
      <c r="U37" s="16" t="e">
        <f t="shared" si="66"/>
        <v>#VALUE!</v>
      </c>
      <c r="V37" s="16" t="e">
        <f t="shared" si="67"/>
        <v>#VALUE!</v>
      </c>
      <c r="W37" s="10" t="str">
        <f t="shared" si="52"/>
        <v>-</v>
      </c>
      <c r="X37" s="10" t="str">
        <f t="shared" si="53"/>
        <v>-</v>
      </c>
      <c r="Y37" s="13" t="str">
        <f t="shared" si="68"/>
        <v>-</v>
      </c>
      <c r="Z37" s="9" t="str">
        <f t="shared" si="54"/>
        <v>-</v>
      </c>
      <c r="AA37" s="16" t="str">
        <f t="shared" si="69"/>
        <v>-</v>
      </c>
      <c r="AB37" s="16" t="str">
        <f t="shared" si="55"/>
        <v>-</v>
      </c>
      <c r="AC37" s="16" t="str">
        <f t="shared" si="56"/>
        <v>-</v>
      </c>
      <c r="AD37" s="16" t="str">
        <f t="shared" si="70"/>
        <v>-</v>
      </c>
      <c r="AE37" s="16"/>
      <c r="AF37" s="31" t="str">
        <f>IFERROR(INDEX(Convenience!$M$11:$M$148,MATCH('Calculations - Convenience'!C37,Convenience!$J$11:$J$148,0)),"")</f>
        <v/>
      </c>
      <c r="AG37" s="23" t="str">
        <f t="shared" si="71"/>
        <v/>
      </c>
      <c r="AH37" s="23" t="str">
        <f t="shared" si="71"/>
        <v/>
      </c>
      <c r="AI37" s="9" t="str">
        <f t="shared" si="57"/>
        <v/>
      </c>
      <c r="AJ37" s="4" t="str">
        <f t="shared" si="58"/>
        <v/>
      </c>
      <c r="AK37" s="4"/>
      <c r="AL37" s="4"/>
      <c r="AM37" s="4"/>
      <c r="AN37" s="4"/>
      <c r="AO37" s="4"/>
      <c r="AP37" s="20" t="str">
        <f t="shared" si="59"/>
        <v>-</v>
      </c>
      <c r="AQ37" s="13" t="str">
        <f t="shared" si="72"/>
        <v>-</v>
      </c>
      <c r="AR37" s="13" t="str">
        <f t="shared" si="73"/>
        <v>-</v>
      </c>
      <c r="AS37" s="13" t="str">
        <f t="shared" si="60"/>
        <v>-</v>
      </c>
      <c r="AT37" s="16" t="str">
        <f t="shared" si="74"/>
        <v>-</v>
      </c>
      <c r="AU37" s="16" t="str">
        <f t="shared" si="61"/>
        <v>-</v>
      </c>
      <c r="AV37" s="16" t="str">
        <f t="shared" si="62"/>
        <v>-</v>
      </c>
      <c r="AW37" s="16" t="str">
        <f t="shared" si="75"/>
        <v>-</v>
      </c>
      <c r="AX37" s="13" t="str">
        <f t="shared" si="76"/>
        <v>-</v>
      </c>
      <c r="AY37" s="10" t="str">
        <f t="shared" si="77"/>
        <v>-</v>
      </c>
      <c r="AZ37" s="9" t="str">
        <f t="shared" si="78"/>
        <v>-</v>
      </c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</row>
    <row r="38" spans="2:68" x14ac:dyDescent="0.3">
      <c r="B38" s="108" t="str">
        <f t="shared" si="63"/>
        <v/>
      </c>
      <c r="C38" s="108" t="str">
        <f t="shared" si="47"/>
        <v/>
      </c>
      <c r="D38" s="3"/>
      <c r="E38" s="3"/>
      <c r="F38" s="3"/>
      <c r="G38" s="20">
        <f>IFERROR(INDEX('Input - Convenience'!F$2:F$200,MATCH('Calculations - Convenience'!$C38,'Input - Convenience'!$B$2:$B$200,0)),"")</f>
        <v>0</v>
      </c>
      <c r="H38" s="20">
        <f>IFERROR(INDEX('Input - Convenience'!G$2:G$200,MATCH('Calculations - Convenience'!$C38,'Input - Convenience'!$B$2:$B$200,0)),"")</f>
        <v>0</v>
      </c>
      <c r="I38" s="21">
        <f>IFERROR(INDEX('Input - Convenience'!H$2:H$200,MATCH('Calculations - Convenience'!$C38,'Input - Convenience'!$B$2:$B$200,0)),"")</f>
        <v>0</v>
      </c>
      <c r="J38" s="21">
        <f>IFERROR(INDEX('Input - Convenience'!I$2:I$200,MATCH('Calculations - Convenience'!$C38,'Input - Convenience'!$B$2:$B$200,0)),"")</f>
        <v>0</v>
      </c>
      <c r="K38" s="20">
        <f>IFERROR(INDEX('Input - Convenience'!J$2:J$200,MATCH('Calculations - Convenience'!$C38,'Input - Convenience'!$B$2:$B$200,0)),"")</f>
        <v>0</v>
      </c>
      <c r="L38" s="20">
        <f>IFERROR(INDEX('Input - Convenience'!K$2:K$200,MATCH('Calculations - Convenience'!$C38,'Input - Convenience'!$B$2:$B$200,0)),"")</f>
        <v>0</v>
      </c>
      <c r="M38" s="21" t="str">
        <f t="shared" si="64"/>
        <v/>
      </c>
      <c r="N38" s="21" t="str">
        <f t="shared" si="48"/>
        <v/>
      </c>
      <c r="O38" s="21">
        <f t="shared" si="65"/>
        <v>0</v>
      </c>
      <c r="P38" s="9">
        <f t="shared" si="49"/>
        <v>0</v>
      </c>
      <c r="Q38" s="9">
        <f t="shared" si="50"/>
        <v>0</v>
      </c>
      <c r="R38" s="22" t="str">
        <f>IFERROR(INDEX(Convenience!$N$11:$N$148,MATCH('Calculations - Convenience'!$C38,Convenience!$J$11:$J$148,0)),"")</f>
        <v/>
      </c>
      <c r="S38" s="22" t="str">
        <f>IFERROR(INDEX(Convenience!$O$11:$O$148,MATCH('Calculations - Convenience'!$C38,Convenience!$J$11:$J$148,0)),"")</f>
        <v/>
      </c>
      <c r="T38" s="16" t="e">
        <f t="shared" si="51"/>
        <v>#VALUE!</v>
      </c>
      <c r="U38" s="16" t="e">
        <f t="shared" si="66"/>
        <v>#VALUE!</v>
      </c>
      <c r="V38" s="16" t="e">
        <f t="shared" si="67"/>
        <v>#VALUE!</v>
      </c>
      <c r="W38" s="10" t="str">
        <f t="shared" si="52"/>
        <v>-</v>
      </c>
      <c r="X38" s="10" t="str">
        <f t="shared" si="53"/>
        <v>-</v>
      </c>
      <c r="Y38" s="13" t="str">
        <f t="shared" si="68"/>
        <v>-</v>
      </c>
      <c r="Z38" s="9" t="str">
        <f t="shared" si="54"/>
        <v>-</v>
      </c>
      <c r="AA38" s="16" t="str">
        <f t="shared" si="69"/>
        <v>-</v>
      </c>
      <c r="AB38" s="16" t="str">
        <f t="shared" si="55"/>
        <v>-</v>
      </c>
      <c r="AC38" s="16" t="str">
        <f t="shared" si="56"/>
        <v>-</v>
      </c>
      <c r="AD38" s="16" t="str">
        <f t="shared" si="70"/>
        <v>-</v>
      </c>
      <c r="AE38" s="16"/>
      <c r="AF38" s="31" t="str">
        <f>IFERROR(INDEX(Convenience!$M$11:$M$148,MATCH('Calculations - Convenience'!C38,Convenience!$J$11:$J$148,0)),"")</f>
        <v/>
      </c>
      <c r="AG38" s="23" t="str">
        <f t="shared" si="71"/>
        <v/>
      </c>
      <c r="AH38" s="23" t="str">
        <f t="shared" si="71"/>
        <v/>
      </c>
      <c r="AI38" s="9" t="str">
        <f t="shared" si="57"/>
        <v/>
      </c>
      <c r="AJ38" s="4" t="str">
        <f t="shared" si="58"/>
        <v/>
      </c>
      <c r="AK38" s="4"/>
      <c r="AL38" s="4"/>
      <c r="AM38" s="4"/>
      <c r="AN38" s="4"/>
      <c r="AO38" s="4"/>
      <c r="AP38" s="20" t="str">
        <f t="shared" si="59"/>
        <v>-</v>
      </c>
      <c r="AQ38" s="13" t="str">
        <f t="shared" si="72"/>
        <v>-</v>
      </c>
      <c r="AR38" s="13" t="str">
        <f t="shared" si="73"/>
        <v>-</v>
      </c>
      <c r="AS38" s="13" t="str">
        <f t="shared" si="60"/>
        <v>-</v>
      </c>
      <c r="AT38" s="16" t="str">
        <f t="shared" si="74"/>
        <v>-</v>
      </c>
      <c r="AU38" s="16" t="str">
        <f t="shared" si="61"/>
        <v>-</v>
      </c>
      <c r="AV38" s="16" t="str">
        <f t="shared" si="62"/>
        <v>-</v>
      </c>
      <c r="AW38" s="16" t="str">
        <f t="shared" si="75"/>
        <v>-</v>
      </c>
      <c r="AX38" s="13" t="str">
        <f t="shared" si="76"/>
        <v>-</v>
      </c>
      <c r="AY38" s="10" t="str">
        <f t="shared" si="77"/>
        <v>-</v>
      </c>
      <c r="AZ38" s="9" t="str">
        <f t="shared" si="78"/>
        <v>-</v>
      </c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</row>
    <row r="39" spans="2:68" x14ac:dyDescent="0.3">
      <c r="B39" s="108" t="str">
        <f t="shared" si="63"/>
        <v/>
      </c>
      <c r="C39" s="108" t="str">
        <f t="shared" si="47"/>
        <v/>
      </c>
      <c r="D39" s="3"/>
      <c r="E39" s="3"/>
      <c r="F39" s="3"/>
      <c r="G39" s="20">
        <f>IFERROR(INDEX('Input - Convenience'!F$2:F$200,MATCH('Calculations - Convenience'!$C39,'Input - Convenience'!$B$2:$B$200,0)),"")</f>
        <v>0</v>
      </c>
      <c r="H39" s="20">
        <f>IFERROR(INDEX('Input - Convenience'!G$2:G$200,MATCH('Calculations - Convenience'!$C39,'Input - Convenience'!$B$2:$B$200,0)),"")</f>
        <v>0</v>
      </c>
      <c r="I39" s="21">
        <f>IFERROR(INDEX('Input - Convenience'!H$2:H$200,MATCH('Calculations - Convenience'!$C39,'Input - Convenience'!$B$2:$B$200,0)),"")</f>
        <v>0</v>
      </c>
      <c r="J39" s="21">
        <f>IFERROR(INDEX('Input - Convenience'!I$2:I$200,MATCH('Calculations - Convenience'!$C39,'Input - Convenience'!$B$2:$B$200,0)),"")</f>
        <v>0</v>
      </c>
      <c r="K39" s="20">
        <f>IFERROR(INDEX('Input - Convenience'!J$2:J$200,MATCH('Calculations - Convenience'!$C39,'Input - Convenience'!$B$2:$B$200,0)),"")</f>
        <v>0</v>
      </c>
      <c r="L39" s="20">
        <f>IFERROR(INDEX('Input - Convenience'!K$2:K$200,MATCH('Calculations - Convenience'!$C39,'Input - Convenience'!$B$2:$B$200,0)),"")</f>
        <v>0</v>
      </c>
      <c r="M39" s="21" t="str">
        <f t="shared" si="64"/>
        <v/>
      </c>
      <c r="N39" s="21" t="str">
        <f t="shared" si="48"/>
        <v/>
      </c>
      <c r="O39" s="21">
        <f t="shared" si="65"/>
        <v>0</v>
      </c>
      <c r="P39" s="9">
        <f t="shared" si="49"/>
        <v>0</v>
      </c>
      <c r="Q39" s="9">
        <f t="shared" si="50"/>
        <v>0</v>
      </c>
      <c r="R39" s="22" t="str">
        <f>IFERROR(INDEX(Convenience!$N$11:$N$148,MATCH('Calculations - Convenience'!$C39,Convenience!$J$11:$J$148,0)),"")</f>
        <v/>
      </c>
      <c r="S39" s="22" t="str">
        <f>IFERROR(INDEX(Convenience!$O$11:$O$148,MATCH('Calculations - Convenience'!$C39,Convenience!$J$11:$J$148,0)),"")</f>
        <v/>
      </c>
      <c r="T39" s="16" t="e">
        <f t="shared" si="51"/>
        <v>#VALUE!</v>
      </c>
      <c r="U39" s="16" t="e">
        <f t="shared" si="66"/>
        <v>#VALUE!</v>
      </c>
      <c r="V39" s="16" t="e">
        <f t="shared" si="67"/>
        <v>#VALUE!</v>
      </c>
      <c r="W39" s="10" t="str">
        <f t="shared" si="52"/>
        <v>-</v>
      </c>
      <c r="X39" s="10" t="str">
        <f t="shared" si="53"/>
        <v>-</v>
      </c>
      <c r="Y39" s="13" t="str">
        <f t="shared" si="68"/>
        <v>-</v>
      </c>
      <c r="Z39" s="9" t="str">
        <f t="shared" si="54"/>
        <v>-</v>
      </c>
      <c r="AA39" s="16" t="str">
        <f t="shared" si="69"/>
        <v>-</v>
      </c>
      <c r="AB39" s="16" t="str">
        <f t="shared" si="55"/>
        <v>-</v>
      </c>
      <c r="AC39" s="16" t="str">
        <f t="shared" si="56"/>
        <v>-</v>
      </c>
      <c r="AD39" s="16" t="str">
        <f t="shared" si="70"/>
        <v>-</v>
      </c>
      <c r="AE39" s="16"/>
      <c r="AF39" s="31" t="str">
        <f>IFERROR(INDEX(Convenience!$M$11:$M$148,MATCH('Calculations - Convenience'!C39,Convenience!$J$11:$J$148,0)),"")</f>
        <v/>
      </c>
      <c r="AG39" s="23" t="str">
        <f t="shared" si="71"/>
        <v/>
      </c>
      <c r="AH39" s="23" t="str">
        <f t="shared" si="71"/>
        <v/>
      </c>
      <c r="AI39" s="9" t="str">
        <f t="shared" si="57"/>
        <v/>
      </c>
      <c r="AJ39" s="4" t="str">
        <f t="shared" si="58"/>
        <v/>
      </c>
      <c r="AK39" s="4"/>
      <c r="AL39" s="4"/>
      <c r="AM39" s="4"/>
      <c r="AN39" s="4"/>
      <c r="AO39" s="4"/>
      <c r="AP39" s="20" t="str">
        <f t="shared" si="59"/>
        <v>-</v>
      </c>
      <c r="AQ39" s="13" t="str">
        <f t="shared" si="72"/>
        <v>-</v>
      </c>
      <c r="AR39" s="13" t="str">
        <f t="shared" si="73"/>
        <v>-</v>
      </c>
      <c r="AS39" s="13" t="str">
        <f t="shared" si="60"/>
        <v>-</v>
      </c>
      <c r="AT39" s="16" t="str">
        <f t="shared" si="74"/>
        <v>-</v>
      </c>
      <c r="AU39" s="16" t="str">
        <f t="shared" si="61"/>
        <v>-</v>
      </c>
      <c r="AV39" s="16" t="str">
        <f t="shared" si="62"/>
        <v>-</v>
      </c>
      <c r="AW39" s="16" t="str">
        <f t="shared" si="75"/>
        <v>-</v>
      </c>
      <c r="AX39" s="13" t="str">
        <f t="shared" si="76"/>
        <v>-</v>
      </c>
      <c r="AY39" s="10" t="str">
        <f t="shared" si="77"/>
        <v>-</v>
      </c>
      <c r="AZ39" s="9" t="str">
        <f t="shared" si="78"/>
        <v>-</v>
      </c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</row>
    <row r="40" spans="2:68" x14ac:dyDescent="0.3">
      <c r="B40" s="108" t="str">
        <f t="shared" si="63"/>
        <v/>
      </c>
      <c r="C40" s="108" t="str">
        <f t="shared" si="47"/>
        <v/>
      </c>
      <c r="D40" s="3"/>
      <c r="E40" s="3"/>
      <c r="F40" s="3"/>
      <c r="G40" s="20">
        <f>IFERROR(INDEX('Input - Convenience'!F$2:F$200,MATCH('Calculations - Convenience'!$C40,'Input - Convenience'!$B$2:$B$200,0)),"")</f>
        <v>0</v>
      </c>
      <c r="H40" s="20">
        <f>IFERROR(INDEX('Input - Convenience'!G$2:G$200,MATCH('Calculations - Convenience'!$C40,'Input - Convenience'!$B$2:$B$200,0)),"")</f>
        <v>0</v>
      </c>
      <c r="I40" s="21">
        <f>IFERROR(INDEX('Input - Convenience'!H$2:H$200,MATCH('Calculations - Convenience'!$C40,'Input - Convenience'!$B$2:$B$200,0)),"")</f>
        <v>0</v>
      </c>
      <c r="J40" s="21">
        <f>IFERROR(INDEX('Input - Convenience'!I$2:I$200,MATCH('Calculations - Convenience'!$C40,'Input - Convenience'!$B$2:$B$200,0)),"")</f>
        <v>0</v>
      </c>
      <c r="K40" s="20">
        <f>IFERROR(INDEX('Input - Convenience'!J$2:J$200,MATCH('Calculations - Convenience'!$C40,'Input - Convenience'!$B$2:$B$200,0)),"")</f>
        <v>0</v>
      </c>
      <c r="L40" s="20">
        <f>IFERROR(INDEX('Input - Convenience'!K$2:K$200,MATCH('Calculations - Convenience'!$C40,'Input - Convenience'!$B$2:$B$200,0)),"")</f>
        <v>0</v>
      </c>
      <c r="M40" s="21" t="str">
        <f t="shared" si="64"/>
        <v/>
      </c>
      <c r="N40" s="21" t="str">
        <f t="shared" si="48"/>
        <v/>
      </c>
      <c r="O40" s="21">
        <f t="shared" si="65"/>
        <v>0</v>
      </c>
      <c r="P40" s="9">
        <f t="shared" si="49"/>
        <v>0</v>
      </c>
      <c r="Q40" s="9">
        <f t="shared" si="50"/>
        <v>0</v>
      </c>
      <c r="R40" s="22" t="str">
        <f>IFERROR(INDEX(Convenience!$N$11:$N$148,MATCH('Calculations - Convenience'!$C40,Convenience!$J$11:$J$148,0)),"")</f>
        <v/>
      </c>
      <c r="S40" s="22" t="str">
        <f>IFERROR(INDEX(Convenience!$O$11:$O$148,MATCH('Calculations - Convenience'!$C40,Convenience!$J$11:$J$148,0)),"")</f>
        <v/>
      </c>
      <c r="T40" s="16" t="e">
        <f t="shared" si="51"/>
        <v>#VALUE!</v>
      </c>
      <c r="U40" s="16" t="e">
        <f t="shared" si="66"/>
        <v>#VALUE!</v>
      </c>
      <c r="V40" s="16" t="e">
        <f t="shared" si="67"/>
        <v>#VALUE!</v>
      </c>
      <c r="W40" s="10" t="str">
        <f t="shared" si="52"/>
        <v>-</v>
      </c>
      <c r="X40" s="10" t="str">
        <f t="shared" si="53"/>
        <v>-</v>
      </c>
      <c r="Y40" s="13" t="str">
        <f t="shared" si="68"/>
        <v>-</v>
      </c>
      <c r="Z40" s="9" t="str">
        <f t="shared" si="54"/>
        <v>-</v>
      </c>
      <c r="AA40" s="16" t="str">
        <f t="shared" si="69"/>
        <v>-</v>
      </c>
      <c r="AB40" s="16" t="str">
        <f t="shared" si="55"/>
        <v>-</v>
      </c>
      <c r="AC40" s="16" t="str">
        <f t="shared" si="56"/>
        <v>-</v>
      </c>
      <c r="AD40" s="16" t="str">
        <f t="shared" si="70"/>
        <v>-</v>
      </c>
      <c r="AE40" s="16"/>
      <c r="AF40" s="31" t="str">
        <f>IFERROR(INDEX(Convenience!$M$11:$M$148,MATCH('Calculations - Convenience'!C40,Convenience!$J$11:$J$148,0)),"")</f>
        <v/>
      </c>
      <c r="AG40" s="23" t="str">
        <f t="shared" si="71"/>
        <v/>
      </c>
      <c r="AH40" s="23" t="str">
        <f t="shared" si="71"/>
        <v/>
      </c>
      <c r="AI40" s="9" t="str">
        <f t="shared" si="57"/>
        <v/>
      </c>
      <c r="AJ40" s="4" t="str">
        <f t="shared" si="58"/>
        <v/>
      </c>
      <c r="AK40" s="4"/>
      <c r="AL40" s="4"/>
      <c r="AM40" s="4"/>
      <c r="AN40" s="4"/>
      <c r="AO40" s="4"/>
      <c r="AP40" s="20" t="str">
        <f t="shared" si="59"/>
        <v>-</v>
      </c>
      <c r="AQ40" s="13" t="str">
        <f t="shared" si="72"/>
        <v>-</v>
      </c>
      <c r="AR40" s="13" t="str">
        <f t="shared" si="73"/>
        <v>-</v>
      </c>
      <c r="AS40" s="13" t="str">
        <f t="shared" si="60"/>
        <v>-</v>
      </c>
      <c r="AT40" s="16" t="str">
        <f t="shared" si="74"/>
        <v>-</v>
      </c>
      <c r="AU40" s="16" t="str">
        <f t="shared" si="61"/>
        <v>-</v>
      </c>
      <c r="AV40" s="16" t="str">
        <f t="shared" si="62"/>
        <v>-</v>
      </c>
      <c r="AW40" s="16" t="str">
        <f t="shared" si="75"/>
        <v>-</v>
      </c>
      <c r="AX40" s="13" t="str">
        <f t="shared" si="76"/>
        <v>-</v>
      </c>
      <c r="AY40" s="10" t="str">
        <f t="shared" si="77"/>
        <v>-</v>
      </c>
      <c r="AZ40" s="9" t="str">
        <f t="shared" si="78"/>
        <v>-</v>
      </c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</row>
    <row r="41" spans="2:68" x14ac:dyDescent="0.3">
      <c r="B41" s="108" t="str">
        <f t="shared" si="63"/>
        <v/>
      </c>
      <c r="C41" s="108" t="str">
        <f t="shared" si="47"/>
        <v/>
      </c>
      <c r="D41" s="3"/>
      <c r="E41" s="3"/>
      <c r="F41" s="3"/>
      <c r="G41" s="20">
        <f>IFERROR(INDEX('Input - Convenience'!F$2:F$200,MATCH('Calculations - Convenience'!$C41,'Input - Convenience'!$B$2:$B$200,0)),"")</f>
        <v>0</v>
      </c>
      <c r="H41" s="20">
        <f>IFERROR(INDEX('Input - Convenience'!G$2:G$200,MATCH('Calculations - Convenience'!$C41,'Input - Convenience'!$B$2:$B$200,0)),"")</f>
        <v>0</v>
      </c>
      <c r="I41" s="21">
        <f>IFERROR(INDEX('Input - Convenience'!H$2:H$200,MATCH('Calculations - Convenience'!$C41,'Input - Convenience'!$B$2:$B$200,0)),"")</f>
        <v>0</v>
      </c>
      <c r="J41" s="21">
        <f>IFERROR(INDEX('Input - Convenience'!I$2:I$200,MATCH('Calculations - Convenience'!$C41,'Input - Convenience'!$B$2:$B$200,0)),"")</f>
        <v>0</v>
      </c>
      <c r="K41" s="20">
        <f>IFERROR(INDEX('Input - Convenience'!J$2:J$200,MATCH('Calculations - Convenience'!$C41,'Input - Convenience'!$B$2:$B$200,0)),"")</f>
        <v>0</v>
      </c>
      <c r="L41" s="20">
        <f>IFERROR(INDEX('Input - Convenience'!K$2:K$200,MATCH('Calculations - Convenience'!$C41,'Input - Convenience'!$B$2:$B$200,0)),"")</f>
        <v>0</v>
      </c>
      <c r="M41" s="21" t="str">
        <f t="shared" si="64"/>
        <v/>
      </c>
      <c r="N41" s="21" t="str">
        <f t="shared" si="48"/>
        <v/>
      </c>
      <c r="O41" s="21">
        <f t="shared" si="65"/>
        <v>0</v>
      </c>
      <c r="P41" s="9">
        <f t="shared" si="49"/>
        <v>0</v>
      </c>
      <c r="Q41" s="9">
        <f t="shared" si="50"/>
        <v>0</v>
      </c>
      <c r="R41" s="22" t="str">
        <f>IFERROR(INDEX(Convenience!$N$11:$N$148,MATCH('Calculations - Convenience'!$C41,Convenience!$J$11:$J$148,0)),"")</f>
        <v/>
      </c>
      <c r="S41" s="22" t="str">
        <f>IFERROR(INDEX(Convenience!$O$11:$O$148,MATCH('Calculations - Convenience'!$C41,Convenience!$J$11:$J$148,0)),"")</f>
        <v/>
      </c>
      <c r="T41" s="16" t="e">
        <f t="shared" si="51"/>
        <v>#VALUE!</v>
      </c>
      <c r="U41" s="16" t="e">
        <f t="shared" si="66"/>
        <v>#VALUE!</v>
      </c>
      <c r="V41" s="16" t="e">
        <f t="shared" si="67"/>
        <v>#VALUE!</v>
      </c>
      <c r="W41" s="10" t="str">
        <f t="shared" si="52"/>
        <v>-</v>
      </c>
      <c r="X41" s="10" t="str">
        <f t="shared" si="53"/>
        <v>-</v>
      </c>
      <c r="Y41" s="13" t="str">
        <f t="shared" si="68"/>
        <v>-</v>
      </c>
      <c r="Z41" s="9" t="str">
        <f t="shared" si="54"/>
        <v>-</v>
      </c>
      <c r="AA41" s="16" t="str">
        <f t="shared" si="69"/>
        <v>-</v>
      </c>
      <c r="AB41" s="16" t="str">
        <f t="shared" si="55"/>
        <v>-</v>
      </c>
      <c r="AC41" s="16" t="str">
        <f t="shared" si="56"/>
        <v>-</v>
      </c>
      <c r="AD41" s="16" t="str">
        <f t="shared" si="70"/>
        <v>-</v>
      </c>
      <c r="AE41" s="16"/>
      <c r="AF41" s="31" t="str">
        <f>IFERROR(INDEX(Convenience!$M$11:$M$148,MATCH('Calculations - Convenience'!C41,Convenience!$J$11:$J$148,0)),"")</f>
        <v/>
      </c>
      <c r="AG41" s="23" t="str">
        <f t="shared" si="71"/>
        <v/>
      </c>
      <c r="AH41" s="23" t="str">
        <f t="shared" si="71"/>
        <v/>
      </c>
      <c r="AI41" s="9" t="str">
        <f t="shared" si="57"/>
        <v/>
      </c>
      <c r="AJ41" s="4" t="str">
        <f t="shared" si="58"/>
        <v/>
      </c>
      <c r="AK41" s="4"/>
      <c r="AL41" s="4"/>
      <c r="AM41" s="4"/>
      <c r="AN41" s="4"/>
      <c r="AO41" s="4"/>
      <c r="AP41" s="20" t="str">
        <f t="shared" si="59"/>
        <v>-</v>
      </c>
      <c r="AQ41" s="13" t="str">
        <f t="shared" si="72"/>
        <v>-</v>
      </c>
      <c r="AR41" s="13" t="str">
        <f t="shared" si="73"/>
        <v>-</v>
      </c>
      <c r="AS41" s="13" t="str">
        <f t="shared" si="60"/>
        <v>-</v>
      </c>
      <c r="AT41" s="16" t="str">
        <f t="shared" si="74"/>
        <v>-</v>
      </c>
      <c r="AU41" s="16" t="str">
        <f t="shared" si="61"/>
        <v>-</v>
      </c>
      <c r="AV41" s="16" t="str">
        <f t="shared" si="62"/>
        <v>-</v>
      </c>
      <c r="AW41" s="16" t="str">
        <f t="shared" si="75"/>
        <v>-</v>
      </c>
      <c r="AX41" s="13" t="str">
        <f t="shared" si="76"/>
        <v>-</v>
      </c>
      <c r="AY41" s="10" t="str">
        <f t="shared" si="77"/>
        <v>-</v>
      </c>
      <c r="AZ41" s="9" t="str">
        <f t="shared" si="78"/>
        <v>-</v>
      </c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</row>
    <row r="42" spans="2:68" x14ac:dyDescent="0.3">
      <c r="B42" s="108" t="str">
        <f t="shared" si="63"/>
        <v/>
      </c>
      <c r="C42" s="108" t="str">
        <f t="shared" si="47"/>
        <v/>
      </c>
      <c r="D42" s="3"/>
      <c r="E42" s="3"/>
      <c r="F42" s="3"/>
      <c r="G42" s="20">
        <f>IFERROR(INDEX('Input - Convenience'!F$2:F$200,MATCH('Calculations - Convenience'!$C42,'Input - Convenience'!$B$2:$B$200,0)),"")</f>
        <v>0</v>
      </c>
      <c r="H42" s="20">
        <f>IFERROR(INDEX('Input - Convenience'!G$2:G$200,MATCH('Calculations - Convenience'!$C42,'Input - Convenience'!$B$2:$B$200,0)),"")</f>
        <v>0</v>
      </c>
      <c r="I42" s="21">
        <f>IFERROR(INDEX('Input - Convenience'!H$2:H$200,MATCH('Calculations - Convenience'!$C42,'Input - Convenience'!$B$2:$B$200,0)),"")</f>
        <v>0</v>
      </c>
      <c r="J42" s="21">
        <f>IFERROR(INDEX('Input - Convenience'!I$2:I$200,MATCH('Calculations - Convenience'!$C42,'Input - Convenience'!$B$2:$B$200,0)),"")</f>
        <v>0</v>
      </c>
      <c r="K42" s="20">
        <f>IFERROR(INDEX('Input - Convenience'!J$2:J$200,MATCH('Calculations - Convenience'!$C42,'Input - Convenience'!$B$2:$B$200,0)),"")</f>
        <v>0</v>
      </c>
      <c r="L42" s="20">
        <f>IFERROR(INDEX('Input - Convenience'!K$2:K$200,MATCH('Calculations - Convenience'!$C42,'Input - Convenience'!$B$2:$B$200,0)),"")</f>
        <v>0</v>
      </c>
      <c r="M42" s="21" t="str">
        <f t="shared" si="64"/>
        <v/>
      </c>
      <c r="N42" s="21" t="str">
        <f t="shared" si="48"/>
        <v/>
      </c>
      <c r="O42" s="21">
        <f t="shared" si="65"/>
        <v>0</v>
      </c>
      <c r="P42" s="9">
        <f t="shared" si="49"/>
        <v>0</v>
      </c>
      <c r="Q42" s="9">
        <f t="shared" si="50"/>
        <v>0</v>
      </c>
      <c r="R42" s="22" t="str">
        <f>IFERROR(INDEX(Convenience!$N$11:$N$148,MATCH('Calculations - Convenience'!$C42,Convenience!$J$11:$J$148,0)),"")</f>
        <v/>
      </c>
      <c r="S42" s="22" t="str">
        <f>IFERROR(INDEX(Convenience!$O$11:$O$148,MATCH('Calculations - Convenience'!$C42,Convenience!$J$11:$J$148,0)),"")</f>
        <v/>
      </c>
      <c r="T42" s="16" t="e">
        <f t="shared" si="51"/>
        <v>#VALUE!</v>
      </c>
      <c r="U42" s="16" t="e">
        <f t="shared" si="66"/>
        <v>#VALUE!</v>
      </c>
      <c r="V42" s="16" t="e">
        <f t="shared" si="67"/>
        <v>#VALUE!</v>
      </c>
      <c r="W42" s="10" t="str">
        <f t="shared" si="52"/>
        <v>-</v>
      </c>
      <c r="X42" s="10" t="str">
        <f t="shared" si="53"/>
        <v>-</v>
      </c>
      <c r="Y42" s="13" t="str">
        <f t="shared" si="68"/>
        <v>-</v>
      </c>
      <c r="Z42" s="9" t="str">
        <f t="shared" si="54"/>
        <v>-</v>
      </c>
      <c r="AA42" s="16" t="str">
        <f t="shared" si="69"/>
        <v>-</v>
      </c>
      <c r="AB42" s="16" t="str">
        <f t="shared" si="55"/>
        <v>-</v>
      </c>
      <c r="AC42" s="16" t="str">
        <f t="shared" si="56"/>
        <v>-</v>
      </c>
      <c r="AD42" s="16" t="str">
        <f t="shared" si="70"/>
        <v>-</v>
      </c>
      <c r="AE42" s="16"/>
      <c r="AF42" s="31" t="str">
        <f>IFERROR(INDEX(Convenience!$M$11:$M$148,MATCH('Calculations - Convenience'!C42,Convenience!$J$11:$J$148,0)),"")</f>
        <v/>
      </c>
      <c r="AG42" s="23" t="str">
        <f t="shared" si="71"/>
        <v/>
      </c>
      <c r="AH42" s="23" t="str">
        <f t="shared" si="71"/>
        <v/>
      </c>
      <c r="AI42" s="9" t="str">
        <f t="shared" si="57"/>
        <v/>
      </c>
      <c r="AJ42" s="4" t="str">
        <f t="shared" si="58"/>
        <v/>
      </c>
      <c r="AK42" s="4"/>
      <c r="AL42" s="4"/>
      <c r="AM42" s="4"/>
      <c r="AN42" s="4"/>
      <c r="AO42" s="4"/>
      <c r="AP42" s="20" t="str">
        <f t="shared" si="59"/>
        <v>-</v>
      </c>
      <c r="AQ42" s="13" t="str">
        <f t="shared" si="72"/>
        <v>-</v>
      </c>
      <c r="AR42" s="13" t="str">
        <f t="shared" si="73"/>
        <v>-</v>
      </c>
      <c r="AS42" s="13" t="str">
        <f t="shared" si="60"/>
        <v>-</v>
      </c>
      <c r="AT42" s="16" t="str">
        <f t="shared" si="74"/>
        <v>-</v>
      </c>
      <c r="AU42" s="16" t="str">
        <f t="shared" si="61"/>
        <v>-</v>
      </c>
      <c r="AV42" s="16" t="str">
        <f t="shared" si="62"/>
        <v>-</v>
      </c>
      <c r="AW42" s="16" t="str">
        <f t="shared" si="75"/>
        <v>-</v>
      </c>
      <c r="AX42" s="13" t="str">
        <f t="shared" si="76"/>
        <v>-</v>
      </c>
      <c r="AY42" s="10" t="str">
        <f t="shared" si="77"/>
        <v>-</v>
      </c>
      <c r="AZ42" s="9" t="str">
        <f t="shared" si="78"/>
        <v>-</v>
      </c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</row>
    <row r="43" spans="2:68" x14ac:dyDescent="0.3">
      <c r="B43" s="108" t="str">
        <f t="shared" si="63"/>
        <v/>
      </c>
      <c r="C43" s="108" t="str">
        <f t="shared" si="47"/>
        <v/>
      </c>
      <c r="D43" s="3"/>
      <c r="E43" s="3"/>
      <c r="F43" s="3"/>
      <c r="G43" s="20">
        <f>IFERROR(INDEX('Input - Convenience'!F$2:F$200,MATCH('Calculations - Convenience'!$C43,'Input - Convenience'!$B$2:$B$200,0)),"")</f>
        <v>0</v>
      </c>
      <c r="H43" s="20">
        <f>IFERROR(INDEX('Input - Convenience'!G$2:G$200,MATCH('Calculations - Convenience'!$C43,'Input - Convenience'!$B$2:$B$200,0)),"")</f>
        <v>0</v>
      </c>
      <c r="I43" s="21">
        <f>IFERROR(INDEX('Input - Convenience'!H$2:H$200,MATCH('Calculations - Convenience'!$C43,'Input - Convenience'!$B$2:$B$200,0)),"")</f>
        <v>0</v>
      </c>
      <c r="J43" s="21">
        <f>IFERROR(INDEX('Input - Convenience'!I$2:I$200,MATCH('Calculations - Convenience'!$C43,'Input - Convenience'!$B$2:$B$200,0)),"")</f>
        <v>0</v>
      </c>
      <c r="K43" s="20">
        <f>IFERROR(INDEX('Input - Convenience'!J$2:J$200,MATCH('Calculations - Convenience'!$C43,'Input - Convenience'!$B$2:$B$200,0)),"")</f>
        <v>0</v>
      </c>
      <c r="L43" s="20">
        <f>IFERROR(INDEX('Input - Convenience'!K$2:K$200,MATCH('Calculations - Convenience'!$C43,'Input - Convenience'!$B$2:$B$200,0)),"")</f>
        <v>0</v>
      </c>
      <c r="M43" s="21" t="str">
        <f t="shared" si="64"/>
        <v/>
      </c>
      <c r="N43" s="21" t="str">
        <f t="shared" si="48"/>
        <v/>
      </c>
      <c r="O43" s="21">
        <f t="shared" si="65"/>
        <v>0</v>
      </c>
      <c r="P43" s="9">
        <f t="shared" si="49"/>
        <v>0</v>
      </c>
      <c r="Q43" s="9">
        <f t="shared" si="50"/>
        <v>0</v>
      </c>
      <c r="R43" s="22" t="str">
        <f>IFERROR(INDEX(Convenience!$N$11:$N$148,MATCH('Calculations - Convenience'!$C43,Convenience!$J$11:$J$148,0)),"")</f>
        <v/>
      </c>
      <c r="S43" s="22" t="str">
        <f>IFERROR(INDEX(Convenience!$O$11:$O$148,MATCH('Calculations - Convenience'!$C43,Convenience!$J$11:$J$148,0)),"")</f>
        <v/>
      </c>
      <c r="T43" s="16" t="e">
        <f t="shared" si="51"/>
        <v>#VALUE!</v>
      </c>
      <c r="U43" s="16" t="e">
        <f t="shared" si="66"/>
        <v>#VALUE!</v>
      </c>
      <c r="V43" s="16" t="e">
        <f t="shared" si="67"/>
        <v>#VALUE!</v>
      </c>
      <c r="W43" s="10" t="str">
        <f t="shared" si="52"/>
        <v>-</v>
      </c>
      <c r="X43" s="10" t="str">
        <f t="shared" si="53"/>
        <v>-</v>
      </c>
      <c r="Y43" s="13" t="str">
        <f t="shared" si="68"/>
        <v>-</v>
      </c>
      <c r="Z43" s="9" t="str">
        <f t="shared" si="54"/>
        <v>-</v>
      </c>
      <c r="AA43" s="16" t="str">
        <f t="shared" si="69"/>
        <v>-</v>
      </c>
      <c r="AB43" s="16" t="str">
        <f t="shared" si="55"/>
        <v>-</v>
      </c>
      <c r="AC43" s="16" t="str">
        <f t="shared" si="56"/>
        <v>-</v>
      </c>
      <c r="AD43" s="16" t="str">
        <f t="shared" si="70"/>
        <v>-</v>
      </c>
      <c r="AE43" s="16"/>
      <c r="AF43" s="31" t="str">
        <f>IFERROR(INDEX(Convenience!$M$11:$M$148,MATCH('Calculations - Convenience'!C43,Convenience!$J$11:$J$148,0)),"")</f>
        <v/>
      </c>
      <c r="AG43" s="23" t="str">
        <f t="shared" si="71"/>
        <v/>
      </c>
      <c r="AH43" s="23" t="str">
        <f t="shared" si="71"/>
        <v/>
      </c>
      <c r="AI43" s="9" t="str">
        <f t="shared" si="57"/>
        <v/>
      </c>
      <c r="AJ43" s="4" t="str">
        <f t="shared" si="58"/>
        <v/>
      </c>
      <c r="AK43" s="4"/>
      <c r="AL43" s="4"/>
      <c r="AM43" s="4"/>
      <c r="AN43" s="4"/>
      <c r="AO43" s="4"/>
      <c r="AP43" s="20" t="str">
        <f t="shared" si="59"/>
        <v>-</v>
      </c>
      <c r="AQ43" s="13" t="str">
        <f t="shared" si="72"/>
        <v>-</v>
      </c>
      <c r="AR43" s="13" t="str">
        <f t="shared" si="73"/>
        <v>-</v>
      </c>
      <c r="AS43" s="13" t="str">
        <f t="shared" si="60"/>
        <v>-</v>
      </c>
      <c r="AT43" s="16" t="str">
        <f t="shared" si="74"/>
        <v>-</v>
      </c>
      <c r="AU43" s="16" t="str">
        <f t="shared" si="61"/>
        <v>-</v>
      </c>
      <c r="AV43" s="16" t="str">
        <f t="shared" si="62"/>
        <v>-</v>
      </c>
      <c r="AW43" s="16" t="str">
        <f t="shared" si="75"/>
        <v>-</v>
      </c>
      <c r="AX43" s="13" t="str">
        <f t="shared" si="76"/>
        <v>-</v>
      </c>
      <c r="AY43" s="10" t="str">
        <f t="shared" si="77"/>
        <v>-</v>
      </c>
      <c r="AZ43" s="9" t="str">
        <f t="shared" si="78"/>
        <v>-</v>
      </c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</row>
    <row r="44" spans="2:68" x14ac:dyDescent="0.3">
      <c r="B44" s="108" t="str">
        <f t="shared" si="63"/>
        <v/>
      </c>
      <c r="C44" s="108" t="str">
        <f t="shared" si="47"/>
        <v/>
      </c>
      <c r="D44" s="3"/>
      <c r="E44" s="3"/>
      <c r="F44" s="3"/>
      <c r="G44" s="20">
        <f>IFERROR(INDEX('Input - Convenience'!F$2:F$200,MATCH('Calculations - Convenience'!$C44,'Input - Convenience'!$B$2:$B$200,0)),"")</f>
        <v>0</v>
      </c>
      <c r="H44" s="20">
        <f>IFERROR(INDEX('Input - Convenience'!G$2:G$200,MATCH('Calculations - Convenience'!$C44,'Input - Convenience'!$B$2:$B$200,0)),"")</f>
        <v>0</v>
      </c>
      <c r="I44" s="21">
        <f>IFERROR(INDEX('Input - Convenience'!H$2:H$200,MATCH('Calculations - Convenience'!$C44,'Input - Convenience'!$B$2:$B$200,0)),"")</f>
        <v>0</v>
      </c>
      <c r="J44" s="21">
        <f>IFERROR(INDEX('Input - Convenience'!I$2:I$200,MATCH('Calculations - Convenience'!$C44,'Input - Convenience'!$B$2:$B$200,0)),"")</f>
        <v>0</v>
      </c>
      <c r="K44" s="20">
        <f>IFERROR(INDEX('Input - Convenience'!J$2:J$200,MATCH('Calculations - Convenience'!$C44,'Input - Convenience'!$B$2:$B$200,0)),"")</f>
        <v>0</v>
      </c>
      <c r="L44" s="20">
        <f>IFERROR(INDEX('Input - Convenience'!K$2:K$200,MATCH('Calculations - Convenience'!$C44,'Input - Convenience'!$B$2:$B$200,0)),"")</f>
        <v>0</v>
      </c>
      <c r="M44" s="21" t="str">
        <f t="shared" si="64"/>
        <v/>
      </c>
      <c r="N44" s="21" t="str">
        <f t="shared" si="48"/>
        <v/>
      </c>
      <c r="O44" s="21">
        <f t="shared" si="65"/>
        <v>0</v>
      </c>
      <c r="P44" s="9">
        <f t="shared" si="49"/>
        <v>0</v>
      </c>
      <c r="Q44" s="9">
        <f t="shared" si="50"/>
        <v>0</v>
      </c>
      <c r="R44" s="22" t="str">
        <f>IFERROR(INDEX(Convenience!$N$11:$N$148,MATCH('Calculations - Convenience'!$C44,Convenience!$J$11:$J$148,0)),"")</f>
        <v/>
      </c>
      <c r="S44" s="22" t="str">
        <f>IFERROR(INDEX(Convenience!$O$11:$O$148,MATCH('Calculations - Convenience'!$C44,Convenience!$J$11:$J$148,0)),"")</f>
        <v/>
      </c>
      <c r="T44" s="16" t="e">
        <f t="shared" si="51"/>
        <v>#VALUE!</v>
      </c>
      <c r="U44" s="16" t="e">
        <f t="shared" si="66"/>
        <v>#VALUE!</v>
      </c>
      <c r="V44" s="16" t="e">
        <f t="shared" si="67"/>
        <v>#VALUE!</v>
      </c>
      <c r="W44" s="10" t="str">
        <f t="shared" si="52"/>
        <v>-</v>
      </c>
      <c r="X44" s="10" t="str">
        <f t="shared" si="53"/>
        <v>-</v>
      </c>
      <c r="Y44" s="13" t="str">
        <f t="shared" si="68"/>
        <v>-</v>
      </c>
      <c r="Z44" s="9" t="str">
        <f t="shared" si="54"/>
        <v>-</v>
      </c>
      <c r="AA44" s="16" t="str">
        <f t="shared" si="69"/>
        <v>-</v>
      </c>
      <c r="AB44" s="16" t="str">
        <f t="shared" si="55"/>
        <v>-</v>
      </c>
      <c r="AC44" s="16" t="str">
        <f t="shared" si="56"/>
        <v>-</v>
      </c>
      <c r="AD44" s="16" t="str">
        <f t="shared" si="70"/>
        <v>-</v>
      </c>
      <c r="AE44" s="16"/>
      <c r="AF44" s="31" t="str">
        <f>IFERROR(INDEX(Convenience!$M$11:$M$148,MATCH('Calculations - Convenience'!C44,Convenience!$J$11:$J$148,0)),"")</f>
        <v/>
      </c>
      <c r="AG44" s="23" t="str">
        <f t="shared" si="71"/>
        <v/>
      </c>
      <c r="AH44" s="23" t="str">
        <f t="shared" si="71"/>
        <v/>
      </c>
      <c r="AI44" s="9" t="str">
        <f t="shared" si="57"/>
        <v/>
      </c>
      <c r="AJ44" s="4" t="str">
        <f t="shared" si="58"/>
        <v/>
      </c>
      <c r="AK44" s="4"/>
      <c r="AL44" s="4"/>
      <c r="AM44" s="4"/>
      <c r="AN44" s="4"/>
      <c r="AO44" s="4"/>
      <c r="AP44" s="20" t="str">
        <f t="shared" si="59"/>
        <v>-</v>
      </c>
      <c r="AQ44" s="13" t="str">
        <f t="shared" si="72"/>
        <v>-</v>
      </c>
      <c r="AR44" s="13" t="str">
        <f t="shared" si="73"/>
        <v>-</v>
      </c>
      <c r="AS44" s="13" t="str">
        <f t="shared" si="60"/>
        <v>-</v>
      </c>
      <c r="AT44" s="16" t="str">
        <f t="shared" si="74"/>
        <v>-</v>
      </c>
      <c r="AU44" s="16" t="str">
        <f t="shared" si="61"/>
        <v>-</v>
      </c>
      <c r="AV44" s="16" t="str">
        <f t="shared" si="62"/>
        <v>-</v>
      </c>
      <c r="AW44" s="16" t="str">
        <f t="shared" si="75"/>
        <v>-</v>
      </c>
      <c r="AX44" s="13" t="str">
        <f t="shared" si="76"/>
        <v>-</v>
      </c>
      <c r="AY44" s="10" t="str">
        <f t="shared" si="77"/>
        <v>-</v>
      </c>
      <c r="AZ44" s="9" t="str">
        <f t="shared" si="78"/>
        <v>-</v>
      </c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</row>
    <row r="45" spans="2:68" x14ac:dyDescent="0.3">
      <c r="B45" s="108" t="str">
        <f t="shared" si="63"/>
        <v/>
      </c>
      <c r="C45" s="108" t="str">
        <f t="shared" si="47"/>
        <v/>
      </c>
      <c r="D45" s="3"/>
      <c r="E45" s="3"/>
      <c r="F45" s="3"/>
      <c r="G45" s="20">
        <f>IFERROR(INDEX('Input - Convenience'!F$2:F$200,MATCH('Calculations - Convenience'!$C45,'Input - Convenience'!$B$2:$B$200,0)),"")</f>
        <v>0</v>
      </c>
      <c r="H45" s="20">
        <f>IFERROR(INDEX('Input - Convenience'!G$2:G$200,MATCH('Calculations - Convenience'!$C45,'Input - Convenience'!$B$2:$B$200,0)),"")</f>
        <v>0</v>
      </c>
      <c r="I45" s="21">
        <f>IFERROR(INDEX('Input - Convenience'!H$2:H$200,MATCH('Calculations - Convenience'!$C45,'Input - Convenience'!$B$2:$B$200,0)),"")</f>
        <v>0</v>
      </c>
      <c r="J45" s="21">
        <f>IFERROR(INDEX('Input - Convenience'!I$2:I$200,MATCH('Calculations - Convenience'!$C45,'Input - Convenience'!$B$2:$B$200,0)),"")</f>
        <v>0</v>
      </c>
      <c r="K45" s="20">
        <f>IFERROR(INDEX('Input - Convenience'!J$2:J$200,MATCH('Calculations - Convenience'!$C45,'Input - Convenience'!$B$2:$B$200,0)),"")</f>
        <v>0</v>
      </c>
      <c r="L45" s="20">
        <f>IFERROR(INDEX('Input - Convenience'!K$2:K$200,MATCH('Calculations - Convenience'!$C45,'Input - Convenience'!$B$2:$B$200,0)),"")</f>
        <v>0</v>
      </c>
      <c r="M45" s="21" t="str">
        <f t="shared" si="64"/>
        <v/>
      </c>
      <c r="N45" s="21" t="str">
        <f t="shared" si="48"/>
        <v/>
      </c>
      <c r="O45" s="21">
        <f t="shared" si="65"/>
        <v>0</v>
      </c>
      <c r="P45" s="9">
        <f t="shared" si="49"/>
        <v>0</v>
      </c>
      <c r="Q45" s="9">
        <f t="shared" si="50"/>
        <v>0</v>
      </c>
      <c r="R45" s="22" t="str">
        <f>IFERROR(INDEX(Convenience!$N$11:$N$148,MATCH('Calculations - Convenience'!$C45,Convenience!$J$11:$J$148,0)),"")</f>
        <v/>
      </c>
      <c r="S45" s="22" t="str">
        <f>IFERROR(INDEX(Convenience!$O$11:$O$148,MATCH('Calculations - Convenience'!$C45,Convenience!$J$11:$J$148,0)),"")</f>
        <v/>
      </c>
      <c r="T45" s="16" t="e">
        <f t="shared" si="51"/>
        <v>#VALUE!</v>
      </c>
      <c r="U45" s="16" t="e">
        <f t="shared" si="66"/>
        <v>#VALUE!</v>
      </c>
      <c r="V45" s="16" t="e">
        <f t="shared" si="67"/>
        <v>#VALUE!</v>
      </c>
      <c r="W45" s="10" t="str">
        <f t="shared" si="52"/>
        <v>-</v>
      </c>
      <c r="X45" s="10" t="str">
        <f t="shared" si="53"/>
        <v>-</v>
      </c>
      <c r="Y45" s="13" t="str">
        <f t="shared" si="68"/>
        <v>-</v>
      </c>
      <c r="Z45" s="9" t="str">
        <f t="shared" si="54"/>
        <v>-</v>
      </c>
      <c r="AA45" s="16" t="str">
        <f t="shared" si="69"/>
        <v>-</v>
      </c>
      <c r="AB45" s="16" t="str">
        <f t="shared" si="55"/>
        <v>-</v>
      </c>
      <c r="AC45" s="16" t="str">
        <f t="shared" si="56"/>
        <v>-</v>
      </c>
      <c r="AD45" s="16" t="str">
        <f t="shared" si="70"/>
        <v>-</v>
      </c>
      <c r="AE45" s="16"/>
      <c r="AF45" s="31" t="str">
        <f>IFERROR(INDEX(Convenience!$M$11:$M$148,MATCH('Calculations - Convenience'!C45,Convenience!$J$11:$J$148,0)),"")</f>
        <v/>
      </c>
      <c r="AG45" s="23" t="str">
        <f t="shared" si="71"/>
        <v/>
      </c>
      <c r="AH45" s="23" t="str">
        <f t="shared" si="71"/>
        <v/>
      </c>
      <c r="AI45" s="9" t="str">
        <f t="shared" si="57"/>
        <v/>
      </c>
      <c r="AJ45" s="4" t="str">
        <f t="shared" si="58"/>
        <v/>
      </c>
      <c r="AK45" s="4"/>
      <c r="AL45" s="4"/>
      <c r="AM45" s="4"/>
      <c r="AN45" s="4"/>
      <c r="AO45" s="4"/>
      <c r="AP45" s="20" t="str">
        <f t="shared" si="59"/>
        <v>-</v>
      </c>
      <c r="AQ45" s="13" t="str">
        <f t="shared" si="72"/>
        <v>-</v>
      </c>
      <c r="AR45" s="13" t="str">
        <f t="shared" si="73"/>
        <v>-</v>
      </c>
      <c r="AS45" s="13" t="str">
        <f t="shared" si="60"/>
        <v>-</v>
      </c>
      <c r="AT45" s="16" t="str">
        <f t="shared" si="74"/>
        <v>-</v>
      </c>
      <c r="AU45" s="16" t="str">
        <f t="shared" si="61"/>
        <v>-</v>
      </c>
      <c r="AV45" s="16" t="str">
        <f t="shared" si="62"/>
        <v>-</v>
      </c>
      <c r="AW45" s="16" t="str">
        <f t="shared" si="75"/>
        <v>-</v>
      </c>
      <c r="AX45" s="13" t="str">
        <f t="shared" si="76"/>
        <v>-</v>
      </c>
      <c r="AY45" s="10" t="str">
        <f t="shared" si="77"/>
        <v>-</v>
      </c>
      <c r="AZ45" s="9" t="str">
        <f t="shared" si="78"/>
        <v>-</v>
      </c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</row>
    <row r="46" spans="2:68" x14ac:dyDescent="0.3">
      <c r="B46" s="108" t="str">
        <f t="shared" si="63"/>
        <v/>
      </c>
      <c r="C46" s="108" t="str">
        <f t="shared" si="47"/>
        <v/>
      </c>
      <c r="D46" s="3"/>
      <c r="E46" s="3"/>
      <c r="F46" s="3"/>
      <c r="G46" s="20">
        <f>IFERROR(INDEX('Input - Convenience'!F$2:F$200,MATCH('Calculations - Convenience'!$C46,'Input - Convenience'!$B$2:$B$200,0)),"")</f>
        <v>0</v>
      </c>
      <c r="H46" s="20">
        <f>IFERROR(INDEX('Input - Convenience'!G$2:G$200,MATCH('Calculations - Convenience'!$C46,'Input - Convenience'!$B$2:$B$200,0)),"")</f>
        <v>0</v>
      </c>
      <c r="I46" s="21">
        <f>IFERROR(INDEX('Input - Convenience'!H$2:H$200,MATCH('Calculations - Convenience'!$C46,'Input - Convenience'!$B$2:$B$200,0)),"")</f>
        <v>0</v>
      </c>
      <c r="J46" s="21">
        <f>IFERROR(INDEX('Input - Convenience'!I$2:I$200,MATCH('Calculations - Convenience'!$C46,'Input - Convenience'!$B$2:$B$200,0)),"")</f>
        <v>0</v>
      </c>
      <c r="K46" s="20">
        <f>IFERROR(INDEX('Input - Convenience'!J$2:J$200,MATCH('Calculations - Convenience'!$C46,'Input - Convenience'!$B$2:$B$200,0)),"")</f>
        <v>0</v>
      </c>
      <c r="L46" s="20">
        <f>IFERROR(INDEX('Input - Convenience'!K$2:K$200,MATCH('Calculations - Convenience'!$C46,'Input - Convenience'!$B$2:$B$200,0)),"")</f>
        <v>0</v>
      </c>
      <c r="M46" s="21" t="str">
        <f t="shared" si="64"/>
        <v/>
      </c>
      <c r="N46" s="21" t="str">
        <f t="shared" si="48"/>
        <v/>
      </c>
      <c r="O46" s="21">
        <f t="shared" si="65"/>
        <v>0</v>
      </c>
      <c r="P46" s="9">
        <f t="shared" si="49"/>
        <v>0</v>
      </c>
      <c r="Q46" s="9">
        <f t="shared" si="50"/>
        <v>0</v>
      </c>
      <c r="R46" s="22" t="str">
        <f>IFERROR(INDEX(Convenience!$N$11:$N$148,MATCH('Calculations - Convenience'!$C46,Convenience!$J$11:$J$148,0)),"")</f>
        <v/>
      </c>
      <c r="S46" s="22" t="str">
        <f>IFERROR(INDEX(Convenience!$O$11:$O$148,MATCH('Calculations - Convenience'!$C46,Convenience!$J$11:$J$148,0)),"")</f>
        <v/>
      </c>
      <c r="T46" s="16" t="e">
        <f t="shared" si="51"/>
        <v>#VALUE!</v>
      </c>
      <c r="U46" s="16" t="e">
        <f t="shared" si="66"/>
        <v>#VALUE!</v>
      </c>
      <c r="V46" s="16" t="e">
        <f t="shared" si="67"/>
        <v>#VALUE!</v>
      </c>
      <c r="W46" s="10" t="str">
        <f t="shared" si="52"/>
        <v>-</v>
      </c>
      <c r="X46" s="10" t="str">
        <f t="shared" si="53"/>
        <v>-</v>
      </c>
      <c r="Y46" s="13" t="str">
        <f t="shared" si="68"/>
        <v>-</v>
      </c>
      <c r="Z46" s="9" t="str">
        <f t="shared" si="54"/>
        <v>-</v>
      </c>
      <c r="AA46" s="16" t="str">
        <f t="shared" si="69"/>
        <v>-</v>
      </c>
      <c r="AB46" s="16" t="str">
        <f t="shared" si="55"/>
        <v>-</v>
      </c>
      <c r="AC46" s="16" t="str">
        <f t="shared" si="56"/>
        <v>-</v>
      </c>
      <c r="AD46" s="16" t="str">
        <f t="shared" si="70"/>
        <v>-</v>
      </c>
      <c r="AE46" s="16"/>
      <c r="AF46" s="31" t="str">
        <f>IFERROR(INDEX(Convenience!$M$11:$M$148,MATCH('Calculations - Convenience'!C46,Convenience!$J$11:$J$148,0)),"")</f>
        <v/>
      </c>
      <c r="AG46" s="23" t="str">
        <f t="shared" si="71"/>
        <v/>
      </c>
      <c r="AH46" s="23" t="str">
        <f t="shared" si="71"/>
        <v/>
      </c>
      <c r="AI46" s="9" t="str">
        <f t="shared" si="57"/>
        <v/>
      </c>
      <c r="AJ46" s="4" t="str">
        <f t="shared" si="58"/>
        <v/>
      </c>
      <c r="AK46" s="4"/>
      <c r="AL46" s="4"/>
      <c r="AM46" s="4"/>
      <c r="AN46" s="4"/>
      <c r="AO46" s="4"/>
      <c r="AP46" s="20" t="str">
        <f t="shared" si="59"/>
        <v>-</v>
      </c>
      <c r="AQ46" s="13" t="str">
        <f t="shared" si="72"/>
        <v>-</v>
      </c>
      <c r="AR46" s="13" t="str">
        <f t="shared" si="73"/>
        <v>-</v>
      </c>
      <c r="AS46" s="13" t="str">
        <f t="shared" si="60"/>
        <v>-</v>
      </c>
      <c r="AT46" s="16" t="str">
        <f t="shared" si="74"/>
        <v>-</v>
      </c>
      <c r="AU46" s="16" t="str">
        <f t="shared" si="61"/>
        <v>-</v>
      </c>
      <c r="AV46" s="16" t="str">
        <f t="shared" si="62"/>
        <v>-</v>
      </c>
      <c r="AW46" s="16" t="str">
        <f t="shared" si="75"/>
        <v>-</v>
      </c>
      <c r="AX46" s="13" t="str">
        <f t="shared" si="76"/>
        <v>-</v>
      </c>
      <c r="AY46" s="10" t="str">
        <f t="shared" si="77"/>
        <v>-</v>
      </c>
      <c r="AZ46" s="9" t="str">
        <f t="shared" si="78"/>
        <v>-</v>
      </c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</row>
    <row r="47" spans="2:68" x14ac:dyDescent="0.3">
      <c r="B47" s="108" t="str">
        <f t="shared" si="63"/>
        <v/>
      </c>
      <c r="C47" s="108" t="str">
        <f t="shared" si="47"/>
        <v/>
      </c>
      <c r="D47" s="3"/>
      <c r="E47" s="3"/>
      <c r="F47" s="3"/>
      <c r="G47" s="20">
        <f>IFERROR(INDEX('Input - Convenience'!F$2:F$200,MATCH('Calculations - Convenience'!$C47,'Input - Convenience'!$B$2:$B$200,0)),"")</f>
        <v>0</v>
      </c>
      <c r="H47" s="20">
        <f>IFERROR(INDEX('Input - Convenience'!G$2:G$200,MATCH('Calculations - Convenience'!$C47,'Input - Convenience'!$B$2:$B$200,0)),"")</f>
        <v>0</v>
      </c>
      <c r="I47" s="21">
        <f>IFERROR(INDEX('Input - Convenience'!H$2:H$200,MATCH('Calculations - Convenience'!$C47,'Input - Convenience'!$B$2:$B$200,0)),"")</f>
        <v>0</v>
      </c>
      <c r="J47" s="21">
        <f>IFERROR(INDEX('Input - Convenience'!I$2:I$200,MATCH('Calculations - Convenience'!$C47,'Input - Convenience'!$B$2:$B$200,0)),"")</f>
        <v>0</v>
      </c>
      <c r="K47" s="20">
        <f>IFERROR(INDEX('Input - Convenience'!J$2:J$200,MATCH('Calculations - Convenience'!$C47,'Input - Convenience'!$B$2:$B$200,0)),"")</f>
        <v>0</v>
      </c>
      <c r="L47" s="20">
        <f>IFERROR(INDEX('Input - Convenience'!K$2:K$200,MATCH('Calculations - Convenience'!$C47,'Input - Convenience'!$B$2:$B$200,0)),"")</f>
        <v>0</v>
      </c>
      <c r="M47" s="21" t="str">
        <f t="shared" si="64"/>
        <v/>
      </c>
      <c r="N47" s="21" t="str">
        <f t="shared" si="48"/>
        <v/>
      </c>
      <c r="O47" s="21">
        <f t="shared" si="65"/>
        <v>0</v>
      </c>
      <c r="P47" s="9">
        <f t="shared" si="49"/>
        <v>0</v>
      </c>
      <c r="Q47" s="9">
        <f t="shared" si="50"/>
        <v>0</v>
      </c>
      <c r="R47" s="22" t="str">
        <f>IFERROR(INDEX(Convenience!$N$11:$N$148,MATCH('Calculations - Convenience'!$C47,Convenience!$J$11:$J$148,0)),"")</f>
        <v/>
      </c>
      <c r="S47" s="22" t="str">
        <f>IFERROR(INDEX(Convenience!$O$11:$O$148,MATCH('Calculations - Convenience'!$C47,Convenience!$J$11:$J$148,0)),"")</f>
        <v/>
      </c>
      <c r="T47" s="16" t="e">
        <f t="shared" si="51"/>
        <v>#VALUE!</v>
      </c>
      <c r="U47" s="16" t="e">
        <f t="shared" si="66"/>
        <v>#VALUE!</v>
      </c>
      <c r="V47" s="16" t="e">
        <f t="shared" si="67"/>
        <v>#VALUE!</v>
      </c>
      <c r="W47" s="10" t="str">
        <f t="shared" si="52"/>
        <v>-</v>
      </c>
      <c r="X47" s="10" t="str">
        <f t="shared" si="53"/>
        <v>-</v>
      </c>
      <c r="Y47" s="13" t="str">
        <f t="shared" si="68"/>
        <v>-</v>
      </c>
      <c r="Z47" s="9" t="str">
        <f t="shared" si="54"/>
        <v>-</v>
      </c>
      <c r="AA47" s="16" t="str">
        <f t="shared" si="69"/>
        <v>-</v>
      </c>
      <c r="AB47" s="16" t="str">
        <f t="shared" si="55"/>
        <v>-</v>
      </c>
      <c r="AC47" s="16" t="str">
        <f t="shared" si="56"/>
        <v>-</v>
      </c>
      <c r="AD47" s="16" t="str">
        <f t="shared" si="70"/>
        <v>-</v>
      </c>
      <c r="AE47" s="16"/>
      <c r="AF47" s="31" t="str">
        <f>IFERROR(INDEX(Convenience!$M$11:$M$148,MATCH('Calculations - Convenience'!C47,Convenience!$J$11:$J$148,0)),"")</f>
        <v/>
      </c>
      <c r="AG47" s="23" t="str">
        <f t="shared" si="71"/>
        <v/>
      </c>
      <c r="AH47" s="23" t="str">
        <f t="shared" si="71"/>
        <v/>
      </c>
      <c r="AI47" s="9" t="str">
        <f t="shared" si="57"/>
        <v/>
      </c>
      <c r="AJ47" s="4" t="str">
        <f t="shared" si="58"/>
        <v/>
      </c>
      <c r="AK47" s="4"/>
      <c r="AL47" s="4"/>
      <c r="AM47" s="4"/>
      <c r="AN47" s="4"/>
      <c r="AO47" s="4"/>
      <c r="AP47" s="20" t="str">
        <f t="shared" si="59"/>
        <v>-</v>
      </c>
      <c r="AQ47" s="13" t="str">
        <f t="shared" si="72"/>
        <v>-</v>
      </c>
      <c r="AR47" s="13" t="str">
        <f t="shared" si="73"/>
        <v>-</v>
      </c>
      <c r="AS47" s="13" t="str">
        <f t="shared" si="60"/>
        <v>-</v>
      </c>
      <c r="AT47" s="16" t="str">
        <f t="shared" si="74"/>
        <v>-</v>
      </c>
      <c r="AU47" s="16" t="str">
        <f t="shared" si="61"/>
        <v>-</v>
      </c>
      <c r="AV47" s="16" t="str">
        <f t="shared" si="62"/>
        <v>-</v>
      </c>
      <c r="AW47" s="16" t="str">
        <f t="shared" si="75"/>
        <v>-</v>
      </c>
      <c r="AX47" s="13" t="str">
        <f t="shared" si="76"/>
        <v>-</v>
      </c>
      <c r="AY47" s="10" t="str">
        <f t="shared" si="77"/>
        <v>-</v>
      </c>
      <c r="AZ47" s="9" t="str">
        <f t="shared" si="78"/>
        <v>-</v>
      </c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</row>
    <row r="48" spans="2:68" x14ac:dyDescent="0.3">
      <c r="B48" s="108" t="str">
        <f t="shared" si="63"/>
        <v/>
      </c>
      <c r="C48" s="108" t="str">
        <f t="shared" si="47"/>
        <v/>
      </c>
      <c r="D48" s="3"/>
      <c r="E48" s="3"/>
      <c r="F48" s="3"/>
      <c r="G48" s="20">
        <f>IFERROR(INDEX('Input - Convenience'!F$2:F$200,MATCH('Calculations - Convenience'!$C48,'Input - Convenience'!$B$2:$B$200,0)),"")</f>
        <v>0</v>
      </c>
      <c r="H48" s="20">
        <f>IFERROR(INDEX('Input - Convenience'!G$2:G$200,MATCH('Calculations - Convenience'!$C48,'Input - Convenience'!$B$2:$B$200,0)),"")</f>
        <v>0</v>
      </c>
      <c r="I48" s="21">
        <f>IFERROR(INDEX('Input - Convenience'!H$2:H$200,MATCH('Calculations - Convenience'!$C48,'Input - Convenience'!$B$2:$B$200,0)),"")</f>
        <v>0</v>
      </c>
      <c r="J48" s="21">
        <f>IFERROR(INDEX('Input - Convenience'!I$2:I$200,MATCH('Calculations - Convenience'!$C48,'Input - Convenience'!$B$2:$B$200,0)),"")</f>
        <v>0</v>
      </c>
      <c r="K48" s="20">
        <f>IFERROR(INDEX('Input - Convenience'!J$2:J$200,MATCH('Calculations - Convenience'!$C48,'Input - Convenience'!$B$2:$B$200,0)),"")</f>
        <v>0</v>
      </c>
      <c r="L48" s="20">
        <f>IFERROR(INDEX('Input - Convenience'!K$2:K$200,MATCH('Calculations - Convenience'!$C48,'Input - Convenience'!$B$2:$B$200,0)),"")</f>
        <v>0</v>
      </c>
      <c r="M48" s="21" t="str">
        <f t="shared" si="64"/>
        <v/>
      </c>
      <c r="N48" s="21" t="str">
        <f t="shared" si="48"/>
        <v/>
      </c>
      <c r="O48" s="21">
        <f t="shared" si="65"/>
        <v>0</v>
      </c>
      <c r="P48" s="9">
        <f t="shared" si="49"/>
        <v>0</v>
      </c>
      <c r="Q48" s="9">
        <f t="shared" si="50"/>
        <v>0</v>
      </c>
      <c r="R48" s="22" t="str">
        <f>IFERROR(INDEX(Convenience!$N$11:$N$148,MATCH('Calculations - Convenience'!$C48,Convenience!$J$11:$J$148,0)),"")</f>
        <v/>
      </c>
      <c r="S48" s="22" t="str">
        <f>IFERROR(INDEX(Convenience!$O$11:$O$148,MATCH('Calculations - Convenience'!$C48,Convenience!$J$11:$J$148,0)),"")</f>
        <v/>
      </c>
      <c r="T48" s="16" t="e">
        <f t="shared" si="51"/>
        <v>#VALUE!</v>
      </c>
      <c r="U48" s="16" t="e">
        <f t="shared" si="66"/>
        <v>#VALUE!</v>
      </c>
      <c r="V48" s="16" t="e">
        <f t="shared" si="67"/>
        <v>#VALUE!</v>
      </c>
      <c r="W48" s="10" t="str">
        <f t="shared" si="52"/>
        <v>-</v>
      </c>
      <c r="X48" s="10" t="str">
        <f t="shared" si="53"/>
        <v>-</v>
      </c>
      <c r="Y48" s="13" t="str">
        <f t="shared" si="68"/>
        <v>-</v>
      </c>
      <c r="Z48" s="9" t="str">
        <f t="shared" si="54"/>
        <v>-</v>
      </c>
      <c r="AA48" s="16" t="str">
        <f t="shared" si="69"/>
        <v>-</v>
      </c>
      <c r="AB48" s="16" t="str">
        <f t="shared" si="55"/>
        <v>-</v>
      </c>
      <c r="AC48" s="16" t="str">
        <f t="shared" si="56"/>
        <v>-</v>
      </c>
      <c r="AD48" s="16" t="str">
        <f t="shared" si="70"/>
        <v>-</v>
      </c>
      <c r="AE48" s="16"/>
      <c r="AF48" s="31" t="str">
        <f>IFERROR(INDEX(Convenience!$M$11:$M$148,MATCH('Calculations - Convenience'!C48,Convenience!$J$11:$J$148,0)),"")</f>
        <v/>
      </c>
      <c r="AG48" s="23" t="str">
        <f t="shared" si="71"/>
        <v/>
      </c>
      <c r="AH48" s="23" t="str">
        <f t="shared" si="71"/>
        <v/>
      </c>
      <c r="AI48" s="9" t="str">
        <f t="shared" si="57"/>
        <v/>
      </c>
      <c r="AJ48" s="4" t="str">
        <f t="shared" si="58"/>
        <v/>
      </c>
      <c r="AK48" s="4"/>
      <c r="AL48" s="4"/>
      <c r="AM48" s="4"/>
      <c r="AN48" s="4"/>
      <c r="AO48" s="4"/>
      <c r="AP48" s="20" t="str">
        <f t="shared" si="59"/>
        <v>-</v>
      </c>
      <c r="AQ48" s="13" t="str">
        <f t="shared" si="72"/>
        <v>-</v>
      </c>
      <c r="AR48" s="13" t="str">
        <f t="shared" si="73"/>
        <v>-</v>
      </c>
      <c r="AS48" s="13" t="str">
        <f t="shared" si="60"/>
        <v>-</v>
      </c>
      <c r="AT48" s="16" t="str">
        <f t="shared" si="74"/>
        <v>-</v>
      </c>
      <c r="AU48" s="16" t="str">
        <f t="shared" si="61"/>
        <v>-</v>
      </c>
      <c r="AV48" s="16" t="str">
        <f t="shared" si="62"/>
        <v>-</v>
      </c>
      <c r="AW48" s="16" t="str">
        <f t="shared" si="75"/>
        <v>-</v>
      </c>
      <c r="AX48" s="13" t="str">
        <f t="shared" si="76"/>
        <v>-</v>
      </c>
      <c r="AY48" s="10" t="str">
        <f t="shared" si="77"/>
        <v>-</v>
      </c>
      <c r="AZ48" s="9" t="str">
        <f t="shared" si="78"/>
        <v>-</v>
      </c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</row>
    <row r="49" spans="2:68" x14ac:dyDescent="0.3">
      <c r="B49" s="108" t="str">
        <f t="shared" si="63"/>
        <v/>
      </c>
      <c r="C49" s="108" t="str">
        <f t="shared" si="47"/>
        <v/>
      </c>
      <c r="D49" s="3"/>
      <c r="E49" s="3"/>
      <c r="F49" s="3"/>
      <c r="G49" s="20">
        <f>IFERROR(INDEX('Input - Convenience'!F$2:F$200,MATCH('Calculations - Convenience'!$C49,'Input - Convenience'!$B$2:$B$200,0)),"")</f>
        <v>0</v>
      </c>
      <c r="H49" s="20">
        <f>IFERROR(INDEX('Input - Convenience'!G$2:G$200,MATCH('Calculations - Convenience'!$C49,'Input - Convenience'!$B$2:$B$200,0)),"")</f>
        <v>0</v>
      </c>
      <c r="I49" s="21">
        <f>IFERROR(INDEX('Input - Convenience'!H$2:H$200,MATCH('Calculations - Convenience'!$C49,'Input - Convenience'!$B$2:$B$200,0)),"")</f>
        <v>0</v>
      </c>
      <c r="J49" s="21">
        <f>IFERROR(INDEX('Input - Convenience'!I$2:I$200,MATCH('Calculations - Convenience'!$C49,'Input - Convenience'!$B$2:$B$200,0)),"")</f>
        <v>0</v>
      </c>
      <c r="K49" s="20">
        <f>IFERROR(INDEX('Input - Convenience'!J$2:J$200,MATCH('Calculations - Convenience'!$C49,'Input - Convenience'!$B$2:$B$200,0)),"")</f>
        <v>0</v>
      </c>
      <c r="L49" s="20">
        <f>IFERROR(INDEX('Input - Convenience'!K$2:K$200,MATCH('Calculations - Convenience'!$C49,'Input - Convenience'!$B$2:$B$200,0)),"")</f>
        <v>0</v>
      </c>
      <c r="M49" s="21" t="str">
        <f t="shared" si="64"/>
        <v/>
      </c>
      <c r="N49" s="21" t="str">
        <f t="shared" si="48"/>
        <v/>
      </c>
      <c r="O49" s="21">
        <f t="shared" si="65"/>
        <v>0</v>
      </c>
      <c r="P49" s="9">
        <f t="shared" si="49"/>
        <v>0</v>
      </c>
      <c r="Q49" s="9">
        <f t="shared" si="50"/>
        <v>0</v>
      </c>
      <c r="R49" s="22" t="str">
        <f>IFERROR(INDEX(Convenience!$N$11:$N$148,MATCH('Calculations - Convenience'!$C49,Convenience!$J$11:$J$148,0)),"")</f>
        <v/>
      </c>
      <c r="S49" s="22" t="str">
        <f>IFERROR(INDEX(Convenience!$O$11:$O$148,MATCH('Calculations - Convenience'!$C49,Convenience!$J$11:$J$148,0)),"")</f>
        <v/>
      </c>
      <c r="T49" s="16" t="e">
        <f t="shared" si="51"/>
        <v>#VALUE!</v>
      </c>
      <c r="U49" s="16" t="e">
        <f t="shared" si="66"/>
        <v>#VALUE!</v>
      </c>
      <c r="V49" s="16" t="e">
        <f t="shared" si="67"/>
        <v>#VALUE!</v>
      </c>
      <c r="W49" s="10" t="str">
        <f t="shared" si="52"/>
        <v>-</v>
      </c>
      <c r="X49" s="10" t="str">
        <f t="shared" si="53"/>
        <v>-</v>
      </c>
      <c r="Y49" s="13" t="str">
        <f t="shared" si="68"/>
        <v>-</v>
      </c>
      <c r="Z49" s="9" t="str">
        <f t="shared" si="54"/>
        <v>-</v>
      </c>
      <c r="AA49" s="16" t="str">
        <f t="shared" si="69"/>
        <v>-</v>
      </c>
      <c r="AB49" s="16" t="str">
        <f t="shared" si="55"/>
        <v>-</v>
      </c>
      <c r="AC49" s="16" t="str">
        <f t="shared" si="56"/>
        <v>-</v>
      </c>
      <c r="AD49" s="16" t="str">
        <f t="shared" si="70"/>
        <v>-</v>
      </c>
      <c r="AE49" s="16"/>
      <c r="AF49" s="31" t="str">
        <f>IFERROR(INDEX(Convenience!$M$11:$M$148,MATCH('Calculations - Convenience'!C49,Convenience!$J$11:$J$148,0)),"")</f>
        <v/>
      </c>
      <c r="AG49" s="23" t="str">
        <f t="shared" si="71"/>
        <v/>
      </c>
      <c r="AH49" s="23" t="str">
        <f t="shared" si="71"/>
        <v/>
      </c>
      <c r="AI49" s="9" t="str">
        <f t="shared" si="57"/>
        <v/>
      </c>
      <c r="AJ49" s="4" t="str">
        <f t="shared" si="58"/>
        <v/>
      </c>
      <c r="AK49" s="4"/>
      <c r="AL49" s="4"/>
      <c r="AM49" s="4"/>
      <c r="AN49" s="4"/>
      <c r="AO49" s="4"/>
      <c r="AP49" s="20" t="str">
        <f t="shared" si="59"/>
        <v>-</v>
      </c>
      <c r="AQ49" s="13" t="str">
        <f t="shared" si="72"/>
        <v>-</v>
      </c>
      <c r="AR49" s="13" t="str">
        <f t="shared" si="73"/>
        <v>-</v>
      </c>
      <c r="AS49" s="13" t="str">
        <f t="shared" si="60"/>
        <v>-</v>
      </c>
      <c r="AT49" s="16" t="str">
        <f t="shared" si="74"/>
        <v>-</v>
      </c>
      <c r="AU49" s="16" t="str">
        <f t="shared" si="61"/>
        <v>-</v>
      </c>
      <c r="AV49" s="16" t="str">
        <f t="shared" si="62"/>
        <v>-</v>
      </c>
      <c r="AW49" s="16" t="str">
        <f t="shared" si="75"/>
        <v>-</v>
      </c>
      <c r="AX49" s="13" t="str">
        <f t="shared" si="76"/>
        <v>-</v>
      </c>
      <c r="AY49" s="10" t="str">
        <f t="shared" si="77"/>
        <v>-</v>
      </c>
      <c r="AZ49" s="9" t="str">
        <f t="shared" si="78"/>
        <v>-</v>
      </c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</row>
    <row r="50" spans="2:68" x14ac:dyDescent="0.3">
      <c r="B50" s="108" t="str">
        <f t="shared" si="63"/>
        <v/>
      </c>
      <c r="C50" s="108" t="str">
        <f t="shared" si="47"/>
        <v/>
      </c>
      <c r="D50" s="3"/>
      <c r="E50" s="3"/>
      <c r="F50" s="3"/>
      <c r="G50" s="20">
        <f>IFERROR(INDEX('Input - Convenience'!F$2:F$200,MATCH('Calculations - Convenience'!$C50,'Input - Convenience'!$B$2:$B$200,0)),"")</f>
        <v>0</v>
      </c>
      <c r="H50" s="20">
        <f>IFERROR(INDEX('Input - Convenience'!G$2:G$200,MATCH('Calculations - Convenience'!$C50,'Input - Convenience'!$B$2:$B$200,0)),"")</f>
        <v>0</v>
      </c>
      <c r="I50" s="21">
        <f>IFERROR(INDEX('Input - Convenience'!H$2:H$200,MATCH('Calculations - Convenience'!$C50,'Input - Convenience'!$B$2:$B$200,0)),"")</f>
        <v>0</v>
      </c>
      <c r="J50" s="21">
        <f>IFERROR(INDEX('Input - Convenience'!I$2:I$200,MATCH('Calculations - Convenience'!$C50,'Input - Convenience'!$B$2:$B$200,0)),"")</f>
        <v>0</v>
      </c>
      <c r="K50" s="20">
        <f>IFERROR(INDEX('Input - Convenience'!J$2:J$200,MATCH('Calculations - Convenience'!$C50,'Input - Convenience'!$B$2:$B$200,0)),"")</f>
        <v>0</v>
      </c>
      <c r="L50" s="20">
        <f>IFERROR(INDEX('Input - Convenience'!K$2:K$200,MATCH('Calculations - Convenience'!$C50,'Input - Convenience'!$B$2:$B$200,0)),"")</f>
        <v>0</v>
      </c>
      <c r="M50" s="21" t="str">
        <f t="shared" si="64"/>
        <v/>
      </c>
      <c r="N50" s="21" t="str">
        <f t="shared" si="48"/>
        <v/>
      </c>
      <c r="O50" s="21">
        <f t="shared" si="65"/>
        <v>0</v>
      </c>
      <c r="P50" s="9">
        <f t="shared" si="49"/>
        <v>0</v>
      </c>
      <c r="Q50" s="9">
        <f t="shared" si="50"/>
        <v>0</v>
      </c>
      <c r="R50" s="22" t="str">
        <f>IFERROR(INDEX(Convenience!$N$11:$N$148,MATCH('Calculations - Convenience'!$C50,Convenience!$J$11:$J$148,0)),"")</f>
        <v/>
      </c>
      <c r="S50" s="22" t="str">
        <f>IFERROR(INDEX(Convenience!$O$11:$O$148,MATCH('Calculations - Convenience'!$C50,Convenience!$J$11:$J$148,0)),"")</f>
        <v/>
      </c>
      <c r="T50" s="16" t="e">
        <f t="shared" si="51"/>
        <v>#VALUE!</v>
      </c>
      <c r="U50" s="16" t="e">
        <f t="shared" si="66"/>
        <v>#VALUE!</v>
      </c>
      <c r="V50" s="16" t="e">
        <f t="shared" si="67"/>
        <v>#VALUE!</v>
      </c>
      <c r="W50" s="10" t="str">
        <f t="shared" si="52"/>
        <v>-</v>
      </c>
      <c r="X50" s="10" t="str">
        <f t="shared" si="53"/>
        <v>-</v>
      </c>
      <c r="Y50" s="13" t="str">
        <f t="shared" si="68"/>
        <v>-</v>
      </c>
      <c r="Z50" s="9" t="str">
        <f t="shared" si="54"/>
        <v>-</v>
      </c>
      <c r="AA50" s="16" t="str">
        <f t="shared" si="69"/>
        <v>-</v>
      </c>
      <c r="AB50" s="16" t="str">
        <f t="shared" si="55"/>
        <v>-</v>
      </c>
      <c r="AC50" s="16" t="str">
        <f t="shared" si="56"/>
        <v>-</v>
      </c>
      <c r="AD50" s="16" t="str">
        <f t="shared" si="70"/>
        <v>-</v>
      </c>
      <c r="AE50" s="16"/>
      <c r="AF50" s="31" t="str">
        <f>IFERROR(INDEX(Convenience!$M$11:$M$148,MATCH('Calculations - Convenience'!C50,Convenience!$J$11:$J$148,0)),"")</f>
        <v/>
      </c>
      <c r="AG50" s="23" t="str">
        <f t="shared" si="71"/>
        <v/>
      </c>
      <c r="AH50" s="23" t="str">
        <f t="shared" si="71"/>
        <v/>
      </c>
      <c r="AI50" s="9" t="str">
        <f t="shared" si="57"/>
        <v/>
      </c>
      <c r="AJ50" s="4" t="str">
        <f t="shared" si="58"/>
        <v/>
      </c>
      <c r="AK50" s="4"/>
      <c r="AL50" s="4"/>
      <c r="AM50" s="4"/>
      <c r="AN50" s="4"/>
      <c r="AO50" s="4"/>
      <c r="AP50" s="20" t="str">
        <f t="shared" si="59"/>
        <v>-</v>
      </c>
      <c r="AQ50" s="13" t="str">
        <f t="shared" si="72"/>
        <v>-</v>
      </c>
      <c r="AR50" s="13" t="str">
        <f t="shared" si="73"/>
        <v>-</v>
      </c>
      <c r="AS50" s="13" t="str">
        <f t="shared" si="60"/>
        <v>-</v>
      </c>
      <c r="AT50" s="16" t="str">
        <f t="shared" si="74"/>
        <v>-</v>
      </c>
      <c r="AU50" s="16" t="str">
        <f t="shared" si="61"/>
        <v>-</v>
      </c>
      <c r="AV50" s="16" t="str">
        <f t="shared" si="62"/>
        <v>-</v>
      </c>
      <c r="AW50" s="16" t="str">
        <f t="shared" si="75"/>
        <v>-</v>
      </c>
      <c r="AX50" s="13" t="str">
        <f t="shared" si="76"/>
        <v>-</v>
      </c>
      <c r="AY50" s="10" t="str">
        <f t="shared" si="77"/>
        <v>-</v>
      </c>
      <c r="AZ50" s="9" t="str">
        <f t="shared" si="78"/>
        <v>-</v>
      </c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</row>
    <row r="51" spans="2:68" x14ac:dyDescent="0.3">
      <c r="B51" s="108" t="str">
        <f t="shared" si="63"/>
        <v/>
      </c>
      <c r="C51" s="108" t="str">
        <f t="shared" si="47"/>
        <v/>
      </c>
      <c r="D51" s="3"/>
      <c r="E51" s="3"/>
      <c r="F51" s="3"/>
      <c r="G51" s="20">
        <f>IFERROR(INDEX('Input - Convenience'!F$2:F$200,MATCH('Calculations - Convenience'!$C51,'Input - Convenience'!$B$2:$B$200,0)),"")</f>
        <v>0</v>
      </c>
      <c r="H51" s="20">
        <f>IFERROR(INDEX('Input - Convenience'!G$2:G$200,MATCH('Calculations - Convenience'!$C51,'Input - Convenience'!$B$2:$B$200,0)),"")</f>
        <v>0</v>
      </c>
      <c r="I51" s="21">
        <f>IFERROR(INDEX('Input - Convenience'!H$2:H$200,MATCH('Calculations - Convenience'!$C51,'Input - Convenience'!$B$2:$B$200,0)),"")</f>
        <v>0</v>
      </c>
      <c r="J51" s="21">
        <f>IFERROR(INDEX('Input - Convenience'!I$2:I$200,MATCH('Calculations - Convenience'!$C51,'Input - Convenience'!$B$2:$B$200,0)),"")</f>
        <v>0</v>
      </c>
      <c r="K51" s="20">
        <f>IFERROR(INDEX('Input - Convenience'!J$2:J$200,MATCH('Calculations - Convenience'!$C51,'Input - Convenience'!$B$2:$B$200,0)),"")</f>
        <v>0</v>
      </c>
      <c r="L51" s="20">
        <f>IFERROR(INDEX('Input - Convenience'!K$2:K$200,MATCH('Calculations - Convenience'!$C51,'Input - Convenience'!$B$2:$B$200,0)),"")</f>
        <v>0</v>
      </c>
      <c r="M51" s="21" t="str">
        <f t="shared" si="64"/>
        <v/>
      </c>
      <c r="N51" s="21" t="str">
        <f t="shared" si="48"/>
        <v/>
      </c>
      <c r="O51" s="21">
        <f t="shared" si="65"/>
        <v>0</v>
      </c>
      <c r="P51" s="9">
        <f t="shared" si="49"/>
        <v>0</v>
      </c>
      <c r="Q51" s="9">
        <f t="shared" si="50"/>
        <v>0</v>
      </c>
      <c r="R51" s="22" t="str">
        <f>IFERROR(INDEX(Convenience!$N$11:$N$148,MATCH('Calculations - Convenience'!$C51,Convenience!$J$11:$J$148,0)),"")</f>
        <v/>
      </c>
      <c r="S51" s="22" t="str">
        <f>IFERROR(INDEX(Convenience!$O$11:$O$148,MATCH('Calculations - Convenience'!$C51,Convenience!$J$11:$J$148,0)),"")</f>
        <v/>
      </c>
      <c r="T51" s="16" t="e">
        <f t="shared" si="51"/>
        <v>#VALUE!</v>
      </c>
      <c r="U51" s="16" t="e">
        <f t="shared" si="66"/>
        <v>#VALUE!</v>
      </c>
      <c r="V51" s="16" t="e">
        <f t="shared" si="67"/>
        <v>#VALUE!</v>
      </c>
      <c r="W51" s="10" t="str">
        <f t="shared" si="52"/>
        <v>-</v>
      </c>
      <c r="X51" s="10" t="str">
        <f t="shared" si="53"/>
        <v>-</v>
      </c>
      <c r="Y51" s="13" t="str">
        <f t="shared" si="68"/>
        <v>-</v>
      </c>
      <c r="Z51" s="9" t="str">
        <f t="shared" si="54"/>
        <v>-</v>
      </c>
      <c r="AA51" s="16" t="str">
        <f t="shared" si="69"/>
        <v>-</v>
      </c>
      <c r="AB51" s="16" t="str">
        <f t="shared" si="55"/>
        <v>-</v>
      </c>
      <c r="AC51" s="16" t="str">
        <f t="shared" si="56"/>
        <v>-</v>
      </c>
      <c r="AD51" s="16" t="str">
        <f t="shared" si="70"/>
        <v>-</v>
      </c>
      <c r="AE51" s="16"/>
      <c r="AF51" s="31" t="str">
        <f>IFERROR(INDEX(Convenience!$M$11:$M$148,MATCH('Calculations - Convenience'!C51,Convenience!$J$11:$J$148,0)),"")</f>
        <v/>
      </c>
      <c r="AG51" s="23" t="str">
        <f t="shared" si="71"/>
        <v/>
      </c>
      <c r="AH51" s="23" t="str">
        <f t="shared" si="71"/>
        <v/>
      </c>
      <c r="AI51" s="9" t="str">
        <f t="shared" si="57"/>
        <v/>
      </c>
      <c r="AJ51" s="4" t="str">
        <f t="shared" si="58"/>
        <v/>
      </c>
      <c r="AK51" s="4"/>
      <c r="AL51" s="4"/>
      <c r="AM51" s="4"/>
      <c r="AN51" s="4"/>
      <c r="AO51" s="4"/>
      <c r="AP51" s="20" t="str">
        <f t="shared" si="59"/>
        <v>-</v>
      </c>
      <c r="AQ51" s="13" t="str">
        <f t="shared" si="72"/>
        <v>-</v>
      </c>
      <c r="AR51" s="13" t="str">
        <f t="shared" si="73"/>
        <v>-</v>
      </c>
      <c r="AS51" s="13" t="str">
        <f t="shared" si="60"/>
        <v>-</v>
      </c>
      <c r="AT51" s="16" t="str">
        <f t="shared" si="74"/>
        <v>-</v>
      </c>
      <c r="AU51" s="16" t="str">
        <f t="shared" si="61"/>
        <v>-</v>
      </c>
      <c r="AV51" s="16" t="str">
        <f t="shared" si="62"/>
        <v>-</v>
      </c>
      <c r="AW51" s="16" t="str">
        <f t="shared" si="75"/>
        <v>-</v>
      </c>
      <c r="AX51" s="13" t="str">
        <f t="shared" si="76"/>
        <v>-</v>
      </c>
      <c r="AY51" s="10" t="str">
        <f t="shared" si="77"/>
        <v>-</v>
      </c>
      <c r="AZ51" s="9" t="str">
        <f t="shared" si="78"/>
        <v>-</v>
      </c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2:68" x14ac:dyDescent="0.3">
      <c r="B52" s="108" t="str">
        <f t="shared" si="63"/>
        <v/>
      </c>
      <c r="C52" s="108" t="str">
        <f t="shared" si="47"/>
        <v/>
      </c>
      <c r="D52" s="3"/>
      <c r="E52" s="3"/>
      <c r="F52" s="3"/>
      <c r="G52" s="20">
        <f>IFERROR(INDEX('Input - Convenience'!F$2:F$200,MATCH('Calculations - Convenience'!$C52,'Input - Convenience'!$B$2:$B$200,0)),"")</f>
        <v>0</v>
      </c>
      <c r="H52" s="20">
        <f>IFERROR(INDEX('Input - Convenience'!G$2:G$200,MATCH('Calculations - Convenience'!$C52,'Input - Convenience'!$B$2:$B$200,0)),"")</f>
        <v>0</v>
      </c>
      <c r="I52" s="21">
        <f>IFERROR(INDEX('Input - Convenience'!H$2:H$200,MATCH('Calculations - Convenience'!$C52,'Input - Convenience'!$B$2:$B$200,0)),"")</f>
        <v>0</v>
      </c>
      <c r="J52" s="21">
        <f>IFERROR(INDEX('Input - Convenience'!I$2:I$200,MATCH('Calculations - Convenience'!$C52,'Input - Convenience'!$B$2:$B$200,0)),"")</f>
        <v>0</v>
      </c>
      <c r="K52" s="20">
        <f>IFERROR(INDEX('Input - Convenience'!J$2:J$200,MATCH('Calculations - Convenience'!$C52,'Input - Convenience'!$B$2:$B$200,0)),"")</f>
        <v>0</v>
      </c>
      <c r="L52" s="20">
        <f>IFERROR(INDEX('Input - Convenience'!K$2:K$200,MATCH('Calculations - Convenience'!$C52,'Input - Convenience'!$B$2:$B$200,0)),"")</f>
        <v>0</v>
      </c>
      <c r="M52" s="21" t="str">
        <f t="shared" si="64"/>
        <v/>
      </c>
      <c r="N52" s="21" t="str">
        <f t="shared" si="48"/>
        <v/>
      </c>
      <c r="O52" s="21">
        <f t="shared" si="65"/>
        <v>0</v>
      </c>
      <c r="P52" s="9">
        <f t="shared" si="49"/>
        <v>0</v>
      </c>
      <c r="Q52" s="9">
        <f t="shared" si="50"/>
        <v>0</v>
      </c>
      <c r="R52" s="22" t="str">
        <f>IFERROR(INDEX(Convenience!$N$11:$N$148,MATCH('Calculations - Convenience'!$C52,Convenience!$J$11:$J$148,0)),"")</f>
        <v/>
      </c>
      <c r="S52" s="22" t="str">
        <f>IFERROR(INDEX(Convenience!$O$11:$O$148,MATCH('Calculations - Convenience'!$C52,Convenience!$J$11:$J$148,0)),"")</f>
        <v/>
      </c>
      <c r="T52" s="16" t="e">
        <f t="shared" si="51"/>
        <v>#VALUE!</v>
      </c>
      <c r="U52" s="16" t="e">
        <f t="shared" si="66"/>
        <v>#VALUE!</v>
      </c>
      <c r="V52" s="16" t="e">
        <f t="shared" si="67"/>
        <v>#VALUE!</v>
      </c>
      <c r="W52" s="10" t="str">
        <f t="shared" si="52"/>
        <v>-</v>
      </c>
      <c r="X52" s="10" t="str">
        <f t="shared" si="53"/>
        <v>-</v>
      </c>
      <c r="Y52" s="13" t="str">
        <f t="shared" si="68"/>
        <v>-</v>
      </c>
      <c r="Z52" s="9" t="str">
        <f t="shared" si="54"/>
        <v>-</v>
      </c>
      <c r="AA52" s="16" t="str">
        <f t="shared" si="69"/>
        <v>-</v>
      </c>
      <c r="AB52" s="16" t="str">
        <f t="shared" si="55"/>
        <v>-</v>
      </c>
      <c r="AC52" s="16" t="str">
        <f t="shared" si="56"/>
        <v>-</v>
      </c>
      <c r="AD52" s="16" t="str">
        <f t="shared" si="70"/>
        <v>-</v>
      </c>
      <c r="AE52" s="16"/>
      <c r="AF52" s="31" t="str">
        <f>IFERROR(INDEX(Convenience!$M$11:$M$148,MATCH('Calculations - Convenience'!C52,Convenience!$J$11:$J$148,0)),"")</f>
        <v/>
      </c>
      <c r="AG52" s="23" t="str">
        <f t="shared" si="71"/>
        <v/>
      </c>
      <c r="AH52" s="23" t="str">
        <f t="shared" si="71"/>
        <v/>
      </c>
      <c r="AI52" s="9" t="str">
        <f t="shared" si="57"/>
        <v/>
      </c>
      <c r="AJ52" s="4" t="str">
        <f t="shared" si="58"/>
        <v/>
      </c>
      <c r="AK52" s="4"/>
      <c r="AL52" s="4"/>
      <c r="AM52" s="4"/>
      <c r="AN52" s="4"/>
      <c r="AO52" s="4"/>
      <c r="AP52" s="20" t="str">
        <f t="shared" si="59"/>
        <v>-</v>
      </c>
      <c r="AQ52" s="13" t="str">
        <f t="shared" si="72"/>
        <v>-</v>
      </c>
      <c r="AR52" s="13" t="str">
        <f t="shared" si="73"/>
        <v>-</v>
      </c>
      <c r="AS52" s="13" t="str">
        <f t="shared" si="60"/>
        <v>-</v>
      </c>
      <c r="AT52" s="16" t="str">
        <f t="shared" si="74"/>
        <v>-</v>
      </c>
      <c r="AU52" s="16" t="str">
        <f t="shared" si="61"/>
        <v>-</v>
      </c>
      <c r="AV52" s="16" t="str">
        <f t="shared" si="62"/>
        <v>-</v>
      </c>
      <c r="AW52" s="16" t="str">
        <f t="shared" si="75"/>
        <v>-</v>
      </c>
      <c r="AX52" s="13" t="str">
        <f t="shared" si="76"/>
        <v>-</v>
      </c>
      <c r="AY52" s="10" t="str">
        <f t="shared" si="77"/>
        <v>-</v>
      </c>
      <c r="AZ52" s="9" t="str">
        <f t="shared" si="78"/>
        <v>-</v>
      </c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2:68" x14ac:dyDescent="0.3">
      <c r="B53" s="108" t="str">
        <f t="shared" si="63"/>
        <v/>
      </c>
      <c r="C53" s="108" t="str">
        <f t="shared" si="47"/>
        <v/>
      </c>
      <c r="D53" s="3"/>
      <c r="E53" s="3"/>
      <c r="F53" s="3"/>
      <c r="G53" s="20">
        <f>IFERROR(INDEX('Input - Convenience'!F$2:F$200,MATCH('Calculations - Convenience'!$C53,'Input - Convenience'!$B$2:$B$200,0)),"")</f>
        <v>0</v>
      </c>
      <c r="H53" s="20">
        <f>IFERROR(INDEX('Input - Convenience'!G$2:G$200,MATCH('Calculations - Convenience'!$C53,'Input - Convenience'!$B$2:$B$200,0)),"")</f>
        <v>0</v>
      </c>
      <c r="I53" s="21">
        <f>IFERROR(INDEX('Input - Convenience'!H$2:H$200,MATCH('Calculations - Convenience'!$C53,'Input - Convenience'!$B$2:$B$200,0)),"")</f>
        <v>0</v>
      </c>
      <c r="J53" s="21">
        <f>IFERROR(INDEX('Input - Convenience'!I$2:I$200,MATCH('Calculations - Convenience'!$C53,'Input - Convenience'!$B$2:$B$200,0)),"")</f>
        <v>0</v>
      </c>
      <c r="K53" s="20">
        <f>IFERROR(INDEX('Input - Convenience'!J$2:J$200,MATCH('Calculations - Convenience'!$C53,'Input - Convenience'!$B$2:$B$200,0)),"")</f>
        <v>0</v>
      </c>
      <c r="L53" s="20">
        <f>IFERROR(INDEX('Input - Convenience'!K$2:K$200,MATCH('Calculations - Convenience'!$C53,'Input - Convenience'!$B$2:$B$200,0)),"")</f>
        <v>0</v>
      </c>
      <c r="M53" s="21" t="str">
        <f t="shared" si="64"/>
        <v/>
      </c>
      <c r="N53" s="21" t="str">
        <f t="shared" si="48"/>
        <v/>
      </c>
      <c r="O53" s="21">
        <f t="shared" si="65"/>
        <v>0</v>
      </c>
      <c r="P53" s="9">
        <f t="shared" si="49"/>
        <v>0</v>
      </c>
      <c r="Q53" s="9">
        <f t="shared" si="50"/>
        <v>0</v>
      </c>
      <c r="R53" s="22" t="str">
        <f>IFERROR(INDEX(Convenience!$N$11:$N$148,MATCH('Calculations - Convenience'!$C53,Convenience!$J$11:$J$148,0)),"")</f>
        <v/>
      </c>
      <c r="S53" s="22" t="str">
        <f>IFERROR(INDEX(Convenience!$O$11:$O$148,MATCH('Calculations - Convenience'!$C53,Convenience!$J$11:$J$148,0)),"")</f>
        <v/>
      </c>
      <c r="T53" s="16" t="e">
        <f t="shared" si="51"/>
        <v>#VALUE!</v>
      </c>
      <c r="U53" s="16" t="e">
        <f t="shared" si="66"/>
        <v>#VALUE!</v>
      </c>
      <c r="V53" s="16" t="e">
        <f t="shared" si="67"/>
        <v>#VALUE!</v>
      </c>
      <c r="W53" s="10" t="str">
        <f t="shared" si="52"/>
        <v>-</v>
      </c>
      <c r="X53" s="10" t="str">
        <f t="shared" si="53"/>
        <v>-</v>
      </c>
      <c r="Y53" s="13" t="str">
        <f t="shared" si="68"/>
        <v>-</v>
      </c>
      <c r="Z53" s="9" t="str">
        <f t="shared" si="54"/>
        <v>-</v>
      </c>
      <c r="AA53" s="16" t="str">
        <f t="shared" si="69"/>
        <v>-</v>
      </c>
      <c r="AB53" s="16" t="str">
        <f t="shared" si="55"/>
        <v>-</v>
      </c>
      <c r="AC53" s="16" t="str">
        <f t="shared" si="56"/>
        <v>-</v>
      </c>
      <c r="AD53" s="16" t="str">
        <f t="shared" si="70"/>
        <v>-</v>
      </c>
      <c r="AE53" s="16"/>
      <c r="AF53" s="31" t="str">
        <f>IFERROR(INDEX(Convenience!$M$11:$M$148,MATCH('Calculations - Convenience'!C53,Convenience!$J$11:$J$148,0)),"")</f>
        <v/>
      </c>
      <c r="AG53" s="23" t="str">
        <f t="shared" si="71"/>
        <v/>
      </c>
      <c r="AH53" s="23" t="str">
        <f t="shared" si="71"/>
        <v/>
      </c>
      <c r="AI53" s="9" t="str">
        <f t="shared" si="57"/>
        <v/>
      </c>
      <c r="AJ53" s="4" t="str">
        <f t="shared" si="58"/>
        <v/>
      </c>
      <c r="AK53" s="4"/>
      <c r="AL53" s="4"/>
      <c r="AM53" s="4"/>
      <c r="AN53" s="4"/>
      <c r="AO53" s="4"/>
      <c r="AP53" s="20" t="str">
        <f t="shared" si="59"/>
        <v>-</v>
      </c>
      <c r="AQ53" s="13" t="str">
        <f t="shared" si="72"/>
        <v>-</v>
      </c>
      <c r="AR53" s="13" t="str">
        <f t="shared" si="73"/>
        <v>-</v>
      </c>
      <c r="AS53" s="13" t="str">
        <f t="shared" si="60"/>
        <v>-</v>
      </c>
      <c r="AT53" s="16" t="str">
        <f t="shared" si="74"/>
        <v>-</v>
      </c>
      <c r="AU53" s="16" t="str">
        <f t="shared" si="61"/>
        <v>-</v>
      </c>
      <c r="AV53" s="16" t="str">
        <f t="shared" si="62"/>
        <v>-</v>
      </c>
      <c r="AW53" s="16" t="str">
        <f t="shared" si="75"/>
        <v>-</v>
      </c>
      <c r="AX53" s="13" t="str">
        <f t="shared" si="76"/>
        <v>-</v>
      </c>
      <c r="AY53" s="10" t="str">
        <f t="shared" si="77"/>
        <v>-</v>
      </c>
      <c r="AZ53" s="9" t="str">
        <f t="shared" si="78"/>
        <v>-</v>
      </c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2:68" x14ac:dyDescent="0.3">
      <c r="B54" s="108" t="str">
        <f t="shared" si="63"/>
        <v/>
      </c>
      <c r="C54" s="108" t="str">
        <f t="shared" si="47"/>
        <v/>
      </c>
      <c r="D54" s="3"/>
      <c r="E54" s="3"/>
      <c r="F54" s="3"/>
      <c r="G54" s="20">
        <f>IFERROR(INDEX('Input - Convenience'!F$2:F$200,MATCH('Calculations - Convenience'!$C54,'Input - Convenience'!$B$2:$B$200,0)),"")</f>
        <v>0</v>
      </c>
      <c r="H54" s="20">
        <f>IFERROR(INDEX('Input - Convenience'!G$2:G$200,MATCH('Calculations - Convenience'!$C54,'Input - Convenience'!$B$2:$B$200,0)),"")</f>
        <v>0</v>
      </c>
      <c r="I54" s="21">
        <f>IFERROR(INDEX('Input - Convenience'!H$2:H$200,MATCH('Calculations - Convenience'!$C54,'Input - Convenience'!$B$2:$B$200,0)),"")</f>
        <v>0</v>
      </c>
      <c r="J54" s="21">
        <f>IFERROR(INDEX('Input - Convenience'!I$2:I$200,MATCH('Calculations - Convenience'!$C54,'Input - Convenience'!$B$2:$B$200,0)),"")</f>
        <v>0</v>
      </c>
      <c r="K54" s="20">
        <f>IFERROR(INDEX('Input - Convenience'!J$2:J$200,MATCH('Calculations - Convenience'!$C54,'Input - Convenience'!$B$2:$B$200,0)),"")</f>
        <v>0</v>
      </c>
      <c r="L54" s="20">
        <f>IFERROR(INDEX('Input - Convenience'!K$2:K$200,MATCH('Calculations - Convenience'!$C54,'Input - Convenience'!$B$2:$B$200,0)),"")</f>
        <v>0</v>
      </c>
      <c r="M54" s="21" t="str">
        <f t="shared" si="64"/>
        <v/>
      </c>
      <c r="N54" s="21" t="str">
        <f t="shared" si="48"/>
        <v/>
      </c>
      <c r="O54" s="21">
        <f t="shared" si="65"/>
        <v>0</v>
      </c>
      <c r="P54" s="9">
        <f t="shared" si="49"/>
        <v>0</v>
      </c>
      <c r="Q54" s="9">
        <f t="shared" si="50"/>
        <v>0</v>
      </c>
      <c r="R54" s="22" t="str">
        <f>IFERROR(INDEX(Convenience!$N$11:$N$148,MATCH('Calculations - Convenience'!$C54,Convenience!$J$11:$J$148,0)),"")</f>
        <v/>
      </c>
      <c r="S54" s="22" t="str">
        <f>IFERROR(INDEX(Convenience!$O$11:$O$148,MATCH('Calculations - Convenience'!$C54,Convenience!$J$11:$J$148,0)),"")</f>
        <v/>
      </c>
      <c r="T54" s="16" t="e">
        <f t="shared" si="51"/>
        <v>#VALUE!</v>
      </c>
      <c r="U54" s="16" t="e">
        <f t="shared" si="66"/>
        <v>#VALUE!</v>
      </c>
      <c r="V54" s="16" t="e">
        <f t="shared" si="67"/>
        <v>#VALUE!</v>
      </c>
      <c r="W54" s="10" t="str">
        <f t="shared" si="52"/>
        <v>-</v>
      </c>
      <c r="X54" s="10" t="str">
        <f t="shared" si="53"/>
        <v>-</v>
      </c>
      <c r="Y54" s="13" t="str">
        <f t="shared" si="68"/>
        <v>-</v>
      </c>
      <c r="Z54" s="9" t="str">
        <f t="shared" si="54"/>
        <v>-</v>
      </c>
      <c r="AA54" s="16" t="str">
        <f t="shared" si="69"/>
        <v>-</v>
      </c>
      <c r="AB54" s="16" t="str">
        <f t="shared" si="55"/>
        <v>-</v>
      </c>
      <c r="AC54" s="16" t="str">
        <f t="shared" si="56"/>
        <v>-</v>
      </c>
      <c r="AD54" s="16" t="str">
        <f t="shared" si="70"/>
        <v>-</v>
      </c>
      <c r="AE54" s="16"/>
      <c r="AF54" s="31" t="str">
        <f>IFERROR(INDEX(Convenience!$M$11:$M$148,MATCH('Calculations - Convenience'!C54,Convenience!$J$11:$J$148,0)),"")</f>
        <v/>
      </c>
      <c r="AG54" s="23" t="str">
        <f t="shared" si="71"/>
        <v/>
      </c>
      <c r="AH54" s="23" t="str">
        <f t="shared" si="71"/>
        <v/>
      </c>
      <c r="AI54" s="9" t="str">
        <f t="shared" si="57"/>
        <v/>
      </c>
      <c r="AJ54" s="4" t="str">
        <f t="shared" si="58"/>
        <v/>
      </c>
      <c r="AK54" s="4"/>
      <c r="AL54" s="4"/>
      <c r="AM54" s="4"/>
      <c r="AN54" s="4"/>
      <c r="AO54" s="4"/>
      <c r="AP54" s="20" t="str">
        <f t="shared" si="59"/>
        <v>-</v>
      </c>
      <c r="AQ54" s="13" t="str">
        <f t="shared" si="72"/>
        <v>-</v>
      </c>
      <c r="AR54" s="13" t="str">
        <f t="shared" si="73"/>
        <v>-</v>
      </c>
      <c r="AS54" s="13" t="str">
        <f t="shared" si="60"/>
        <v>-</v>
      </c>
      <c r="AT54" s="16" t="str">
        <f t="shared" si="74"/>
        <v>-</v>
      </c>
      <c r="AU54" s="16" t="str">
        <f t="shared" si="61"/>
        <v>-</v>
      </c>
      <c r="AV54" s="16" t="str">
        <f t="shared" si="62"/>
        <v>-</v>
      </c>
      <c r="AW54" s="16" t="str">
        <f t="shared" si="75"/>
        <v>-</v>
      </c>
      <c r="AX54" s="13" t="str">
        <f t="shared" si="76"/>
        <v>-</v>
      </c>
      <c r="AY54" s="10" t="str">
        <f t="shared" si="77"/>
        <v>-</v>
      </c>
      <c r="AZ54" s="9" t="str">
        <f t="shared" si="78"/>
        <v>-</v>
      </c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2:68" x14ac:dyDescent="0.3">
      <c r="B55" s="108" t="str">
        <f t="shared" si="63"/>
        <v/>
      </c>
      <c r="C55" s="108" t="str">
        <f t="shared" si="47"/>
        <v/>
      </c>
      <c r="D55" s="3"/>
      <c r="E55" s="3"/>
      <c r="F55" s="3"/>
      <c r="G55" s="20">
        <f>IFERROR(INDEX('Input - Convenience'!F$2:F$200,MATCH('Calculations - Convenience'!$C55,'Input - Convenience'!$B$2:$B$200,0)),"")</f>
        <v>0</v>
      </c>
      <c r="H55" s="20">
        <f>IFERROR(INDEX('Input - Convenience'!G$2:G$200,MATCH('Calculations - Convenience'!$C55,'Input - Convenience'!$B$2:$B$200,0)),"")</f>
        <v>0</v>
      </c>
      <c r="I55" s="21">
        <f>IFERROR(INDEX('Input - Convenience'!H$2:H$200,MATCH('Calculations - Convenience'!$C55,'Input - Convenience'!$B$2:$B$200,0)),"")</f>
        <v>0</v>
      </c>
      <c r="J55" s="21">
        <f>IFERROR(INDEX('Input - Convenience'!I$2:I$200,MATCH('Calculations - Convenience'!$C55,'Input - Convenience'!$B$2:$B$200,0)),"")</f>
        <v>0</v>
      </c>
      <c r="K55" s="20">
        <f>IFERROR(INDEX('Input - Convenience'!J$2:J$200,MATCH('Calculations - Convenience'!$C55,'Input - Convenience'!$B$2:$B$200,0)),"")</f>
        <v>0</v>
      </c>
      <c r="L55" s="20">
        <f>IFERROR(INDEX('Input - Convenience'!K$2:K$200,MATCH('Calculations - Convenience'!$C55,'Input - Convenience'!$B$2:$B$200,0)),"")</f>
        <v>0</v>
      </c>
      <c r="M55" s="21" t="str">
        <f t="shared" si="64"/>
        <v/>
      </c>
      <c r="N55" s="21" t="str">
        <f t="shared" si="48"/>
        <v/>
      </c>
      <c r="O55" s="21">
        <f t="shared" si="65"/>
        <v>0</v>
      </c>
      <c r="P55" s="9">
        <f t="shared" si="49"/>
        <v>0</v>
      </c>
      <c r="Q55" s="9">
        <f t="shared" si="50"/>
        <v>0</v>
      </c>
      <c r="R55" s="22" t="str">
        <f>IFERROR(INDEX(Convenience!$N$11:$N$148,MATCH('Calculations - Convenience'!$C55,Convenience!$J$11:$J$148,0)),"")</f>
        <v/>
      </c>
      <c r="S55" s="22" t="str">
        <f>IFERROR(INDEX(Convenience!$O$11:$O$148,MATCH('Calculations - Convenience'!$C55,Convenience!$J$11:$J$148,0)),"")</f>
        <v/>
      </c>
      <c r="T55" s="16" t="e">
        <f t="shared" si="51"/>
        <v>#VALUE!</v>
      </c>
      <c r="U55" s="16" t="e">
        <f t="shared" si="66"/>
        <v>#VALUE!</v>
      </c>
      <c r="V55" s="16" t="e">
        <f t="shared" si="67"/>
        <v>#VALUE!</v>
      </c>
      <c r="W55" s="10" t="str">
        <f t="shared" si="52"/>
        <v>-</v>
      </c>
      <c r="X55" s="10" t="str">
        <f t="shared" si="53"/>
        <v>-</v>
      </c>
      <c r="Y55" s="13" t="str">
        <f t="shared" si="68"/>
        <v>-</v>
      </c>
      <c r="Z55" s="9" t="str">
        <f t="shared" si="54"/>
        <v>-</v>
      </c>
      <c r="AA55" s="16" t="str">
        <f t="shared" si="69"/>
        <v>-</v>
      </c>
      <c r="AB55" s="16" t="str">
        <f t="shared" si="55"/>
        <v>-</v>
      </c>
      <c r="AC55" s="16" t="str">
        <f t="shared" si="56"/>
        <v>-</v>
      </c>
      <c r="AD55" s="16" t="str">
        <f t="shared" si="70"/>
        <v>-</v>
      </c>
      <c r="AE55" s="16"/>
      <c r="AF55" s="31" t="str">
        <f>IFERROR(INDEX(Convenience!$M$11:$M$148,MATCH('Calculations - Convenience'!C55,Convenience!$J$11:$J$148,0)),"")</f>
        <v/>
      </c>
      <c r="AG55" s="23" t="str">
        <f t="shared" si="71"/>
        <v/>
      </c>
      <c r="AH55" s="23" t="str">
        <f t="shared" si="71"/>
        <v/>
      </c>
      <c r="AI55" s="9" t="str">
        <f t="shared" si="57"/>
        <v/>
      </c>
      <c r="AJ55" s="4" t="str">
        <f t="shared" si="58"/>
        <v/>
      </c>
      <c r="AK55" s="4"/>
      <c r="AL55" s="4"/>
      <c r="AM55" s="4"/>
      <c r="AN55" s="4"/>
      <c r="AO55" s="4"/>
      <c r="AP55" s="20" t="str">
        <f t="shared" si="59"/>
        <v>-</v>
      </c>
      <c r="AQ55" s="13" t="str">
        <f t="shared" si="72"/>
        <v>-</v>
      </c>
      <c r="AR55" s="13" t="str">
        <f t="shared" si="73"/>
        <v>-</v>
      </c>
      <c r="AS55" s="13" t="str">
        <f t="shared" si="60"/>
        <v>-</v>
      </c>
      <c r="AT55" s="16" t="str">
        <f t="shared" si="74"/>
        <v>-</v>
      </c>
      <c r="AU55" s="16" t="str">
        <f t="shared" si="61"/>
        <v>-</v>
      </c>
      <c r="AV55" s="16" t="str">
        <f t="shared" si="62"/>
        <v>-</v>
      </c>
      <c r="AW55" s="16" t="str">
        <f t="shared" si="75"/>
        <v>-</v>
      </c>
      <c r="AX55" s="13" t="str">
        <f t="shared" si="76"/>
        <v>-</v>
      </c>
      <c r="AY55" s="10" t="str">
        <f t="shared" si="77"/>
        <v>-</v>
      </c>
      <c r="AZ55" s="9" t="str">
        <f t="shared" si="78"/>
        <v>-</v>
      </c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2:68" x14ac:dyDescent="0.3">
      <c r="B56" s="108" t="str">
        <f t="shared" si="63"/>
        <v/>
      </c>
      <c r="C56" s="108" t="str">
        <f t="shared" si="47"/>
        <v/>
      </c>
      <c r="D56" s="3"/>
      <c r="E56" s="3"/>
      <c r="F56" s="3"/>
      <c r="G56" s="20">
        <f>IFERROR(INDEX('Input - Convenience'!F$2:F$200,MATCH('Calculations - Convenience'!$C56,'Input - Convenience'!$B$2:$B$200,0)),"")</f>
        <v>0</v>
      </c>
      <c r="H56" s="20">
        <f>IFERROR(INDEX('Input - Convenience'!G$2:G$200,MATCH('Calculations - Convenience'!$C56,'Input - Convenience'!$B$2:$B$200,0)),"")</f>
        <v>0</v>
      </c>
      <c r="I56" s="21">
        <f>IFERROR(INDEX('Input - Convenience'!H$2:H$200,MATCH('Calculations - Convenience'!$C56,'Input - Convenience'!$B$2:$B$200,0)),"")</f>
        <v>0</v>
      </c>
      <c r="J56" s="21">
        <f>IFERROR(INDEX('Input - Convenience'!I$2:I$200,MATCH('Calculations - Convenience'!$C56,'Input - Convenience'!$B$2:$B$200,0)),"")</f>
        <v>0</v>
      </c>
      <c r="K56" s="20">
        <f>IFERROR(INDEX('Input - Convenience'!J$2:J$200,MATCH('Calculations - Convenience'!$C56,'Input - Convenience'!$B$2:$B$200,0)),"")</f>
        <v>0</v>
      </c>
      <c r="L56" s="20">
        <f>IFERROR(INDEX('Input - Convenience'!K$2:K$200,MATCH('Calculations - Convenience'!$C56,'Input - Convenience'!$B$2:$B$200,0)),"")</f>
        <v>0</v>
      </c>
      <c r="M56" s="21" t="str">
        <f t="shared" si="64"/>
        <v/>
      </c>
      <c r="N56" s="21" t="str">
        <f t="shared" si="48"/>
        <v/>
      </c>
      <c r="O56" s="21">
        <f t="shared" si="65"/>
        <v>0</v>
      </c>
      <c r="P56" s="9">
        <f t="shared" si="49"/>
        <v>0</v>
      </c>
      <c r="Q56" s="9">
        <f t="shared" si="50"/>
        <v>0</v>
      </c>
      <c r="R56" s="22" t="str">
        <f>IFERROR(INDEX(Convenience!$N$11:$N$148,MATCH('Calculations - Convenience'!$C56,Convenience!$J$11:$J$148,0)),"")</f>
        <v/>
      </c>
      <c r="S56" s="22" t="str">
        <f>IFERROR(INDEX(Convenience!$O$11:$O$148,MATCH('Calculations - Convenience'!$C56,Convenience!$J$11:$J$148,0)),"")</f>
        <v/>
      </c>
      <c r="T56" s="16" t="e">
        <f t="shared" si="51"/>
        <v>#VALUE!</v>
      </c>
      <c r="U56" s="16" t="e">
        <f t="shared" si="66"/>
        <v>#VALUE!</v>
      </c>
      <c r="V56" s="16" t="e">
        <f t="shared" si="67"/>
        <v>#VALUE!</v>
      </c>
      <c r="W56" s="10" t="str">
        <f t="shared" si="52"/>
        <v>-</v>
      </c>
      <c r="X56" s="10" t="str">
        <f t="shared" si="53"/>
        <v>-</v>
      </c>
      <c r="Y56" s="13" t="str">
        <f t="shared" si="68"/>
        <v>-</v>
      </c>
      <c r="Z56" s="9" t="str">
        <f t="shared" si="54"/>
        <v>-</v>
      </c>
      <c r="AA56" s="16" t="str">
        <f t="shared" si="69"/>
        <v>-</v>
      </c>
      <c r="AB56" s="16" t="str">
        <f t="shared" si="55"/>
        <v>-</v>
      </c>
      <c r="AC56" s="16" t="str">
        <f t="shared" si="56"/>
        <v>-</v>
      </c>
      <c r="AD56" s="16" t="str">
        <f t="shared" si="70"/>
        <v>-</v>
      </c>
      <c r="AE56" s="16"/>
      <c r="AF56" s="31" t="str">
        <f>IFERROR(INDEX(Convenience!$M$11:$M$148,MATCH('Calculations - Convenience'!C56,Convenience!$J$11:$J$148,0)),"")</f>
        <v/>
      </c>
      <c r="AG56" s="23" t="str">
        <f t="shared" si="71"/>
        <v/>
      </c>
      <c r="AH56" s="23" t="str">
        <f t="shared" si="71"/>
        <v/>
      </c>
      <c r="AI56" s="9" t="str">
        <f t="shared" si="57"/>
        <v/>
      </c>
      <c r="AJ56" s="4" t="str">
        <f t="shared" si="58"/>
        <v/>
      </c>
      <c r="AK56" s="4"/>
      <c r="AL56" s="4"/>
      <c r="AM56" s="4"/>
      <c r="AN56" s="4"/>
      <c r="AO56" s="4"/>
      <c r="AP56" s="20" t="str">
        <f t="shared" si="59"/>
        <v>-</v>
      </c>
      <c r="AQ56" s="13" t="str">
        <f t="shared" si="72"/>
        <v>-</v>
      </c>
      <c r="AR56" s="13" t="str">
        <f t="shared" si="73"/>
        <v>-</v>
      </c>
      <c r="AS56" s="13" t="str">
        <f t="shared" si="60"/>
        <v>-</v>
      </c>
      <c r="AT56" s="16" t="str">
        <f t="shared" si="74"/>
        <v>-</v>
      </c>
      <c r="AU56" s="16" t="str">
        <f t="shared" si="61"/>
        <v>-</v>
      </c>
      <c r="AV56" s="16" t="str">
        <f t="shared" si="62"/>
        <v>-</v>
      </c>
      <c r="AW56" s="16" t="str">
        <f t="shared" si="75"/>
        <v>-</v>
      </c>
      <c r="AX56" s="13" t="str">
        <f t="shared" si="76"/>
        <v>-</v>
      </c>
      <c r="AY56" s="10" t="str">
        <f t="shared" si="77"/>
        <v>-</v>
      </c>
      <c r="AZ56" s="9" t="str">
        <f t="shared" si="78"/>
        <v>-</v>
      </c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2:68" x14ac:dyDescent="0.3">
      <c r="B57" s="108" t="str">
        <f t="shared" si="63"/>
        <v/>
      </c>
      <c r="C57" s="108" t="str">
        <f t="shared" si="47"/>
        <v/>
      </c>
      <c r="D57" s="3"/>
      <c r="E57" s="3"/>
      <c r="F57" s="3"/>
      <c r="G57" s="20">
        <f>IFERROR(INDEX('Input - Convenience'!F$2:F$200,MATCH('Calculations - Convenience'!$C57,'Input - Convenience'!$B$2:$B$200,0)),"")</f>
        <v>0</v>
      </c>
      <c r="H57" s="20">
        <f>IFERROR(INDEX('Input - Convenience'!G$2:G$200,MATCH('Calculations - Convenience'!$C57,'Input - Convenience'!$B$2:$B$200,0)),"")</f>
        <v>0</v>
      </c>
      <c r="I57" s="21">
        <f>IFERROR(INDEX('Input - Convenience'!H$2:H$200,MATCH('Calculations - Convenience'!$C57,'Input - Convenience'!$B$2:$B$200,0)),"")</f>
        <v>0</v>
      </c>
      <c r="J57" s="21">
        <f>IFERROR(INDEX('Input - Convenience'!I$2:I$200,MATCH('Calculations - Convenience'!$C57,'Input - Convenience'!$B$2:$B$200,0)),"")</f>
        <v>0</v>
      </c>
      <c r="K57" s="20">
        <f>IFERROR(INDEX('Input - Convenience'!J$2:J$200,MATCH('Calculations - Convenience'!$C57,'Input - Convenience'!$B$2:$B$200,0)),"")</f>
        <v>0</v>
      </c>
      <c r="L57" s="20">
        <f>IFERROR(INDEX('Input - Convenience'!K$2:K$200,MATCH('Calculations - Convenience'!$C57,'Input - Convenience'!$B$2:$B$200,0)),"")</f>
        <v>0</v>
      </c>
      <c r="M57" s="21" t="str">
        <f t="shared" si="64"/>
        <v/>
      </c>
      <c r="N57" s="21" t="str">
        <f t="shared" si="48"/>
        <v/>
      </c>
      <c r="O57" s="21">
        <f t="shared" si="65"/>
        <v>0</v>
      </c>
      <c r="P57" s="9">
        <f t="shared" si="49"/>
        <v>0</v>
      </c>
      <c r="Q57" s="9">
        <f t="shared" si="50"/>
        <v>0</v>
      </c>
      <c r="R57" s="22" t="str">
        <f>IFERROR(INDEX(Convenience!$N$11:$N$148,MATCH('Calculations - Convenience'!$C57,Convenience!$J$11:$J$148,0)),"")</f>
        <v/>
      </c>
      <c r="S57" s="22" t="str">
        <f>IFERROR(INDEX(Convenience!$O$11:$O$148,MATCH('Calculations - Convenience'!$C57,Convenience!$J$11:$J$148,0)),"")</f>
        <v/>
      </c>
      <c r="T57" s="16" t="e">
        <f t="shared" si="51"/>
        <v>#VALUE!</v>
      </c>
      <c r="U57" s="16" t="e">
        <f t="shared" si="66"/>
        <v>#VALUE!</v>
      </c>
      <c r="V57" s="16" t="e">
        <f t="shared" si="67"/>
        <v>#VALUE!</v>
      </c>
      <c r="W57" s="10" t="str">
        <f t="shared" si="52"/>
        <v>-</v>
      </c>
      <c r="X57" s="10" t="str">
        <f t="shared" si="53"/>
        <v>-</v>
      </c>
      <c r="Y57" s="13" t="str">
        <f t="shared" si="68"/>
        <v>-</v>
      </c>
      <c r="Z57" s="9" t="str">
        <f t="shared" si="54"/>
        <v>-</v>
      </c>
      <c r="AA57" s="16" t="str">
        <f t="shared" si="69"/>
        <v>-</v>
      </c>
      <c r="AB57" s="16" t="str">
        <f t="shared" si="55"/>
        <v>-</v>
      </c>
      <c r="AC57" s="16" t="str">
        <f t="shared" si="56"/>
        <v>-</v>
      </c>
      <c r="AD57" s="16" t="str">
        <f t="shared" si="70"/>
        <v>-</v>
      </c>
      <c r="AE57" s="16"/>
      <c r="AF57" s="31" t="str">
        <f>IFERROR(INDEX(Convenience!$M$11:$M$148,MATCH('Calculations - Convenience'!C57,Convenience!$J$11:$J$148,0)),"")</f>
        <v/>
      </c>
      <c r="AG57" s="23" t="str">
        <f t="shared" si="71"/>
        <v/>
      </c>
      <c r="AH57" s="23" t="str">
        <f t="shared" si="71"/>
        <v/>
      </c>
      <c r="AI57" s="9" t="str">
        <f t="shared" si="57"/>
        <v/>
      </c>
      <c r="AJ57" s="4" t="str">
        <f t="shared" si="58"/>
        <v/>
      </c>
      <c r="AK57" s="4"/>
      <c r="AL57" s="4"/>
      <c r="AM57" s="4"/>
      <c r="AN57" s="4"/>
      <c r="AO57" s="4"/>
      <c r="AP57" s="20" t="str">
        <f t="shared" si="59"/>
        <v>-</v>
      </c>
      <c r="AQ57" s="13" t="str">
        <f t="shared" si="72"/>
        <v>-</v>
      </c>
      <c r="AR57" s="13" t="str">
        <f t="shared" si="73"/>
        <v>-</v>
      </c>
      <c r="AS57" s="13" t="str">
        <f t="shared" si="60"/>
        <v>-</v>
      </c>
      <c r="AT57" s="16" t="str">
        <f t="shared" si="74"/>
        <v>-</v>
      </c>
      <c r="AU57" s="16" t="str">
        <f t="shared" si="61"/>
        <v>-</v>
      </c>
      <c r="AV57" s="16" t="str">
        <f t="shared" si="62"/>
        <v>-</v>
      </c>
      <c r="AW57" s="16" t="str">
        <f t="shared" si="75"/>
        <v>-</v>
      </c>
      <c r="AX57" s="13" t="str">
        <f t="shared" si="76"/>
        <v>-</v>
      </c>
      <c r="AY57" s="10" t="str">
        <f t="shared" si="77"/>
        <v>-</v>
      </c>
      <c r="AZ57" s="9" t="str">
        <f t="shared" si="78"/>
        <v>-</v>
      </c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2:68" x14ac:dyDescent="0.3">
      <c r="B58" s="108" t="str">
        <f t="shared" si="63"/>
        <v/>
      </c>
      <c r="C58" s="108" t="str">
        <f t="shared" si="47"/>
        <v/>
      </c>
      <c r="D58" s="3"/>
      <c r="E58" s="3"/>
      <c r="F58" s="3"/>
      <c r="G58" s="20">
        <f>IFERROR(INDEX('Input - Convenience'!F$2:F$200,MATCH('Calculations - Convenience'!$C58,'Input - Convenience'!$B$2:$B$200,0)),"")</f>
        <v>0</v>
      </c>
      <c r="H58" s="20">
        <f>IFERROR(INDEX('Input - Convenience'!G$2:G$200,MATCH('Calculations - Convenience'!$C58,'Input - Convenience'!$B$2:$B$200,0)),"")</f>
        <v>0</v>
      </c>
      <c r="I58" s="21">
        <f>IFERROR(INDEX('Input - Convenience'!H$2:H$200,MATCH('Calculations - Convenience'!$C58,'Input - Convenience'!$B$2:$B$200,0)),"")</f>
        <v>0</v>
      </c>
      <c r="J58" s="21">
        <f>IFERROR(INDEX('Input - Convenience'!I$2:I$200,MATCH('Calculations - Convenience'!$C58,'Input - Convenience'!$B$2:$B$200,0)),"")</f>
        <v>0</v>
      </c>
      <c r="K58" s="20">
        <f>IFERROR(INDEX('Input - Convenience'!J$2:J$200,MATCH('Calculations - Convenience'!$C58,'Input - Convenience'!$B$2:$B$200,0)),"")</f>
        <v>0</v>
      </c>
      <c r="L58" s="20">
        <f>IFERROR(INDEX('Input - Convenience'!K$2:K$200,MATCH('Calculations - Convenience'!$C58,'Input - Convenience'!$B$2:$B$200,0)),"")</f>
        <v>0</v>
      </c>
      <c r="M58" s="21" t="str">
        <f t="shared" si="64"/>
        <v/>
      </c>
      <c r="N58" s="21" t="str">
        <f t="shared" si="48"/>
        <v/>
      </c>
      <c r="O58" s="21">
        <f t="shared" si="65"/>
        <v>0</v>
      </c>
      <c r="P58" s="9">
        <f t="shared" si="49"/>
        <v>0</v>
      </c>
      <c r="Q58" s="9">
        <f t="shared" si="50"/>
        <v>0</v>
      </c>
      <c r="R58" s="22" t="str">
        <f>IFERROR(INDEX(Convenience!$N$11:$N$148,MATCH('Calculations - Convenience'!$C58,Convenience!$J$11:$J$148,0)),"")</f>
        <v/>
      </c>
      <c r="S58" s="22" t="str">
        <f>IFERROR(INDEX(Convenience!$O$11:$O$148,MATCH('Calculations - Convenience'!$C58,Convenience!$J$11:$J$148,0)),"")</f>
        <v/>
      </c>
      <c r="T58" s="16" t="e">
        <f t="shared" si="51"/>
        <v>#VALUE!</v>
      </c>
      <c r="U58" s="16" t="e">
        <f t="shared" si="66"/>
        <v>#VALUE!</v>
      </c>
      <c r="V58" s="16" t="e">
        <f t="shared" si="67"/>
        <v>#VALUE!</v>
      </c>
      <c r="W58" s="10" t="str">
        <f t="shared" si="52"/>
        <v>-</v>
      </c>
      <c r="X58" s="10" t="str">
        <f t="shared" si="53"/>
        <v>-</v>
      </c>
      <c r="Y58" s="13" t="str">
        <f t="shared" si="68"/>
        <v>-</v>
      </c>
      <c r="Z58" s="9" t="str">
        <f t="shared" si="54"/>
        <v>-</v>
      </c>
      <c r="AA58" s="16" t="str">
        <f t="shared" si="69"/>
        <v>-</v>
      </c>
      <c r="AB58" s="16" t="str">
        <f t="shared" si="55"/>
        <v>-</v>
      </c>
      <c r="AC58" s="16" t="str">
        <f t="shared" si="56"/>
        <v>-</v>
      </c>
      <c r="AD58" s="16" t="str">
        <f t="shared" si="70"/>
        <v>-</v>
      </c>
      <c r="AE58" s="16"/>
      <c r="AF58" s="31" t="str">
        <f>IFERROR(INDEX(Convenience!$M$11:$M$148,MATCH('Calculations - Convenience'!C58,Convenience!$J$11:$J$148,0)),"")</f>
        <v/>
      </c>
      <c r="AG58" s="23" t="str">
        <f t="shared" si="71"/>
        <v/>
      </c>
      <c r="AH58" s="23" t="str">
        <f t="shared" si="71"/>
        <v/>
      </c>
      <c r="AI58" s="9" t="str">
        <f t="shared" si="57"/>
        <v/>
      </c>
      <c r="AJ58" s="4" t="str">
        <f t="shared" si="58"/>
        <v/>
      </c>
      <c r="AK58" s="4"/>
      <c r="AL58" s="4"/>
      <c r="AM58" s="4"/>
      <c r="AN58" s="4"/>
      <c r="AO58" s="4"/>
      <c r="AP58" s="20" t="str">
        <f t="shared" si="59"/>
        <v>-</v>
      </c>
      <c r="AQ58" s="13" t="str">
        <f t="shared" si="72"/>
        <v>-</v>
      </c>
      <c r="AR58" s="13" t="str">
        <f t="shared" si="73"/>
        <v>-</v>
      </c>
      <c r="AS58" s="13" t="str">
        <f t="shared" si="60"/>
        <v>-</v>
      </c>
      <c r="AT58" s="16" t="str">
        <f t="shared" si="74"/>
        <v>-</v>
      </c>
      <c r="AU58" s="16" t="str">
        <f t="shared" si="61"/>
        <v>-</v>
      </c>
      <c r="AV58" s="16" t="str">
        <f t="shared" si="62"/>
        <v>-</v>
      </c>
      <c r="AW58" s="16" t="str">
        <f t="shared" si="75"/>
        <v>-</v>
      </c>
      <c r="AX58" s="13" t="str">
        <f t="shared" si="76"/>
        <v>-</v>
      </c>
      <c r="AY58" s="10" t="str">
        <f t="shared" si="77"/>
        <v>-</v>
      </c>
      <c r="AZ58" s="9" t="str">
        <f t="shared" si="78"/>
        <v>-</v>
      </c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2:68" x14ac:dyDescent="0.3">
      <c r="B59" s="108" t="str">
        <f t="shared" si="63"/>
        <v/>
      </c>
      <c r="C59" s="108" t="str">
        <f t="shared" si="47"/>
        <v/>
      </c>
      <c r="D59" s="3"/>
      <c r="E59" s="3"/>
      <c r="F59" s="3"/>
      <c r="G59" s="20">
        <f>IFERROR(INDEX('Input - Convenience'!F$2:F$200,MATCH('Calculations - Convenience'!$C59,'Input - Convenience'!$B$2:$B$200,0)),"")</f>
        <v>0</v>
      </c>
      <c r="H59" s="20">
        <f>IFERROR(INDEX('Input - Convenience'!G$2:G$200,MATCH('Calculations - Convenience'!$C59,'Input - Convenience'!$B$2:$B$200,0)),"")</f>
        <v>0</v>
      </c>
      <c r="I59" s="21">
        <f>IFERROR(INDEX('Input - Convenience'!H$2:H$200,MATCH('Calculations - Convenience'!$C59,'Input - Convenience'!$B$2:$B$200,0)),"")</f>
        <v>0</v>
      </c>
      <c r="J59" s="21">
        <f>IFERROR(INDEX('Input - Convenience'!I$2:I$200,MATCH('Calculations - Convenience'!$C59,'Input - Convenience'!$B$2:$B$200,0)),"")</f>
        <v>0</v>
      </c>
      <c r="K59" s="20">
        <f>IFERROR(INDEX('Input - Convenience'!J$2:J$200,MATCH('Calculations - Convenience'!$C59,'Input - Convenience'!$B$2:$B$200,0)),"")</f>
        <v>0</v>
      </c>
      <c r="L59" s="20">
        <f>IFERROR(INDEX('Input - Convenience'!K$2:K$200,MATCH('Calculations - Convenience'!$C59,'Input - Convenience'!$B$2:$B$200,0)),"")</f>
        <v>0</v>
      </c>
      <c r="M59" s="21" t="str">
        <f t="shared" si="64"/>
        <v/>
      </c>
      <c r="N59" s="21" t="str">
        <f t="shared" si="48"/>
        <v/>
      </c>
      <c r="O59" s="21">
        <f t="shared" si="65"/>
        <v>0</v>
      </c>
      <c r="P59" s="9">
        <f t="shared" si="49"/>
        <v>0</v>
      </c>
      <c r="Q59" s="9">
        <f t="shared" si="50"/>
        <v>0</v>
      </c>
      <c r="R59" s="22" t="str">
        <f>IFERROR(INDEX(Convenience!$N$11:$N$148,MATCH('Calculations - Convenience'!$C59,Convenience!$J$11:$J$148,0)),"")</f>
        <v/>
      </c>
      <c r="S59" s="22" t="str">
        <f>IFERROR(INDEX(Convenience!$O$11:$O$148,MATCH('Calculations - Convenience'!$C59,Convenience!$J$11:$J$148,0)),"")</f>
        <v/>
      </c>
      <c r="T59" s="16" t="e">
        <f t="shared" si="51"/>
        <v>#VALUE!</v>
      </c>
      <c r="U59" s="16" t="e">
        <f t="shared" si="66"/>
        <v>#VALUE!</v>
      </c>
      <c r="V59" s="16" t="e">
        <f t="shared" si="67"/>
        <v>#VALUE!</v>
      </c>
      <c r="W59" s="10" t="str">
        <f t="shared" si="52"/>
        <v>-</v>
      </c>
      <c r="X59" s="10" t="str">
        <f t="shared" si="53"/>
        <v>-</v>
      </c>
      <c r="Y59" s="13" t="str">
        <f t="shared" si="68"/>
        <v>-</v>
      </c>
      <c r="Z59" s="9" t="str">
        <f t="shared" si="54"/>
        <v>-</v>
      </c>
      <c r="AA59" s="16" t="str">
        <f t="shared" si="69"/>
        <v>-</v>
      </c>
      <c r="AB59" s="16" t="str">
        <f t="shared" si="55"/>
        <v>-</v>
      </c>
      <c r="AC59" s="16" t="str">
        <f t="shared" si="56"/>
        <v>-</v>
      </c>
      <c r="AD59" s="16" t="str">
        <f t="shared" si="70"/>
        <v>-</v>
      </c>
      <c r="AE59" s="16"/>
      <c r="AF59" s="31" t="str">
        <f>IFERROR(INDEX(Convenience!$M$11:$M$148,MATCH('Calculations - Convenience'!C59,Convenience!$J$11:$J$148,0)),"")</f>
        <v/>
      </c>
      <c r="AG59" s="23" t="str">
        <f t="shared" si="71"/>
        <v/>
      </c>
      <c r="AH59" s="23" t="str">
        <f t="shared" si="71"/>
        <v/>
      </c>
      <c r="AI59" s="9" t="str">
        <f t="shared" si="57"/>
        <v/>
      </c>
      <c r="AJ59" s="4" t="str">
        <f t="shared" si="58"/>
        <v/>
      </c>
      <c r="AK59" s="4"/>
      <c r="AL59" s="4"/>
      <c r="AM59" s="4"/>
      <c r="AN59" s="4"/>
      <c r="AO59" s="4"/>
      <c r="AP59" s="20" t="str">
        <f t="shared" si="59"/>
        <v>-</v>
      </c>
      <c r="AQ59" s="13" t="str">
        <f t="shared" si="72"/>
        <v>-</v>
      </c>
      <c r="AR59" s="13" t="str">
        <f t="shared" si="73"/>
        <v>-</v>
      </c>
      <c r="AS59" s="13" t="str">
        <f t="shared" si="60"/>
        <v>-</v>
      </c>
      <c r="AT59" s="16" t="str">
        <f t="shared" si="74"/>
        <v>-</v>
      </c>
      <c r="AU59" s="16" t="str">
        <f t="shared" si="61"/>
        <v>-</v>
      </c>
      <c r="AV59" s="16" t="str">
        <f t="shared" si="62"/>
        <v>-</v>
      </c>
      <c r="AW59" s="16" t="str">
        <f t="shared" si="75"/>
        <v>-</v>
      </c>
      <c r="AX59" s="13" t="str">
        <f t="shared" si="76"/>
        <v>-</v>
      </c>
      <c r="AY59" s="10" t="str">
        <f t="shared" si="77"/>
        <v>-</v>
      </c>
      <c r="AZ59" s="9" t="str">
        <f t="shared" si="78"/>
        <v>-</v>
      </c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2:68" x14ac:dyDescent="0.3">
      <c r="B60" s="108" t="str">
        <f t="shared" si="63"/>
        <v/>
      </c>
      <c r="C60" s="108" t="str">
        <f t="shared" si="47"/>
        <v/>
      </c>
      <c r="D60" s="3"/>
      <c r="E60" s="3"/>
      <c r="F60" s="3"/>
      <c r="G60" s="20">
        <f>IFERROR(INDEX('Input - Convenience'!F$2:F$200,MATCH('Calculations - Convenience'!$C60,'Input - Convenience'!$B$2:$B$200,0)),"")</f>
        <v>0</v>
      </c>
      <c r="H60" s="20">
        <f>IFERROR(INDEX('Input - Convenience'!G$2:G$200,MATCH('Calculations - Convenience'!$C60,'Input - Convenience'!$B$2:$B$200,0)),"")</f>
        <v>0</v>
      </c>
      <c r="I60" s="21">
        <f>IFERROR(INDEX('Input - Convenience'!H$2:H$200,MATCH('Calculations - Convenience'!$C60,'Input - Convenience'!$B$2:$B$200,0)),"")</f>
        <v>0</v>
      </c>
      <c r="J60" s="21">
        <f>IFERROR(INDEX('Input - Convenience'!I$2:I$200,MATCH('Calculations - Convenience'!$C60,'Input - Convenience'!$B$2:$B$200,0)),"")</f>
        <v>0</v>
      </c>
      <c r="K60" s="20">
        <f>IFERROR(INDEX('Input - Convenience'!J$2:J$200,MATCH('Calculations - Convenience'!$C60,'Input - Convenience'!$B$2:$B$200,0)),"")</f>
        <v>0</v>
      </c>
      <c r="L60" s="20">
        <f>IFERROR(INDEX('Input - Convenience'!K$2:K$200,MATCH('Calculations - Convenience'!$C60,'Input - Convenience'!$B$2:$B$200,0)),"")</f>
        <v>0</v>
      </c>
      <c r="M60" s="21" t="str">
        <f t="shared" si="64"/>
        <v/>
      </c>
      <c r="N60" s="21" t="str">
        <f t="shared" si="48"/>
        <v/>
      </c>
      <c r="O60" s="21">
        <f t="shared" si="65"/>
        <v>0</v>
      </c>
      <c r="P60" s="9">
        <f t="shared" si="49"/>
        <v>0</v>
      </c>
      <c r="Q60" s="9">
        <f t="shared" si="50"/>
        <v>0</v>
      </c>
      <c r="R60" s="22" t="str">
        <f>IFERROR(INDEX(Convenience!$N$11:$N$148,MATCH('Calculations - Convenience'!$C60,Convenience!$J$11:$J$148,0)),"")</f>
        <v/>
      </c>
      <c r="S60" s="22" t="str">
        <f>IFERROR(INDEX(Convenience!$O$11:$O$148,MATCH('Calculations - Convenience'!$C60,Convenience!$J$11:$J$148,0)),"")</f>
        <v/>
      </c>
      <c r="T60" s="16" t="e">
        <f t="shared" si="51"/>
        <v>#VALUE!</v>
      </c>
      <c r="U60" s="16" t="e">
        <f t="shared" si="66"/>
        <v>#VALUE!</v>
      </c>
      <c r="V60" s="16" t="e">
        <f t="shared" si="67"/>
        <v>#VALUE!</v>
      </c>
      <c r="W60" s="10" t="str">
        <f t="shared" si="52"/>
        <v>-</v>
      </c>
      <c r="X60" s="10" t="str">
        <f t="shared" si="53"/>
        <v>-</v>
      </c>
      <c r="Y60" s="13" t="str">
        <f t="shared" si="68"/>
        <v>-</v>
      </c>
      <c r="Z60" s="9" t="str">
        <f t="shared" si="54"/>
        <v>-</v>
      </c>
      <c r="AA60" s="16" t="str">
        <f t="shared" si="69"/>
        <v>-</v>
      </c>
      <c r="AB60" s="16" t="str">
        <f t="shared" si="55"/>
        <v>-</v>
      </c>
      <c r="AC60" s="16" t="str">
        <f t="shared" si="56"/>
        <v>-</v>
      </c>
      <c r="AD60" s="16" t="str">
        <f t="shared" si="70"/>
        <v>-</v>
      </c>
      <c r="AE60" s="16"/>
      <c r="AF60" s="31" t="str">
        <f>IFERROR(INDEX(Convenience!$M$11:$M$148,MATCH('Calculations - Convenience'!C60,Convenience!$J$11:$J$148,0)),"")</f>
        <v/>
      </c>
      <c r="AG60" s="23" t="str">
        <f t="shared" si="71"/>
        <v/>
      </c>
      <c r="AH60" s="23" t="str">
        <f t="shared" si="71"/>
        <v/>
      </c>
      <c r="AI60" s="9" t="str">
        <f t="shared" si="57"/>
        <v/>
      </c>
      <c r="AJ60" s="4" t="str">
        <f t="shared" si="58"/>
        <v/>
      </c>
      <c r="AK60" s="4"/>
      <c r="AL60" s="4"/>
      <c r="AM60" s="4"/>
      <c r="AN60" s="4"/>
      <c r="AO60" s="4"/>
      <c r="AP60" s="20" t="str">
        <f t="shared" si="59"/>
        <v>-</v>
      </c>
      <c r="AQ60" s="13" t="str">
        <f t="shared" si="72"/>
        <v>-</v>
      </c>
      <c r="AR60" s="13" t="str">
        <f t="shared" si="73"/>
        <v>-</v>
      </c>
      <c r="AS60" s="13" t="str">
        <f t="shared" si="60"/>
        <v>-</v>
      </c>
      <c r="AT60" s="16" t="str">
        <f t="shared" si="74"/>
        <v>-</v>
      </c>
      <c r="AU60" s="16" t="str">
        <f t="shared" si="61"/>
        <v>-</v>
      </c>
      <c r="AV60" s="16" t="str">
        <f t="shared" si="62"/>
        <v>-</v>
      </c>
      <c r="AW60" s="16" t="str">
        <f t="shared" si="75"/>
        <v>-</v>
      </c>
      <c r="AX60" s="13" t="str">
        <f t="shared" si="76"/>
        <v>-</v>
      </c>
      <c r="AY60" s="10" t="str">
        <f t="shared" si="77"/>
        <v>-</v>
      </c>
      <c r="AZ60" s="9" t="str">
        <f t="shared" si="78"/>
        <v>-</v>
      </c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2:68" x14ac:dyDescent="0.3">
      <c r="B61" s="108" t="str">
        <f t="shared" si="63"/>
        <v/>
      </c>
      <c r="C61" s="108" t="str">
        <f t="shared" si="47"/>
        <v/>
      </c>
      <c r="D61" s="3"/>
      <c r="E61" s="3"/>
      <c r="F61" s="3"/>
      <c r="G61" s="20">
        <f>IFERROR(INDEX('Input - Convenience'!F$2:F$200,MATCH('Calculations - Convenience'!$C61,'Input - Convenience'!$B$2:$B$200,0)),"")</f>
        <v>0</v>
      </c>
      <c r="H61" s="20">
        <f>IFERROR(INDEX('Input - Convenience'!G$2:G$200,MATCH('Calculations - Convenience'!$C61,'Input - Convenience'!$B$2:$B$200,0)),"")</f>
        <v>0</v>
      </c>
      <c r="I61" s="21">
        <f>IFERROR(INDEX('Input - Convenience'!H$2:H$200,MATCH('Calculations - Convenience'!$C61,'Input - Convenience'!$B$2:$B$200,0)),"")</f>
        <v>0</v>
      </c>
      <c r="J61" s="21">
        <f>IFERROR(INDEX('Input - Convenience'!I$2:I$200,MATCH('Calculations - Convenience'!$C61,'Input - Convenience'!$B$2:$B$200,0)),"")</f>
        <v>0</v>
      </c>
      <c r="K61" s="20">
        <f>IFERROR(INDEX('Input - Convenience'!J$2:J$200,MATCH('Calculations - Convenience'!$C61,'Input - Convenience'!$B$2:$B$200,0)),"")</f>
        <v>0</v>
      </c>
      <c r="L61" s="20">
        <f>IFERROR(INDEX('Input - Convenience'!K$2:K$200,MATCH('Calculations - Convenience'!$C61,'Input - Convenience'!$B$2:$B$200,0)),"")</f>
        <v>0</v>
      </c>
      <c r="M61" s="21" t="str">
        <f t="shared" si="64"/>
        <v/>
      </c>
      <c r="N61" s="21" t="str">
        <f t="shared" si="48"/>
        <v/>
      </c>
      <c r="O61" s="21">
        <f t="shared" si="65"/>
        <v>0</v>
      </c>
      <c r="P61" s="9">
        <f t="shared" si="49"/>
        <v>0</v>
      </c>
      <c r="Q61" s="9">
        <f t="shared" si="50"/>
        <v>0</v>
      </c>
      <c r="R61" s="22" t="str">
        <f>IFERROR(INDEX(Convenience!$N$11:$N$148,MATCH('Calculations - Convenience'!$C61,Convenience!$J$11:$J$148,0)),"")</f>
        <v/>
      </c>
      <c r="S61" s="22" t="str">
        <f>IFERROR(INDEX(Convenience!$O$11:$O$148,MATCH('Calculations - Convenience'!$C61,Convenience!$J$11:$J$148,0)),"")</f>
        <v/>
      </c>
      <c r="T61" s="16" t="e">
        <f t="shared" si="51"/>
        <v>#VALUE!</v>
      </c>
      <c r="U61" s="16" t="e">
        <f t="shared" si="66"/>
        <v>#VALUE!</v>
      </c>
      <c r="V61" s="16" t="e">
        <f t="shared" si="67"/>
        <v>#VALUE!</v>
      </c>
      <c r="W61" s="10" t="str">
        <f t="shared" si="52"/>
        <v>-</v>
      </c>
      <c r="X61" s="10" t="str">
        <f t="shared" si="53"/>
        <v>-</v>
      </c>
      <c r="Y61" s="13" t="str">
        <f t="shared" si="68"/>
        <v>-</v>
      </c>
      <c r="Z61" s="9" t="str">
        <f t="shared" si="54"/>
        <v>-</v>
      </c>
      <c r="AA61" s="16" t="str">
        <f t="shared" si="69"/>
        <v>-</v>
      </c>
      <c r="AB61" s="16" t="str">
        <f t="shared" si="55"/>
        <v>-</v>
      </c>
      <c r="AC61" s="16" t="str">
        <f t="shared" si="56"/>
        <v>-</v>
      </c>
      <c r="AD61" s="16" t="str">
        <f t="shared" si="70"/>
        <v>-</v>
      </c>
      <c r="AE61" s="16"/>
      <c r="AF61" s="31" t="str">
        <f>IFERROR(INDEX(Convenience!$M$11:$M$148,MATCH('Calculations - Convenience'!C61,Convenience!$J$11:$J$148,0)),"")</f>
        <v/>
      </c>
      <c r="AG61" s="23" t="str">
        <f t="shared" si="71"/>
        <v/>
      </c>
      <c r="AH61" s="23" t="str">
        <f t="shared" si="71"/>
        <v/>
      </c>
      <c r="AI61" s="9" t="str">
        <f t="shared" si="57"/>
        <v/>
      </c>
      <c r="AJ61" s="4" t="str">
        <f t="shared" si="58"/>
        <v/>
      </c>
      <c r="AK61" s="4"/>
      <c r="AL61" s="4"/>
      <c r="AM61" s="4"/>
      <c r="AN61" s="4"/>
      <c r="AO61" s="4"/>
      <c r="AP61" s="20" t="str">
        <f t="shared" si="59"/>
        <v>-</v>
      </c>
      <c r="AQ61" s="13" t="str">
        <f t="shared" si="72"/>
        <v>-</v>
      </c>
      <c r="AR61" s="13" t="str">
        <f t="shared" si="73"/>
        <v>-</v>
      </c>
      <c r="AS61" s="13" t="str">
        <f t="shared" si="60"/>
        <v>-</v>
      </c>
      <c r="AT61" s="16" t="str">
        <f t="shared" si="74"/>
        <v>-</v>
      </c>
      <c r="AU61" s="16" t="str">
        <f t="shared" si="61"/>
        <v>-</v>
      </c>
      <c r="AV61" s="16" t="str">
        <f t="shared" si="62"/>
        <v>-</v>
      </c>
      <c r="AW61" s="16" t="str">
        <f t="shared" si="75"/>
        <v>-</v>
      </c>
      <c r="AX61" s="13" t="str">
        <f t="shared" si="76"/>
        <v>-</v>
      </c>
      <c r="AY61" s="10" t="str">
        <f t="shared" si="77"/>
        <v>-</v>
      </c>
      <c r="AZ61" s="9" t="str">
        <f t="shared" si="78"/>
        <v>-</v>
      </c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2:68" x14ac:dyDescent="0.3">
      <c r="B62" s="108" t="str">
        <f t="shared" si="63"/>
        <v/>
      </c>
      <c r="C62" s="108" t="str">
        <f t="shared" si="47"/>
        <v/>
      </c>
      <c r="D62" s="3"/>
      <c r="E62" s="3"/>
      <c r="F62" s="3"/>
      <c r="G62" s="20">
        <f>IFERROR(INDEX('Input - Convenience'!F$2:F$200,MATCH('Calculations - Convenience'!$C62,'Input - Convenience'!$B$2:$B$200,0)),"")</f>
        <v>0</v>
      </c>
      <c r="H62" s="20">
        <f>IFERROR(INDEX('Input - Convenience'!G$2:G$200,MATCH('Calculations - Convenience'!$C62,'Input - Convenience'!$B$2:$B$200,0)),"")</f>
        <v>0</v>
      </c>
      <c r="I62" s="21">
        <f>IFERROR(INDEX('Input - Convenience'!H$2:H$200,MATCH('Calculations - Convenience'!$C62,'Input - Convenience'!$B$2:$B$200,0)),"")</f>
        <v>0</v>
      </c>
      <c r="J62" s="21">
        <f>IFERROR(INDEX('Input - Convenience'!I$2:I$200,MATCH('Calculations - Convenience'!$C62,'Input - Convenience'!$B$2:$B$200,0)),"")</f>
        <v>0</v>
      </c>
      <c r="K62" s="20">
        <f>IFERROR(INDEX('Input - Convenience'!J$2:J$200,MATCH('Calculations - Convenience'!$C62,'Input - Convenience'!$B$2:$B$200,0)),"")</f>
        <v>0</v>
      </c>
      <c r="L62" s="20">
        <f>IFERROR(INDEX('Input - Convenience'!K$2:K$200,MATCH('Calculations - Convenience'!$C62,'Input - Convenience'!$B$2:$B$200,0)),"")</f>
        <v>0</v>
      </c>
      <c r="M62" s="21" t="str">
        <f t="shared" si="64"/>
        <v/>
      </c>
      <c r="N62" s="21" t="str">
        <f t="shared" si="48"/>
        <v/>
      </c>
      <c r="O62" s="21">
        <f t="shared" si="65"/>
        <v>0</v>
      </c>
      <c r="P62" s="9">
        <f t="shared" si="49"/>
        <v>0</v>
      </c>
      <c r="Q62" s="9">
        <f t="shared" si="50"/>
        <v>0</v>
      </c>
      <c r="R62" s="22" t="str">
        <f>IFERROR(INDEX(Convenience!$N$11:$N$148,MATCH('Calculations - Convenience'!$C62,Convenience!$J$11:$J$148,0)),"")</f>
        <v/>
      </c>
      <c r="S62" s="22" t="str">
        <f>IFERROR(INDEX(Convenience!$O$11:$O$148,MATCH('Calculations - Convenience'!$C62,Convenience!$J$11:$J$148,0)),"")</f>
        <v/>
      </c>
      <c r="T62" s="16" t="e">
        <f t="shared" si="51"/>
        <v>#VALUE!</v>
      </c>
      <c r="U62" s="16" t="e">
        <f t="shared" si="66"/>
        <v>#VALUE!</v>
      </c>
      <c r="V62" s="16" t="e">
        <f t="shared" si="67"/>
        <v>#VALUE!</v>
      </c>
      <c r="W62" s="10" t="str">
        <f t="shared" si="52"/>
        <v>-</v>
      </c>
      <c r="X62" s="10" t="str">
        <f t="shared" si="53"/>
        <v>-</v>
      </c>
      <c r="Y62" s="13" t="str">
        <f t="shared" si="68"/>
        <v>-</v>
      </c>
      <c r="Z62" s="9" t="str">
        <f t="shared" si="54"/>
        <v>-</v>
      </c>
      <c r="AA62" s="16" t="str">
        <f t="shared" si="69"/>
        <v>-</v>
      </c>
      <c r="AB62" s="16" t="str">
        <f t="shared" si="55"/>
        <v>-</v>
      </c>
      <c r="AC62" s="16" t="str">
        <f t="shared" si="56"/>
        <v>-</v>
      </c>
      <c r="AD62" s="16" t="str">
        <f t="shared" si="70"/>
        <v>-</v>
      </c>
      <c r="AE62" s="16"/>
      <c r="AF62" s="31" t="str">
        <f>IFERROR(INDEX(Convenience!$M$11:$M$148,MATCH('Calculations - Convenience'!C62,Convenience!$J$11:$J$148,0)),"")</f>
        <v/>
      </c>
      <c r="AG62" s="23" t="str">
        <f t="shared" si="71"/>
        <v/>
      </c>
      <c r="AH62" s="23" t="str">
        <f t="shared" si="71"/>
        <v/>
      </c>
      <c r="AI62" s="9" t="str">
        <f t="shared" si="57"/>
        <v/>
      </c>
      <c r="AJ62" s="4" t="str">
        <f t="shared" si="58"/>
        <v/>
      </c>
      <c r="AK62" s="4"/>
      <c r="AL62" s="4"/>
      <c r="AM62" s="4"/>
      <c r="AN62" s="4"/>
      <c r="AO62" s="4"/>
      <c r="AP62" s="20" t="str">
        <f t="shared" si="59"/>
        <v>-</v>
      </c>
      <c r="AQ62" s="13" t="str">
        <f t="shared" si="72"/>
        <v>-</v>
      </c>
      <c r="AR62" s="13" t="str">
        <f t="shared" si="73"/>
        <v>-</v>
      </c>
      <c r="AS62" s="13" t="str">
        <f t="shared" si="60"/>
        <v>-</v>
      </c>
      <c r="AT62" s="16" t="str">
        <f t="shared" si="74"/>
        <v>-</v>
      </c>
      <c r="AU62" s="16" t="str">
        <f t="shared" si="61"/>
        <v>-</v>
      </c>
      <c r="AV62" s="16" t="str">
        <f t="shared" si="62"/>
        <v>-</v>
      </c>
      <c r="AW62" s="16" t="str">
        <f t="shared" si="75"/>
        <v>-</v>
      </c>
      <c r="AX62" s="13" t="str">
        <f t="shared" si="76"/>
        <v>-</v>
      </c>
      <c r="AY62" s="10" t="str">
        <f t="shared" si="77"/>
        <v>-</v>
      </c>
      <c r="AZ62" s="9" t="str">
        <f t="shared" si="78"/>
        <v>-</v>
      </c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2:68" x14ac:dyDescent="0.3">
      <c r="B63" s="108" t="str">
        <f t="shared" si="63"/>
        <v/>
      </c>
      <c r="C63" s="108" t="str">
        <f t="shared" si="47"/>
        <v/>
      </c>
      <c r="D63" s="3"/>
      <c r="E63" s="3"/>
      <c r="F63" s="3"/>
      <c r="G63" s="20">
        <f>IFERROR(INDEX('Input - Convenience'!F$2:F$200,MATCH('Calculations - Convenience'!$C63,'Input - Convenience'!$B$2:$B$200,0)),"")</f>
        <v>0</v>
      </c>
      <c r="H63" s="20">
        <f>IFERROR(INDEX('Input - Convenience'!G$2:G$200,MATCH('Calculations - Convenience'!$C63,'Input - Convenience'!$B$2:$B$200,0)),"")</f>
        <v>0</v>
      </c>
      <c r="I63" s="21">
        <f>IFERROR(INDEX('Input - Convenience'!H$2:H$200,MATCH('Calculations - Convenience'!$C63,'Input - Convenience'!$B$2:$B$200,0)),"")</f>
        <v>0</v>
      </c>
      <c r="J63" s="21">
        <f>IFERROR(INDEX('Input - Convenience'!I$2:I$200,MATCH('Calculations - Convenience'!$C63,'Input - Convenience'!$B$2:$B$200,0)),"")</f>
        <v>0</v>
      </c>
      <c r="K63" s="20">
        <f>IFERROR(INDEX('Input - Convenience'!J$2:J$200,MATCH('Calculations - Convenience'!$C63,'Input - Convenience'!$B$2:$B$200,0)),"")</f>
        <v>0</v>
      </c>
      <c r="L63" s="20">
        <f>IFERROR(INDEX('Input - Convenience'!K$2:K$200,MATCH('Calculations - Convenience'!$C63,'Input - Convenience'!$B$2:$B$200,0)),"")</f>
        <v>0</v>
      </c>
      <c r="M63" s="21" t="str">
        <f t="shared" si="64"/>
        <v/>
      </c>
      <c r="N63" s="21" t="str">
        <f t="shared" si="48"/>
        <v/>
      </c>
      <c r="O63" s="21">
        <f t="shared" si="65"/>
        <v>0</v>
      </c>
      <c r="P63" s="9">
        <f t="shared" si="49"/>
        <v>0</v>
      </c>
      <c r="Q63" s="9">
        <f t="shared" si="50"/>
        <v>0</v>
      </c>
      <c r="R63" s="22" t="str">
        <f>IFERROR(INDEX(Convenience!$N$11:$N$148,MATCH('Calculations - Convenience'!$C63,Convenience!$J$11:$J$148,0)),"")</f>
        <v/>
      </c>
      <c r="S63" s="22" t="str">
        <f>IFERROR(INDEX(Convenience!$O$11:$O$148,MATCH('Calculations - Convenience'!$C63,Convenience!$J$11:$J$148,0)),"")</f>
        <v/>
      </c>
      <c r="T63" s="16" t="e">
        <f t="shared" si="51"/>
        <v>#VALUE!</v>
      </c>
      <c r="U63" s="16" t="e">
        <f t="shared" si="66"/>
        <v>#VALUE!</v>
      </c>
      <c r="V63" s="16" t="e">
        <f t="shared" si="67"/>
        <v>#VALUE!</v>
      </c>
      <c r="W63" s="10" t="str">
        <f t="shared" si="52"/>
        <v>-</v>
      </c>
      <c r="X63" s="10" t="str">
        <f t="shared" si="53"/>
        <v>-</v>
      </c>
      <c r="Y63" s="13" t="str">
        <f t="shared" si="68"/>
        <v>-</v>
      </c>
      <c r="Z63" s="9" t="str">
        <f t="shared" si="54"/>
        <v>-</v>
      </c>
      <c r="AA63" s="16" t="str">
        <f t="shared" si="69"/>
        <v>-</v>
      </c>
      <c r="AB63" s="16" t="str">
        <f t="shared" si="55"/>
        <v>-</v>
      </c>
      <c r="AC63" s="16" t="str">
        <f t="shared" si="56"/>
        <v>-</v>
      </c>
      <c r="AD63" s="16" t="str">
        <f t="shared" si="70"/>
        <v>-</v>
      </c>
      <c r="AE63" s="16"/>
      <c r="AF63" s="31" t="str">
        <f>IFERROR(INDEX(Convenience!$M$11:$M$148,MATCH('Calculations - Convenience'!C63,Convenience!$J$11:$J$148,0)),"")</f>
        <v/>
      </c>
      <c r="AG63" s="23" t="str">
        <f t="shared" si="71"/>
        <v/>
      </c>
      <c r="AH63" s="23" t="str">
        <f t="shared" si="71"/>
        <v/>
      </c>
      <c r="AI63" s="9" t="str">
        <f t="shared" si="57"/>
        <v/>
      </c>
      <c r="AJ63" s="4" t="str">
        <f t="shared" si="58"/>
        <v/>
      </c>
      <c r="AK63" s="4"/>
      <c r="AL63" s="4"/>
      <c r="AM63" s="4"/>
      <c r="AN63" s="4"/>
      <c r="AO63" s="4"/>
      <c r="AP63" s="20" t="str">
        <f t="shared" si="59"/>
        <v>-</v>
      </c>
      <c r="AQ63" s="13" t="str">
        <f t="shared" si="72"/>
        <v>-</v>
      </c>
      <c r="AR63" s="13" t="str">
        <f t="shared" si="73"/>
        <v>-</v>
      </c>
      <c r="AS63" s="13" t="str">
        <f t="shared" si="60"/>
        <v>-</v>
      </c>
      <c r="AT63" s="16" t="str">
        <f t="shared" si="74"/>
        <v>-</v>
      </c>
      <c r="AU63" s="16" t="str">
        <f t="shared" si="61"/>
        <v>-</v>
      </c>
      <c r="AV63" s="16" t="str">
        <f t="shared" si="62"/>
        <v>-</v>
      </c>
      <c r="AW63" s="16" t="str">
        <f t="shared" si="75"/>
        <v>-</v>
      </c>
      <c r="AX63" s="13" t="str">
        <f t="shared" si="76"/>
        <v>-</v>
      </c>
      <c r="AY63" s="10" t="str">
        <f t="shared" si="77"/>
        <v>-</v>
      </c>
      <c r="AZ63" s="9" t="str">
        <f t="shared" si="78"/>
        <v>-</v>
      </c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2:68" x14ac:dyDescent="0.3">
      <c r="B64" s="108" t="str">
        <f t="shared" si="63"/>
        <v/>
      </c>
      <c r="C64" s="108" t="str">
        <f t="shared" si="47"/>
        <v/>
      </c>
      <c r="D64" s="3"/>
      <c r="E64" s="3"/>
      <c r="F64" s="3"/>
      <c r="G64" s="20">
        <f>IFERROR(INDEX('Input - Convenience'!F$2:F$200,MATCH('Calculations - Convenience'!$C64,'Input - Convenience'!$B$2:$B$200,0)),"")</f>
        <v>0</v>
      </c>
      <c r="H64" s="20">
        <f>IFERROR(INDEX('Input - Convenience'!G$2:G$200,MATCH('Calculations - Convenience'!$C64,'Input - Convenience'!$B$2:$B$200,0)),"")</f>
        <v>0</v>
      </c>
      <c r="I64" s="21">
        <f>IFERROR(INDEX('Input - Convenience'!H$2:H$200,MATCH('Calculations - Convenience'!$C64,'Input - Convenience'!$B$2:$B$200,0)),"")</f>
        <v>0</v>
      </c>
      <c r="J64" s="21">
        <f>IFERROR(INDEX('Input - Convenience'!I$2:I$200,MATCH('Calculations - Convenience'!$C64,'Input - Convenience'!$B$2:$B$200,0)),"")</f>
        <v>0</v>
      </c>
      <c r="K64" s="20">
        <f>IFERROR(INDEX('Input - Convenience'!J$2:J$200,MATCH('Calculations - Convenience'!$C64,'Input - Convenience'!$B$2:$B$200,0)),"")</f>
        <v>0</v>
      </c>
      <c r="L64" s="20">
        <f>IFERROR(INDEX('Input - Convenience'!K$2:K$200,MATCH('Calculations - Convenience'!$C64,'Input - Convenience'!$B$2:$B$200,0)),"")</f>
        <v>0</v>
      </c>
      <c r="M64" s="21" t="str">
        <f t="shared" si="64"/>
        <v/>
      </c>
      <c r="N64" s="21" t="str">
        <f t="shared" si="48"/>
        <v/>
      </c>
      <c r="O64" s="21">
        <f t="shared" si="65"/>
        <v>0</v>
      </c>
      <c r="P64" s="9">
        <f t="shared" ref="P64:P127" si="79">G64/SUM(G$32:G$229)</f>
        <v>0</v>
      </c>
      <c r="Q64" s="9">
        <f t="shared" ref="Q64:Q127" si="80">H64/SUM(H$32:H$229)</f>
        <v>0</v>
      </c>
      <c r="R64" s="22" t="str">
        <f>IFERROR(INDEX(Convenience!$N$11:$N$148,MATCH('Calculations - Convenience'!$C64,Convenience!$J$11:$J$148,0)),"")</f>
        <v/>
      </c>
      <c r="S64" s="22" t="str">
        <f>IFERROR(INDEX(Convenience!$O$11:$O$148,MATCH('Calculations - Convenience'!$C64,Convenience!$J$11:$J$148,0)),"")</f>
        <v/>
      </c>
      <c r="T64" s="16" t="e">
        <f t="shared" si="51"/>
        <v>#VALUE!</v>
      </c>
      <c r="U64" s="16" t="e">
        <f t="shared" si="66"/>
        <v>#VALUE!</v>
      </c>
      <c r="V64" s="16" t="e">
        <f t="shared" si="67"/>
        <v>#VALUE!</v>
      </c>
      <c r="W64" s="10" t="str">
        <f t="shared" si="52"/>
        <v>-</v>
      </c>
      <c r="X64" s="10" t="str">
        <f t="shared" si="53"/>
        <v>-</v>
      </c>
      <c r="Y64" s="13" t="str">
        <f t="shared" si="68"/>
        <v>-</v>
      </c>
      <c r="Z64" s="9" t="str">
        <f t="shared" si="54"/>
        <v>-</v>
      </c>
      <c r="AA64" s="16" t="str">
        <f t="shared" si="69"/>
        <v>-</v>
      </c>
      <c r="AB64" s="16" t="str">
        <f t="shared" si="55"/>
        <v>-</v>
      </c>
      <c r="AC64" s="16" t="str">
        <f t="shared" si="56"/>
        <v>-</v>
      </c>
      <c r="AD64" s="16" t="str">
        <f t="shared" si="70"/>
        <v>-</v>
      </c>
      <c r="AE64" s="16"/>
      <c r="AF64" s="31" t="str">
        <f>IFERROR(INDEX(Convenience!$M$11:$M$148,MATCH('Calculations - Convenience'!C64,Convenience!$J$11:$J$148,0)),"")</f>
        <v/>
      </c>
      <c r="AG64" s="23" t="str">
        <f t="shared" si="71"/>
        <v/>
      </c>
      <c r="AH64" s="23" t="str">
        <f t="shared" si="71"/>
        <v/>
      </c>
      <c r="AI64" s="9" t="str">
        <f t="shared" si="57"/>
        <v/>
      </c>
      <c r="AJ64" s="4" t="str">
        <f t="shared" si="58"/>
        <v/>
      </c>
      <c r="AK64" s="4"/>
      <c r="AL64" s="4"/>
      <c r="AM64" s="4"/>
      <c r="AN64" s="4"/>
      <c r="AO64" s="4"/>
      <c r="AP64" s="20" t="str">
        <f t="shared" si="59"/>
        <v>-</v>
      </c>
      <c r="AQ64" s="13" t="str">
        <f t="shared" si="72"/>
        <v>-</v>
      </c>
      <c r="AR64" s="13" t="str">
        <f t="shared" si="73"/>
        <v>-</v>
      </c>
      <c r="AS64" s="13" t="str">
        <f t="shared" si="60"/>
        <v>-</v>
      </c>
      <c r="AT64" s="16" t="str">
        <f t="shared" si="74"/>
        <v>-</v>
      </c>
      <c r="AU64" s="16" t="str">
        <f t="shared" si="61"/>
        <v>-</v>
      </c>
      <c r="AV64" s="16" t="str">
        <f t="shared" si="62"/>
        <v>-</v>
      </c>
      <c r="AW64" s="16" t="str">
        <f t="shared" si="75"/>
        <v>-</v>
      </c>
      <c r="AX64" s="13" t="str">
        <f t="shared" si="76"/>
        <v>-</v>
      </c>
      <c r="AY64" s="10" t="str">
        <f t="shared" si="77"/>
        <v>-</v>
      </c>
      <c r="AZ64" s="9" t="str">
        <f t="shared" si="78"/>
        <v>-</v>
      </c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2:68" x14ac:dyDescent="0.3">
      <c r="B65" s="108" t="str">
        <f t="shared" si="63"/>
        <v/>
      </c>
      <c r="C65" s="108" t="str">
        <f t="shared" si="47"/>
        <v/>
      </c>
      <c r="D65" s="3"/>
      <c r="E65" s="3"/>
      <c r="F65" s="3"/>
      <c r="G65" s="20">
        <f>IFERROR(INDEX('Input - Convenience'!F$2:F$200,MATCH('Calculations - Convenience'!$C65,'Input - Convenience'!$B$2:$B$200,0)),"")</f>
        <v>0</v>
      </c>
      <c r="H65" s="20">
        <f>IFERROR(INDEX('Input - Convenience'!G$2:G$200,MATCH('Calculations - Convenience'!$C65,'Input - Convenience'!$B$2:$B$200,0)),"")</f>
        <v>0</v>
      </c>
      <c r="I65" s="21">
        <f>IFERROR(INDEX('Input - Convenience'!H$2:H$200,MATCH('Calculations - Convenience'!$C65,'Input - Convenience'!$B$2:$B$200,0)),"")</f>
        <v>0</v>
      </c>
      <c r="J65" s="21">
        <f>IFERROR(INDEX('Input - Convenience'!I$2:I$200,MATCH('Calculations - Convenience'!$C65,'Input - Convenience'!$B$2:$B$200,0)),"")</f>
        <v>0</v>
      </c>
      <c r="K65" s="20">
        <f>IFERROR(INDEX('Input - Convenience'!J$2:J$200,MATCH('Calculations - Convenience'!$C65,'Input - Convenience'!$B$2:$B$200,0)),"")</f>
        <v>0</v>
      </c>
      <c r="L65" s="20">
        <f>IFERROR(INDEX('Input - Convenience'!K$2:K$200,MATCH('Calculations - Convenience'!$C65,'Input - Convenience'!$B$2:$B$200,0)),"")</f>
        <v>0</v>
      </c>
      <c r="M65" s="21" t="str">
        <f t="shared" si="64"/>
        <v/>
      </c>
      <c r="N65" s="21" t="str">
        <f t="shared" si="48"/>
        <v/>
      </c>
      <c r="O65" s="21">
        <f t="shared" si="65"/>
        <v>0</v>
      </c>
      <c r="P65" s="9">
        <f t="shared" si="79"/>
        <v>0</v>
      </c>
      <c r="Q65" s="9">
        <f t="shared" si="80"/>
        <v>0</v>
      </c>
      <c r="R65" s="22" t="str">
        <f>IFERROR(INDEX(Convenience!$N$11:$N$148,MATCH('Calculations - Convenience'!$C65,Convenience!$J$11:$J$148,0)),"")</f>
        <v/>
      </c>
      <c r="S65" s="22" t="str">
        <f>IFERROR(INDEX(Convenience!$O$11:$O$148,MATCH('Calculations - Convenience'!$C65,Convenience!$J$11:$J$148,0)),"")</f>
        <v/>
      </c>
      <c r="T65" s="16" t="e">
        <f t="shared" si="51"/>
        <v>#VALUE!</v>
      </c>
      <c r="U65" s="16" t="e">
        <f t="shared" si="66"/>
        <v>#VALUE!</v>
      </c>
      <c r="V65" s="16" t="e">
        <f t="shared" si="67"/>
        <v>#VALUE!</v>
      </c>
      <c r="W65" s="10" t="str">
        <f t="shared" si="52"/>
        <v>-</v>
      </c>
      <c r="X65" s="10" t="str">
        <f t="shared" si="53"/>
        <v>-</v>
      </c>
      <c r="Y65" s="13" t="str">
        <f t="shared" si="68"/>
        <v>-</v>
      </c>
      <c r="Z65" s="9" t="str">
        <f t="shared" si="54"/>
        <v>-</v>
      </c>
      <c r="AA65" s="16" t="str">
        <f t="shared" si="69"/>
        <v>-</v>
      </c>
      <c r="AB65" s="16" t="str">
        <f t="shared" si="55"/>
        <v>-</v>
      </c>
      <c r="AC65" s="16" t="str">
        <f t="shared" si="56"/>
        <v>-</v>
      </c>
      <c r="AD65" s="16" t="str">
        <f t="shared" si="70"/>
        <v>-</v>
      </c>
      <c r="AE65" s="16"/>
      <c r="AF65" s="31" t="str">
        <f>IFERROR(INDEX(Convenience!$M$11:$M$148,MATCH('Calculations - Convenience'!C65,Convenience!$J$11:$J$148,0)),"")</f>
        <v/>
      </c>
      <c r="AG65" s="23" t="str">
        <f t="shared" si="71"/>
        <v/>
      </c>
      <c r="AH65" s="23" t="str">
        <f t="shared" si="71"/>
        <v/>
      </c>
      <c r="AI65" s="9" t="str">
        <f t="shared" si="57"/>
        <v/>
      </c>
      <c r="AJ65" s="4" t="str">
        <f t="shared" si="58"/>
        <v/>
      </c>
      <c r="AK65" s="4"/>
      <c r="AL65" s="4"/>
      <c r="AM65" s="4"/>
      <c r="AN65" s="4"/>
      <c r="AO65" s="4"/>
      <c r="AP65" s="20" t="str">
        <f t="shared" si="59"/>
        <v>-</v>
      </c>
      <c r="AQ65" s="13" t="str">
        <f t="shared" si="72"/>
        <v>-</v>
      </c>
      <c r="AR65" s="13" t="str">
        <f t="shared" si="73"/>
        <v>-</v>
      </c>
      <c r="AS65" s="13" t="str">
        <f t="shared" si="60"/>
        <v>-</v>
      </c>
      <c r="AT65" s="16" t="str">
        <f t="shared" si="74"/>
        <v>-</v>
      </c>
      <c r="AU65" s="16" t="str">
        <f t="shared" si="61"/>
        <v>-</v>
      </c>
      <c r="AV65" s="16" t="str">
        <f t="shared" si="62"/>
        <v>-</v>
      </c>
      <c r="AW65" s="16" t="str">
        <f t="shared" si="75"/>
        <v>-</v>
      </c>
      <c r="AX65" s="13" t="str">
        <f t="shared" si="76"/>
        <v>-</v>
      </c>
      <c r="AY65" s="10" t="str">
        <f t="shared" si="77"/>
        <v>-</v>
      </c>
      <c r="AZ65" s="9" t="str">
        <f t="shared" si="78"/>
        <v>-</v>
      </c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2:68" x14ac:dyDescent="0.3">
      <c r="B66" s="108" t="str">
        <f t="shared" si="63"/>
        <v/>
      </c>
      <c r="C66" s="108" t="str">
        <f t="shared" si="47"/>
        <v/>
      </c>
      <c r="D66" s="3"/>
      <c r="E66" s="3"/>
      <c r="F66" s="3"/>
      <c r="G66" s="20">
        <f>IFERROR(INDEX('Input - Convenience'!F$2:F$200,MATCH('Calculations - Convenience'!$C66,'Input - Convenience'!$B$2:$B$200,0)),"")</f>
        <v>0</v>
      </c>
      <c r="H66" s="20">
        <f>IFERROR(INDEX('Input - Convenience'!G$2:G$200,MATCH('Calculations - Convenience'!$C66,'Input - Convenience'!$B$2:$B$200,0)),"")</f>
        <v>0</v>
      </c>
      <c r="I66" s="21">
        <f>IFERROR(INDEX('Input - Convenience'!H$2:H$200,MATCH('Calculations - Convenience'!$C66,'Input - Convenience'!$B$2:$B$200,0)),"")</f>
        <v>0</v>
      </c>
      <c r="J66" s="21">
        <f>IFERROR(INDEX('Input - Convenience'!I$2:I$200,MATCH('Calculations - Convenience'!$C66,'Input - Convenience'!$B$2:$B$200,0)),"")</f>
        <v>0</v>
      </c>
      <c r="K66" s="20">
        <f>IFERROR(INDEX('Input - Convenience'!J$2:J$200,MATCH('Calculations - Convenience'!$C66,'Input - Convenience'!$B$2:$B$200,0)),"")</f>
        <v>0</v>
      </c>
      <c r="L66" s="20">
        <f>IFERROR(INDEX('Input - Convenience'!K$2:K$200,MATCH('Calculations - Convenience'!$C66,'Input - Convenience'!$B$2:$B$200,0)),"")</f>
        <v>0</v>
      </c>
      <c r="M66" s="21" t="str">
        <f t="shared" si="64"/>
        <v/>
      </c>
      <c r="N66" s="21" t="str">
        <f t="shared" si="48"/>
        <v/>
      </c>
      <c r="O66" s="21">
        <f t="shared" si="65"/>
        <v>0</v>
      </c>
      <c r="P66" s="9">
        <f t="shared" si="79"/>
        <v>0</v>
      </c>
      <c r="Q66" s="9">
        <f t="shared" si="80"/>
        <v>0</v>
      </c>
      <c r="R66" s="22" t="str">
        <f>IFERROR(INDEX(Convenience!$N$11:$N$148,MATCH('Calculations - Convenience'!$C66,Convenience!$J$11:$J$148,0)),"")</f>
        <v/>
      </c>
      <c r="S66" s="22" t="str">
        <f>IFERROR(INDEX(Convenience!$O$11:$O$148,MATCH('Calculations - Convenience'!$C66,Convenience!$J$11:$J$148,0)),"")</f>
        <v/>
      </c>
      <c r="T66" s="16" t="e">
        <f t="shared" si="51"/>
        <v>#VALUE!</v>
      </c>
      <c r="U66" s="16" t="e">
        <f t="shared" si="66"/>
        <v>#VALUE!</v>
      </c>
      <c r="V66" s="16" t="e">
        <f t="shared" si="67"/>
        <v>#VALUE!</v>
      </c>
      <c r="W66" s="10" t="str">
        <f t="shared" si="52"/>
        <v>-</v>
      </c>
      <c r="X66" s="10" t="str">
        <f t="shared" si="53"/>
        <v>-</v>
      </c>
      <c r="Y66" s="13" t="str">
        <f t="shared" si="68"/>
        <v>-</v>
      </c>
      <c r="Z66" s="9" t="str">
        <f t="shared" si="54"/>
        <v>-</v>
      </c>
      <c r="AA66" s="16" t="str">
        <f t="shared" si="69"/>
        <v>-</v>
      </c>
      <c r="AB66" s="16" t="str">
        <f t="shared" si="55"/>
        <v>-</v>
      </c>
      <c r="AC66" s="16" t="str">
        <f t="shared" si="56"/>
        <v>-</v>
      </c>
      <c r="AD66" s="16" t="str">
        <f t="shared" si="70"/>
        <v>-</v>
      </c>
      <c r="AE66" s="16"/>
      <c r="AF66" s="31" t="str">
        <f>IFERROR(INDEX(Convenience!$M$11:$M$148,MATCH('Calculations - Convenience'!C66,Convenience!$J$11:$J$148,0)),"")</f>
        <v/>
      </c>
      <c r="AG66" s="23" t="str">
        <f t="shared" si="71"/>
        <v/>
      </c>
      <c r="AH66" s="23" t="str">
        <f t="shared" si="71"/>
        <v/>
      </c>
      <c r="AI66" s="9" t="str">
        <f t="shared" si="57"/>
        <v/>
      </c>
      <c r="AJ66" s="4" t="str">
        <f t="shared" si="58"/>
        <v/>
      </c>
      <c r="AK66" s="4"/>
      <c r="AL66" s="4"/>
      <c r="AM66" s="4"/>
      <c r="AN66" s="4"/>
      <c r="AO66" s="4"/>
      <c r="AP66" s="20" t="str">
        <f t="shared" si="59"/>
        <v>-</v>
      </c>
      <c r="AQ66" s="13" t="str">
        <f t="shared" si="72"/>
        <v>-</v>
      </c>
      <c r="AR66" s="13" t="str">
        <f t="shared" si="73"/>
        <v>-</v>
      </c>
      <c r="AS66" s="13" t="str">
        <f t="shared" si="60"/>
        <v>-</v>
      </c>
      <c r="AT66" s="16" t="str">
        <f t="shared" si="74"/>
        <v>-</v>
      </c>
      <c r="AU66" s="16" t="str">
        <f t="shared" si="61"/>
        <v>-</v>
      </c>
      <c r="AV66" s="16" t="str">
        <f t="shared" si="62"/>
        <v>-</v>
      </c>
      <c r="AW66" s="16" t="str">
        <f t="shared" si="75"/>
        <v>-</v>
      </c>
      <c r="AX66" s="13" t="str">
        <f t="shared" si="76"/>
        <v>-</v>
      </c>
      <c r="AY66" s="10" t="str">
        <f t="shared" si="77"/>
        <v>-</v>
      </c>
      <c r="AZ66" s="9" t="str">
        <f t="shared" si="78"/>
        <v>-</v>
      </c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2:68" x14ac:dyDescent="0.3">
      <c r="B67" s="108" t="str">
        <f t="shared" si="63"/>
        <v/>
      </c>
      <c r="C67" s="108" t="str">
        <f t="shared" si="47"/>
        <v/>
      </c>
      <c r="D67" s="3"/>
      <c r="E67" s="3"/>
      <c r="F67" s="3"/>
      <c r="G67" s="20">
        <f>IFERROR(INDEX('Input - Convenience'!F$2:F$200,MATCH('Calculations - Convenience'!$C67,'Input - Convenience'!$B$2:$B$200,0)),"")</f>
        <v>0</v>
      </c>
      <c r="H67" s="20">
        <f>IFERROR(INDEX('Input - Convenience'!G$2:G$200,MATCH('Calculations - Convenience'!$C67,'Input - Convenience'!$B$2:$B$200,0)),"")</f>
        <v>0</v>
      </c>
      <c r="I67" s="21">
        <f>IFERROR(INDEX('Input - Convenience'!H$2:H$200,MATCH('Calculations - Convenience'!$C67,'Input - Convenience'!$B$2:$B$200,0)),"")</f>
        <v>0</v>
      </c>
      <c r="J67" s="21">
        <f>IFERROR(INDEX('Input - Convenience'!I$2:I$200,MATCH('Calculations - Convenience'!$C67,'Input - Convenience'!$B$2:$B$200,0)),"")</f>
        <v>0</v>
      </c>
      <c r="K67" s="20">
        <f>IFERROR(INDEX('Input - Convenience'!J$2:J$200,MATCH('Calculations - Convenience'!$C67,'Input - Convenience'!$B$2:$B$200,0)),"")</f>
        <v>0</v>
      </c>
      <c r="L67" s="20">
        <f>IFERROR(INDEX('Input - Convenience'!K$2:K$200,MATCH('Calculations - Convenience'!$C67,'Input - Convenience'!$B$2:$B$200,0)),"")</f>
        <v>0</v>
      </c>
      <c r="M67" s="21" t="str">
        <f t="shared" si="64"/>
        <v/>
      </c>
      <c r="N67" s="21" t="str">
        <f t="shared" si="48"/>
        <v/>
      </c>
      <c r="O67" s="21">
        <f t="shared" si="65"/>
        <v>0</v>
      </c>
      <c r="P67" s="9">
        <f t="shared" si="79"/>
        <v>0</v>
      </c>
      <c r="Q67" s="9">
        <f t="shared" si="80"/>
        <v>0</v>
      </c>
      <c r="R67" s="22" t="str">
        <f>IFERROR(INDEX(Convenience!$N$11:$N$148,MATCH('Calculations - Convenience'!$C67,Convenience!$J$11:$J$148,0)),"")</f>
        <v/>
      </c>
      <c r="S67" s="22" t="str">
        <f>IFERROR(INDEX(Convenience!$O$11:$O$148,MATCH('Calculations - Convenience'!$C67,Convenience!$J$11:$J$148,0)),"")</f>
        <v/>
      </c>
      <c r="T67" s="16" t="e">
        <f t="shared" si="51"/>
        <v>#VALUE!</v>
      </c>
      <c r="U67" s="16" t="e">
        <f t="shared" si="66"/>
        <v>#VALUE!</v>
      </c>
      <c r="V67" s="16" t="e">
        <f t="shared" si="67"/>
        <v>#VALUE!</v>
      </c>
      <c r="W67" s="10" t="str">
        <f t="shared" si="52"/>
        <v>-</v>
      </c>
      <c r="X67" s="10" t="str">
        <f t="shared" si="53"/>
        <v>-</v>
      </c>
      <c r="Y67" s="13" t="str">
        <f t="shared" si="68"/>
        <v>-</v>
      </c>
      <c r="Z67" s="9" t="str">
        <f t="shared" si="54"/>
        <v>-</v>
      </c>
      <c r="AA67" s="16" t="str">
        <f t="shared" si="69"/>
        <v>-</v>
      </c>
      <c r="AB67" s="16" t="str">
        <f t="shared" si="55"/>
        <v>-</v>
      </c>
      <c r="AC67" s="16" t="str">
        <f t="shared" si="56"/>
        <v>-</v>
      </c>
      <c r="AD67" s="16" t="str">
        <f t="shared" si="70"/>
        <v>-</v>
      </c>
      <c r="AE67" s="16"/>
      <c r="AF67" s="31" t="str">
        <f>IFERROR(INDEX(Convenience!$M$11:$M$148,MATCH('Calculations - Convenience'!C67,Convenience!$J$11:$J$148,0)),"")</f>
        <v/>
      </c>
      <c r="AG67" s="23" t="str">
        <f t="shared" si="71"/>
        <v/>
      </c>
      <c r="AH67" s="23" t="str">
        <f t="shared" si="71"/>
        <v/>
      </c>
      <c r="AI67" s="9" t="str">
        <f t="shared" si="57"/>
        <v/>
      </c>
      <c r="AJ67" s="4" t="str">
        <f t="shared" si="58"/>
        <v/>
      </c>
      <c r="AK67" s="4"/>
      <c r="AL67" s="4"/>
      <c r="AM67" s="4"/>
      <c r="AN67" s="4"/>
      <c r="AO67" s="4"/>
      <c r="AP67" s="20" t="str">
        <f t="shared" si="59"/>
        <v>-</v>
      </c>
      <c r="AQ67" s="13" t="str">
        <f t="shared" si="72"/>
        <v>-</v>
      </c>
      <c r="AR67" s="13" t="str">
        <f t="shared" si="73"/>
        <v>-</v>
      </c>
      <c r="AS67" s="13" t="str">
        <f t="shared" si="60"/>
        <v>-</v>
      </c>
      <c r="AT67" s="16" t="str">
        <f t="shared" si="74"/>
        <v>-</v>
      </c>
      <c r="AU67" s="16" t="str">
        <f t="shared" si="61"/>
        <v>-</v>
      </c>
      <c r="AV67" s="16" t="str">
        <f t="shared" si="62"/>
        <v>-</v>
      </c>
      <c r="AW67" s="16" t="str">
        <f t="shared" si="75"/>
        <v>-</v>
      </c>
      <c r="AX67" s="13" t="str">
        <f t="shared" si="76"/>
        <v>-</v>
      </c>
      <c r="AY67" s="10" t="str">
        <f t="shared" si="77"/>
        <v>-</v>
      </c>
      <c r="AZ67" s="9" t="str">
        <f t="shared" si="78"/>
        <v>-</v>
      </c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</row>
    <row r="68" spans="2:68" x14ac:dyDescent="0.3">
      <c r="B68" s="108" t="str">
        <f t="shared" si="63"/>
        <v/>
      </c>
      <c r="C68" s="108" t="str">
        <f t="shared" si="47"/>
        <v/>
      </c>
      <c r="D68" s="3"/>
      <c r="E68" s="3"/>
      <c r="F68" s="3"/>
      <c r="G68" s="20">
        <f>IFERROR(INDEX('Input - Convenience'!F$2:F$200,MATCH('Calculations - Convenience'!$C68,'Input - Convenience'!$B$2:$B$200,0)),"")</f>
        <v>0</v>
      </c>
      <c r="H68" s="20">
        <f>IFERROR(INDEX('Input - Convenience'!G$2:G$200,MATCH('Calculations - Convenience'!$C68,'Input - Convenience'!$B$2:$B$200,0)),"")</f>
        <v>0</v>
      </c>
      <c r="I68" s="21">
        <f>IFERROR(INDEX('Input - Convenience'!H$2:H$200,MATCH('Calculations - Convenience'!$C68,'Input - Convenience'!$B$2:$B$200,0)),"")</f>
        <v>0</v>
      </c>
      <c r="J68" s="21">
        <f>IFERROR(INDEX('Input - Convenience'!I$2:I$200,MATCH('Calculations - Convenience'!$C68,'Input - Convenience'!$B$2:$B$200,0)),"")</f>
        <v>0</v>
      </c>
      <c r="K68" s="20">
        <f>IFERROR(INDEX('Input - Convenience'!J$2:J$200,MATCH('Calculations - Convenience'!$C68,'Input - Convenience'!$B$2:$B$200,0)),"")</f>
        <v>0</v>
      </c>
      <c r="L68" s="20">
        <f>IFERROR(INDEX('Input - Convenience'!K$2:K$200,MATCH('Calculations - Convenience'!$C68,'Input - Convenience'!$B$2:$B$200,0)),"")</f>
        <v>0</v>
      </c>
      <c r="M68" s="21" t="str">
        <f t="shared" si="64"/>
        <v/>
      </c>
      <c r="N68" s="21" t="str">
        <f t="shared" si="48"/>
        <v/>
      </c>
      <c r="O68" s="21">
        <f t="shared" si="65"/>
        <v>0</v>
      </c>
      <c r="P68" s="9">
        <f t="shared" si="79"/>
        <v>0</v>
      </c>
      <c r="Q68" s="9">
        <f t="shared" si="80"/>
        <v>0</v>
      </c>
      <c r="R68" s="22" t="str">
        <f>IFERROR(INDEX(Convenience!$N$11:$N$148,MATCH('Calculations - Convenience'!$C68,Convenience!$J$11:$J$148,0)),"")</f>
        <v/>
      </c>
      <c r="S68" s="22" t="str">
        <f>IFERROR(INDEX(Convenience!$O$11:$O$148,MATCH('Calculations - Convenience'!$C68,Convenience!$J$11:$J$148,0)),"")</f>
        <v/>
      </c>
      <c r="T68" s="16" t="e">
        <f t="shared" si="51"/>
        <v>#VALUE!</v>
      </c>
      <c r="U68" s="16" t="e">
        <f t="shared" si="66"/>
        <v>#VALUE!</v>
      </c>
      <c r="V68" s="16" t="e">
        <f t="shared" si="67"/>
        <v>#VALUE!</v>
      </c>
      <c r="W68" s="10" t="str">
        <f t="shared" si="52"/>
        <v>-</v>
      </c>
      <c r="X68" s="10" t="str">
        <f t="shared" si="53"/>
        <v>-</v>
      </c>
      <c r="Y68" s="13" t="str">
        <f t="shared" si="68"/>
        <v>-</v>
      </c>
      <c r="Z68" s="9" t="str">
        <f t="shared" si="54"/>
        <v>-</v>
      </c>
      <c r="AA68" s="16" t="str">
        <f t="shared" si="69"/>
        <v>-</v>
      </c>
      <c r="AB68" s="16" t="str">
        <f t="shared" si="55"/>
        <v>-</v>
      </c>
      <c r="AC68" s="16" t="str">
        <f t="shared" si="56"/>
        <v>-</v>
      </c>
      <c r="AD68" s="16" t="str">
        <f t="shared" si="70"/>
        <v>-</v>
      </c>
      <c r="AE68" s="16"/>
      <c r="AF68" s="31" t="str">
        <f>IFERROR(INDEX(Convenience!$M$11:$M$148,MATCH('Calculations - Convenience'!C68,Convenience!$J$11:$J$148,0)),"")</f>
        <v/>
      </c>
      <c r="AG68" s="23" t="str">
        <f t="shared" si="71"/>
        <v/>
      </c>
      <c r="AH68" s="23" t="str">
        <f t="shared" si="71"/>
        <v/>
      </c>
      <c r="AI68" s="9" t="str">
        <f t="shared" si="57"/>
        <v/>
      </c>
      <c r="AJ68" s="4" t="str">
        <f t="shared" si="58"/>
        <v/>
      </c>
      <c r="AK68" s="4"/>
      <c r="AL68" s="4"/>
      <c r="AM68" s="4"/>
      <c r="AN68" s="4"/>
      <c r="AO68" s="4"/>
      <c r="AP68" s="20" t="str">
        <f t="shared" si="59"/>
        <v>-</v>
      </c>
      <c r="AQ68" s="13" t="str">
        <f t="shared" si="72"/>
        <v>-</v>
      </c>
      <c r="AR68" s="13" t="str">
        <f t="shared" si="73"/>
        <v>-</v>
      </c>
      <c r="AS68" s="13" t="str">
        <f t="shared" si="60"/>
        <v>-</v>
      </c>
      <c r="AT68" s="16" t="str">
        <f t="shared" si="74"/>
        <v>-</v>
      </c>
      <c r="AU68" s="16" t="str">
        <f t="shared" si="61"/>
        <v>-</v>
      </c>
      <c r="AV68" s="16" t="str">
        <f t="shared" si="62"/>
        <v>-</v>
      </c>
      <c r="AW68" s="16" t="str">
        <f t="shared" si="75"/>
        <v>-</v>
      </c>
      <c r="AX68" s="13" t="str">
        <f t="shared" si="76"/>
        <v>-</v>
      </c>
      <c r="AY68" s="10" t="str">
        <f t="shared" si="77"/>
        <v>-</v>
      </c>
      <c r="AZ68" s="9" t="str">
        <f t="shared" si="78"/>
        <v>-</v>
      </c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</row>
    <row r="69" spans="2:68" x14ac:dyDescent="0.3">
      <c r="B69" s="108" t="str">
        <f t="shared" si="63"/>
        <v/>
      </c>
      <c r="C69" s="108" t="str">
        <f t="shared" si="47"/>
        <v/>
      </c>
      <c r="D69" s="3"/>
      <c r="E69" s="3"/>
      <c r="F69" s="3"/>
      <c r="G69" s="20">
        <f>IFERROR(INDEX('Input - Convenience'!F$2:F$200,MATCH('Calculations - Convenience'!$C69,'Input - Convenience'!$B$2:$B$200,0)),"")</f>
        <v>0</v>
      </c>
      <c r="H69" s="20">
        <f>IFERROR(INDEX('Input - Convenience'!G$2:G$200,MATCH('Calculations - Convenience'!$C69,'Input - Convenience'!$B$2:$B$200,0)),"")</f>
        <v>0</v>
      </c>
      <c r="I69" s="21">
        <f>IFERROR(INDEX('Input - Convenience'!H$2:H$200,MATCH('Calculations - Convenience'!$C69,'Input - Convenience'!$B$2:$B$200,0)),"")</f>
        <v>0</v>
      </c>
      <c r="J69" s="21">
        <f>IFERROR(INDEX('Input - Convenience'!I$2:I$200,MATCH('Calculations - Convenience'!$C69,'Input - Convenience'!$B$2:$B$200,0)),"")</f>
        <v>0</v>
      </c>
      <c r="K69" s="20">
        <f>IFERROR(INDEX('Input - Convenience'!J$2:J$200,MATCH('Calculations - Convenience'!$C69,'Input - Convenience'!$B$2:$B$200,0)),"")</f>
        <v>0</v>
      </c>
      <c r="L69" s="20">
        <f>IFERROR(INDEX('Input - Convenience'!K$2:K$200,MATCH('Calculations - Convenience'!$C69,'Input - Convenience'!$B$2:$B$200,0)),"")</f>
        <v>0</v>
      </c>
      <c r="M69" s="21" t="str">
        <f t="shared" si="64"/>
        <v/>
      </c>
      <c r="N69" s="21" t="str">
        <f t="shared" si="48"/>
        <v/>
      </c>
      <c r="O69" s="21">
        <f t="shared" si="65"/>
        <v>0</v>
      </c>
      <c r="P69" s="9">
        <f t="shared" si="79"/>
        <v>0</v>
      </c>
      <c r="Q69" s="9">
        <f t="shared" si="80"/>
        <v>0</v>
      </c>
      <c r="R69" s="22" t="str">
        <f>IFERROR(INDEX(Convenience!$N$11:$N$148,MATCH('Calculations - Convenience'!$C69,Convenience!$J$11:$J$148,0)),"")</f>
        <v/>
      </c>
      <c r="S69" s="22" t="str">
        <f>IFERROR(INDEX(Convenience!$O$11:$O$148,MATCH('Calculations - Convenience'!$C69,Convenience!$J$11:$J$148,0)),"")</f>
        <v/>
      </c>
      <c r="T69" s="16" t="e">
        <f t="shared" si="51"/>
        <v>#VALUE!</v>
      </c>
      <c r="U69" s="16" t="e">
        <f t="shared" si="66"/>
        <v>#VALUE!</v>
      </c>
      <c r="V69" s="16" t="e">
        <f t="shared" si="67"/>
        <v>#VALUE!</v>
      </c>
      <c r="W69" s="10" t="str">
        <f t="shared" si="52"/>
        <v>-</v>
      </c>
      <c r="X69" s="10" t="str">
        <f t="shared" si="53"/>
        <v>-</v>
      </c>
      <c r="Y69" s="13" t="str">
        <f t="shared" si="68"/>
        <v>-</v>
      </c>
      <c r="Z69" s="9" t="str">
        <f t="shared" si="54"/>
        <v>-</v>
      </c>
      <c r="AA69" s="16" t="str">
        <f t="shared" si="69"/>
        <v>-</v>
      </c>
      <c r="AB69" s="16" t="str">
        <f t="shared" si="55"/>
        <v>-</v>
      </c>
      <c r="AC69" s="16" t="str">
        <f t="shared" si="56"/>
        <v>-</v>
      </c>
      <c r="AD69" s="16" t="str">
        <f t="shared" si="70"/>
        <v>-</v>
      </c>
      <c r="AE69" s="16"/>
      <c r="AF69" s="31" t="str">
        <f>IFERROR(INDEX(Convenience!$M$11:$M$148,MATCH('Calculations - Convenience'!C69,Convenience!$J$11:$J$148,0)),"")</f>
        <v/>
      </c>
      <c r="AG69" s="23" t="str">
        <f t="shared" si="71"/>
        <v/>
      </c>
      <c r="AH69" s="23" t="str">
        <f t="shared" si="71"/>
        <v/>
      </c>
      <c r="AI69" s="9" t="str">
        <f t="shared" si="57"/>
        <v/>
      </c>
      <c r="AJ69" s="4" t="str">
        <f t="shared" si="58"/>
        <v/>
      </c>
      <c r="AK69" s="4"/>
      <c r="AL69" s="4"/>
      <c r="AM69" s="4"/>
      <c r="AN69" s="4"/>
      <c r="AO69" s="4"/>
      <c r="AP69" s="20" t="str">
        <f t="shared" si="59"/>
        <v>-</v>
      </c>
      <c r="AQ69" s="13" t="str">
        <f t="shared" si="72"/>
        <v>-</v>
      </c>
      <c r="AR69" s="13" t="str">
        <f t="shared" si="73"/>
        <v>-</v>
      </c>
      <c r="AS69" s="13" t="str">
        <f t="shared" si="60"/>
        <v>-</v>
      </c>
      <c r="AT69" s="16" t="str">
        <f t="shared" si="74"/>
        <v>-</v>
      </c>
      <c r="AU69" s="16" t="str">
        <f t="shared" si="61"/>
        <v>-</v>
      </c>
      <c r="AV69" s="16" t="str">
        <f t="shared" si="62"/>
        <v>-</v>
      </c>
      <c r="AW69" s="16" t="str">
        <f t="shared" si="75"/>
        <v>-</v>
      </c>
      <c r="AX69" s="13" t="str">
        <f t="shared" si="76"/>
        <v>-</v>
      </c>
      <c r="AY69" s="10" t="str">
        <f t="shared" si="77"/>
        <v>-</v>
      </c>
      <c r="AZ69" s="9" t="str">
        <f t="shared" si="78"/>
        <v>-</v>
      </c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2:68" x14ac:dyDescent="0.3">
      <c r="B70" s="108" t="str">
        <f t="shared" si="63"/>
        <v/>
      </c>
      <c r="C70" s="108" t="str">
        <f t="shared" si="47"/>
        <v/>
      </c>
      <c r="D70" s="3"/>
      <c r="E70" s="3"/>
      <c r="F70" s="3"/>
      <c r="G70" s="20">
        <f>IFERROR(INDEX('Input - Convenience'!F$2:F$200,MATCH('Calculations - Convenience'!$C70,'Input - Convenience'!$B$2:$B$200,0)),"")</f>
        <v>0</v>
      </c>
      <c r="H70" s="20">
        <f>IFERROR(INDEX('Input - Convenience'!G$2:G$200,MATCH('Calculations - Convenience'!$C70,'Input - Convenience'!$B$2:$B$200,0)),"")</f>
        <v>0</v>
      </c>
      <c r="I70" s="21">
        <f>IFERROR(INDEX('Input - Convenience'!H$2:H$200,MATCH('Calculations - Convenience'!$C70,'Input - Convenience'!$B$2:$B$200,0)),"")</f>
        <v>0</v>
      </c>
      <c r="J70" s="21">
        <f>IFERROR(INDEX('Input - Convenience'!I$2:I$200,MATCH('Calculations - Convenience'!$C70,'Input - Convenience'!$B$2:$B$200,0)),"")</f>
        <v>0</v>
      </c>
      <c r="K70" s="20">
        <f>IFERROR(INDEX('Input - Convenience'!J$2:J$200,MATCH('Calculations - Convenience'!$C70,'Input - Convenience'!$B$2:$B$200,0)),"")</f>
        <v>0</v>
      </c>
      <c r="L70" s="20">
        <f>IFERROR(INDEX('Input - Convenience'!K$2:K$200,MATCH('Calculations - Convenience'!$C70,'Input - Convenience'!$B$2:$B$200,0)),"")</f>
        <v>0</v>
      </c>
      <c r="M70" s="21" t="str">
        <f t="shared" si="64"/>
        <v/>
      </c>
      <c r="N70" s="21" t="str">
        <f t="shared" si="48"/>
        <v/>
      </c>
      <c r="O70" s="21">
        <f t="shared" si="65"/>
        <v>0</v>
      </c>
      <c r="P70" s="9">
        <f t="shared" si="79"/>
        <v>0</v>
      </c>
      <c r="Q70" s="9">
        <f t="shared" si="80"/>
        <v>0</v>
      </c>
      <c r="R70" s="22" t="str">
        <f>IFERROR(INDEX(Convenience!$N$11:$N$148,MATCH('Calculations - Convenience'!$C70,Convenience!$J$11:$J$148,0)),"")</f>
        <v/>
      </c>
      <c r="S70" s="22" t="str">
        <f>IFERROR(INDEX(Convenience!$O$11:$O$148,MATCH('Calculations - Convenience'!$C70,Convenience!$J$11:$J$148,0)),"")</f>
        <v/>
      </c>
      <c r="T70" s="16" t="e">
        <f t="shared" si="51"/>
        <v>#VALUE!</v>
      </c>
      <c r="U70" s="16" t="e">
        <f t="shared" si="66"/>
        <v>#VALUE!</v>
      </c>
      <c r="V70" s="16" t="e">
        <f t="shared" si="67"/>
        <v>#VALUE!</v>
      </c>
      <c r="W70" s="10" t="str">
        <f t="shared" si="52"/>
        <v>-</v>
      </c>
      <c r="X70" s="10" t="str">
        <f t="shared" si="53"/>
        <v>-</v>
      </c>
      <c r="Y70" s="13" t="str">
        <f t="shared" si="68"/>
        <v>-</v>
      </c>
      <c r="Z70" s="9" t="str">
        <f t="shared" si="54"/>
        <v>-</v>
      </c>
      <c r="AA70" s="16" t="str">
        <f t="shared" si="69"/>
        <v>-</v>
      </c>
      <c r="AB70" s="16" t="str">
        <f t="shared" si="55"/>
        <v>-</v>
      </c>
      <c r="AC70" s="16" t="str">
        <f t="shared" si="56"/>
        <v>-</v>
      </c>
      <c r="AD70" s="16" t="str">
        <f t="shared" si="70"/>
        <v>-</v>
      </c>
      <c r="AE70" s="16"/>
      <c r="AF70" s="31" t="str">
        <f>IFERROR(INDEX(Convenience!$M$11:$M$148,MATCH('Calculations - Convenience'!C70,Convenience!$J$11:$J$148,0)),"")</f>
        <v/>
      </c>
      <c r="AG70" s="23" t="str">
        <f t="shared" si="71"/>
        <v/>
      </c>
      <c r="AH70" s="23" t="str">
        <f t="shared" si="71"/>
        <v/>
      </c>
      <c r="AI70" s="9" t="str">
        <f t="shared" si="57"/>
        <v/>
      </c>
      <c r="AJ70" s="4" t="str">
        <f t="shared" si="58"/>
        <v/>
      </c>
      <c r="AK70" s="4"/>
      <c r="AL70" s="4"/>
      <c r="AM70" s="4"/>
      <c r="AN70" s="4"/>
      <c r="AO70" s="4"/>
      <c r="AP70" s="20" t="str">
        <f t="shared" si="59"/>
        <v>-</v>
      </c>
      <c r="AQ70" s="13" t="str">
        <f t="shared" si="72"/>
        <v>-</v>
      </c>
      <c r="AR70" s="13" t="str">
        <f t="shared" si="73"/>
        <v>-</v>
      </c>
      <c r="AS70" s="13" t="str">
        <f t="shared" si="60"/>
        <v>-</v>
      </c>
      <c r="AT70" s="16" t="str">
        <f t="shared" si="74"/>
        <v>-</v>
      </c>
      <c r="AU70" s="16" t="str">
        <f t="shared" si="61"/>
        <v>-</v>
      </c>
      <c r="AV70" s="16" t="str">
        <f t="shared" si="62"/>
        <v>-</v>
      </c>
      <c r="AW70" s="16" t="str">
        <f t="shared" si="75"/>
        <v>-</v>
      </c>
      <c r="AX70" s="13" t="str">
        <f t="shared" si="76"/>
        <v>-</v>
      </c>
      <c r="AY70" s="10" t="str">
        <f t="shared" si="77"/>
        <v>-</v>
      </c>
      <c r="AZ70" s="9" t="str">
        <f t="shared" si="78"/>
        <v>-</v>
      </c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2:68" x14ac:dyDescent="0.3">
      <c r="B71" s="108" t="str">
        <f t="shared" si="63"/>
        <v/>
      </c>
      <c r="C71" s="108" t="str">
        <f t="shared" si="47"/>
        <v/>
      </c>
      <c r="D71" s="3"/>
      <c r="E71" s="3"/>
      <c r="F71" s="3"/>
      <c r="G71" s="20">
        <f>IFERROR(INDEX('Input - Convenience'!F$2:F$200,MATCH('Calculations - Convenience'!$C71,'Input - Convenience'!$B$2:$B$200,0)),"")</f>
        <v>0</v>
      </c>
      <c r="H71" s="20">
        <f>IFERROR(INDEX('Input - Convenience'!G$2:G$200,MATCH('Calculations - Convenience'!$C71,'Input - Convenience'!$B$2:$B$200,0)),"")</f>
        <v>0</v>
      </c>
      <c r="I71" s="21">
        <f>IFERROR(INDEX('Input - Convenience'!H$2:H$200,MATCH('Calculations - Convenience'!$C71,'Input - Convenience'!$B$2:$B$200,0)),"")</f>
        <v>0</v>
      </c>
      <c r="J71" s="21">
        <f>IFERROR(INDEX('Input - Convenience'!I$2:I$200,MATCH('Calculations - Convenience'!$C71,'Input - Convenience'!$B$2:$B$200,0)),"")</f>
        <v>0</v>
      </c>
      <c r="K71" s="20">
        <f>IFERROR(INDEX('Input - Convenience'!J$2:J$200,MATCH('Calculations - Convenience'!$C71,'Input - Convenience'!$B$2:$B$200,0)),"")</f>
        <v>0</v>
      </c>
      <c r="L71" s="20">
        <f>IFERROR(INDEX('Input - Convenience'!K$2:K$200,MATCH('Calculations - Convenience'!$C71,'Input - Convenience'!$B$2:$B$200,0)),"")</f>
        <v>0</v>
      </c>
      <c r="M71" s="21" t="str">
        <f t="shared" si="64"/>
        <v/>
      </c>
      <c r="N71" s="21" t="str">
        <f t="shared" si="48"/>
        <v/>
      </c>
      <c r="O71" s="21">
        <f t="shared" si="65"/>
        <v>0</v>
      </c>
      <c r="P71" s="9">
        <f t="shared" si="79"/>
        <v>0</v>
      </c>
      <c r="Q71" s="9">
        <f t="shared" si="80"/>
        <v>0</v>
      </c>
      <c r="R71" s="22" t="str">
        <f>IFERROR(INDEX(Convenience!$N$11:$N$148,MATCH('Calculations - Convenience'!$C71,Convenience!$J$11:$J$148,0)),"")</f>
        <v/>
      </c>
      <c r="S71" s="22" t="str">
        <f>IFERROR(INDEX(Convenience!$O$11:$O$148,MATCH('Calculations - Convenience'!$C71,Convenience!$J$11:$J$148,0)),"")</f>
        <v/>
      </c>
      <c r="T71" s="16" t="e">
        <f t="shared" si="51"/>
        <v>#VALUE!</v>
      </c>
      <c r="U71" s="16" t="e">
        <f t="shared" si="66"/>
        <v>#VALUE!</v>
      </c>
      <c r="V71" s="16" t="e">
        <f t="shared" si="67"/>
        <v>#VALUE!</v>
      </c>
      <c r="W71" s="10" t="str">
        <f t="shared" si="52"/>
        <v>-</v>
      </c>
      <c r="X71" s="10" t="str">
        <f t="shared" si="53"/>
        <v>-</v>
      </c>
      <c r="Y71" s="13" t="str">
        <f t="shared" si="68"/>
        <v>-</v>
      </c>
      <c r="Z71" s="9" t="str">
        <f t="shared" si="54"/>
        <v>-</v>
      </c>
      <c r="AA71" s="16" t="str">
        <f t="shared" si="69"/>
        <v>-</v>
      </c>
      <c r="AB71" s="16" t="str">
        <f t="shared" si="55"/>
        <v>-</v>
      </c>
      <c r="AC71" s="16" t="str">
        <f t="shared" si="56"/>
        <v>-</v>
      </c>
      <c r="AD71" s="16" t="str">
        <f t="shared" si="70"/>
        <v>-</v>
      </c>
      <c r="AE71" s="16"/>
      <c r="AF71" s="31" t="str">
        <f>IFERROR(INDEX(Convenience!$M$11:$M$148,MATCH('Calculations - Convenience'!C71,Convenience!$J$11:$J$148,0)),"")</f>
        <v/>
      </c>
      <c r="AG71" s="23" t="str">
        <f t="shared" si="71"/>
        <v/>
      </c>
      <c r="AH71" s="23" t="str">
        <f t="shared" si="71"/>
        <v/>
      </c>
      <c r="AI71" s="9" t="str">
        <f t="shared" si="57"/>
        <v/>
      </c>
      <c r="AJ71" s="4" t="str">
        <f t="shared" si="58"/>
        <v/>
      </c>
      <c r="AK71" s="4"/>
      <c r="AL71" s="4"/>
      <c r="AM71" s="4"/>
      <c r="AN71" s="4"/>
      <c r="AO71" s="4"/>
      <c r="AP71" s="20" t="str">
        <f t="shared" si="59"/>
        <v>-</v>
      </c>
      <c r="AQ71" s="13" t="str">
        <f t="shared" si="72"/>
        <v>-</v>
      </c>
      <c r="AR71" s="13" t="str">
        <f t="shared" si="73"/>
        <v>-</v>
      </c>
      <c r="AS71" s="13" t="str">
        <f t="shared" si="60"/>
        <v>-</v>
      </c>
      <c r="AT71" s="16" t="str">
        <f t="shared" si="74"/>
        <v>-</v>
      </c>
      <c r="AU71" s="16" t="str">
        <f t="shared" si="61"/>
        <v>-</v>
      </c>
      <c r="AV71" s="16" t="str">
        <f t="shared" si="62"/>
        <v>-</v>
      </c>
      <c r="AW71" s="16" t="str">
        <f t="shared" si="75"/>
        <v>-</v>
      </c>
      <c r="AX71" s="13" t="str">
        <f t="shared" si="76"/>
        <v>-</v>
      </c>
      <c r="AY71" s="10" t="str">
        <f t="shared" si="77"/>
        <v>-</v>
      </c>
      <c r="AZ71" s="9" t="str">
        <f t="shared" si="78"/>
        <v>-</v>
      </c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2:68" x14ac:dyDescent="0.3">
      <c r="B72" s="108" t="str">
        <f t="shared" si="63"/>
        <v/>
      </c>
      <c r="C72" s="108" t="str">
        <f t="shared" si="47"/>
        <v/>
      </c>
      <c r="D72" s="3"/>
      <c r="E72" s="3"/>
      <c r="F72" s="3"/>
      <c r="G72" s="20">
        <f>IFERROR(INDEX('Input - Convenience'!F$2:F$200,MATCH('Calculations - Convenience'!$C72,'Input - Convenience'!$B$2:$B$200,0)),"")</f>
        <v>0</v>
      </c>
      <c r="H72" s="20">
        <f>IFERROR(INDEX('Input - Convenience'!G$2:G$200,MATCH('Calculations - Convenience'!$C72,'Input - Convenience'!$B$2:$B$200,0)),"")</f>
        <v>0</v>
      </c>
      <c r="I72" s="21">
        <f>IFERROR(INDEX('Input - Convenience'!H$2:H$200,MATCH('Calculations - Convenience'!$C72,'Input - Convenience'!$B$2:$B$200,0)),"")</f>
        <v>0</v>
      </c>
      <c r="J72" s="21">
        <f>IFERROR(INDEX('Input - Convenience'!I$2:I$200,MATCH('Calculations - Convenience'!$C72,'Input - Convenience'!$B$2:$B$200,0)),"")</f>
        <v>0</v>
      </c>
      <c r="K72" s="20">
        <f>IFERROR(INDEX('Input - Convenience'!J$2:J$200,MATCH('Calculations - Convenience'!$C72,'Input - Convenience'!$B$2:$B$200,0)),"")</f>
        <v>0</v>
      </c>
      <c r="L72" s="20">
        <f>IFERROR(INDEX('Input - Convenience'!K$2:K$200,MATCH('Calculations - Convenience'!$C72,'Input - Convenience'!$B$2:$B$200,0)),"")</f>
        <v>0</v>
      </c>
      <c r="M72" s="21" t="str">
        <f t="shared" si="64"/>
        <v/>
      </c>
      <c r="N72" s="21" t="str">
        <f t="shared" si="48"/>
        <v/>
      </c>
      <c r="O72" s="21">
        <f t="shared" si="65"/>
        <v>0</v>
      </c>
      <c r="P72" s="9">
        <f t="shared" si="79"/>
        <v>0</v>
      </c>
      <c r="Q72" s="9">
        <f t="shared" si="80"/>
        <v>0</v>
      </c>
      <c r="R72" s="22" t="str">
        <f>IFERROR(INDEX(Convenience!$N$11:$N$148,MATCH('Calculations - Convenience'!$C72,Convenience!$J$11:$J$148,0)),"")</f>
        <v/>
      </c>
      <c r="S72" s="22" t="str">
        <f>IFERROR(INDEX(Convenience!$O$11:$O$148,MATCH('Calculations - Convenience'!$C72,Convenience!$J$11:$J$148,0)),"")</f>
        <v/>
      </c>
      <c r="T72" s="16" t="e">
        <f t="shared" si="51"/>
        <v>#VALUE!</v>
      </c>
      <c r="U72" s="16" t="e">
        <f t="shared" si="66"/>
        <v>#VALUE!</v>
      </c>
      <c r="V72" s="16" t="e">
        <f t="shared" si="67"/>
        <v>#VALUE!</v>
      </c>
      <c r="W72" s="10" t="str">
        <f t="shared" si="52"/>
        <v>-</v>
      </c>
      <c r="X72" s="10" t="str">
        <f t="shared" si="53"/>
        <v>-</v>
      </c>
      <c r="Y72" s="13" t="str">
        <f t="shared" si="68"/>
        <v>-</v>
      </c>
      <c r="Z72" s="9" t="str">
        <f t="shared" si="54"/>
        <v>-</v>
      </c>
      <c r="AA72" s="16" t="str">
        <f t="shared" si="69"/>
        <v>-</v>
      </c>
      <c r="AB72" s="16" t="str">
        <f t="shared" si="55"/>
        <v>-</v>
      </c>
      <c r="AC72" s="16" t="str">
        <f t="shared" si="56"/>
        <v>-</v>
      </c>
      <c r="AD72" s="16" t="str">
        <f t="shared" si="70"/>
        <v>-</v>
      </c>
      <c r="AE72" s="16"/>
      <c r="AF72" s="31" t="str">
        <f>IFERROR(INDEX(Convenience!$M$11:$M$148,MATCH('Calculations - Convenience'!C72,Convenience!$J$11:$J$148,0)),"")</f>
        <v/>
      </c>
      <c r="AG72" s="23" t="str">
        <f t="shared" si="71"/>
        <v/>
      </c>
      <c r="AH72" s="23" t="str">
        <f t="shared" si="71"/>
        <v/>
      </c>
      <c r="AI72" s="9" t="str">
        <f t="shared" si="57"/>
        <v/>
      </c>
      <c r="AJ72" s="4" t="str">
        <f t="shared" si="58"/>
        <v/>
      </c>
      <c r="AK72" s="4"/>
      <c r="AL72" s="4"/>
      <c r="AM72" s="4"/>
      <c r="AN72" s="4"/>
      <c r="AO72" s="4"/>
      <c r="AP72" s="20" t="str">
        <f t="shared" si="59"/>
        <v>-</v>
      </c>
      <c r="AQ72" s="13" t="str">
        <f t="shared" si="72"/>
        <v>-</v>
      </c>
      <c r="AR72" s="13" t="str">
        <f t="shared" si="73"/>
        <v>-</v>
      </c>
      <c r="AS72" s="13" t="str">
        <f t="shared" si="60"/>
        <v>-</v>
      </c>
      <c r="AT72" s="16" t="str">
        <f t="shared" si="74"/>
        <v>-</v>
      </c>
      <c r="AU72" s="16" t="str">
        <f t="shared" si="61"/>
        <v>-</v>
      </c>
      <c r="AV72" s="16" t="str">
        <f t="shared" si="62"/>
        <v>-</v>
      </c>
      <c r="AW72" s="16" t="str">
        <f t="shared" si="75"/>
        <v>-</v>
      </c>
      <c r="AX72" s="13" t="str">
        <f t="shared" si="76"/>
        <v>-</v>
      </c>
      <c r="AY72" s="10" t="str">
        <f t="shared" si="77"/>
        <v>-</v>
      </c>
      <c r="AZ72" s="9" t="str">
        <f t="shared" si="78"/>
        <v>-</v>
      </c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2:68" x14ac:dyDescent="0.3">
      <c r="B73" s="108" t="str">
        <f t="shared" si="63"/>
        <v/>
      </c>
      <c r="C73" s="108" t="str">
        <f t="shared" si="47"/>
        <v/>
      </c>
      <c r="D73" s="3"/>
      <c r="E73" s="3"/>
      <c r="F73" s="3"/>
      <c r="G73" s="20">
        <f>IFERROR(INDEX('Input - Convenience'!F$2:F$200,MATCH('Calculations - Convenience'!$C73,'Input - Convenience'!$B$2:$B$200,0)),"")</f>
        <v>0</v>
      </c>
      <c r="H73" s="20">
        <f>IFERROR(INDEX('Input - Convenience'!G$2:G$200,MATCH('Calculations - Convenience'!$C73,'Input - Convenience'!$B$2:$B$200,0)),"")</f>
        <v>0</v>
      </c>
      <c r="I73" s="21">
        <f>IFERROR(INDEX('Input - Convenience'!H$2:H$200,MATCH('Calculations - Convenience'!$C73,'Input - Convenience'!$B$2:$B$200,0)),"")</f>
        <v>0</v>
      </c>
      <c r="J73" s="21">
        <f>IFERROR(INDEX('Input - Convenience'!I$2:I$200,MATCH('Calculations - Convenience'!$C73,'Input - Convenience'!$B$2:$B$200,0)),"")</f>
        <v>0</v>
      </c>
      <c r="K73" s="20">
        <f>IFERROR(INDEX('Input - Convenience'!J$2:J$200,MATCH('Calculations - Convenience'!$C73,'Input - Convenience'!$B$2:$B$200,0)),"")</f>
        <v>0</v>
      </c>
      <c r="L73" s="20">
        <f>IFERROR(INDEX('Input - Convenience'!K$2:K$200,MATCH('Calculations - Convenience'!$C73,'Input - Convenience'!$B$2:$B$200,0)),"")</f>
        <v>0</v>
      </c>
      <c r="M73" s="21" t="str">
        <f t="shared" si="64"/>
        <v/>
      </c>
      <c r="N73" s="21" t="str">
        <f t="shared" si="48"/>
        <v/>
      </c>
      <c r="O73" s="21">
        <f t="shared" si="65"/>
        <v>0</v>
      </c>
      <c r="P73" s="9">
        <f t="shared" si="79"/>
        <v>0</v>
      </c>
      <c r="Q73" s="9">
        <f t="shared" si="80"/>
        <v>0</v>
      </c>
      <c r="R73" s="22" t="str">
        <f>IFERROR(INDEX(Convenience!$N$11:$N$148,MATCH('Calculations - Convenience'!$C73,Convenience!$J$11:$J$148,0)),"")</f>
        <v/>
      </c>
      <c r="S73" s="22" t="str">
        <f>IFERROR(INDEX(Convenience!$O$11:$O$148,MATCH('Calculations - Convenience'!$C73,Convenience!$J$11:$J$148,0)),"")</f>
        <v/>
      </c>
      <c r="T73" s="16" t="e">
        <f t="shared" si="51"/>
        <v>#VALUE!</v>
      </c>
      <c r="U73" s="16" t="e">
        <f t="shared" si="66"/>
        <v>#VALUE!</v>
      </c>
      <c r="V73" s="16" t="e">
        <f t="shared" si="67"/>
        <v>#VALUE!</v>
      </c>
      <c r="W73" s="10" t="str">
        <f t="shared" si="52"/>
        <v>-</v>
      </c>
      <c r="X73" s="10" t="str">
        <f t="shared" si="53"/>
        <v>-</v>
      </c>
      <c r="Y73" s="13" t="str">
        <f t="shared" si="68"/>
        <v>-</v>
      </c>
      <c r="Z73" s="9" t="str">
        <f t="shared" si="54"/>
        <v>-</v>
      </c>
      <c r="AA73" s="16" t="str">
        <f t="shared" si="69"/>
        <v>-</v>
      </c>
      <c r="AB73" s="16" t="str">
        <f t="shared" si="55"/>
        <v>-</v>
      </c>
      <c r="AC73" s="16" t="str">
        <f t="shared" si="56"/>
        <v>-</v>
      </c>
      <c r="AD73" s="16" t="str">
        <f t="shared" si="70"/>
        <v>-</v>
      </c>
      <c r="AE73" s="16"/>
      <c r="AF73" s="31" t="str">
        <f>IFERROR(INDEX(Convenience!$M$11:$M$148,MATCH('Calculations - Convenience'!C73,Convenience!$J$11:$J$148,0)),"")</f>
        <v/>
      </c>
      <c r="AG73" s="23" t="str">
        <f t="shared" si="71"/>
        <v/>
      </c>
      <c r="AH73" s="23" t="str">
        <f t="shared" si="71"/>
        <v/>
      </c>
      <c r="AI73" s="9" t="str">
        <f t="shared" si="57"/>
        <v/>
      </c>
      <c r="AJ73" s="4" t="str">
        <f t="shared" si="58"/>
        <v/>
      </c>
      <c r="AK73" s="4"/>
      <c r="AL73" s="4"/>
      <c r="AM73" s="4"/>
      <c r="AN73" s="4"/>
      <c r="AO73" s="4"/>
      <c r="AP73" s="20" t="str">
        <f t="shared" si="59"/>
        <v>-</v>
      </c>
      <c r="AQ73" s="13" t="str">
        <f t="shared" si="72"/>
        <v>-</v>
      </c>
      <c r="AR73" s="13" t="str">
        <f t="shared" si="73"/>
        <v>-</v>
      </c>
      <c r="AS73" s="13" t="str">
        <f t="shared" si="60"/>
        <v>-</v>
      </c>
      <c r="AT73" s="16" t="str">
        <f t="shared" si="74"/>
        <v>-</v>
      </c>
      <c r="AU73" s="16" t="str">
        <f t="shared" si="61"/>
        <v>-</v>
      </c>
      <c r="AV73" s="16" t="str">
        <f t="shared" si="62"/>
        <v>-</v>
      </c>
      <c r="AW73" s="16" t="str">
        <f t="shared" si="75"/>
        <v>-</v>
      </c>
      <c r="AX73" s="13" t="str">
        <f t="shared" si="76"/>
        <v>-</v>
      </c>
      <c r="AY73" s="10" t="str">
        <f t="shared" si="77"/>
        <v>-</v>
      </c>
      <c r="AZ73" s="9" t="str">
        <f t="shared" si="78"/>
        <v>-</v>
      </c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2:68" x14ac:dyDescent="0.3">
      <c r="B74" s="108" t="str">
        <f t="shared" si="63"/>
        <v/>
      </c>
      <c r="C74" s="108" t="str">
        <f t="shared" si="47"/>
        <v/>
      </c>
      <c r="D74" s="3"/>
      <c r="E74" s="3"/>
      <c r="F74" s="3"/>
      <c r="G74" s="20">
        <f>IFERROR(INDEX('Input - Convenience'!F$2:F$200,MATCH('Calculations - Convenience'!$C74,'Input - Convenience'!$B$2:$B$200,0)),"")</f>
        <v>0</v>
      </c>
      <c r="H74" s="20">
        <f>IFERROR(INDEX('Input - Convenience'!G$2:G$200,MATCH('Calculations - Convenience'!$C74,'Input - Convenience'!$B$2:$B$200,0)),"")</f>
        <v>0</v>
      </c>
      <c r="I74" s="21">
        <f>IFERROR(INDEX('Input - Convenience'!H$2:H$200,MATCH('Calculations - Convenience'!$C74,'Input - Convenience'!$B$2:$B$200,0)),"")</f>
        <v>0</v>
      </c>
      <c r="J74" s="21">
        <f>IFERROR(INDEX('Input - Convenience'!I$2:I$200,MATCH('Calculations - Convenience'!$C74,'Input - Convenience'!$B$2:$B$200,0)),"")</f>
        <v>0</v>
      </c>
      <c r="K74" s="20">
        <f>IFERROR(INDEX('Input - Convenience'!J$2:J$200,MATCH('Calculations - Convenience'!$C74,'Input - Convenience'!$B$2:$B$200,0)),"")</f>
        <v>0</v>
      </c>
      <c r="L74" s="20">
        <f>IFERROR(INDEX('Input - Convenience'!K$2:K$200,MATCH('Calculations - Convenience'!$C74,'Input - Convenience'!$B$2:$B$200,0)),"")</f>
        <v>0</v>
      </c>
      <c r="M74" s="21" t="str">
        <f t="shared" si="64"/>
        <v/>
      </c>
      <c r="N74" s="21" t="str">
        <f t="shared" si="48"/>
        <v/>
      </c>
      <c r="O74" s="21">
        <f t="shared" si="65"/>
        <v>0</v>
      </c>
      <c r="P74" s="9">
        <f t="shared" si="79"/>
        <v>0</v>
      </c>
      <c r="Q74" s="9">
        <f t="shared" si="80"/>
        <v>0</v>
      </c>
      <c r="R74" s="22" t="str">
        <f>IFERROR(INDEX(Convenience!$N$11:$N$148,MATCH('Calculations - Convenience'!$C74,Convenience!$J$11:$J$148,0)),"")</f>
        <v/>
      </c>
      <c r="S74" s="22" t="str">
        <f>IFERROR(INDEX(Convenience!$O$11:$O$148,MATCH('Calculations - Convenience'!$C74,Convenience!$J$11:$J$148,0)),"")</f>
        <v/>
      </c>
      <c r="T74" s="16" t="e">
        <f t="shared" si="51"/>
        <v>#VALUE!</v>
      </c>
      <c r="U74" s="16" t="e">
        <f t="shared" si="66"/>
        <v>#VALUE!</v>
      </c>
      <c r="V74" s="16" t="e">
        <f t="shared" si="67"/>
        <v>#VALUE!</v>
      </c>
      <c r="W74" s="10" t="str">
        <f t="shared" si="52"/>
        <v>-</v>
      </c>
      <c r="X74" s="10" t="str">
        <f t="shared" si="53"/>
        <v>-</v>
      </c>
      <c r="Y74" s="13" t="str">
        <f t="shared" si="68"/>
        <v>-</v>
      </c>
      <c r="Z74" s="9" t="str">
        <f t="shared" si="54"/>
        <v>-</v>
      </c>
      <c r="AA74" s="16" t="str">
        <f t="shared" si="69"/>
        <v>-</v>
      </c>
      <c r="AB74" s="16" t="str">
        <f t="shared" si="55"/>
        <v>-</v>
      </c>
      <c r="AC74" s="16" t="str">
        <f t="shared" si="56"/>
        <v>-</v>
      </c>
      <c r="AD74" s="16" t="str">
        <f t="shared" si="70"/>
        <v>-</v>
      </c>
      <c r="AE74" s="16"/>
      <c r="AF74" s="31" t="str">
        <f>IFERROR(INDEX(Convenience!$M$11:$M$148,MATCH('Calculations - Convenience'!C74,Convenience!$J$11:$J$148,0)),"")</f>
        <v/>
      </c>
      <c r="AG74" s="23" t="str">
        <f t="shared" si="71"/>
        <v/>
      </c>
      <c r="AH74" s="23" t="str">
        <f t="shared" si="71"/>
        <v/>
      </c>
      <c r="AI74" s="9" t="str">
        <f t="shared" si="57"/>
        <v/>
      </c>
      <c r="AJ74" s="4" t="str">
        <f t="shared" si="58"/>
        <v/>
      </c>
      <c r="AK74" s="4"/>
      <c r="AL74" s="4"/>
      <c r="AM74" s="4"/>
      <c r="AN74" s="4"/>
      <c r="AO74" s="4"/>
      <c r="AP74" s="20" t="str">
        <f t="shared" si="59"/>
        <v>-</v>
      </c>
      <c r="AQ74" s="13" t="str">
        <f t="shared" si="72"/>
        <v>-</v>
      </c>
      <c r="AR74" s="13" t="str">
        <f t="shared" si="73"/>
        <v>-</v>
      </c>
      <c r="AS74" s="13" t="str">
        <f t="shared" si="60"/>
        <v>-</v>
      </c>
      <c r="AT74" s="16" t="str">
        <f t="shared" si="74"/>
        <v>-</v>
      </c>
      <c r="AU74" s="16" t="str">
        <f t="shared" si="61"/>
        <v>-</v>
      </c>
      <c r="AV74" s="16" t="str">
        <f t="shared" si="62"/>
        <v>-</v>
      </c>
      <c r="AW74" s="16" t="str">
        <f t="shared" si="75"/>
        <v>-</v>
      </c>
      <c r="AX74" s="13" t="str">
        <f t="shared" si="76"/>
        <v>-</v>
      </c>
      <c r="AY74" s="10" t="str">
        <f t="shared" si="77"/>
        <v>-</v>
      </c>
      <c r="AZ74" s="9" t="str">
        <f t="shared" si="78"/>
        <v>-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2:68" x14ac:dyDescent="0.3">
      <c r="B75" s="108" t="str">
        <f t="shared" si="63"/>
        <v/>
      </c>
      <c r="C75" s="108" t="str">
        <f t="shared" si="47"/>
        <v/>
      </c>
      <c r="D75" s="3"/>
      <c r="E75" s="3"/>
      <c r="F75" s="3"/>
      <c r="G75" s="20">
        <f>IFERROR(INDEX('Input - Convenience'!F$2:F$200,MATCH('Calculations - Convenience'!$C75,'Input - Convenience'!$B$2:$B$200,0)),"")</f>
        <v>0</v>
      </c>
      <c r="H75" s="20">
        <f>IFERROR(INDEX('Input - Convenience'!G$2:G$200,MATCH('Calculations - Convenience'!$C75,'Input - Convenience'!$B$2:$B$200,0)),"")</f>
        <v>0</v>
      </c>
      <c r="I75" s="21">
        <f>IFERROR(INDEX('Input - Convenience'!H$2:H$200,MATCH('Calculations - Convenience'!$C75,'Input - Convenience'!$B$2:$B$200,0)),"")</f>
        <v>0</v>
      </c>
      <c r="J75" s="21">
        <f>IFERROR(INDEX('Input - Convenience'!I$2:I$200,MATCH('Calculations - Convenience'!$C75,'Input - Convenience'!$B$2:$B$200,0)),"")</f>
        <v>0</v>
      </c>
      <c r="K75" s="20">
        <f>IFERROR(INDEX('Input - Convenience'!J$2:J$200,MATCH('Calculations - Convenience'!$C75,'Input - Convenience'!$B$2:$B$200,0)),"")</f>
        <v>0</v>
      </c>
      <c r="L75" s="20">
        <f>IFERROR(INDEX('Input - Convenience'!K$2:K$200,MATCH('Calculations - Convenience'!$C75,'Input - Convenience'!$B$2:$B$200,0)),"")</f>
        <v>0</v>
      </c>
      <c r="M75" s="21" t="str">
        <f t="shared" si="64"/>
        <v/>
      </c>
      <c r="N75" s="21" t="str">
        <f t="shared" si="48"/>
        <v/>
      </c>
      <c r="O75" s="21">
        <f t="shared" si="65"/>
        <v>0</v>
      </c>
      <c r="P75" s="9">
        <f t="shared" si="79"/>
        <v>0</v>
      </c>
      <c r="Q75" s="9">
        <f t="shared" si="80"/>
        <v>0</v>
      </c>
      <c r="R75" s="22" t="str">
        <f>IFERROR(INDEX(Convenience!$N$11:$N$148,MATCH('Calculations - Convenience'!$C75,Convenience!$J$11:$J$148,0)),"")</f>
        <v/>
      </c>
      <c r="S75" s="22" t="str">
        <f>IFERROR(INDEX(Convenience!$O$11:$O$148,MATCH('Calculations - Convenience'!$C75,Convenience!$J$11:$J$148,0)),"")</f>
        <v/>
      </c>
      <c r="T75" s="16" t="e">
        <f t="shared" si="51"/>
        <v>#VALUE!</v>
      </c>
      <c r="U75" s="16" t="e">
        <f t="shared" si="66"/>
        <v>#VALUE!</v>
      </c>
      <c r="V75" s="16" t="e">
        <f t="shared" si="67"/>
        <v>#VALUE!</v>
      </c>
      <c r="W75" s="10" t="str">
        <f t="shared" si="52"/>
        <v>-</v>
      </c>
      <c r="X75" s="10" t="str">
        <f t="shared" si="53"/>
        <v>-</v>
      </c>
      <c r="Y75" s="13" t="str">
        <f t="shared" si="68"/>
        <v>-</v>
      </c>
      <c r="Z75" s="9" t="str">
        <f t="shared" si="54"/>
        <v>-</v>
      </c>
      <c r="AA75" s="16" t="str">
        <f t="shared" si="69"/>
        <v>-</v>
      </c>
      <c r="AB75" s="16" t="str">
        <f t="shared" si="55"/>
        <v>-</v>
      </c>
      <c r="AC75" s="16" t="str">
        <f t="shared" si="56"/>
        <v>-</v>
      </c>
      <c r="AD75" s="16" t="str">
        <f t="shared" si="70"/>
        <v>-</v>
      </c>
      <c r="AE75" s="16"/>
      <c r="AF75" s="31" t="str">
        <f>IFERROR(INDEX(Convenience!$M$11:$M$148,MATCH('Calculations - Convenience'!C75,Convenience!$J$11:$J$148,0)),"")</f>
        <v/>
      </c>
      <c r="AG75" s="23" t="str">
        <f t="shared" si="71"/>
        <v/>
      </c>
      <c r="AH75" s="23" t="str">
        <f t="shared" si="71"/>
        <v/>
      </c>
      <c r="AI75" s="9" t="str">
        <f t="shared" si="57"/>
        <v/>
      </c>
      <c r="AJ75" s="4" t="str">
        <f t="shared" si="58"/>
        <v/>
      </c>
      <c r="AK75" s="4"/>
      <c r="AL75" s="4"/>
      <c r="AM75" s="4"/>
      <c r="AN75" s="4"/>
      <c r="AO75" s="4"/>
      <c r="AP75" s="20" t="str">
        <f t="shared" si="59"/>
        <v>-</v>
      </c>
      <c r="AQ75" s="13" t="str">
        <f t="shared" si="72"/>
        <v>-</v>
      </c>
      <c r="AR75" s="13" t="str">
        <f t="shared" si="73"/>
        <v>-</v>
      </c>
      <c r="AS75" s="13" t="str">
        <f t="shared" si="60"/>
        <v>-</v>
      </c>
      <c r="AT75" s="16" t="str">
        <f t="shared" si="74"/>
        <v>-</v>
      </c>
      <c r="AU75" s="16" t="str">
        <f t="shared" si="61"/>
        <v>-</v>
      </c>
      <c r="AV75" s="16" t="str">
        <f t="shared" si="62"/>
        <v>-</v>
      </c>
      <c r="AW75" s="16" t="str">
        <f t="shared" si="75"/>
        <v>-</v>
      </c>
      <c r="AX75" s="13" t="str">
        <f t="shared" si="76"/>
        <v>-</v>
      </c>
      <c r="AY75" s="10" t="str">
        <f t="shared" si="77"/>
        <v>-</v>
      </c>
      <c r="AZ75" s="9" t="str">
        <f t="shared" si="78"/>
        <v>-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2:68" x14ac:dyDescent="0.3">
      <c r="B76" s="108" t="str">
        <f t="shared" si="63"/>
        <v/>
      </c>
      <c r="C76" s="108" t="str">
        <f t="shared" si="47"/>
        <v/>
      </c>
      <c r="D76" s="3"/>
      <c r="E76" s="3"/>
      <c r="F76" s="3"/>
      <c r="G76" s="20">
        <f>IFERROR(INDEX('Input - Convenience'!F$2:F$200,MATCH('Calculations - Convenience'!$C76,'Input - Convenience'!$B$2:$B$200,0)),"")</f>
        <v>0</v>
      </c>
      <c r="H76" s="20">
        <f>IFERROR(INDEX('Input - Convenience'!G$2:G$200,MATCH('Calculations - Convenience'!$C76,'Input - Convenience'!$B$2:$B$200,0)),"")</f>
        <v>0</v>
      </c>
      <c r="I76" s="21">
        <f>IFERROR(INDEX('Input - Convenience'!H$2:H$200,MATCH('Calculations - Convenience'!$C76,'Input - Convenience'!$B$2:$B$200,0)),"")</f>
        <v>0</v>
      </c>
      <c r="J76" s="21">
        <f>IFERROR(INDEX('Input - Convenience'!I$2:I$200,MATCH('Calculations - Convenience'!$C76,'Input - Convenience'!$B$2:$B$200,0)),"")</f>
        <v>0</v>
      </c>
      <c r="K76" s="20">
        <f>IFERROR(INDEX('Input - Convenience'!J$2:J$200,MATCH('Calculations - Convenience'!$C76,'Input - Convenience'!$B$2:$B$200,0)),"")</f>
        <v>0</v>
      </c>
      <c r="L76" s="20">
        <f>IFERROR(INDEX('Input - Convenience'!K$2:K$200,MATCH('Calculations - Convenience'!$C76,'Input - Convenience'!$B$2:$B$200,0)),"")</f>
        <v>0</v>
      </c>
      <c r="M76" s="21" t="str">
        <f t="shared" si="64"/>
        <v/>
      </c>
      <c r="N76" s="21" t="str">
        <f t="shared" si="48"/>
        <v/>
      </c>
      <c r="O76" s="21">
        <f t="shared" si="65"/>
        <v>0</v>
      </c>
      <c r="P76" s="9">
        <f t="shared" si="79"/>
        <v>0</v>
      </c>
      <c r="Q76" s="9">
        <f t="shared" si="80"/>
        <v>0</v>
      </c>
      <c r="R76" s="22" t="str">
        <f>IFERROR(INDEX(Convenience!$N$11:$N$148,MATCH('Calculations - Convenience'!$C76,Convenience!$J$11:$J$148,0)),"")</f>
        <v/>
      </c>
      <c r="S76" s="22" t="str">
        <f>IFERROR(INDEX(Convenience!$O$11:$O$148,MATCH('Calculations - Convenience'!$C76,Convenience!$J$11:$J$148,0)),"")</f>
        <v/>
      </c>
      <c r="T76" s="16" t="e">
        <f t="shared" si="51"/>
        <v>#VALUE!</v>
      </c>
      <c r="U76" s="16" t="e">
        <f t="shared" si="66"/>
        <v>#VALUE!</v>
      </c>
      <c r="V76" s="16" t="e">
        <f t="shared" si="67"/>
        <v>#VALUE!</v>
      </c>
      <c r="W76" s="10" t="str">
        <f t="shared" si="52"/>
        <v>-</v>
      </c>
      <c r="X76" s="10" t="str">
        <f t="shared" si="53"/>
        <v>-</v>
      </c>
      <c r="Y76" s="13" t="str">
        <f t="shared" si="68"/>
        <v>-</v>
      </c>
      <c r="Z76" s="9" t="str">
        <f t="shared" si="54"/>
        <v>-</v>
      </c>
      <c r="AA76" s="16" t="str">
        <f t="shared" si="69"/>
        <v>-</v>
      </c>
      <c r="AB76" s="16" t="str">
        <f t="shared" si="55"/>
        <v>-</v>
      </c>
      <c r="AC76" s="16" t="str">
        <f t="shared" si="56"/>
        <v>-</v>
      </c>
      <c r="AD76" s="16" t="str">
        <f t="shared" si="70"/>
        <v>-</v>
      </c>
      <c r="AE76" s="16"/>
      <c r="AF76" s="31" t="str">
        <f>IFERROR(INDEX(Convenience!$M$11:$M$148,MATCH('Calculations - Convenience'!C76,Convenience!$J$11:$J$148,0)),"")</f>
        <v/>
      </c>
      <c r="AG76" s="23" t="str">
        <f t="shared" si="71"/>
        <v/>
      </c>
      <c r="AH76" s="23" t="str">
        <f t="shared" si="71"/>
        <v/>
      </c>
      <c r="AI76" s="9" t="str">
        <f t="shared" si="57"/>
        <v/>
      </c>
      <c r="AJ76" s="4" t="str">
        <f t="shared" si="58"/>
        <v/>
      </c>
      <c r="AK76" s="4"/>
      <c r="AL76" s="4"/>
      <c r="AM76" s="4"/>
      <c r="AN76" s="4"/>
      <c r="AO76" s="4"/>
      <c r="AP76" s="20" t="str">
        <f t="shared" si="59"/>
        <v>-</v>
      </c>
      <c r="AQ76" s="13" t="str">
        <f t="shared" si="72"/>
        <v>-</v>
      </c>
      <c r="AR76" s="13" t="str">
        <f t="shared" si="73"/>
        <v>-</v>
      </c>
      <c r="AS76" s="13" t="str">
        <f t="shared" si="60"/>
        <v>-</v>
      </c>
      <c r="AT76" s="16" t="str">
        <f t="shared" si="74"/>
        <v>-</v>
      </c>
      <c r="AU76" s="16" t="str">
        <f t="shared" si="61"/>
        <v>-</v>
      </c>
      <c r="AV76" s="16" t="str">
        <f t="shared" si="62"/>
        <v>-</v>
      </c>
      <c r="AW76" s="16" t="str">
        <f t="shared" si="75"/>
        <v>-</v>
      </c>
      <c r="AX76" s="13" t="str">
        <f t="shared" si="76"/>
        <v>-</v>
      </c>
      <c r="AY76" s="10" t="str">
        <f t="shared" si="77"/>
        <v>-</v>
      </c>
      <c r="AZ76" s="9" t="str">
        <f t="shared" si="78"/>
        <v>-</v>
      </c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2:68" x14ac:dyDescent="0.3">
      <c r="B77" s="108" t="str">
        <f t="shared" si="63"/>
        <v/>
      </c>
      <c r="C77" s="108" t="str">
        <f t="shared" si="47"/>
        <v/>
      </c>
      <c r="D77" s="3"/>
      <c r="E77" s="3"/>
      <c r="F77" s="3"/>
      <c r="G77" s="20">
        <f>IFERROR(INDEX('Input - Convenience'!F$2:F$200,MATCH('Calculations - Convenience'!$C77,'Input - Convenience'!$B$2:$B$200,0)),"")</f>
        <v>0</v>
      </c>
      <c r="H77" s="20">
        <f>IFERROR(INDEX('Input - Convenience'!G$2:G$200,MATCH('Calculations - Convenience'!$C77,'Input - Convenience'!$B$2:$B$200,0)),"")</f>
        <v>0</v>
      </c>
      <c r="I77" s="21">
        <f>IFERROR(INDEX('Input - Convenience'!H$2:H$200,MATCH('Calculations - Convenience'!$C77,'Input - Convenience'!$B$2:$B$200,0)),"")</f>
        <v>0</v>
      </c>
      <c r="J77" s="21">
        <f>IFERROR(INDEX('Input - Convenience'!I$2:I$200,MATCH('Calculations - Convenience'!$C77,'Input - Convenience'!$B$2:$B$200,0)),"")</f>
        <v>0</v>
      </c>
      <c r="K77" s="20">
        <f>IFERROR(INDEX('Input - Convenience'!J$2:J$200,MATCH('Calculations - Convenience'!$C77,'Input - Convenience'!$B$2:$B$200,0)),"")</f>
        <v>0</v>
      </c>
      <c r="L77" s="20">
        <f>IFERROR(INDEX('Input - Convenience'!K$2:K$200,MATCH('Calculations - Convenience'!$C77,'Input - Convenience'!$B$2:$B$200,0)),"")</f>
        <v>0</v>
      </c>
      <c r="M77" s="21" t="str">
        <f t="shared" si="64"/>
        <v/>
      </c>
      <c r="N77" s="21" t="str">
        <f t="shared" si="48"/>
        <v/>
      </c>
      <c r="O77" s="21">
        <f t="shared" si="65"/>
        <v>0</v>
      </c>
      <c r="P77" s="9">
        <f t="shared" si="79"/>
        <v>0</v>
      </c>
      <c r="Q77" s="9">
        <f t="shared" si="80"/>
        <v>0</v>
      </c>
      <c r="R77" s="22" t="str">
        <f>IFERROR(INDEX(Convenience!$N$11:$N$148,MATCH('Calculations - Convenience'!$C77,Convenience!$J$11:$J$148,0)),"")</f>
        <v/>
      </c>
      <c r="S77" s="22" t="str">
        <f>IFERROR(INDEX(Convenience!$O$11:$O$148,MATCH('Calculations - Convenience'!$C77,Convenience!$J$11:$J$148,0)),"")</f>
        <v/>
      </c>
      <c r="T77" s="16" t="e">
        <f t="shared" si="51"/>
        <v>#VALUE!</v>
      </c>
      <c r="U77" s="16" t="e">
        <f t="shared" si="66"/>
        <v>#VALUE!</v>
      </c>
      <c r="V77" s="16" t="e">
        <f t="shared" si="67"/>
        <v>#VALUE!</v>
      </c>
      <c r="W77" s="10" t="str">
        <f t="shared" si="52"/>
        <v>-</v>
      </c>
      <c r="X77" s="10" t="str">
        <f t="shared" si="53"/>
        <v>-</v>
      </c>
      <c r="Y77" s="13" t="str">
        <f t="shared" si="68"/>
        <v>-</v>
      </c>
      <c r="Z77" s="9" t="str">
        <f t="shared" si="54"/>
        <v>-</v>
      </c>
      <c r="AA77" s="16" t="str">
        <f t="shared" si="69"/>
        <v>-</v>
      </c>
      <c r="AB77" s="16" t="str">
        <f t="shared" si="55"/>
        <v>-</v>
      </c>
      <c r="AC77" s="16" t="str">
        <f t="shared" si="56"/>
        <v>-</v>
      </c>
      <c r="AD77" s="16" t="str">
        <f t="shared" si="70"/>
        <v>-</v>
      </c>
      <c r="AE77" s="16"/>
      <c r="AF77" s="31" t="str">
        <f>IFERROR(INDEX(Convenience!$M$11:$M$148,MATCH('Calculations - Convenience'!C77,Convenience!$J$11:$J$148,0)),"")</f>
        <v/>
      </c>
      <c r="AG77" s="23" t="str">
        <f t="shared" si="71"/>
        <v/>
      </c>
      <c r="AH77" s="23" t="str">
        <f t="shared" si="71"/>
        <v/>
      </c>
      <c r="AI77" s="9" t="str">
        <f t="shared" si="57"/>
        <v/>
      </c>
      <c r="AJ77" s="4" t="str">
        <f t="shared" si="58"/>
        <v/>
      </c>
      <c r="AK77" s="4"/>
      <c r="AL77" s="4"/>
      <c r="AM77" s="4"/>
      <c r="AN77" s="4"/>
      <c r="AO77" s="4"/>
      <c r="AP77" s="20" t="str">
        <f t="shared" si="59"/>
        <v>-</v>
      </c>
      <c r="AQ77" s="13" t="str">
        <f t="shared" si="72"/>
        <v>-</v>
      </c>
      <c r="AR77" s="13" t="str">
        <f t="shared" si="73"/>
        <v>-</v>
      </c>
      <c r="AS77" s="13" t="str">
        <f t="shared" si="60"/>
        <v>-</v>
      </c>
      <c r="AT77" s="16" t="str">
        <f t="shared" si="74"/>
        <v>-</v>
      </c>
      <c r="AU77" s="16" t="str">
        <f t="shared" si="61"/>
        <v>-</v>
      </c>
      <c r="AV77" s="16" t="str">
        <f t="shared" si="62"/>
        <v>-</v>
      </c>
      <c r="AW77" s="16" t="str">
        <f t="shared" si="75"/>
        <v>-</v>
      </c>
      <c r="AX77" s="13" t="str">
        <f t="shared" si="76"/>
        <v>-</v>
      </c>
      <c r="AY77" s="10" t="str">
        <f t="shared" si="77"/>
        <v>-</v>
      </c>
      <c r="AZ77" s="9" t="str">
        <f t="shared" si="78"/>
        <v>-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2:68" x14ac:dyDescent="0.3">
      <c r="B78" s="108" t="str">
        <f t="shared" si="63"/>
        <v/>
      </c>
      <c r="C78" s="108" t="str">
        <f t="shared" si="47"/>
        <v/>
      </c>
      <c r="D78" s="3"/>
      <c r="E78" s="3"/>
      <c r="F78" s="3"/>
      <c r="G78" s="20">
        <f>IFERROR(INDEX('Input - Convenience'!F$2:F$200,MATCH('Calculations - Convenience'!$C78,'Input - Convenience'!$B$2:$B$200,0)),"")</f>
        <v>0</v>
      </c>
      <c r="H78" s="20">
        <f>IFERROR(INDEX('Input - Convenience'!G$2:G$200,MATCH('Calculations - Convenience'!$C78,'Input - Convenience'!$B$2:$B$200,0)),"")</f>
        <v>0</v>
      </c>
      <c r="I78" s="21">
        <f>IFERROR(INDEX('Input - Convenience'!H$2:H$200,MATCH('Calculations - Convenience'!$C78,'Input - Convenience'!$B$2:$B$200,0)),"")</f>
        <v>0</v>
      </c>
      <c r="J78" s="21">
        <f>IFERROR(INDEX('Input - Convenience'!I$2:I$200,MATCH('Calculations - Convenience'!$C78,'Input - Convenience'!$B$2:$B$200,0)),"")</f>
        <v>0</v>
      </c>
      <c r="K78" s="20">
        <f>IFERROR(INDEX('Input - Convenience'!J$2:J$200,MATCH('Calculations - Convenience'!$C78,'Input - Convenience'!$B$2:$B$200,0)),"")</f>
        <v>0</v>
      </c>
      <c r="L78" s="20">
        <f>IFERROR(INDEX('Input - Convenience'!K$2:K$200,MATCH('Calculations - Convenience'!$C78,'Input - Convenience'!$B$2:$B$200,0)),"")</f>
        <v>0</v>
      </c>
      <c r="M78" s="21" t="str">
        <f t="shared" si="64"/>
        <v/>
      </c>
      <c r="N78" s="21" t="str">
        <f t="shared" si="48"/>
        <v/>
      </c>
      <c r="O78" s="21">
        <f t="shared" si="65"/>
        <v>0</v>
      </c>
      <c r="P78" s="9">
        <f t="shared" si="79"/>
        <v>0</v>
      </c>
      <c r="Q78" s="9">
        <f t="shared" si="80"/>
        <v>0</v>
      </c>
      <c r="R78" s="22" t="str">
        <f>IFERROR(INDEX(Convenience!$N$11:$N$148,MATCH('Calculations - Convenience'!$C78,Convenience!$J$11:$J$148,0)),"")</f>
        <v/>
      </c>
      <c r="S78" s="22" t="str">
        <f>IFERROR(INDEX(Convenience!$O$11:$O$148,MATCH('Calculations - Convenience'!$C78,Convenience!$J$11:$J$148,0)),"")</f>
        <v/>
      </c>
      <c r="T78" s="16" t="e">
        <f t="shared" si="51"/>
        <v>#VALUE!</v>
      </c>
      <c r="U78" s="16" t="e">
        <f t="shared" si="66"/>
        <v>#VALUE!</v>
      </c>
      <c r="V78" s="16" t="e">
        <f t="shared" si="67"/>
        <v>#VALUE!</v>
      </c>
      <c r="W78" s="10" t="str">
        <f t="shared" si="52"/>
        <v>-</v>
      </c>
      <c r="X78" s="10" t="str">
        <f t="shared" si="53"/>
        <v>-</v>
      </c>
      <c r="Y78" s="13" t="str">
        <f t="shared" si="68"/>
        <v>-</v>
      </c>
      <c r="Z78" s="9" t="str">
        <f t="shared" si="54"/>
        <v>-</v>
      </c>
      <c r="AA78" s="16" t="str">
        <f t="shared" si="69"/>
        <v>-</v>
      </c>
      <c r="AB78" s="16" t="str">
        <f t="shared" si="55"/>
        <v>-</v>
      </c>
      <c r="AC78" s="16" t="str">
        <f t="shared" si="56"/>
        <v>-</v>
      </c>
      <c r="AD78" s="16" t="str">
        <f t="shared" si="70"/>
        <v>-</v>
      </c>
      <c r="AE78" s="16"/>
      <c r="AF78" s="31" t="str">
        <f>IFERROR(INDEX(Convenience!$M$11:$M$148,MATCH('Calculations - Convenience'!C78,Convenience!$J$11:$J$148,0)),"")</f>
        <v/>
      </c>
      <c r="AG78" s="23" t="str">
        <f t="shared" si="71"/>
        <v/>
      </c>
      <c r="AH78" s="23" t="str">
        <f t="shared" si="71"/>
        <v/>
      </c>
      <c r="AI78" s="9" t="str">
        <f t="shared" si="57"/>
        <v/>
      </c>
      <c r="AJ78" s="4" t="str">
        <f t="shared" si="58"/>
        <v/>
      </c>
      <c r="AK78" s="4"/>
      <c r="AL78" s="4"/>
      <c r="AM78" s="4"/>
      <c r="AN78" s="4"/>
      <c r="AO78" s="4"/>
      <c r="AP78" s="20" t="str">
        <f t="shared" si="59"/>
        <v>-</v>
      </c>
      <c r="AQ78" s="13" t="str">
        <f t="shared" si="72"/>
        <v>-</v>
      </c>
      <c r="AR78" s="13" t="str">
        <f t="shared" si="73"/>
        <v>-</v>
      </c>
      <c r="AS78" s="13" t="str">
        <f t="shared" si="60"/>
        <v>-</v>
      </c>
      <c r="AT78" s="16" t="str">
        <f t="shared" si="74"/>
        <v>-</v>
      </c>
      <c r="AU78" s="16" t="str">
        <f t="shared" si="61"/>
        <v>-</v>
      </c>
      <c r="AV78" s="16" t="str">
        <f t="shared" si="62"/>
        <v>-</v>
      </c>
      <c r="AW78" s="16" t="str">
        <f t="shared" si="75"/>
        <v>-</v>
      </c>
      <c r="AX78" s="13" t="str">
        <f t="shared" si="76"/>
        <v>-</v>
      </c>
      <c r="AY78" s="10" t="str">
        <f t="shared" si="77"/>
        <v>-</v>
      </c>
      <c r="AZ78" s="9" t="str">
        <f t="shared" si="78"/>
        <v>-</v>
      </c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2:68" x14ac:dyDescent="0.3">
      <c r="B79" s="108" t="str">
        <f t="shared" si="63"/>
        <v/>
      </c>
      <c r="C79" s="108" t="str">
        <f t="shared" si="47"/>
        <v/>
      </c>
      <c r="D79" s="3"/>
      <c r="E79" s="3"/>
      <c r="F79" s="3"/>
      <c r="G79" s="20">
        <f>IFERROR(INDEX('Input - Convenience'!F$2:F$200,MATCH('Calculations - Convenience'!$C79,'Input - Convenience'!$B$2:$B$200,0)),"")</f>
        <v>0</v>
      </c>
      <c r="H79" s="20">
        <f>IFERROR(INDEX('Input - Convenience'!G$2:G$200,MATCH('Calculations - Convenience'!$C79,'Input - Convenience'!$B$2:$B$200,0)),"")</f>
        <v>0</v>
      </c>
      <c r="I79" s="21">
        <f>IFERROR(INDEX('Input - Convenience'!H$2:H$200,MATCH('Calculations - Convenience'!$C79,'Input - Convenience'!$B$2:$B$200,0)),"")</f>
        <v>0</v>
      </c>
      <c r="J79" s="21">
        <f>IFERROR(INDEX('Input - Convenience'!I$2:I$200,MATCH('Calculations - Convenience'!$C79,'Input - Convenience'!$B$2:$B$200,0)),"")</f>
        <v>0</v>
      </c>
      <c r="K79" s="20">
        <f>IFERROR(INDEX('Input - Convenience'!J$2:J$200,MATCH('Calculations - Convenience'!$C79,'Input - Convenience'!$B$2:$B$200,0)),"")</f>
        <v>0</v>
      </c>
      <c r="L79" s="20">
        <f>IFERROR(INDEX('Input - Convenience'!K$2:K$200,MATCH('Calculations - Convenience'!$C79,'Input - Convenience'!$B$2:$B$200,0)),"")</f>
        <v>0</v>
      </c>
      <c r="M79" s="21" t="str">
        <f t="shared" si="64"/>
        <v/>
      </c>
      <c r="N79" s="21" t="str">
        <f t="shared" si="48"/>
        <v/>
      </c>
      <c r="O79" s="21">
        <f t="shared" si="65"/>
        <v>0</v>
      </c>
      <c r="P79" s="9">
        <f t="shared" si="79"/>
        <v>0</v>
      </c>
      <c r="Q79" s="9">
        <f t="shared" si="80"/>
        <v>0</v>
      </c>
      <c r="R79" s="22" t="str">
        <f>IFERROR(INDEX(Convenience!$N$11:$N$148,MATCH('Calculations - Convenience'!$C79,Convenience!$J$11:$J$148,0)),"")</f>
        <v/>
      </c>
      <c r="S79" s="22" t="str">
        <f>IFERROR(INDEX(Convenience!$O$11:$O$148,MATCH('Calculations - Convenience'!$C79,Convenience!$J$11:$J$148,0)),"")</f>
        <v/>
      </c>
      <c r="T79" s="16" t="e">
        <f t="shared" si="51"/>
        <v>#VALUE!</v>
      </c>
      <c r="U79" s="16" t="e">
        <f t="shared" si="66"/>
        <v>#VALUE!</v>
      </c>
      <c r="V79" s="16" t="e">
        <f t="shared" si="67"/>
        <v>#VALUE!</v>
      </c>
      <c r="W79" s="10" t="str">
        <f t="shared" si="52"/>
        <v>-</v>
      </c>
      <c r="X79" s="10" t="str">
        <f t="shared" si="53"/>
        <v>-</v>
      </c>
      <c r="Y79" s="13" t="str">
        <f t="shared" si="68"/>
        <v>-</v>
      </c>
      <c r="Z79" s="9" t="str">
        <f t="shared" si="54"/>
        <v>-</v>
      </c>
      <c r="AA79" s="16" t="str">
        <f t="shared" si="69"/>
        <v>-</v>
      </c>
      <c r="AB79" s="16" t="str">
        <f t="shared" si="55"/>
        <v>-</v>
      </c>
      <c r="AC79" s="16" t="str">
        <f t="shared" si="56"/>
        <v>-</v>
      </c>
      <c r="AD79" s="16" t="str">
        <f t="shared" si="70"/>
        <v>-</v>
      </c>
      <c r="AE79" s="16"/>
      <c r="AF79" s="31" t="str">
        <f>IFERROR(INDEX(Convenience!$M$11:$M$148,MATCH('Calculations - Convenience'!C79,Convenience!$J$11:$J$148,0)),"")</f>
        <v/>
      </c>
      <c r="AG79" s="23" t="str">
        <f t="shared" si="71"/>
        <v/>
      </c>
      <c r="AH79" s="23" t="str">
        <f t="shared" si="71"/>
        <v/>
      </c>
      <c r="AI79" s="9" t="str">
        <f t="shared" si="57"/>
        <v/>
      </c>
      <c r="AJ79" s="4" t="str">
        <f t="shared" si="58"/>
        <v/>
      </c>
      <c r="AK79" s="4"/>
      <c r="AL79" s="4"/>
      <c r="AM79" s="4"/>
      <c r="AN79" s="4"/>
      <c r="AO79" s="4"/>
      <c r="AP79" s="20" t="str">
        <f t="shared" si="59"/>
        <v>-</v>
      </c>
      <c r="AQ79" s="13" t="str">
        <f t="shared" si="72"/>
        <v>-</v>
      </c>
      <c r="AR79" s="13" t="str">
        <f t="shared" si="73"/>
        <v>-</v>
      </c>
      <c r="AS79" s="13" t="str">
        <f t="shared" si="60"/>
        <v>-</v>
      </c>
      <c r="AT79" s="16" t="str">
        <f t="shared" si="74"/>
        <v>-</v>
      </c>
      <c r="AU79" s="16" t="str">
        <f t="shared" si="61"/>
        <v>-</v>
      </c>
      <c r="AV79" s="16" t="str">
        <f t="shared" si="62"/>
        <v>-</v>
      </c>
      <c r="AW79" s="16" t="str">
        <f t="shared" si="75"/>
        <v>-</v>
      </c>
      <c r="AX79" s="13" t="str">
        <f t="shared" si="76"/>
        <v>-</v>
      </c>
      <c r="AY79" s="10" t="str">
        <f t="shared" si="77"/>
        <v>-</v>
      </c>
      <c r="AZ79" s="9" t="str">
        <f t="shared" si="78"/>
        <v>-</v>
      </c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</row>
    <row r="80" spans="2:68" x14ac:dyDescent="0.3">
      <c r="B80" s="108" t="str">
        <f t="shared" si="63"/>
        <v/>
      </c>
      <c r="C80" s="108" t="str">
        <f t="shared" si="47"/>
        <v/>
      </c>
      <c r="D80" s="3"/>
      <c r="E80" s="3"/>
      <c r="F80" s="3"/>
      <c r="G80" s="20">
        <f>IFERROR(INDEX('Input - Convenience'!F$2:F$200,MATCH('Calculations - Convenience'!$C80,'Input - Convenience'!$B$2:$B$200,0)),"")</f>
        <v>0</v>
      </c>
      <c r="H80" s="20">
        <f>IFERROR(INDEX('Input - Convenience'!G$2:G$200,MATCH('Calculations - Convenience'!$C80,'Input - Convenience'!$B$2:$B$200,0)),"")</f>
        <v>0</v>
      </c>
      <c r="I80" s="21">
        <f>IFERROR(INDEX('Input - Convenience'!H$2:H$200,MATCH('Calculations - Convenience'!$C80,'Input - Convenience'!$B$2:$B$200,0)),"")</f>
        <v>0</v>
      </c>
      <c r="J80" s="21">
        <f>IFERROR(INDEX('Input - Convenience'!I$2:I$200,MATCH('Calculations - Convenience'!$C80,'Input - Convenience'!$B$2:$B$200,0)),"")</f>
        <v>0</v>
      </c>
      <c r="K80" s="20">
        <f>IFERROR(INDEX('Input - Convenience'!J$2:J$200,MATCH('Calculations - Convenience'!$C80,'Input - Convenience'!$B$2:$B$200,0)),"")</f>
        <v>0</v>
      </c>
      <c r="L80" s="20">
        <f>IFERROR(INDEX('Input - Convenience'!K$2:K$200,MATCH('Calculations - Convenience'!$C80,'Input - Convenience'!$B$2:$B$200,0)),"")</f>
        <v>0</v>
      </c>
      <c r="M80" s="21" t="str">
        <f t="shared" si="64"/>
        <v/>
      </c>
      <c r="N80" s="21" t="str">
        <f t="shared" si="48"/>
        <v/>
      </c>
      <c r="O80" s="21">
        <f t="shared" si="65"/>
        <v>0</v>
      </c>
      <c r="P80" s="9">
        <f t="shared" si="79"/>
        <v>0</v>
      </c>
      <c r="Q80" s="9">
        <f t="shared" si="80"/>
        <v>0</v>
      </c>
      <c r="R80" s="22" t="str">
        <f>IFERROR(INDEX(Convenience!$N$11:$N$148,MATCH('Calculations - Convenience'!$C80,Convenience!$J$11:$J$148,0)),"")</f>
        <v/>
      </c>
      <c r="S80" s="22" t="str">
        <f>IFERROR(INDEX(Convenience!$O$11:$O$148,MATCH('Calculations - Convenience'!$C80,Convenience!$J$11:$J$148,0)),"")</f>
        <v/>
      </c>
      <c r="T80" s="16" t="e">
        <f t="shared" si="51"/>
        <v>#VALUE!</v>
      </c>
      <c r="U80" s="16" t="e">
        <f t="shared" si="66"/>
        <v>#VALUE!</v>
      </c>
      <c r="V80" s="16" t="e">
        <f t="shared" si="67"/>
        <v>#VALUE!</v>
      </c>
      <c r="W80" s="10" t="str">
        <f t="shared" si="52"/>
        <v>-</v>
      </c>
      <c r="X80" s="10" t="str">
        <f t="shared" si="53"/>
        <v>-</v>
      </c>
      <c r="Y80" s="13" t="str">
        <f t="shared" si="68"/>
        <v>-</v>
      </c>
      <c r="Z80" s="9" t="str">
        <f t="shared" si="54"/>
        <v>-</v>
      </c>
      <c r="AA80" s="16" t="str">
        <f t="shared" si="69"/>
        <v>-</v>
      </c>
      <c r="AB80" s="16" t="str">
        <f t="shared" si="55"/>
        <v>-</v>
      </c>
      <c r="AC80" s="16" t="str">
        <f t="shared" si="56"/>
        <v>-</v>
      </c>
      <c r="AD80" s="16" t="str">
        <f t="shared" si="70"/>
        <v>-</v>
      </c>
      <c r="AE80" s="16"/>
      <c r="AF80" s="31" t="str">
        <f>IFERROR(INDEX(Convenience!$M$11:$M$148,MATCH('Calculations - Convenience'!C80,Convenience!$J$11:$J$148,0)),"")</f>
        <v/>
      </c>
      <c r="AG80" s="23" t="str">
        <f t="shared" si="71"/>
        <v/>
      </c>
      <c r="AH80" s="23" t="str">
        <f t="shared" si="71"/>
        <v/>
      </c>
      <c r="AI80" s="9" t="str">
        <f t="shared" si="57"/>
        <v/>
      </c>
      <c r="AJ80" s="4" t="str">
        <f t="shared" si="58"/>
        <v/>
      </c>
      <c r="AK80" s="4"/>
      <c r="AL80" s="4"/>
      <c r="AM80" s="4"/>
      <c r="AN80" s="4"/>
      <c r="AO80" s="4"/>
      <c r="AP80" s="20" t="str">
        <f t="shared" si="59"/>
        <v>-</v>
      </c>
      <c r="AQ80" s="13" t="str">
        <f t="shared" si="72"/>
        <v>-</v>
      </c>
      <c r="AR80" s="13" t="str">
        <f t="shared" si="73"/>
        <v>-</v>
      </c>
      <c r="AS80" s="13" t="str">
        <f t="shared" si="60"/>
        <v>-</v>
      </c>
      <c r="AT80" s="16" t="str">
        <f t="shared" si="74"/>
        <v>-</v>
      </c>
      <c r="AU80" s="16" t="str">
        <f t="shared" si="61"/>
        <v>-</v>
      </c>
      <c r="AV80" s="16" t="str">
        <f t="shared" si="62"/>
        <v>-</v>
      </c>
      <c r="AW80" s="16" t="str">
        <f t="shared" si="75"/>
        <v>-</v>
      </c>
      <c r="AX80" s="13" t="str">
        <f t="shared" si="76"/>
        <v>-</v>
      </c>
      <c r="AY80" s="10" t="str">
        <f t="shared" si="77"/>
        <v>-</v>
      </c>
      <c r="AZ80" s="9" t="str">
        <f t="shared" si="78"/>
        <v>-</v>
      </c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</row>
    <row r="81" spans="2:68" x14ac:dyDescent="0.3">
      <c r="B81" s="108" t="str">
        <f t="shared" si="63"/>
        <v/>
      </c>
      <c r="C81" s="108" t="str">
        <f t="shared" si="47"/>
        <v/>
      </c>
      <c r="D81" s="3"/>
      <c r="E81" s="3"/>
      <c r="F81" s="3"/>
      <c r="G81" s="20">
        <f>IFERROR(INDEX('Input - Convenience'!F$2:F$200,MATCH('Calculations - Convenience'!$C81,'Input - Convenience'!$B$2:$B$200,0)),"")</f>
        <v>0</v>
      </c>
      <c r="H81" s="20">
        <f>IFERROR(INDEX('Input - Convenience'!G$2:G$200,MATCH('Calculations - Convenience'!$C81,'Input - Convenience'!$B$2:$B$200,0)),"")</f>
        <v>0</v>
      </c>
      <c r="I81" s="21">
        <f>IFERROR(INDEX('Input - Convenience'!H$2:H$200,MATCH('Calculations - Convenience'!$C81,'Input - Convenience'!$B$2:$B$200,0)),"")</f>
        <v>0</v>
      </c>
      <c r="J81" s="21">
        <f>IFERROR(INDEX('Input - Convenience'!I$2:I$200,MATCH('Calculations - Convenience'!$C81,'Input - Convenience'!$B$2:$B$200,0)),"")</f>
        <v>0</v>
      </c>
      <c r="K81" s="20">
        <f>IFERROR(INDEX('Input - Convenience'!J$2:J$200,MATCH('Calculations - Convenience'!$C81,'Input - Convenience'!$B$2:$B$200,0)),"")</f>
        <v>0</v>
      </c>
      <c r="L81" s="20">
        <f>IFERROR(INDEX('Input - Convenience'!K$2:K$200,MATCH('Calculations - Convenience'!$C81,'Input - Convenience'!$B$2:$B$200,0)),"")</f>
        <v>0</v>
      </c>
      <c r="M81" s="21" t="str">
        <f t="shared" si="64"/>
        <v/>
      </c>
      <c r="N81" s="21" t="str">
        <f t="shared" si="48"/>
        <v/>
      </c>
      <c r="O81" s="21">
        <f t="shared" si="65"/>
        <v>0</v>
      </c>
      <c r="P81" s="9">
        <f t="shared" si="79"/>
        <v>0</v>
      </c>
      <c r="Q81" s="9">
        <f t="shared" si="80"/>
        <v>0</v>
      </c>
      <c r="R81" s="22" t="str">
        <f>IFERROR(INDEX(Convenience!$N$11:$N$148,MATCH('Calculations - Convenience'!$C81,Convenience!$J$11:$J$148,0)),"")</f>
        <v/>
      </c>
      <c r="S81" s="22" t="str">
        <f>IFERROR(INDEX(Convenience!$O$11:$O$148,MATCH('Calculations - Convenience'!$C81,Convenience!$J$11:$J$148,0)),"")</f>
        <v/>
      </c>
      <c r="T81" s="16" t="e">
        <f t="shared" si="51"/>
        <v>#VALUE!</v>
      </c>
      <c r="U81" s="16" t="e">
        <f t="shared" si="66"/>
        <v>#VALUE!</v>
      </c>
      <c r="V81" s="16" t="e">
        <f t="shared" si="67"/>
        <v>#VALUE!</v>
      </c>
      <c r="W81" s="10" t="str">
        <f t="shared" si="52"/>
        <v>-</v>
      </c>
      <c r="X81" s="10" t="str">
        <f t="shared" si="53"/>
        <v>-</v>
      </c>
      <c r="Y81" s="13" t="str">
        <f t="shared" si="68"/>
        <v>-</v>
      </c>
      <c r="Z81" s="9" t="str">
        <f t="shared" si="54"/>
        <v>-</v>
      </c>
      <c r="AA81" s="16" t="str">
        <f t="shared" si="69"/>
        <v>-</v>
      </c>
      <c r="AB81" s="16" t="str">
        <f t="shared" si="55"/>
        <v>-</v>
      </c>
      <c r="AC81" s="16" t="str">
        <f t="shared" si="56"/>
        <v>-</v>
      </c>
      <c r="AD81" s="16" t="str">
        <f t="shared" si="70"/>
        <v>-</v>
      </c>
      <c r="AE81" s="16"/>
      <c r="AF81" s="31" t="str">
        <f>IFERROR(INDEX(Convenience!$M$11:$M$148,MATCH('Calculations - Convenience'!C81,Convenience!$J$11:$J$148,0)),"")</f>
        <v/>
      </c>
      <c r="AG81" s="23" t="str">
        <f t="shared" si="71"/>
        <v/>
      </c>
      <c r="AH81" s="23" t="str">
        <f t="shared" si="71"/>
        <v/>
      </c>
      <c r="AI81" s="9" t="str">
        <f t="shared" si="57"/>
        <v/>
      </c>
      <c r="AJ81" s="4" t="str">
        <f t="shared" si="58"/>
        <v/>
      </c>
      <c r="AK81" s="4"/>
      <c r="AL81" s="4"/>
      <c r="AM81" s="4"/>
      <c r="AN81" s="4"/>
      <c r="AO81" s="4"/>
      <c r="AP81" s="20" t="str">
        <f t="shared" si="59"/>
        <v>-</v>
      </c>
      <c r="AQ81" s="13" t="str">
        <f t="shared" si="72"/>
        <v>-</v>
      </c>
      <c r="AR81" s="13" t="str">
        <f t="shared" si="73"/>
        <v>-</v>
      </c>
      <c r="AS81" s="13" t="str">
        <f t="shared" si="60"/>
        <v>-</v>
      </c>
      <c r="AT81" s="16" t="str">
        <f t="shared" si="74"/>
        <v>-</v>
      </c>
      <c r="AU81" s="16" t="str">
        <f t="shared" si="61"/>
        <v>-</v>
      </c>
      <c r="AV81" s="16" t="str">
        <f t="shared" si="62"/>
        <v>-</v>
      </c>
      <c r="AW81" s="16" t="str">
        <f t="shared" si="75"/>
        <v>-</v>
      </c>
      <c r="AX81" s="13" t="str">
        <f t="shared" si="76"/>
        <v>-</v>
      </c>
      <c r="AY81" s="10" t="str">
        <f t="shared" si="77"/>
        <v>-</v>
      </c>
      <c r="AZ81" s="9" t="str">
        <f t="shared" si="78"/>
        <v>-</v>
      </c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2:68" x14ac:dyDescent="0.3">
      <c r="B82" s="108" t="str">
        <f t="shared" si="63"/>
        <v/>
      </c>
      <c r="C82" s="108" t="str">
        <f t="shared" si="47"/>
        <v/>
      </c>
      <c r="D82" s="3"/>
      <c r="E82" s="3"/>
      <c r="F82" s="3"/>
      <c r="G82" s="20">
        <f>IFERROR(INDEX('Input - Convenience'!F$2:F$200,MATCH('Calculations - Convenience'!$C82,'Input - Convenience'!$B$2:$B$200,0)),"")</f>
        <v>0</v>
      </c>
      <c r="H82" s="20">
        <f>IFERROR(INDEX('Input - Convenience'!G$2:G$200,MATCH('Calculations - Convenience'!$C82,'Input - Convenience'!$B$2:$B$200,0)),"")</f>
        <v>0</v>
      </c>
      <c r="I82" s="21">
        <f>IFERROR(INDEX('Input - Convenience'!H$2:H$200,MATCH('Calculations - Convenience'!$C82,'Input - Convenience'!$B$2:$B$200,0)),"")</f>
        <v>0</v>
      </c>
      <c r="J82" s="21">
        <f>IFERROR(INDEX('Input - Convenience'!I$2:I$200,MATCH('Calculations - Convenience'!$C82,'Input - Convenience'!$B$2:$B$200,0)),"")</f>
        <v>0</v>
      </c>
      <c r="K82" s="20">
        <f>IFERROR(INDEX('Input - Convenience'!J$2:J$200,MATCH('Calculations - Convenience'!$C82,'Input - Convenience'!$B$2:$B$200,0)),"")</f>
        <v>0</v>
      </c>
      <c r="L82" s="20">
        <f>IFERROR(INDEX('Input - Convenience'!K$2:K$200,MATCH('Calculations - Convenience'!$C82,'Input - Convenience'!$B$2:$B$200,0)),"")</f>
        <v>0</v>
      </c>
      <c r="M82" s="21" t="str">
        <f t="shared" si="64"/>
        <v/>
      </c>
      <c r="N82" s="21" t="str">
        <f t="shared" si="48"/>
        <v/>
      </c>
      <c r="O82" s="21">
        <f t="shared" si="65"/>
        <v>0</v>
      </c>
      <c r="P82" s="9">
        <f t="shared" si="79"/>
        <v>0</v>
      </c>
      <c r="Q82" s="9">
        <f t="shared" si="80"/>
        <v>0</v>
      </c>
      <c r="R82" s="22" t="str">
        <f>IFERROR(INDEX(Convenience!$N$11:$N$148,MATCH('Calculations - Convenience'!$C82,Convenience!$J$11:$J$148,0)),"")</f>
        <v/>
      </c>
      <c r="S82" s="22" t="str">
        <f>IFERROR(INDEX(Convenience!$O$11:$O$148,MATCH('Calculations - Convenience'!$C82,Convenience!$J$11:$J$148,0)),"")</f>
        <v/>
      </c>
      <c r="T82" s="16" t="e">
        <f t="shared" si="51"/>
        <v>#VALUE!</v>
      </c>
      <c r="U82" s="16" t="e">
        <f t="shared" si="66"/>
        <v>#VALUE!</v>
      </c>
      <c r="V82" s="16" t="e">
        <f t="shared" si="67"/>
        <v>#VALUE!</v>
      </c>
      <c r="W82" s="10" t="str">
        <f t="shared" si="52"/>
        <v>-</v>
      </c>
      <c r="X82" s="10" t="str">
        <f t="shared" si="53"/>
        <v>-</v>
      </c>
      <c r="Y82" s="13" t="str">
        <f t="shared" si="68"/>
        <v>-</v>
      </c>
      <c r="Z82" s="9" t="str">
        <f t="shared" si="54"/>
        <v>-</v>
      </c>
      <c r="AA82" s="16" t="str">
        <f t="shared" si="69"/>
        <v>-</v>
      </c>
      <c r="AB82" s="16" t="str">
        <f t="shared" si="55"/>
        <v>-</v>
      </c>
      <c r="AC82" s="16" t="str">
        <f t="shared" si="56"/>
        <v>-</v>
      </c>
      <c r="AD82" s="16" t="str">
        <f t="shared" si="70"/>
        <v>-</v>
      </c>
      <c r="AE82" s="16"/>
      <c r="AF82" s="31" t="str">
        <f>IFERROR(INDEX(Convenience!$M$11:$M$148,MATCH('Calculations - Convenience'!C82,Convenience!$J$11:$J$148,0)),"")</f>
        <v/>
      </c>
      <c r="AG82" s="23" t="str">
        <f t="shared" si="71"/>
        <v/>
      </c>
      <c r="AH82" s="23" t="str">
        <f t="shared" si="71"/>
        <v/>
      </c>
      <c r="AI82" s="9" t="str">
        <f t="shared" si="57"/>
        <v/>
      </c>
      <c r="AJ82" s="4" t="str">
        <f t="shared" si="58"/>
        <v/>
      </c>
      <c r="AK82" s="4"/>
      <c r="AL82" s="4"/>
      <c r="AM82" s="4"/>
      <c r="AN82" s="4"/>
      <c r="AO82" s="4"/>
      <c r="AP82" s="20" t="str">
        <f t="shared" si="59"/>
        <v>-</v>
      </c>
      <c r="AQ82" s="13" t="str">
        <f t="shared" si="72"/>
        <v>-</v>
      </c>
      <c r="AR82" s="13" t="str">
        <f t="shared" si="73"/>
        <v>-</v>
      </c>
      <c r="AS82" s="13" t="str">
        <f t="shared" si="60"/>
        <v>-</v>
      </c>
      <c r="AT82" s="16" t="str">
        <f t="shared" si="74"/>
        <v>-</v>
      </c>
      <c r="AU82" s="16" t="str">
        <f t="shared" si="61"/>
        <v>-</v>
      </c>
      <c r="AV82" s="16" t="str">
        <f t="shared" si="62"/>
        <v>-</v>
      </c>
      <c r="AW82" s="16" t="str">
        <f t="shared" si="75"/>
        <v>-</v>
      </c>
      <c r="AX82" s="13" t="str">
        <f t="shared" si="76"/>
        <v>-</v>
      </c>
      <c r="AY82" s="10" t="str">
        <f t="shared" si="77"/>
        <v>-</v>
      </c>
      <c r="AZ82" s="9" t="str">
        <f t="shared" si="78"/>
        <v>-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</row>
    <row r="83" spans="2:68" x14ac:dyDescent="0.3">
      <c r="B83" s="108" t="str">
        <f t="shared" si="63"/>
        <v/>
      </c>
      <c r="C83" s="108" t="str">
        <f t="shared" si="47"/>
        <v/>
      </c>
      <c r="D83" s="3"/>
      <c r="E83" s="3"/>
      <c r="F83" s="3"/>
      <c r="G83" s="20">
        <f>IFERROR(INDEX('Input - Convenience'!F$2:F$200,MATCH('Calculations - Convenience'!$C83,'Input - Convenience'!$B$2:$B$200,0)),"")</f>
        <v>0</v>
      </c>
      <c r="H83" s="20">
        <f>IFERROR(INDEX('Input - Convenience'!G$2:G$200,MATCH('Calculations - Convenience'!$C83,'Input - Convenience'!$B$2:$B$200,0)),"")</f>
        <v>0</v>
      </c>
      <c r="I83" s="21">
        <f>IFERROR(INDEX('Input - Convenience'!H$2:H$200,MATCH('Calculations - Convenience'!$C83,'Input - Convenience'!$B$2:$B$200,0)),"")</f>
        <v>0</v>
      </c>
      <c r="J83" s="21">
        <f>IFERROR(INDEX('Input - Convenience'!I$2:I$200,MATCH('Calculations - Convenience'!$C83,'Input - Convenience'!$B$2:$B$200,0)),"")</f>
        <v>0</v>
      </c>
      <c r="K83" s="20">
        <f>IFERROR(INDEX('Input - Convenience'!J$2:J$200,MATCH('Calculations - Convenience'!$C83,'Input - Convenience'!$B$2:$B$200,0)),"")</f>
        <v>0</v>
      </c>
      <c r="L83" s="20">
        <f>IFERROR(INDEX('Input - Convenience'!K$2:K$200,MATCH('Calculations - Convenience'!$C83,'Input - Convenience'!$B$2:$B$200,0)),"")</f>
        <v>0</v>
      </c>
      <c r="M83" s="21" t="str">
        <f t="shared" si="64"/>
        <v/>
      </c>
      <c r="N83" s="21" t="str">
        <f t="shared" si="48"/>
        <v/>
      </c>
      <c r="O83" s="21">
        <f t="shared" si="65"/>
        <v>0</v>
      </c>
      <c r="P83" s="9">
        <f t="shared" si="79"/>
        <v>0</v>
      </c>
      <c r="Q83" s="9">
        <f t="shared" si="80"/>
        <v>0</v>
      </c>
      <c r="R83" s="22" t="str">
        <f>IFERROR(INDEX(Convenience!$N$11:$N$148,MATCH('Calculations - Convenience'!$C83,Convenience!$J$11:$J$148,0)),"")</f>
        <v/>
      </c>
      <c r="S83" s="22" t="str">
        <f>IFERROR(INDEX(Convenience!$O$11:$O$148,MATCH('Calculations - Convenience'!$C83,Convenience!$J$11:$J$148,0)),"")</f>
        <v/>
      </c>
      <c r="T83" s="16" t="e">
        <f t="shared" si="51"/>
        <v>#VALUE!</v>
      </c>
      <c r="U83" s="16" t="e">
        <f t="shared" si="66"/>
        <v>#VALUE!</v>
      </c>
      <c r="V83" s="16" t="e">
        <f t="shared" si="67"/>
        <v>#VALUE!</v>
      </c>
      <c r="W83" s="10" t="str">
        <f t="shared" si="52"/>
        <v>-</v>
      </c>
      <c r="X83" s="10" t="str">
        <f t="shared" si="53"/>
        <v>-</v>
      </c>
      <c r="Y83" s="13" t="str">
        <f t="shared" si="68"/>
        <v>-</v>
      </c>
      <c r="Z83" s="9" t="str">
        <f t="shared" si="54"/>
        <v>-</v>
      </c>
      <c r="AA83" s="16" t="str">
        <f t="shared" si="69"/>
        <v>-</v>
      </c>
      <c r="AB83" s="16" t="str">
        <f t="shared" si="55"/>
        <v>-</v>
      </c>
      <c r="AC83" s="16" t="str">
        <f t="shared" si="56"/>
        <v>-</v>
      </c>
      <c r="AD83" s="16" t="str">
        <f t="shared" si="70"/>
        <v>-</v>
      </c>
      <c r="AE83" s="16"/>
      <c r="AF83" s="31" t="str">
        <f>IFERROR(INDEX(Convenience!$M$11:$M$148,MATCH('Calculations - Convenience'!C83,Convenience!$J$11:$J$148,0)),"")</f>
        <v/>
      </c>
      <c r="AG83" s="23" t="str">
        <f t="shared" si="71"/>
        <v/>
      </c>
      <c r="AH83" s="23" t="str">
        <f t="shared" si="71"/>
        <v/>
      </c>
      <c r="AI83" s="9" t="str">
        <f t="shared" si="57"/>
        <v/>
      </c>
      <c r="AJ83" s="4" t="str">
        <f t="shared" si="58"/>
        <v/>
      </c>
      <c r="AK83" s="4"/>
      <c r="AL83" s="4"/>
      <c r="AM83" s="4"/>
      <c r="AN83" s="4"/>
      <c r="AO83" s="4"/>
      <c r="AP83" s="20" t="str">
        <f t="shared" si="59"/>
        <v>-</v>
      </c>
      <c r="AQ83" s="13" t="str">
        <f t="shared" si="72"/>
        <v>-</v>
      </c>
      <c r="AR83" s="13" t="str">
        <f t="shared" si="73"/>
        <v>-</v>
      </c>
      <c r="AS83" s="13" t="str">
        <f t="shared" si="60"/>
        <v>-</v>
      </c>
      <c r="AT83" s="16" t="str">
        <f t="shared" si="74"/>
        <v>-</v>
      </c>
      <c r="AU83" s="16" t="str">
        <f t="shared" si="61"/>
        <v>-</v>
      </c>
      <c r="AV83" s="16" t="str">
        <f t="shared" si="62"/>
        <v>-</v>
      </c>
      <c r="AW83" s="16" t="str">
        <f t="shared" si="75"/>
        <v>-</v>
      </c>
      <c r="AX83" s="13" t="str">
        <f t="shared" si="76"/>
        <v>-</v>
      </c>
      <c r="AY83" s="10" t="str">
        <f t="shared" si="77"/>
        <v>-</v>
      </c>
      <c r="AZ83" s="9" t="str">
        <f t="shared" si="78"/>
        <v>-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</row>
    <row r="84" spans="2:68" x14ac:dyDescent="0.3">
      <c r="B84" s="108" t="str">
        <f t="shared" si="63"/>
        <v/>
      </c>
      <c r="C84" s="108" t="str">
        <f t="shared" si="47"/>
        <v/>
      </c>
      <c r="D84" s="3"/>
      <c r="E84" s="3"/>
      <c r="F84" s="3"/>
      <c r="G84" s="20">
        <f>IFERROR(INDEX('Input - Convenience'!F$2:F$200,MATCH('Calculations - Convenience'!$C84,'Input - Convenience'!$B$2:$B$200,0)),"")</f>
        <v>0</v>
      </c>
      <c r="H84" s="20">
        <f>IFERROR(INDEX('Input - Convenience'!G$2:G$200,MATCH('Calculations - Convenience'!$C84,'Input - Convenience'!$B$2:$B$200,0)),"")</f>
        <v>0</v>
      </c>
      <c r="I84" s="21">
        <f>IFERROR(INDEX('Input - Convenience'!H$2:H$200,MATCH('Calculations - Convenience'!$C84,'Input - Convenience'!$B$2:$B$200,0)),"")</f>
        <v>0</v>
      </c>
      <c r="J84" s="21">
        <f>IFERROR(INDEX('Input - Convenience'!I$2:I$200,MATCH('Calculations - Convenience'!$C84,'Input - Convenience'!$B$2:$B$200,0)),"")</f>
        <v>0</v>
      </c>
      <c r="K84" s="20">
        <f>IFERROR(INDEX('Input - Convenience'!J$2:J$200,MATCH('Calculations - Convenience'!$C84,'Input - Convenience'!$B$2:$B$200,0)),"")</f>
        <v>0</v>
      </c>
      <c r="L84" s="20">
        <f>IFERROR(INDEX('Input - Convenience'!K$2:K$200,MATCH('Calculations - Convenience'!$C84,'Input - Convenience'!$B$2:$B$200,0)),"")</f>
        <v>0</v>
      </c>
      <c r="M84" s="21" t="str">
        <f t="shared" si="64"/>
        <v/>
      </c>
      <c r="N84" s="21" t="str">
        <f t="shared" si="48"/>
        <v/>
      </c>
      <c r="O84" s="21">
        <f t="shared" si="65"/>
        <v>0</v>
      </c>
      <c r="P84" s="9">
        <f t="shared" si="79"/>
        <v>0</v>
      </c>
      <c r="Q84" s="9">
        <f t="shared" si="80"/>
        <v>0</v>
      </c>
      <c r="R84" s="22" t="str">
        <f>IFERROR(INDEX(Convenience!$N$11:$N$148,MATCH('Calculations - Convenience'!$C84,Convenience!$J$11:$J$148,0)),"")</f>
        <v/>
      </c>
      <c r="S84" s="22" t="str">
        <f>IFERROR(INDEX(Convenience!$O$11:$O$148,MATCH('Calculations - Convenience'!$C84,Convenience!$J$11:$J$148,0)),"")</f>
        <v/>
      </c>
      <c r="T84" s="16" t="e">
        <f t="shared" si="51"/>
        <v>#VALUE!</v>
      </c>
      <c r="U84" s="16" t="e">
        <f t="shared" si="66"/>
        <v>#VALUE!</v>
      </c>
      <c r="V84" s="16" t="e">
        <f t="shared" si="67"/>
        <v>#VALUE!</v>
      </c>
      <c r="W84" s="10" t="str">
        <f t="shared" si="52"/>
        <v>-</v>
      </c>
      <c r="X84" s="10" t="str">
        <f t="shared" si="53"/>
        <v>-</v>
      </c>
      <c r="Y84" s="13" t="str">
        <f t="shared" si="68"/>
        <v>-</v>
      </c>
      <c r="Z84" s="9" t="str">
        <f t="shared" si="54"/>
        <v>-</v>
      </c>
      <c r="AA84" s="16" t="str">
        <f t="shared" si="69"/>
        <v>-</v>
      </c>
      <c r="AB84" s="16" t="str">
        <f t="shared" si="55"/>
        <v>-</v>
      </c>
      <c r="AC84" s="16" t="str">
        <f t="shared" si="56"/>
        <v>-</v>
      </c>
      <c r="AD84" s="16" t="str">
        <f t="shared" si="70"/>
        <v>-</v>
      </c>
      <c r="AE84" s="16"/>
      <c r="AF84" s="31" t="str">
        <f>IFERROR(INDEX(Convenience!$M$11:$M$148,MATCH('Calculations - Convenience'!C84,Convenience!$J$11:$J$148,0)),"")</f>
        <v/>
      </c>
      <c r="AG84" s="23" t="str">
        <f t="shared" si="71"/>
        <v/>
      </c>
      <c r="AH84" s="23" t="str">
        <f t="shared" si="71"/>
        <v/>
      </c>
      <c r="AI84" s="9" t="str">
        <f t="shared" si="57"/>
        <v/>
      </c>
      <c r="AJ84" s="4" t="str">
        <f t="shared" si="58"/>
        <v/>
      </c>
      <c r="AK84" s="4"/>
      <c r="AL84" s="4"/>
      <c r="AM84" s="4"/>
      <c r="AN84" s="4"/>
      <c r="AO84" s="4"/>
      <c r="AP84" s="20" t="str">
        <f t="shared" si="59"/>
        <v>-</v>
      </c>
      <c r="AQ84" s="13" t="str">
        <f t="shared" si="72"/>
        <v>-</v>
      </c>
      <c r="AR84" s="13" t="str">
        <f t="shared" si="73"/>
        <v>-</v>
      </c>
      <c r="AS84" s="13" t="str">
        <f t="shared" si="60"/>
        <v>-</v>
      </c>
      <c r="AT84" s="16" t="str">
        <f t="shared" si="74"/>
        <v>-</v>
      </c>
      <c r="AU84" s="16" t="str">
        <f t="shared" si="61"/>
        <v>-</v>
      </c>
      <c r="AV84" s="16" t="str">
        <f t="shared" si="62"/>
        <v>-</v>
      </c>
      <c r="AW84" s="16" t="str">
        <f t="shared" si="75"/>
        <v>-</v>
      </c>
      <c r="AX84" s="13" t="str">
        <f t="shared" si="76"/>
        <v>-</v>
      </c>
      <c r="AY84" s="10" t="str">
        <f t="shared" si="77"/>
        <v>-</v>
      </c>
      <c r="AZ84" s="9" t="str">
        <f t="shared" si="78"/>
        <v>-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</row>
    <row r="85" spans="2:68" x14ac:dyDescent="0.3">
      <c r="B85" s="108" t="str">
        <f t="shared" si="63"/>
        <v/>
      </c>
      <c r="C85" s="108" t="str">
        <f t="shared" si="47"/>
        <v/>
      </c>
      <c r="D85" s="3"/>
      <c r="E85" s="3"/>
      <c r="F85" s="3"/>
      <c r="G85" s="20">
        <f>IFERROR(INDEX('Input - Convenience'!F$2:F$200,MATCH('Calculations - Convenience'!$C85,'Input - Convenience'!$B$2:$B$200,0)),"")</f>
        <v>0</v>
      </c>
      <c r="H85" s="20">
        <f>IFERROR(INDEX('Input - Convenience'!G$2:G$200,MATCH('Calculations - Convenience'!$C85,'Input - Convenience'!$B$2:$B$200,0)),"")</f>
        <v>0</v>
      </c>
      <c r="I85" s="21">
        <f>IFERROR(INDEX('Input - Convenience'!H$2:H$200,MATCH('Calculations - Convenience'!$C85,'Input - Convenience'!$B$2:$B$200,0)),"")</f>
        <v>0</v>
      </c>
      <c r="J85" s="21">
        <f>IFERROR(INDEX('Input - Convenience'!I$2:I$200,MATCH('Calculations - Convenience'!$C85,'Input - Convenience'!$B$2:$B$200,0)),"")</f>
        <v>0</v>
      </c>
      <c r="K85" s="20">
        <f>IFERROR(INDEX('Input - Convenience'!J$2:J$200,MATCH('Calculations - Convenience'!$C85,'Input - Convenience'!$B$2:$B$200,0)),"")</f>
        <v>0</v>
      </c>
      <c r="L85" s="20">
        <f>IFERROR(INDEX('Input - Convenience'!K$2:K$200,MATCH('Calculations - Convenience'!$C85,'Input - Convenience'!$B$2:$B$200,0)),"")</f>
        <v>0</v>
      </c>
      <c r="M85" s="21" t="str">
        <f t="shared" si="64"/>
        <v/>
      </c>
      <c r="N85" s="21" t="str">
        <f t="shared" si="48"/>
        <v/>
      </c>
      <c r="O85" s="21">
        <f t="shared" si="65"/>
        <v>0</v>
      </c>
      <c r="P85" s="9">
        <f t="shared" si="79"/>
        <v>0</v>
      </c>
      <c r="Q85" s="9">
        <f t="shared" si="80"/>
        <v>0</v>
      </c>
      <c r="R85" s="22" t="str">
        <f>IFERROR(INDEX(Convenience!$N$11:$N$148,MATCH('Calculations - Convenience'!$C85,Convenience!$J$11:$J$148,0)),"")</f>
        <v/>
      </c>
      <c r="S85" s="22" t="str">
        <f>IFERROR(INDEX(Convenience!$O$11:$O$148,MATCH('Calculations - Convenience'!$C85,Convenience!$J$11:$J$148,0)),"")</f>
        <v/>
      </c>
      <c r="T85" s="16" t="e">
        <f t="shared" si="51"/>
        <v>#VALUE!</v>
      </c>
      <c r="U85" s="16" t="e">
        <f t="shared" si="66"/>
        <v>#VALUE!</v>
      </c>
      <c r="V85" s="16" t="e">
        <f t="shared" si="67"/>
        <v>#VALUE!</v>
      </c>
      <c r="W85" s="10" t="str">
        <f t="shared" si="52"/>
        <v>-</v>
      </c>
      <c r="X85" s="10" t="str">
        <f t="shared" si="53"/>
        <v>-</v>
      </c>
      <c r="Y85" s="13" t="str">
        <f t="shared" si="68"/>
        <v>-</v>
      </c>
      <c r="Z85" s="9" t="str">
        <f t="shared" si="54"/>
        <v>-</v>
      </c>
      <c r="AA85" s="16" t="str">
        <f t="shared" si="69"/>
        <v>-</v>
      </c>
      <c r="AB85" s="16" t="str">
        <f t="shared" si="55"/>
        <v>-</v>
      </c>
      <c r="AC85" s="16" t="str">
        <f t="shared" si="56"/>
        <v>-</v>
      </c>
      <c r="AD85" s="16" t="str">
        <f t="shared" si="70"/>
        <v>-</v>
      </c>
      <c r="AE85" s="16"/>
      <c r="AF85" s="31" t="str">
        <f>IFERROR(INDEX(Convenience!$M$11:$M$148,MATCH('Calculations - Convenience'!C85,Convenience!$J$11:$J$148,0)),"")</f>
        <v/>
      </c>
      <c r="AG85" s="23" t="str">
        <f t="shared" si="71"/>
        <v/>
      </c>
      <c r="AH85" s="23" t="str">
        <f t="shared" si="71"/>
        <v/>
      </c>
      <c r="AI85" s="9" t="str">
        <f t="shared" si="57"/>
        <v/>
      </c>
      <c r="AJ85" s="4" t="str">
        <f t="shared" si="58"/>
        <v/>
      </c>
      <c r="AK85" s="4"/>
      <c r="AL85" s="4"/>
      <c r="AM85" s="4"/>
      <c r="AN85" s="4"/>
      <c r="AO85" s="4"/>
      <c r="AP85" s="20" t="str">
        <f t="shared" si="59"/>
        <v>-</v>
      </c>
      <c r="AQ85" s="13" t="str">
        <f t="shared" si="72"/>
        <v>-</v>
      </c>
      <c r="AR85" s="13" t="str">
        <f t="shared" si="73"/>
        <v>-</v>
      </c>
      <c r="AS85" s="13" t="str">
        <f t="shared" si="60"/>
        <v>-</v>
      </c>
      <c r="AT85" s="16" t="str">
        <f t="shared" si="74"/>
        <v>-</v>
      </c>
      <c r="AU85" s="16" t="str">
        <f t="shared" si="61"/>
        <v>-</v>
      </c>
      <c r="AV85" s="16" t="str">
        <f t="shared" si="62"/>
        <v>-</v>
      </c>
      <c r="AW85" s="16" t="str">
        <f t="shared" si="75"/>
        <v>-</v>
      </c>
      <c r="AX85" s="13" t="str">
        <f t="shared" si="76"/>
        <v>-</v>
      </c>
      <c r="AY85" s="10" t="str">
        <f t="shared" si="77"/>
        <v>-</v>
      </c>
      <c r="AZ85" s="9" t="str">
        <f t="shared" si="78"/>
        <v>-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</row>
    <row r="86" spans="2:68" x14ac:dyDescent="0.3">
      <c r="B86" s="108" t="str">
        <f t="shared" si="63"/>
        <v/>
      </c>
      <c r="C86" s="108" t="str">
        <f t="shared" si="47"/>
        <v/>
      </c>
      <c r="D86" s="3"/>
      <c r="E86" s="3"/>
      <c r="F86" s="3"/>
      <c r="G86" s="20">
        <f>IFERROR(INDEX('Input - Convenience'!F$2:F$200,MATCH('Calculations - Convenience'!$C86,'Input - Convenience'!$B$2:$B$200,0)),"")</f>
        <v>0</v>
      </c>
      <c r="H86" s="20">
        <f>IFERROR(INDEX('Input - Convenience'!G$2:G$200,MATCH('Calculations - Convenience'!$C86,'Input - Convenience'!$B$2:$B$200,0)),"")</f>
        <v>0</v>
      </c>
      <c r="I86" s="21">
        <f>IFERROR(INDEX('Input - Convenience'!H$2:H$200,MATCH('Calculations - Convenience'!$C86,'Input - Convenience'!$B$2:$B$200,0)),"")</f>
        <v>0</v>
      </c>
      <c r="J86" s="21">
        <f>IFERROR(INDEX('Input - Convenience'!I$2:I$200,MATCH('Calculations - Convenience'!$C86,'Input - Convenience'!$B$2:$B$200,0)),"")</f>
        <v>0</v>
      </c>
      <c r="K86" s="20">
        <f>IFERROR(INDEX('Input - Convenience'!J$2:J$200,MATCH('Calculations - Convenience'!$C86,'Input - Convenience'!$B$2:$B$200,0)),"")</f>
        <v>0</v>
      </c>
      <c r="L86" s="20">
        <f>IFERROR(INDEX('Input - Convenience'!K$2:K$200,MATCH('Calculations - Convenience'!$C86,'Input - Convenience'!$B$2:$B$200,0)),"")</f>
        <v>0</v>
      </c>
      <c r="M86" s="21" t="str">
        <f t="shared" si="64"/>
        <v/>
      </c>
      <c r="N86" s="21" t="str">
        <f t="shared" si="48"/>
        <v/>
      </c>
      <c r="O86" s="21">
        <f t="shared" si="65"/>
        <v>0</v>
      </c>
      <c r="P86" s="9">
        <f t="shared" si="79"/>
        <v>0</v>
      </c>
      <c r="Q86" s="9">
        <f t="shared" si="80"/>
        <v>0</v>
      </c>
      <c r="R86" s="22" t="str">
        <f>IFERROR(INDEX(Convenience!$N$11:$N$148,MATCH('Calculations - Convenience'!$C86,Convenience!$J$11:$J$148,0)),"")</f>
        <v/>
      </c>
      <c r="S86" s="22" t="str">
        <f>IFERROR(INDEX(Convenience!$O$11:$O$148,MATCH('Calculations - Convenience'!$C86,Convenience!$J$11:$J$148,0)),"")</f>
        <v/>
      </c>
      <c r="T86" s="16" t="e">
        <f t="shared" si="51"/>
        <v>#VALUE!</v>
      </c>
      <c r="U86" s="16" t="e">
        <f t="shared" si="66"/>
        <v>#VALUE!</v>
      </c>
      <c r="V86" s="16" t="e">
        <f t="shared" si="67"/>
        <v>#VALUE!</v>
      </c>
      <c r="W86" s="10" t="str">
        <f t="shared" si="52"/>
        <v>-</v>
      </c>
      <c r="X86" s="10" t="str">
        <f t="shared" si="53"/>
        <v>-</v>
      </c>
      <c r="Y86" s="13" t="str">
        <f t="shared" si="68"/>
        <v>-</v>
      </c>
      <c r="Z86" s="9" t="str">
        <f t="shared" si="54"/>
        <v>-</v>
      </c>
      <c r="AA86" s="16" t="str">
        <f t="shared" si="69"/>
        <v>-</v>
      </c>
      <c r="AB86" s="16" t="str">
        <f t="shared" si="55"/>
        <v>-</v>
      </c>
      <c r="AC86" s="16" t="str">
        <f t="shared" si="56"/>
        <v>-</v>
      </c>
      <c r="AD86" s="16" t="str">
        <f t="shared" si="70"/>
        <v>-</v>
      </c>
      <c r="AE86" s="16"/>
      <c r="AF86" s="31" t="str">
        <f>IFERROR(INDEX(Convenience!$M$11:$M$148,MATCH('Calculations - Convenience'!C86,Convenience!$J$11:$J$148,0)),"")</f>
        <v/>
      </c>
      <c r="AG86" s="23" t="str">
        <f t="shared" si="71"/>
        <v/>
      </c>
      <c r="AH86" s="23" t="str">
        <f t="shared" si="71"/>
        <v/>
      </c>
      <c r="AI86" s="9" t="str">
        <f t="shared" si="57"/>
        <v/>
      </c>
      <c r="AJ86" s="4" t="str">
        <f t="shared" si="58"/>
        <v/>
      </c>
      <c r="AK86" s="4"/>
      <c r="AL86" s="4"/>
      <c r="AM86" s="4"/>
      <c r="AN86" s="4"/>
      <c r="AO86" s="4"/>
      <c r="AP86" s="20" t="str">
        <f t="shared" si="59"/>
        <v>-</v>
      </c>
      <c r="AQ86" s="13" t="str">
        <f t="shared" si="72"/>
        <v>-</v>
      </c>
      <c r="AR86" s="13" t="str">
        <f t="shared" si="73"/>
        <v>-</v>
      </c>
      <c r="AS86" s="13" t="str">
        <f t="shared" si="60"/>
        <v>-</v>
      </c>
      <c r="AT86" s="16" t="str">
        <f t="shared" si="74"/>
        <v>-</v>
      </c>
      <c r="AU86" s="16" t="str">
        <f t="shared" si="61"/>
        <v>-</v>
      </c>
      <c r="AV86" s="16" t="str">
        <f t="shared" si="62"/>
        <v>-</v>
      </c>
      <c r="AW86" s="16" t="str">
        <f t="shared" si="75"/>
        <v>-</v>
      </c>
      <c r="AX86" s="13" t="str">
        <f t="shared" si="76"/>
        <v>-</v>
      </c>
      <c r="AY86" s="10" t="str">
        <f t="shared" si="77"/>
        <v>-</v>
      </c>
      <c r="AZ86" s="9" t="str">
        <f t="shared" si="78"/>
        <v>-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</row>
    <row r="87" spans="2:68" x14ac:dyDescent="0.3">
      <c r="B87" s="108" t="str">
        <f t="shared" si="63"/>
        <v/>
      </c>
      <c r="C87" s="108" t="str">
        <f t="shared" si="47"/>
        <v/>
      </c>
      <c r="D87" s="3"/>
      <c r="E87" s="3"/>
      <c r="F87" s="3"/>
      <c r="G87" s="20">
        <f>IFERROR(INDEX('Input - Convenience'!F$2:F$200,MATCH('Calculations - Convenience'!$C87,'Input - Convenience'!$B$2:$B$200,0)),"")</f>
        <v>0</v>
      </c>
      <c r="H87" s="20">
        <f>IFERROR(INDEX('Input - Convenience'!G$2:G$200,MATCH('Calculations - Convenience'!$C87,'Input - Convenience'!$B$2:$B$200,0)),"")</f>
        <v>0</v>
      </c>
      <c r="I87" s="21">
        <f>IFERROR(INDEX('Input - Convenience'!H$2:H$200,MATCH('Calculations - Convenience'!$C87,'Input - Convenience'!$B$2:$B$200,0)),"")</f>
        <v>0</v>
      </c>
      <c r="J87" s="21">
        <f>IFERROR(INDEX('Input - Convenience'!I$2:I$200,MATCH('Calculations - Convenience'!$C87,'Input - Convenience'!$B$2:$B$200,0)),"")</f>
        <v>0</v>
      </c>
      <c r="K87" s="20">
        <f>IFERROR(INDEX('Input - Convenience'!J$2:J$200,MATCH('Calculations - Convenience'!$C87,'Input - Convenience'!$B$2:$B$200,0)),"")</f>
        <v>0</v>
      </c>
      <c r="L87" s="20">
        <f>IFERROR(INDEX('Input - Convenience'!K$2:K$200,MATCH('Calculations - Convenience'!$C87,'Input - Convenience'!$B$2:$B$200,0)),"")</f>
        <v>0</v>
      </c>
      <c r="M87" s="21" t="str">
        <f t="shared" si="64"/>
        <v/>
      </c>
      <c r="N87" s="21" t="str">
        <f t="shared" si="48"/>
        <v/>
      </c>
      <c r="O87" s="21">
        <f t="shared" si="65"/>
        <v>0</v>
      </c>
      <c r="P87" s="9">
        <f t="shared" si="79"/>
        <v>0</v>
      </c>
      <c r="Q87" s="9">
        <f t="shared" si="80"/>
        <v>0</v>
      </c>
      <c r="R87" s="22" t="str">
        <f>IFERROR(INDEX(Convenience!$N$11:$N$148,MATCH('Calculations - Convenience'!$C87,Convenience!$J$11:$J$148,0)),"")</f>
        <v/>
      </c>
      <c r="S87" s="22" t="str">
        <f>IFERROR(INDEX(Convenience!$O$11:$O$148,MATCH('Calculations - Convenience'!$C87,Convenience!$J$11:$J$148,0)),"")</f>
        <v/>
      </c>
      <c r="T87" s="16" t="e">
        <f t="shared" si="51"/>
        <v>#VALUE!</v>
      </c>
      <c r="U87" s="16" t="e">
        <f t="shared" si="66"/>
        <v>#VALUE!</v>
      </c>
      <c r="V87" s="16" t="e">
        <f t="shared" si="67"/>
        <v>#VALUE!</v>
      </c>
      <c r="W87" s="10" t="str">
        <f t="shared" si="52"/>
        <v>-</v>
      </c>
      <c r="X87" s="10" t="str">
        <f t="shared" si="53"/>
        <v>-</v>
      </c>
      <c r="Y87" s="13" t="str">
        <f t="shared" si="68"/>
        <v>-</v>
      </c>
      <c r="Z87" s="9" t="str">
        <f t="shared" si="54"/>
        <v>-</v>
      </c>
      <c r="AA87" s="16" t="str">
        <f t="shared" si="69"/>
        <v>-</v>
      </c>
      <c r="AB87" s="16" t="str">
        <f t="shared" si="55"/>
        <v>-</v>
      </c>
      <c r="AC87" s="16" t="str">
        <f t="shared" si="56"/>
        <v>-</v>
      </c>
      <c r="AD87" s="16" t="str">
        <f t="shared" si="70"/>
        <v>-</v>
      </c>
      <c r="AE87" s="16"/>
      <c r="AF87" s="31" t="str">
        <f>IFERROR(INDEX(Convenience!$M$11:$M$148,MATCH('Calculations - Convenience'!C87,Convenience!$J$11:$J$148,0)),"")</f>
        <v/>
      </c>
      <c r="AG87" s="23" t="str">
        <f t="shared" si="71"/>
        <v/>
      </c>
      <c r="AH87" s="23" t="str">
        <f t="shared" si="71"/>
        <v/>
      </c>
      <c r="AI87" s="9" t="str">
        <f t="shared" si="57"/>
        <v/>
      </c>
      <c r="AJ87" s="4" t="str">
        <f t="shared" si="58"/>
        <v/>
      </c>
      <c r="AK87" s="4"/>
      <c r="AL87" s="4"/>
      <c r="AM87" s="4"/>
      <c r="AN87" s="4"/>
      <c r="AO87" s="4"/>
      <c r="AP87" s="20" t="str">
        <f t="shared" si="59"/>
        <v>-</v>
      </c>
      <c r="AQ87" s="13" t="str">
        <f t="shared" si="72"/>
        <v>-</v>
      </c>
      <c r="AR87" s="13" t="str">
        <f t="shared" si="73"/>
        <v>-</v>
      </c>
      <c r="AS87" s="13" t="str">
        <f t="shared" si="60"/>
        <v>-</v>
      </c>
      <c r="AT87" s="16" t="str">
        <f t="shared" si="74"/>
        <v>-</v>
      </c>
      <c r="AU87" s="16" t="str">
        <f t="shared" si="61"/>
        <v>-</v>
      </c>
      <c r="AV87" s="16" t="str">
        <f t="shared" si="62"/>
        <v>-</v>
      </c>
      <c r="AW87" s="16" t="str">
        <f t="shared" si="75"/>
        <v>-</v>
      </c>
      <c r="AX87" s="13" t="str">
        <f t="shared" si="76"/>
        <v>-</v>
      </c>
      <c r="AY87" s="10" t="str">
        <f t="shared" si="77"/>
        <v>-</v>
      </c>
      <c r="AZ87" s="9" t="str">
        <f t="shared" si="78"/>
        <v>-</v>
      </c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</row>
    <row r="88" spans="2:68" x14ac:dyDescent="0.3">
      <c r="B88" s="108" t="str">
        <f t="shared" si="63"/>
        <v/>
      </c>
      <c r="C88" s="108" t="str">
        <f t="shared" si="47"/>
        <v/>
      </c>
      <c r="D88" s="3"/>
      <c r="E88" s="3"/>
      <c r="F88" s="3"/>
      <c r="G88" s="20">
        <f>IFERROR(INDEX('Input - Convenience'!F$2:F$200,MATCH('Calculations - Convenience'!$C88,'Input - Convenience'!$B$2:$B$200,0)),"")</f>
        <v>0</v>
      </c>
      <c r="H88" s="20">
        <f>IFERROR(INDEX('Input - Convenience'!G$2:G$200,MATCH('Calculations - Convenience'!$C88,'Input - Convenience'!$B$2:$B$200,0)),"")</f>
        <v>0</v>
      </c>
      <c r="I88" s="21">
        <f>IFERROR(INDEX('Input - Convenience'!H$2:H$200,MATCH('Calculations - Convenience'!$C88,'Input - Convenience'!$B$2:$B$200,0)),"")</f>
        <v>0</v>
      </c>
      <c r="J88" s="21">
        <f>IFERROR(INDEX('Input - Convenience'!I$2:I$200,MATCH('Calculations - Convenience'!$C88,'Input - Convenience'!$B$2:$B$200,0)),"")</f>
        <v>0</v>
      </c>
      <c r="K88" s="20">
        <f>IFERROR(INDEX('Input - Convenience'!J$2:J$200,MATCH('Calculations - Convenience'!$C88,'Input - Convenience'!$B$2:$B$200,0)),"")</f>
        <v>0</v>
      </c>
      <c r="L88" s="20">
        <f>IFERROR(INDEX('Input - Convenience'!K$2:K$200,MATCH('Calculations - Convenience'!$C88,'Input - Convenience'!$B$2:$B$200,0)),"")</f>
        <v>0</v>
      </c>
      <c r="M88" s="21" t="str">
        <f t="shared" si="64"/>
        <v/>
      </c>
      <c r="N88" s="21" t="str">
        <f t="shared" si="48"/>
        <v/>
      </c>
      <c r="O88" s="21">
        <f t="shared" si="65"/>
        <v>0</v>
      </c>
      <c r="P88" s="9">
        <f t="shared" si="79"/>
        <v>0</v>
      </c>
      <c r="Q88" s="9">
        <f t="shared" si="80"/>
        <v>0</v>
      </c>
      <c r="R88" s="22" t="str">
        <f>IFERROR(INDEX(Convenience!$N$11:$N$148,MATCH('Calculations - Convenience'!$C88,Convenience!$J$11:$J$148,0)),"")</f>
        <v/>
      </c>
      <c r="S88" s="22" t="str">
        <f>IFERROR(INDEX(Convenience!$O$11:$O$148,MATCH('Calculations - Convenience'!$C88,Convenience!$J$11:$J$148,0)),"")</f>
        <v/>
      </c>
      <c r="T88" s="16" t="e">
        <f t="shared" si="51"/>
        <v>#VALUE!</v>
      </c>
      <c r="U88" s="16" t="e">
        <f t="shared" si="66"/>
        <v>#VALUE!</v>
      </c>
      <c r="V88" s="16" t="e">
        <f t="shared" si="67"/>
        <v>#VALUE!</v>
      </c>
      <c r="W88" s="10" t="str">
        <f t="shared" si="52"/>
        <v>-</v>
      </c>
      <c r="X88" s="10" t="str">
        <f t="shared" si="53"/>
        <v>-</v>
      </c>
      <c r="Y88" s="13" t="str">
        <f t="shared" si="68"/>
        <v>-</v>
      </c>
      <c r="Z88" s="9" t="str">
        <f t="shared" si="54"/>
        <v>-</v>
      </c>
      <c r="AA88" s="16" t="str">
        <f t="shared" si="69"/>
        <v>-</v>
      </c>
      <c r="AB88" s="16" t="str">
        <f t="shared" si="55"/>
        <v>-</v>
      </c>
      <c r="AC88" s="16" t="str">
        <f t="shared" si="56"/>
        <v>-</v>
      </c>
      <c r="AD88" s="16" t="str">
        <f t="shared" si="70"/>
        <v>-</v>
      </c>
      <c r="AE88" s="16"/>
      <c r="AF88" s="31" t="str">
        <f>IFERROR(INDEX(Convenience!$M$11:$M$148,MATCH('Calculations - Convenience'!C88,Convenience!$J$11:$J$148,0)),"")</f>
        <v/>
      </c>
      <c r="AG88" s="23" t="str">
        <f t="shared" si="71"/>
        <v/>
      </c>
      <c r="AH88" s="23" t="str">
        <f t="shared" si="71"/>
        <v/>
      </c>
      <c r="AI88" s="9" t="str">
        <f t="shared" si="57"/>
        <v/>
      </c>
      <c r="AJ88" s="4" t="str">
        <f t="shared" si="58"/>
        <v/>
      </c>
      <c r="AK88" s="4"/>
      <c r="AL88" s="4"/>
      <c r="AM88" s="4"/>
      <c r="AN88" s="4"/>
      <c r="AO88" s="4"/>
      <c r="AP88" s="20" t="str">
        <f t="shared" si="59"/>
        <v>-</v>
      </c>
      <c r="AQ88" s="13" t="str">
        <f t="shared" si="72"/>
        <v>-</v>
      </c>
      <c r="AR88" s="13" t="str">
        <f t="shared" si="73"/>
        <v>-</v>
      </c>
      <c r="AS88" s="13" t="str">
        <f t="shared" si="60"/>
        <v>-</v>
      </c>
      <c r="AT88" s="16" t="str">
        <f t="shared" si="74"/>
        <v>-</v>
      </c>
      <c r="AU88" s="16" t="str">
        <f t="shared" si="61"/>
        <v>-</v>
      </c>
      <c r="AV88" s="16" t="str">
        <f t="shared" si="62"/>
        <v>-</v>
      </c>
      <c r="AW88" s="16" t="str">
        <f t="shared" si="75"/>
        <v>-</v>
      </c>
      <c r="AX88" s="13" t="str">
        <f t="shared" si="76"/>
        <v>-</v>
      </c>
      <c r="AY88" s="10" t="str">
        <f t="shared" si="77"/>
        <v>-</v>
      </c>
      <c r="AZ88" s="9" t="str">
        <f t="shared" si="78"/>
        <v>-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</row>
    <row r="89" spans="2:68" x14ac:dyDescent="0.3">
      <c r="B89" s="108" t="str">
        <f t="shared" si="63"/>
        <v/>
      </c>
      <c r="C89" s="108" t="str">
        <f t="shared" si="47"/>
        <v/>
      </c>
      <c r="D89" s="3"/>
      <c r="E89" s="3"/>
      <c r="F89" s="3"/>
      <c r="G89" s="20">
        <f>IFERROR(INDEX('Input - Convenience'!F$2:F$200,MATCH('Calculations - Convenience'!$C89,'Input - Convenience'!$B$2:$B$200,0)),"")</f>
        <v>0</v>
      </c>
      <c r="H89" s="20">
        <f>IFERROR(INDEX('Input - Convenience'!G$2:G$200,MATCH('Calculations - Convenience'!$C89,'Input - Convenience'!$B$2:$B$200,0)),"")</f>
        <v>0</v>
      </c>
      <c r="I89" s="21">
        <f>IFERROR(INDEX('Input - Convenience'!H$2:H$200,MATCH('Calculations - Convenience'!$C89,'Input - Convenience'!$B$2:$B$200,0)),"")</f>
        <v>0</v>
      </c>
      <c r="J89" s="21">
        <f>IFERROR(INDEX('Input - Convenience'!I$2:I$200,MATCH('Calculations - Convenience'!$C89,'Input - Convenience'!$B$2:$B$200,0)),"")</f>
        <v>0</v>
      </c>
      <c r="K89" s="20">
        <f>IFERROR(INDEX('Input - Convenience'!J$2:J$200,MATCH('Calculations - Convenience'!$C89,'Input - Convenience'!$B$2:$B$200,0)),"")</f>
        <v>0</v>
      </c>
      <c r="L89" s="20">
        <f>IFERROR(INDEX('Input - Convenience'!K$2:K$200,MATCH('Calculations - Convenience'!$C89,'Input - Convenience'!$B$2:$B$200,0)),"")</f>
        <v>0</v>
      </c>
      <c r="M89" s="21" t="str">
        <f t="shared" si="64"/>
        <v/>
      </c>
      <c r="N89" s="21" t="str">
        <f t="shared" si="48"/>
        <v/>
      </c>
      <c r="O89" s="21">
        <f t="shared" si="65"/>
        <v>0</v>
      </c>
      <c r="P89" s="9">
        <f t="shared" si="79"/>
        <v>0</v>
      </c>
      <c r="Q89" s="9">
        <f t="shared" si="80"/>
        <v>0</v>
      </c>
      <c r="R89" s="22" t="str">
        <f>IFERROR(INDEX(Convenience!$N$11:$N$148,MATCH('Calculations - Convenience'!$C89,Convenience!$J$11:$J$148,0)),"")</f>
        <v/>
      </c>
      <c r="S89" s="22" t="str">
        <f>IFERROR(INDEX(Convenience!$O$11:$O$148,MATCH('Calculations - Convenience'!$C89,Convenience!$J$11:$J$148,0)),"")</f>
        <v/>
      </c>
      <c r="T89" s="16" t="e">
        <f t="shared" si="51"/>
        <v>#VALUE!</v>
      </c>
      <c r="U89" s="16" t="e">
        <f t="shared" si="66"/>
        <v>#VALUE!</v>
      </c>
      <c r="V89" s="16" t="e">
        <f t="shared" si="67"/>
        <v>#VALUE!</v>
      </c>
      <c r="W89" s="10" t="str">
        <f t="shared" si="52"/>
        <v>-</v>
      </c>
      <c r="X89" s="10" t="str">
        <f t="shared" si="53"/>
        <v>-</v>
      </c>
      <c r="Y89" s="13" t="str">
        <f t="shared" si="68"/>
        <v>-</v>
      </c>
      <c r="Z89" s="9" t="str">
        <f t="shared" si="54"/>
        <v>-</v>
      </c>
      <c r="AA89" s="16" t="str">
        <f t="shared" si="69"/>
        <v>-</v>
      </c>
      <c r="AB89" s="16" t="str">
        <f t="shared" si="55"/>
        <v>-</v>
      </c>
      <c r="AC89" s="16" t="str">
        <f t="shared" si="56"/>
        <v>-</v>
      </c>
      <c r="AD89" s="16" t="str">
        <f t="shared" si="70"/>
        <v>-</v>
      </c>
      <c r="AE89" s="16"/>
      <c r="AF89" s="31" t="str">
        <f>IFERROR(INDEX(Convenience!$M$11:$M$148,MATCH('Calculations - Convenience'!C89,Convenience!$J$11:$J$148,0)),"")</f>
        <v/>
      </c>
      <c r="AG89" s="23" t="str">
        <f t="shared" si="71"/>
        <v/>
      </c>
      <c r="AH89" s="23" t="str">
        <f t="shared" si="71"/>
        <v/>
      </c>
      <c r="AI89" s="9" t="str">
        <f t="shared" si="57"/>
        <v/>
      </c>
      <c r="AJ89" s="4" t="str">
        <f t="shared" si="58"/>
        <v/>
      </c>
      <c r="AK89" s="4"/>
      <c r="AL89" s="4"/>
      <c r="AM89" s="4"/>
      <c r="AN89" s="4"/>
      <c r="AO89" s="4"/>
      <c r="AP89" s="20" t="str">
        <f t="shared" si="59"/>
        <v>-</v>
      </c>
      <c r="AQ89" s="13" t="str">
        <f t="shared" si="72"/>
        <v>-</v>
      </c>
      <c r="AR89" s="13" t="str">
        <f t="shared" si="73"/>
        <v>-</v>
      </c>
      <c r="AS89" s="13" t="str">
        <f t="shared" si="60"/>
        <v>-</v>
      </c>
      <c r="AT89" s="16" t="str">
        <f t="shared" si="74"/>
        <v>-</v>
      </c>
      <c r="AU89" s="16" t="str">
        <f t="shared" si="61"/>
        <v>-</v>
      </c>
      <c r="AV89" s="16" t="str">
        <f t="shared" si="62"/>
        <v>-</v>
      </c>
      <c r="AW89" s="16" t="str">
        <f t="shared" si="75"/>
        <v>-</v>
      </c>
      <c r="AX89" s="13" t="str">
        <f t="shared" si="76"/>
        <v>-</v>
      </c>
      <c r="AY89" s="10" t="str">
        <f t="shared" si="77"/>
        <v>-</v>
      </c>
      <c r="AZ89" s="9" t="str">
        <f t="shared" si="78"/>
        <v>-</v>
      </c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</row>
    <row r="90" spans="2:68" x14ac:dyDescent="0.3">
      <c r="B90" s="108" t="str">
        <f t="shared" si="63"/>
        <v/>
      </c>
      <c r="C90" s="108" t="str">
        <f t="shared" si="47"/>
        <v/>
      </c>
      <c r="D90" s="3"/>
      <c r="E90" s="3"/>
      <c r="F90" s="3"/>
      <c r="G90" s="20">
        <f>IFERROR(INDEX('Input - Convenience'!F$2:F$200,MATCH('Calculations - Convenience'!$C90,'Input - Convenience'!$B$2:$B$200,0)),"")</f>
        <v>0</v>
      </c>
      <c r="H90" s="20">
        <f>IFERROR(INDEX('Input - Convenience'!G$2:G$200,MATCH('Calculations - Convenience'!$C90,'Input - Convenience'!$B$2:$B$200,0)),"")</f>
        <v>0</v>
      </c>
      <c r="I90" s="21">
        <f>IFERROR(INDEX('Input - Convenience'!H$2:H$200,MATCH('Calculations - Convenience'!$C90,'Input - Convenience'!$B$2:$B$200,0)),"")</f>
        <v>0</v>
      </c>
      <c r="J90" s="21">
        <f>IFERROR(INDEX('Input - Convenience'!I$2:I$200,MATCH('Calculations - Convenience'!$C90,'Input - Convenience'!$B$2:$B$200,0)),"")</f>
        <v>0</v>
      </c>
      <c r="K90" s="20">
        <f>IFERROR(INDEX('Input - Convenience'!J$2:J$200,MATCH('Calculations - Convenience'!$C90,'Input - Convenience'!$B$2:$B$200,0)),"")</f>
        <v>0</v>
      </c>
      <c r="L90" s="20">
        <f>IFERROR(INDEX('Input - Convenience'!K$2:K$200,MATCH('Calculations - Convenience'!$C90,'Input - Convenience'!$B$2:$B$200,0)),"")</f>
        <v>0</v>
      </c>
      <c r="M90" s="21" t="str">
        <f t="shared" si="64"/>
        <v/>
      </c>
      <c r="N90" s="21" t="str">
        <f t="shared" si="48"/>
        <v/>
      </c>
      <c r="O90" s="21">
        <f t="shared" si="65"/>
        <v>0</v>
      </c>
      <c r="P90" s="9">
        <f t="shared" si="79"/>
        <v>0</v>
      </c>
      <c r="Q90" s="9">
        <f t="shared" si="80"/>
        <v>0</v>
      </c>
      <c r="R90" s="22" t="str">
        <f>IFERROR(INDEX(Convenience!$N$11:$N$148,MATCH('Calculations - Convenience'!$C90,Convenience!$J$11:$J$148,0)),"")</f>
        <v/>
      </c>
      <c r="S90" s="22" t="str">
        <f>IFERROR(INDEX(Convenience!$O$11:$O$148,MATCH('Calculations - Convenience'!$C90,Convenience!$J$11:$J$148,0)),"")</f>
        <v/>
      </c>
      <c r="T90" s="16" t="e">
        <f t="shared" si="51"/>
        <v>#VALUE!</v>
      </c>
      <c r="U90" s="16" t="e">
        <f t="shared" si="66"/>
        <v>#VALUE!</v>
      </c>
      <c r="V90" s="16" t="e">
        <f t="shared" si="67"/>
        <v>#VALUE!</v>
      </c>
      <c r="W90" s="10" t="str">
        <f t="shared" si="52"/>
        <v>-</v>
      </c>
      <c r="X90" s="10" t="str">
        <f t="shared" si="53"/>
        <v>-</v>
      </c>
      <c r="Y90" s="13" t="str">
        <f t="shared" si="68"/>
        <v>-</v>
      </c>
      <c r="Z90" s="9" t="str">
        <f t="shared" si="54"/>
        <v>-</v>
      </c>
      <c r="AA90" s="16" t="str">
        <f t="shared" si="69"/>
        <v>-</v>
      </c>
      <c r="AB90" s="16" t="str">
        <f t="shared" si="55"/>
        <v>-</v>
      </c>
      <c r="AC90" s="16" t="str">
        <f t="shared" si="56"/>
        <v>-</v>
      </c>
      <c r="AD90" s="16" t="str">
        <f t="shared" si="70"/>
        <v>-</v>
      </c>
      <c r="AE90" s="16"/>
      <c r="AF90" s="31" t="str">
        <f>IFERROR(INDEX(Convenience!$M$11:$M$148,MATCH('Calculations - Convenience'!C90,Convenience!$J$11:$J$148,0)),"")</f>
        <v/>
      </c>
      <c r="AG90" s="23" t="str">
        <f t="shared" si="71"/>
        <v/>
      </c>
      <c r="AH90" s="23" t="str">
        <f t="shared" si="71"/>
        <v/>
      </c>
      <c r="AI90" s="9" t="str">
        <f t="shared" si="57"/>
        <v/>
      </c>
      <c r="AJ90" s="4" t="str">
        <f t="shared" si="58"/>
        <v/>
      </c>
      <c r="AK90" s="4"/>
      <c r="AL90" s="4"/>
      <c r="AM90" s="4"/>
      <c r="AN90" s="4"/>
      <c r="AO90" s="4"/>
      <c r="AP90" s="20" t="str">
        <f t="shared" si="59"/>
        <v>-</v>
      </c>
      <c r="AQ90" s="13" t="str">
        <f t="shared" si="72"/>
        <v>-</v>
      </c>
      <c r="AR90" s="13" t="str">
        <f t="shared" si="73"/>
        <v>-</v>
      </c>
      <c r="AS90" s="13" t="str">
        <f t="shared" si="60"/>
        <v>-</v>
      </c>
      <c r="AT90" s="16" t="str">
        <f t="shared" si="74"/>
        <v>-</v>
      </c>
      <c r="AU90" s="16" t="str">
        <f t="shared" si="61"/>
        <v>-</v>
      </c>
      <c r="AV90" s="16" t="str">
        <f t="shared" si="62"/>
        <v>-</v>
      </c>
      <c r="AW90" s="16" t="str">
        <f t="shared" si="75"/>
        <v>-</v>
      </c>
      <c r="AX90" s="13" t="str">
        <f t="shared" si="76"/>
        <v>-</v>
      </c>
      <c r="AY90" s="10" t="str">
        <f t="shared" si="77"/>
        <v>-</v>
      </c>
      <c r="AZ90" s="9" t="str">
        <f t="shared" si="78"/>
        <v>-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</row>
    <row r="91" spans="2:68" x14ac:dyDescent="0.3">
      <c r="B91" s="108" t="str">
        <f t="shared" si="63"/>
        <v/>
      </c>
      <c r="C91" s="108" t="str">
        <f t="shared" si="47"/>
        <v/>
      </c>
      <c r="D91" s="3"/>
      <c r="E91" s="3"/>
      <c r="F91" s="3"/>
      <c r="G91" s="20">
        <f>IFERROR(INDEX('Input - Convenience'!F$2:F$200,MATCH('Calculations - Convenience'!$C91,'Input - Convenience'!$B$2:$B$200,0)),"")</f>
        <v>0</v>
      </c>
      <c r="H91" s="20">
        <f>IFERROR(INDEX('Input - Convenience'!G$2:G$200,MATCH('Calculations - Convenience'!$C91,'Input - Convenience'!$B$2:$B$200,0)),"")</f>
        <v>0</v>
      </c>
      <c r="I91" s="21">
        <f>IFERROR(INDEX('Input - Convenience'!H$2:H$200,MATCH('Calculations - Convenience'!$C91,'Input - Convenience'!$B$2:$B$200,0)),"")</f>
        <v>0</v>
      </c>
      <c r="J91" s="21">
        <f>IFERROR(INDEX('Input - Convenience'!I$2:I$200,MATCH('Calculations - Convenience'!$C91,'Input - Convenience'!$B$2:$B$200,0)),"")</f>
        <v>0</v>
      </c>
      <c r="K91" s="20">
        <f>IFERROR(INDEX('Input - Convenience'!J$2:J$200,MATCH('Calculations - Convenience'!$C91,'Input - Convenience'!$B$2:$B$200,0)),"")</f>
        <v>0</v>
      </c>
      <c r="L91" s="20">
        <f>IFERROR(INDEX('Input - Convenience'!K$2:K$200,MATCH('Calculations - Convenience'!$C91,'Input - Convenience'!$B$2:$B$200,0)),"")</f>
        <v>0</v>
      </c>
      <c r="M91" s="21" t="str">
        <f t="shared" si="64"/>
        <v/>
      </c>
      <c r="N91" s="21" t="str">
        <f t="shared" si="48"/>
        <v/>
      </c>
      <c r="O91" s="21">
        <f t="shared" si="65"/>
        <v>0</v>
      </c>
      <c r="P91" s="9">
        <f t="shared" si="79"/>
        <v>0</v>
      </c>
      <c r="Q91" s="9">
        <f t="shared" si="80"/>
        <v>0</v>
      </c>
      <c r="R91" s="22" t="str">
        <f>IFERROR(INDEX(Convenience!$N$11:$N$148,MATCH('Calculations - Convenience'!$C91,Convenience!$J$11:$J$148,0)),"")</f>
        <v/>
      </c>
      <c r="S91" s="22" t="str">
        <f>IFERROR(INDEX(Convenience!$O$11:$O$148,MATCH('Calculations - Convenience'!$C91,Convenience!$J$11:$J$148,0)),"")</f>
        <v/>
      </c>
      <c r="T91" s="16" t="e">
        <f t="shared" si="51"/>
        <v>#VALUE!</v>
      </c>
      <c r="U91" s="16" t="e">
        <f t="shared" si="66"/>
        <v>#VALUE!</v>
      </c>
      <c r="V91" s="16" t="e">
        <f t="shared" si="67"/>
        <v>#VALUE!</v>
      </c>
      <c r="W91" s="10" t="str">
        <f t="shared" si="52"/>
        <v>-</v>
      </c>
      <c r="X91" s="10" t="str">
        <f t="shared" si="53"/>
        <v>-</v>
      </c>
      <c r="Y91" s="13" t="str">
        <f t="shared" si="68"/>
        <v>-</v>
      </c>
      <c r="Z91" s="9" t="str">
        <f t="shared" si="54"/>
        <v>-</v>
      </c>
      <c r="AA91" s="16" t="str">
        <f t="shared" si="69"/>
        <v>-</v>
      </c>
      <c r="AB91" s="16" t="str">
        <f t="shared" si="55"/>
        <v>-</v>
      </c>
      <c r="AC91" s="16" t="str">
        <f t="shared" si="56"/>
        <v>-</v>
      </c>
      <c r="AD91" s="16" t="str">
        <f t="shared" si="70"/>
        <v>-</v>
      </c>
      <c r="AE91" s="16"/>
      <c r="AF91" s="31" t="str">
        <f>IFERROR(INDEX(Convenience!$M$11:$M$148,MATCH('Calculations - Convenience'!C91,Convenience!$J$11:$J$148,0)),"")</f>
        <v/>
      </c>
      <c r="AG91" s="23" t="str">
        <f t="shared" si="71"/>
        <v/>
      </c>
      <c r="AH91" s="23" t="str">
        <f t="shared" si="71"/>
        <v/>
      </c>
      <c r="AI91" s="9" t="str">
        <f t="shared" si="57"/>
        <v/>
      </c>
      <c r="AJ91" s="4" t="str">
        <f t="shared" si="58"/>
        <v/>
      </c>
      <c r="AK91" s="4"/>
      <c r="AL91" s="4"/>
      <c r="AM91" s="4"/>
      <c r="AN91" s="4"/>
      <c r="AO91" s="4"/>
      <c r="AP91" s="20" t="str">
        <f t="shared" si="59"/>
        <v>-</v>
      </c>
      <c r="AQ91" s="13" t="str">
        <f t="shared" si="72"/>
        <v>-</v>
      </c>
      <c r="AR91" s="13" t="str">
        <f t="shared" si="73"/>
        <v>-</v>
      </c>
      <c r="AS91" s="13" t="str">
        <f t="shared" si="60"/>
        <v>-</v>
      </c>
      <c r="AT91" s="16" t="str">
        <f t="shared" si="74"/>
        <v>-</v>
      </c>
      <c r="AU91" s="16" t="str">
        <f t="shared" si="61"/>
        <v>-</v>
      </c>
      <c r="AV91" s="16" t="str">
        <f t="shared" si="62"/>
        <v>-</v>
      </c>
      <c r="AW91" s="16" t="str">
        <f t="shared" si="75"/>
        <v>-</v>
      </c>
      <c r="AX91" s="13" t="str">
        <f t="shared" si="76"/>
        <v>-</v>
      </c>
      <c r="AY91" s="10" t="str">
        <f t="shared" si="77"/>
        <v>-</v>
      </c>
      <c r="AZ91" s="9" t="str">
        <f t="shared" si="78"/>
        <v>-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</row>
    <row r="92" spans="2:68" x14ac:dyDescent="0.3">
      <c r="B92" s="108" t="str">
        <f t="shared" si="63"/>
        <v/>
      </c>
      <c r="C92" s="108" t="str">
        <f t="shared" si="47"/>
        <v/>
      </c>
      <c r="D92" s="3"/>
      <c r="E92" s="3"/>
      <c r="F92" s="3"/>
      <c r="G92" s="20">
        <f>IFERROR(INDEX('Input - Convenience'!F$2:F$200,MATCH('Calculations - Convenience'!$C92,'Input - Convenience'!$B$2:$B$200,0)),"")</f>
        <v>0</v>
      </c>
      <c r="H92" s="20">
        <f>IFERROR(INDEX('Input - Convenience'!G$2:G$200,MATCH('Calculations - Convenience'!$C92,'Input - Convenience'!$B$2:$B$200,0)),"")</f>
        <v>0</v>
      </c>
      <c r="I92" s="21">
        <f>IFERROR(INDEX('Input - Convenience'!H$2:H$200,MATCH('Calculations - Convenience'!$C92,'Input - Convenience'!$B$2:$B$200,0)),"")</f>
        <v>0</v>
      </c>
      <c r="J92" s="21">
        <f>IFERROR(INDEX('Input - Convenience'!I$2:I$200,MATCH('Calculations - Convenience'!$C92,'Input - Convenience'!$B$2:$B$200,0)),"")</f>
        <v>0</v>
      </c>
      <c r="K92" s="20">
        <f>IFERROR(INDEX('Input - Convenience'!J$2:J$200,MATCH('Calculations - Convenience'!$C92,'Input - Convenience'!$B$2:$B$200,0)),"")</f>
        <v>0</v>
      </c>
      <c r="L92" s="20">
        <f>IFERROR(INDEX('Input - Convenience'!K$2:K$200,MATCH('Calculations - Convenience'!$C92,'Input - Convenience'!$B$2:$B$200,0)),"")</f>
        <v>0</v>
      </c>
      <c r="M92" s="21" t="str">
        <f t="shared" si="64"/>
        <v/>
      </c>
      <c r="N92" s="21" t="str">
        <f t="shared" si="48"/>
        <v/>
      </c>
      <c r="O92" s="21">
        <f t="shared" si="65"/>
        <v>0</v>
      </c>
      <c r="P92" s="9">
        <f t="shared" si="79"/>
        <v>0</v>
      </c>
      <c r="Q92" s="9">
        <f t="shared" si="80"/>
        <v>0</v>
      </c>
      <c r="R92" s="22" t="str">
        <f>IFERROR(INDEX(Convenience!$N$11:$N$148,MATCH('Calculations - Convenience'!$C92,Convenience!$J$11:$J$148,0)),"")</f>
        <v/>
      </c>
      <c r="S92" s="22" t="str">
        <f>IFERROR(INDEX(Convenience!$O$11:$O$148,MATCH('Calculations - Convenience'!$C92,Convenience!$J$11:$J$148,0)),"")</f>
        <v/>
      </c>
      <c r="T92" s="16" t="e">
        <f t="shared" si="51"/>
        <v>#VALUE!</v>
      </c>
      <c r="U92" s="16" t="e">
        <f t="shared" si="66"/>
        <v>#VALUE!</v>
      </c>
      <c r="V92" s="16" t="e">
        <f t="shared" si="67"/>
        <v>#VALUE!</v>
      </c>
      <c r="W92" s="10" t="str">
        <f t="shared" si="52"/>
        <v>-</v>
      </c>
      <c r="X92" s="10" t="str">
        <f t="shared" si="53"/>
        <v>-</v>
      </c>
      <c r="Y92" s="13" t="str">
        <f t="shared" si="68"/>
        <v>-</v>
      </c>
      <c r="Z92" s="9" t="str">
        <f t="shared" si="54"/>
        <v>-</v>
      </c>
      <c r="AA92" s="16" t="str">
        <f t="shared" si="69"/>
        <v>-</v>
      </c>
      <c r="AB92" s="16" t="str">
        <f t="shared" si="55"/>
        <v>-</v>
      </c>
      <c r="AC92" s="16" t="str">
        <f t="shared" si="56"/>
        <v>-</v>
      </c>
      <c r="AD92" s="16" t="str">
        <f t="shared" si="70"/>
        <v>-</v>
      </c>
      <c r="AE92" s="16"/>
      <c r="AF92" s="31" t="str">
        <f>IFERROR(INDEX(Convenience!$M$11:$M$148,MATCH('Calculations - Convenience'!C92,Convenience!$J$11:$J$148,0)),"")</f>
        <v/>
      </c>
      <c r="AG92" s="23" t="str">
        <f t="shared" si="71"/>
        <v/>
      </c>
      <c r="AH92" s="23" t="str">
        <f t="shared" si="71"/>
        <v/>
      </c>
      <c r="AI92" s="9" t="str">
        <f t="shared" si="57"/>
        <v/>
      </c>
      <c r="AJ92" s="4" t="str">
        <f t="shared" si="58"/>
        <v/>
      </c>
      <c r="AK92" s="4"/>
      <c r="AL92" s="4"/>
      <c r="AM92" s="4"/>
      <c r="AN92" s="4"/>
      <c r="AO92" s="4"/>
      <c r="AP92" s="20" t="str">
        <f t="shared" si="59"/>
        <v>-</v>
      </c>
      <c r="AQ92" s="13" t="str">
        <f t="shared" si="72"/>
        <v>-</v>
      </c>
      <c r="AR92" s="13" t="str">
        <f t="shared" si="73"/>
        <v>-</v>
      </c>
      <c r="AS92" s="13" t="str">
        <f t="shared" si="60"/>
        <v>-</v>
      </c>
      <c r="AT92" s="16" t="str">
        <f t="shared" si="74"/>
        <v>-</v>
      </c>
      <c r="AU92" s="16" t="str">
        <f t="shared" si="61"/>
        <v>-</v>
      </c>
      <c r="AV92" s="16" t="str">
        <f t="shared" si="62"/>
        <v>-</v>
      </c>
      <c r="AW92" s="16" t="str">
        <f t="shared" si="75"/>
        <v>-</v>
      </c>
      <c r="AX92" s="13" t="str">
        <f t="shared" si="76"/>
        <v>-</v>
      </c>
      <c r="AY92" s="10" t="str">
        <f t="shared" si="77"/>
        <v>-</v>
      </c>
      <c r="AZ92" s="9" t="str">
        <f t="shared" si="78"/>
        <v>-</v>
      </c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</row>
    <row r="93" spans="2:68" x14ac:dyDescent="0.3">
      <c r="B93" s="108" t="str">
        <f t="shared" si="63"/>
        <v/>
      </c>
      <c r="C93" s="108" t="str">
        <f t="shared" si="47"/>
        <v/>
      </c>
      <c r="D93" s="3"/>
      <c r="E93" s="3"/>
      <c r="F93" s="3"/>
      <c r="G93" s="20">
        <f>IFERROR(INDEX('Input - Convenience'!F$2:F$200,MATCH('Calculations - Convenience'!$C93,'Input - Convenience'!$B$2:$B$200,0)),"")</f>
        <v>0</v>
      </c>
      <c r="H93" s="20">
        <f>IFERROR(INDEX('Input - Convenience'!G$2:G$200,MATCH('Calculations - Convenience'!$C93,'Input - Convenience'!$B$2:$B$200,0)),"")</f>
        <v>0</v>
      </c>
      <c r="I93" s="21">
        <f>IFERROR(INDEX('Input - Convenience'!H$2:H$200,MATCH('Calculations - Convenience'!$C93,'Input - Convenience'!$B$2:$B$200,0)),"")</f>
        <v>0</v>
      </c>
      <c r="J93" s="21">
        <f>IFERROR(INDEX('Input - Convenience'!I$2:I$200,MATCH('Calculations - Convenience'!$C93,'Input - Convenience'!$B$2:$B$200,0)),"")</f>
        <v>0</v>
      </c>
      <c r="K93" s="20">
        <f>IFERROR(INDEX('Input - Convenience'!J$2:J$200,MATCH('Calculations - Convenience'!$C93,'Input - Convenience'!$B$2:$B$200,0)),"")</f>
        <v>0</v>
      </c>
      <c r="L93" s="20">
        <f>IFERROR(INDEX('Input - Convenience'!K$2:K$200,MATCH('Calculations - Convenience'!$C93,'Input - Convenience'!$B$2:$B$200,0)),"")</f>
        <v>0</v>
      </c>
      <c r="M93" s="21" t="str">
        <f t="shared" si="64"/>
        <v/>
      </c>
      <c r="N93" s="21" t="str">
        <f t="shared" si="48"/>
        <v/>
      </c>
      <c r="O93" s="21">
        <f t="shared" si="65"/>
        <v>0</v>
      </c>
      <c r="P93" s="9">
        <f t="shared" si="79"/>
        <v>0</v>
      </c>
      <c r="Q93" s="9">
        <f t="shared" si="80"/>
        <v>0</v>
      </c>
      <c r="R93" s="22" t="str">
        <f>IFERROR(INDEX(Convenience!$N$11:$N$148,MATCH('Calculations - Convenience'!$C93,Convenience!$J$11:$J$148,0)),"")</f>
        <v/>
      </c>
      <c r="S93" s="22" t="str">
        <f>IFERROR(INDEX(Convenience!$O$11:$O$148,MATCH('Calculations - Convenience'!$C93,Convenience!$J$11:$J$148,0)),"")</f>
        <v/>
      </c>
      <c r="T93" s="16" t="e">
        <f t="shared" si="51"/>
        <v>#VALUE!</v>
      </c>
      <c r="U93" s="16" t="e">
        <f t="shared" si="66"/>
        <v>#VALUE!</v>
      </c>
      <c r="V93" s="16" t="e">
        <f t="shared" si="67"/>
        <v>#VALUE!</v>
      </c>
      <c r="W93" s="10" t="str">
        <f t="shared" si="52"/>
        <v>-</v>
      </c>
      <c r="X93" s="10" t="str">
        <f t="shared" si="53"/>
        <v>-</v>
      </c>
      <c r="Y93" s="13" t="str">
        <f t="shared" si="68"/>
        <v>-</v>
      </c>
      <c r="Z93" s="9" t="str">
        <f t="shared" si="54"/>
        <v>-</v>
      </c>
      <c r="AA93" s="16" t="str">
        <f t="shared" si="69"/>
        <v>-</v>
      </c>
      <c r="AB93" s="16" t="str">
        <f t="shared" si="55"/>
        <v>-</v>
      </c>
      <c r="AC93" s="16" t="str">
        <f t="shared" si="56"/>
        <v>-</v>
      </c>
      <c r="AD93" s="16" t="str">
        <f t="shared" si="70"/>
        <v>-</v>
      </c>
      <c r="AE93" s="16"/>
      <c r="AF93" s="31" t="str">
        <f>IFERROR(INDEX(Convenience!$M$11:$M$148,MATCH('Calculations - Convenience'!C93,Convenience!$J$11:$J$148,0)),"")</f>
        <v/>
      </c>
      <c r="AG93" s="23" t="str">
        <f t="shared" si="71"/>
        <v/>
      </c>
      <c r="AH93" s="23" t="str">
        <f t="shared" si="71"/>
        <v/>
      </c>
      <c r="AI93" s="9" t="str">
        <f t="shared" si="57"/>
        <v/>
      </c>
      <c r="AJ93" s="4" t="str">
        <f t="shared" si="58"/>
        <v/>
      </c>
      <c r="AK93" s="4"/>
      <c r="AL93" s="4"/>
      <c r="AM93" s="4"/>
      <c r="AN93" s="4"/>
      <c r="AO93" s="4"/>
      <c r="AP93" s="20" t="str">
        <f t="shared" si="59"/>
        <v>-</v>
      </c>
      <c r="AQ93" s="13" t="str">
        <f t="shared" si="72"/>
        <v>-</v>
      </c>
      <c r="AR93" s="13" t="str">
        <f t="shared" si="73"/>
        <v>-</v>
      </c>
      <c r="AS93" s="13" t="str">
        <f t="shared" si="60"/>
        <v>-</v>
      </c>
      <c r="AT93" s="16" t="str">
        <f t="shared" si="74"/>
        <v>-</v>
      </c>
      <c r="AU93" s="16" t="str">
        <f t="shared" si="61"/>
        <v>-</v>
      </c>
      <c r="AV93" s="16" t="str">
        <f t="shared" si="62"/>
        <v>-</v>
      </c>
      <c r="AW93" s="16" t="str">
        <f t="shared" si="75"/>
        <v>-</v>
      </c>
      <c r="AX93" s="13" t="str">
        <f t="shared" si="76"/>
        <v>-</v>
      </c>
      <c r="AY93" s="10" t="str">
        <f t="shared" si="77"/>
        <v>-</v>
      </c>
      <c r="AZ93" s="9" t="str">
        <f t="shared" si="78"/>
        <v>-</v>
      </c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</row>
    <row r="94" spans="2:68" x14ac:dyDescent="0.3">
      <c r="B94" s="108" t="str">
        <f t="shared" si="63"/>
        <v/>
      </c>
      <c r="C94" s="108" t="str">
        <f t="shared" si="47"/>
        <v/>
      </c>
      <c r="D94" s="3"/>
      <c r="E94" s="3"/>
      <c r="F94" s="3"/>
      <c r="G94" s="20">
        <f>IFERROR(INDEX('Input - Convenience'!F$2:F$200,MATCH('Calculations - Convenience'!$C94,'Input - Convenience'!$B$2:$B$200,0)),"")</f>
        <v>0</v>
      </c>
      <c r="H94" s="20">
        <f>IFERROR(INDEX('Input - Convenience'!G$2:G$200,MATCH('Calculations - Convenience'!$C94,'Input - Convenience'!$B$2:$B$200,0)),"")</f>
        <v>0</v>
      </c>
      <c r="I94" s="21">
        <f>IFERROR(INDEX('Input - Convenience'!H$2:H$200,MATCH('Calculations - Convenience'!$C94,'Input - Convenience'!$B$2:$B$200,0)),"")</f>
        <v>0</v>
      </c>
      <c r="J94" s="21">
        <f>IFERROR(INDEX('Input - Convenience'!I$2:I$200,MATCH('Calculations - Convenience'!$C94,'Input - Convenience'!$B$2:$B$200,0)),"")</f>
        <v>0</v>
      </c>
      <c r="K94" s="20">
        <f>IFERROR(INDEX('Input - Convenience'!J$2:J$200,MATCH('Calculations - Convenience'!$C94,'Input - Convenience'!$B$2:$B$200,0)),"")</f>
        <v>0</v>
      </c>
      <c r="L94" s="20">
        <f>IFERROR(INDEX('Input - Convenience'!K$2:K$200,MATCH('Calculations - Convenience'!$C94,'Input - Convenience'!$B$2:$B$200,0)),"")</f>
        <v>0</v>
      </c>
      <c r="M94" s="21" t="str">
        <f t="shared" si="64"/>
        <v/>
      </c>
      <c r="N94" s="21" t="str">
        <f t="shared" si="48"/>
        <v/>
      </c>
      <c r="O94" s="21">
        <f t="shared" si="65"/>
        <v>0</v>
      </c>
      <c r="P94" s="9">
        <f t="shared" si="79"/>
        <v>0</v>
      </c>
      <c r="Q94" s="9">
        <f t="shared" si="80"/>
        <v>0</v>
      </c>
      <c r="R94" s="22" t="str">
        <f>IFERROR(INDEX(Convenience!$N$11:$N$148,MATCH('Calculations - Convenience'!$C94,Convenience!$J$11:$J$148,0)),"")</f>
        <v/>
      </c>
      <c r="S94" s="22" t="str">
        <f>IFERROR(INDEX(Convenience!$O$11:$O$148,MATCH('Calculations - Convenience'!$C94,Convenience!$J$11:$J$148,0)),"")</f>
        <v/>
      </c>
      <c r="T94" s="16" t="e">
        <f t="shared" si="51"/>
        <v>#VALUE!</v>
      </c>
      <c r="U94" s="16" t="e">
        <f t="shared" si="66"/>
        <v>#VALUE!</v>
      </c>
      <c r="V94" s="16" t="e">
        <f t="shared" si="67"/>
        <v>#VALUE!</v>
      </c>
      <c r="W94" s="10" t="str">
        <f t="shared" si="52"/>
        <v>-</v>
      </c>
      <c r="X94" s="10" t="str">
        <f t="shared" si="53"/>
        <v>-</v>
      </c>
      <c r="Y94" s="13" t="str">
        <f t="shared" si="68"/>
        <v>-</v>
      </c>
      <c r="Z94" s="9" t="str">
        <f t="shared" si="54"/>
        <v>-</v>
      </c>
      <c r="AA94" s="16" t="str">
        <f t="shared" si="69"/>
        <v>-</v>
      </c>
      <c r="AB94" s="16" t="str">
        <f t="shared" si="55"/>
        <v>-</v>
      </c>
      <c r="AC94" s="16" t="str">
        <f t="shared" si="56"/>
        <v>-</v>
      </c>
      <c r="AD94" s="16" t="str">
        <f t="shared" si="70"/>
        <v>-</v>
      </c>
      <c r="AE94" s="16"/>
      <c r="AF94" s="31" t="str">
        <f>IFERROR(INDEX(Convenience!$M$11:$M$148,MATCH('Calculations - Convenience'!C94,Convenience!$J$11:$J$148,0)),"")</f>
        <v/>
      </c>
      <c r="AG94" s="23" t="str">
        <f t="shared" si="71"/>
        <v/>
      </c>
      <c r="AH94" s="23" t="str">
        <f t="shared" si="71"/>
        <v/>
      </c>
      <c r="AI94" s="9" t="str">
        <f t="shared" si="57"/>
        <v/>
      </c>
      <c r="AJ94" s="4" t="str">
        <f t="shared" si="58"/>
        <v/>
      </c>
      <c r="AK94" s="4"/>
      <c r="AL94" s="4"/>
      <c r="AM94" s="4"/>
      <c r="AN94" s="4"/>
      <c r="AO94" s="4"/>
      <c r="AP94" s="20" t="str">
        <f t="shared" si="59"/>
        <v>-</v>
      </c>
      <c r="AQ94" s="13" t="str">
        <f t="shared" si="72"/>
        <v>-</v>
      </c>
      <c r="AR94" s="13" t="str">
        <f t="shared" si="73"/>
        <v>-</v>
      </c>
      <c r="AS94" s="13" t="str">
        <f t="shared" si="60"/>
        <v>-</v>
      </c>
      <c r="AT94" s="16" t="str">
        <f t="shared" si="74"/>
        <v>-</v>
      </c>
      <c r="AU94" s="16" t="str">
        <f t="shared" si="61"/>
        <v>-</v>
      </c>
      <c r="AV94" s="16" t="str">
        <f t="shared" si="62"/>
        <v>-</v>
      </c>
      <c r="AW94" s="16" t="str">
        <f t="shared" si="75"/>
        <v>-</v>
      </c>
      <c r="AX94" s="13" t="str">
        <f t="shared" si="76"/>
        <v>-</v>
      </c>
      <c r="AY94" s="10" t="str">
        <f t="shared" si="77"/>
        <v>-</v>
      </c>
      <c r="AZ94" s="9" t="str">
        <f t="shared" si="78"/>
        <v>-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</row>
    <row r="95" spans="2:68" x14ac:dyDescent="0.3">
      <c r="B95" s="108" t="str">
        <f t="shared" si="63"/>
        <v/>
      </c>
      <c r="C95" s="108" t="str">
        <f t="shared" si="47"/>
        <v/>
      </c>
      <c r="D95" s="3"/>
      <c r="E95" s="3"/>
      <c r="F95" s="3"/>
      <c r="G95" s="20">
        <f>IFERROR(INDEX('Input - Convenience'!F$2:F$200,MATCH('Calculations - Convenience'!$C95,'Input - Convenience'!$B$2:$B$200,0)),"")</f>
        <v>0</v>
      </c>
      <c r="H95" s="20">
        <f>IFERROR(INDEX('Input - Convenience'!G$2:G$200,MATCH('Calculations - Convenience'!$C95,'Input - Convenience'!$B$2:$B$200,0)),"")</f>
        <v>0</v>
      </c>
      <c r="I95" s="21">
        <f>IFERROR(INDEX('Input - Convenience'!H$2:H$200,MATCH('Calculations - Convenience'!$C95,'Input - Convenience'!$B$2:$B$200,0)),"")</f>
        <v>0</v>
      </c>
      <c r="J95" s="21">
        <f>IFERROR(INDEX('Input - Convenience'!I$2:I$200,MATCH('Calculations - Convenience'!$C95,'Input - Convenience'!$B$2:$B$200,0)),"")</f>
        <v>0</v>
      </c>
      <c r="K95" s="20">
        <f>IFERROR(INDEX('Input - Convenience'!J$2:J$200,MATCH('Calculations - Convenience'!$C95,'Input - Convenience'!$B$2:$B$200,0)),"")</f>
        <v>0</v>
      </c>
      <c r="L95" s="20">
        <f>IFERROR(INDEX('Input - Convenience'!K$2:K$200,MATCH('Calculations - Convenience'!$C95,'Input - Convenience'!$B$2:$B$200,0)),"")</f>
        <v>0</v>
      </c>
      <c r="M95" s="21" t="str">
        <f t="shared" si="64"/>
        <v/>
      </c>
      <c r="N95" s="21" t="str">
        <f t="shared" si="48"/>
        <v/>
      </c>
      <c r="O95" s="21">
        <f t="shared" si="65"/>
        <v>0</v>
      </c>
      <c r="P95" s="9">
        <f t="shared" si="79"/>
        <v>0</v>
      </c>
      <c r="Q95" s="9">
        <f t="shared" si="80"/>
        <v>0</v>
      </c>
      <c r="R95" s="22" t="str">
        <f>IFERROR(INDEX(Convenience!$N$11:$N$148,MATCH('Calculations - Convenience'!$C95,Convenience!$J$11:$J$148,0)),"")</f>
        <v/>
      </c>
      <c r="S95" s="22" t="str">
        <f>IFERROR(INDEX(Convenience!$O$11:$O$148,MATCH('Calculations - Convenience'!$C95,Convenience!$J$11:$J$148,0)),"")</f>
        <v/>
      </c>
      <c r="T95" s="16" t="e">
        <f t="shared" si="51"/>
        <v>#VALUE!</v>
      </c>
      <c r="U95" s="16" t="e">
        <f t="shared" si="66"/>
        <v>#VALUE!</v>
      </c>
      <c r="V95" s="16" t="e">
        <f t="shared" si="67"/>
        <v>#VALUE!</v>
      </c>
      <c r="W95" s="10" t="str">
        <f t="shared" si="52"/>
        <v>-</v>
      </c>
      <c r="X95" s="10" t="str">
        <f t="shared" si="53"/>
        <v>-</v>
      </c>
      <c r="Y95" s="13" t="str">
        <f t="shared" si="68"/>
        <v>-</v>
      </c>
      <c r="Z95" s="9" t="str">
        <f t="shared" si="54"/>
        <v>-</v>
      </c>
      <c r="AA95" s="16" t="str">
        <f t="shared" si="69"/>
        <v>-</v>
      </c>
      <c r="AB95" s="16" t="str">
        <f t="shared" si="55"/>
        <v>-</v>
      </c>
      <c r="AC95" s="16" t="str">
        <f t="shared" si="56"/>
        <v>-</v>
      </c>
      <c r="AD95" s="16" t="str">
        <f t="shared" si="70"/>
        <v>-</v>
      </c>
      <c r="AE95" s="16"/>
      <c r="AF95" s="31" t="str">
        <f>IFERROR(INDEX(Convenience!$M$11:$M$148,MATCH('Calculations - Convenience'!C95,Convenience!$J$11:$J$148,0)),"")</f>
        <v/>
      </c>
      <c r="AG95" s="23" t="str">
        <f t="shared" si="71"/>
        <v/>
      </c>
      <c r="AH95" s="23" t="str">
        <f t="shared" si="71"/>
        <v/>
      </c>
      <c r="AI95" s="9" t="str">
        <f t="shared" si="57"/>
        <v/>
      </c>
      <c r="AJ95" s="4" t="str">
        <f t="shared" si="58"/>
        <v/>
      </c>
      <c r="AK95" s="4"/>
      <c r="AL95" s="4"/>
      <c r="AM95" s="4"/>
      <c r="AN95" s="4"/>
      <c r="AO95" s="4"/>
      <c r="AP95" s="20" t="str">
        <f t="shared" si="59"/>
        <v>-</v>
      </c>
      <c r="AQ95" s="13" t="str">
        <f t="shared" si="72"/>
        <v>-</v>
      </c>
      <c r="AR95" s="13" t="str">
        <f t="shared" si="73"/>
        <v>-</v>
      </c>
      <c r="AS95" s="13" t="str">
        <f t="shared" si="60"/>
        <v>-</v>
      </c>
      <c r="AT95" s="16" t="str">
        <f t="shared" si="74"/>
        <v>-</v>
      </c>
      <c r="AU95" s="16" t="str">
        <f t="shared" si="61"/>
        <v>-</v>
      </c>
      <c r="AV95" s="16" t="str">
        <f t="shared" si="62"/>
        <v>-</v>
      </c>
      <c r="AW95" s="16" t="str">
        <f t="shared" si="75"/>
        <v>-</v>
      </c>
      <c r="AX95" s="13" t="str">
        <f t="shared" si="76"/>
        <v>-</v>
      </c>
      <c r="AY95" s="10" t="str">
        <f t="shared" si="77"/>
        <v>-</v>
      </c>
      <c r="AZ95" s="9" t="str">
        <f t="shared" si="78"/>
        <v>-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</row>
    <row r="96" spans="2:68" x14ac:dyDescent="0.3">
      <c r="B96" s="108" t="str">
        <f t="shared" si="63"/>
        <v/>
      </c>
      <c r="C96" s="108" t="str">
        <f t="shared" ref="C96:C159" si="81">IFERROR(D96&amp;E96&amp;F96,"")</f>
        <v/>
      </c>
      <c r="D96" s="3"/>
      <c r="E96" s="3"/>
      <c r="F96" s="3"/>
      <c r="G96" s="20">
        <f>IFERROR(INDEX('Input - Convenience'!F$2:F$200,MATCH('Calculations - Convenience'!$C96,'Input - Convenience'!$B$2:$B$200,0)),"")</f>
        <v>0</v>
      </c>
      <c r="H96" s="20">
        <f>IFERROR(INDEX('Input - Convenience'!G$2:G$200,MATCH('Calculations - Convenience'!$C96,'Input - Convenience'!$B$2:$B$200,0)),"")</f>
        <v>0</v>
      </c>
      <c r="I96" s="21">
        <f>IFERROR(INDEX('Input - Convenience'!H$2:H$200,MATCH('Calculations - Convenience'!$C96,'Input - Convenience'!$B$2:$B$200,0)),"")</f>
        <v>0</v>
      </c>
      <c r="J96" s="21">
        <f>IFERROR(INDEX('Input - Convenience'!I$2:I$200,MATCH('Calculations - Convenience'!$C96,'Input - Convenience'!$B$2:$B$200,0)),"")</f>
        <v>0</v>
      </c>
      <c r="K96" s="20">
        <f>IFERROR(INDEX('Input - Convenience'!J$2:J$200,MATCH('Calculations - Convenience'!$C96,'Input - Convenience'!$B$2:$B$200,0)),"")</f>
        <v>0</v>
      </c>
      <c r="L96" s="20">
        <f>IFERROR(INDEX('Input - Convenience'!K$2:K$200,MATCH('Calculations - Convenience'!$C96,'Input - Convenience'!$B$2:$B$200,0)),"")</f>
        <v>0</v>
      </c>
      <c r="M96" s="21" t="str">
        <f t="shared" si="64"/>
        <v/>
      </c>
      <c r="N96" s="21" t="str">
        <f t="shared" ref="N96:N159" si="82">IFERROR(K96/L96,"")</f>
        <v/>
      </c>
      <c r="O96" s="21">
        <f t="shared" si="65"/>
        <v>0</v>
      </c>
      <c r="P96" s="9">
        <f t="shared" si="79"/>
        <v>0</v>
      </c>
      <c r="Q96" s="9">
        <f t="shared" si="80"/>
        <v>0</v>
      </c>
      <c r="R96" s="22" t="str">
        <f>IFERROR(INDEX(Convenience!$N$11:$N$148,MATCH('Calculations - Convenience'!$C96,Convenience!$J$11:$J$148,0)),"")</f>
        <v/>
      </c>
      <c r="S96" s="22" t="str">
        <f>IFERROR(INDEX(Convenience!$O$11:$O$148,MATCH('Calculations - Convenience'!$C96,Convenience!$J$11:$J$148,0)),"")</f>
        <v/>
      </c>
      <c r="T96" s="16" t="e">
        <f t="shared" ref="T96:T159" si="83">R96*G96</f>
        <v>#VALUE!</v>
      </c>
      <c r="U96" s="16" t="e">
        <f t="shared" si="66"/>
        <v>#VALUE!</v>
      </c>
      <c r="V96" s="16" t="e">
        <f t="shared" si="67"/>
        <v>#VALUE!</v>
      </c>
      <c r="W96" s="10" t="str">
        <f t="shared" ref="W96:W159" si="84">IFERROR(V96/H96,"-")</f>
        <v>-</v>
      </c>
      <c r="X96" s="10" t="str">
        <f t="shared" ref="X96:X159" si="85">IFERROR((J96+M96)*H96*0.5,"-")</f>
        <v>-</v>
      </c>
      <c r="Y96" s="13" t="str">
        <f t="shared" si="68"/>
        <v>-</v>
      </c>
      <c r="Z96" s="9" t="str">
        <f t="shared" ref="Z96:Z159" si="86">IFERROR(Y96-P96,"-")</f>
        <v>-</v>
      </c>
      <c r="AA96" s="16" t="str">
        <f t="shared" si="69"/>
        <v>-</v>
      </c>
      <c r="AB96" s="16" t="str">
        <f t="shared" ref="AB96:AB159" si="87">IFERROR(AA96/M96,"-")</f>
        <v>-</v>
      </c>
      <c r="AC96" s="16" t="str">
        <f t="shared" ref="AC96:AC159" si="88">IFERROR(R96*AA96,"-")</f>
        <v>-</v>
      </c>
      <c r="AD96" s="16" t="str">
        <f t="shared" si="70"/>
        <v>-</v>
      </c>
      <c r="AE96" s="16"/>
      <c r="AF96" s="31" t="str">
        <f>IFERROR(INDEX(Convenience!$M$11:$M$148,MATCH('Calculations - Convenience'!C96,Convenience!$J$11:$J$148,0)),"")</f>
        <v/>
      </c>
      <c r="AG96" s="23" t="str">
        <f t="shared" si="71"/>
        <v/>
      </c>
      <c r="AH96" s="23" t="str">
        <f t="shared" si="71"/>
        <v/>
      </c>
      <c r="AI96" s="9" t="str">
        <f t="shared" ref="AI96:AI159" si="89">IFERROR((AF96-M96)/M96,"")</f>
        <v/>
      </c>
      <c r="AJ96" s="4" t="str">
        <f t="shared" ref="AJ96:AJ159" si="90">IFERROR(MAX((1+AI96*O96/5)*H96,0),"")</f>
        <v/>
      </c>
      <c r="AK96" s="4"/>
      <c r="AL96" s="4"/>
      <c r="AM96" s="4"/>
      <c r="AN96" s="4"/>
      <c r="AO96" s="4"/>
      <c r="AP96" s="20" t="str">
        <f t="shared" ref="AP96:AP159" si="91">IFERROR(0.5*(J96+AF96)*AJ96,"-")</f>
        <v>-</v>
      </c>
      <c r="AQ96" s="13" t="str">
        <f t="shared" si="72"/>
        <v>-</v>
      </c>
      <c r="AR96" s="13" t="str">
        <f t="shared" si="73"/>
        <v>-</v>
      </c>
      <c r="AS96" s="13" t="str">
        <f t="shared" ref="AS96:AS159" si="92">IFERROR(AR96-P96,"-")</f>
        <v>-</v>
      </c>
      <c r="AT96" s="16" t="str">
        <f t="shared" si="74"/>
        <v>-</v>
      </c>
      <c r="AU96" s="16" t="str">
        <f t="shared" ref="AU96:AU159" si="93">IFERROR(AT96/AF96,"-")</f>
        <v>-</v>
      </c>
      <c r="AV96" s="16" t="str">
        <f t="shared" ref="AV96:AV159" si="94">IFERROR(AG96*AT96,"-")</f>
        <v>-</v>
      </c>
      <c r="AW96" s="16" t="str">
        <f t="shared" si="75"/>
        <v>-</v>
      </c>
      <c r="AX96" s="13" t="str">
        <f t="shared" si="76"/>
        <v>-</v>
      </c>
      <c r="AY96" s="10" t="str">
        <f t="shared" si="77"/>
        <v>-</v>
      </c>
      <c r="AZ96" s="9" t="str">
        <f t="shared" si="78"/>
        <v>-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</row>
    <row r="97" spans="2:68" x14ac:dyDescent="0.3">
      <c r="B97" s="108" t="str">
        <f t="shared" ref="B97:B160" si="95">IFERROR(D97&amp;E97,"")</f>
        <v/>
      </c>
      <c r="C97" s="108" t="str">
        <f t="shared" si="81"/>
        <v/>
      </c>
      <c r="D97" s="3"/>
      <c r="E97" s="3"/>
      <c r="F97" s="3"/>
      <c r="G97" s="20">
        <f>IFERROR(INDEX('Input - Convenience'!F$2:F$200,MATCH('Calculations - Convenience'!$C97,'Input - Convenience'!$B$2:$B$200,0)),"")</f>
        <v>0</v>
      </c>
      <c r="H97" s="20">
        <f>IFERROR(INDEX('Input - Convenience'!G$2:G$200,MATCH('Calculations - Convenience'!$C97,'Input - Convenience'!$B$2:$B$200,0)),"")</f>
        <v>0</v>
      </c>
      <c r="I97" s="21">
        <f>IFERROR(INDEX('Input - Convenience'!H$2:H$200,MATCH('Calculations - Convenience'!$C97,'Input - Convenience'!$B$2:$B$200,0)),"")</f>
        <v>0</v>
      </c>
      <c r="J97" s="21">
        <f>IFERROR(INDEX('Input - Convenience'!I$2:I$200,MATCH('Calculations - Convenience'!$C97,'Input - Convenience'!$B$2:$B$200,0)),"")</f>
        <v>0</v>
      </c>
      <c r="K97" s="20">
        <f>IFERROR(INDEX('Input - Convenience'!J$2:J$200,MATCH('Calculations - Convenience'!$C97,'Input - Convenience'!$B$2:$B$200,0)),"")</f>
        <v>0</v>
      </c>
      <c r="L97" s="20">
        <f>IFERROR(INDEX('Input - Convenience'!K$2:K$200,MATCH('Calculations - Convenience'!$C97,'Input - Convenience'!$B$2:$B$200,0)),"")</f>
        <v>0</v>
      </c>
      <c r="M97" s="21" t="str">
        <f t="shared" ref="M97:M160" si="96">IFERROR(G97/H97,"")</f>
        <v/>
      </c>
      <c r="N97" s="21" t="str">
        <f t="shared" si="82"/>
        <v/>
      </c>
      <c r="O97" s="21">
        <f t="shared" ref="O97:O160" si="97">IFERROR((M97/(M97-J97)*5),0)</f>
        <v>0</v>
      </c>
      <c r="P97" s="9">
        <f t="shared" si="79"/>
        <v>0</v>
      </c>
      <c r="Q97" s="9">
        <f t="shared" si="80"/>
        <v>0</v>
      </c>
      <c r="R97" s="22" t="str">
        <f>IFERROR(INDEX(Convenience!$N$11:$N$148,MATCH('Calculations - Convenience'!$C97,Convenience!$J$11:$J$148,0)),"")</f>
        <v/>
      </c>
      <c r="S97" s="22" t="str">
        <f>IFERROR(INDEX(Convenience!$O$11:$O$148,MATCH('Calculations - Convenience'!$C97,Convenience!$J$11:$J$148,0)),"")</f>
        <v/>
      </c>
      <c r="T97" s="16" t="e">
        <f t="shared" si="83"/>
        <v>#VALUE!</v>
      </c>
      <c r="U97" s="16" t="e">
        <f t="shared" ref="U97:U160" si="98">S97*T97</f>
        <v>#VALUE!</v>
      </c>
      <c r="V97" s="16" t="e">
        <f t="shared" ref="V97:V160" si="99">T97-U97</f>
        <v>#VALUE!</v>
      </c>
      <c r="W97" s="10" t="str">
        <f t="shared" si="84"/>
        <v>-</v>
      </c>
      <c r="X97" s="10" t="str">
        <f t="shared" si="85"/>
        <v>-</v>
      </c>
      <c r="Y97" s="13" t="str">
        <f t="shared" ref="Y97:Y160" si="100">IFERROR(X97/$X$30,"-")</f>
        <v>-</v>
      </c>
      <c r="Z97" s="9" t="str">
        <f t="shared" si="86"/>
        <v>-</v>
      </c>
      <c r="AA97" s="16" t="str">
        <f t="shared" ref="AA97:AA160" si="101">IFERROR(Y97*$G$30,"-")</f>
        <v>-</v>
      </c>
      <c r="AB97" s="16" t="str">
        <f t="shared" si="87"/>
        <v>-</v>
      </c>
      <c r="AC97" s="16" t="str">
        <f t="shared" si="88"/>
        <v>-</v>
      </c>
      <c r="AD97" s="16" t="str">
        <f t="shared" ref="AD97:AD160" si="102">IFERROR(AC97-(W97)*AB97,"-")</f>
        <v>-</v>
      </c>
      <c r="AE97" s="16"/>
      <c r="AF97" s="31" t="str">
        <f>IFERROR(INDEX(Convenience!$M$11:$M$148,MATCH('Calculations - Convenience'!C97,Convenience!$J$11:$J$148,0)),"")</f>
        <v/>
      </c>
      <c r="AG97" s="23" t="str">
        <f t="shared" ref="AG97:AH160" si="103">R97</f>
        <v/>
      </c>
      <c r="AH97" s="23" t="str">
        <f t="shared" si="103"/>
        <v/>
      </c>
      <c r="AI97" s="9" t="str">
        <f t="shared" si="89"/>
        <v/>
      </c>
      <c r="AJ97" s="4" t="str">
        <f t="shared" si="90"/>
        <v/>
      </c>
      <c r="AK97" s="4"/>
      <c r="AL97" s="4"/>
      <c r="AM97" s="4"/>
      <c r="AN97" s="4"/>
      <c r="AO97" s="4"/>
      <c r="AP97" s="20" t="str">
        <f t="shared" si="91"/>
        <v>-</v>
      </c>
      <c r="AQ97" s="13" t="str">
        <f t="shared" ref="AQ97:AQ160" si="104">IFERROR(AP97/AP$30,"-")</f>
        <v>-</v>
      </c>
      <c r="AR97" s="13" t="str">
        <f t="shared" ref="AR97:AR160" si="105">IFERROR(AQ97*$P$30,"-")</f>
        <v>-</v>
      </c>
      <c r="AS97" s="13" t="str">
        <f t="shared" si="92"/>
        <v>-</v>
      </c>
      <c r="AT97" s="16" t="str">
        <f t="shared" ref="AT97:AT160" si="106">IFERROR(AR97*AO$32,"-")</f>
        <v>-</v>
      </c>
      <c r="AU97" s="16" t="str">
        <f t="shared" si="93"/>
        <v>-</v>
      </c>
      <c r="AV97" s="16" t="str">
        <f t="shared" si="94"/>
        <v>-</v>
      </c>
      <c r="AW97" s="16" t="str">
        <f t="shared" ref="AW97:AW160" si="107">IFERROR(AV97-(W97*AU97),"-")</f>
        <v>-</v>
      </c>
      <c r="AX97" s="13" t="str">
        <f t="shared" ref="AX97:AX160" si="108">IFERROR(AU97/SUMIFS($AU$32:$AU$229,$B$32:$B$229,$B97),"-")</f>
        <v>-</v>
      </c>
      <c r="AY97" s="10" t="str">
        <f t="shared" ref="AY97:AY160" si="109">IFERROR(AX97*INDEX($AU$4:$AU$24,MATCH($B97,$D$4:$D$24,0)),"-")</f>
        <v>-</v>
      </c>
      <c r="AZ97" s="9" t="str">
        <f t="shared" ref="AZ97:AZ160" si="110">IFERROR(AY97/SUM($AY$32:$AY$229),"-")</f>
        <v>-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</row>
    <row r="98" spans="2:68" x14ac:dyDescent="0.3">
      <c r="B98" s="108" t="str">
        <f t="shared" si="95"/>
        <v/>
      </c>
      <c r="C98" s="108" t="str">
        <f t="shared" si="81"/>
        <v/>
      </c>
      <c r="D98" s="3"/>
      <c r="E98" s="3"/>
      <c r="F98" s="3"/>
      <c r="G98" s="20">
        <f>IFERROR(INDEX('Input - Convenience'!F$2:F$200,MATCH('Calculations - Convenience'!$C98,'Input - Convenience'!$B$2:$B$200,0)),"")</f>
        <v>0</v>
      </c>
      <c r="H98" s="20">
        <f>IFERROR(INDEX('Input - Convenience'!G$2:G$200,MATCH('Calculations - Convenience'!$C98,'Input - Convenience'!$B$2:$B$200,0)),"")</f>
        <v>0</v>
      </c>
      <c r="I98" s="21">
        <f>IFERROR(INDEX('Input - Convenience'!H$2:H$200,MATCH('Calculations - Convenience'!$C98,'Input - Convenience'!$B$2:$B$200,0)),"")</f>
        <v>0</v>
      </c>
      <c r="J98" s="21">
        <f>IFERROR(INDEX('Input - Convenience'!I$2:I$200,MATCH('Calculations - Convenience'!$C98,'Input - Convenience'!$B$2:$B$200,0)),"")</f>
        <v>0</v>
      </c>
      <c r="K98" s="20">
        <f>IFERROR(INDEX('Input - Convenience'!J$2:J$200,MATCH('Calculations - Convenience'!$C98,'Input - Convenience'!$B$2:$B$200,0)),"")</f>
        <v>0</v>
      </c>
      <c r="L98" s="20">
        <f>IFERROR(INDEX('Input - Convenience'!K$2:K$200,MATCH('Calculations - Convenience'!$C98,'Input - Convenience'!$B$2:$B$200,0)),"")</f>
        <v>0</v>
      </c>
      <c r="M98" s="21" t="str">
        <f t="shared" si="96"/>
        <v/>
      </c>
      <c r="N98" s="21" t="str">
        <f t="shared" si="82"/>
        <v/>
      </c>
      <c r="O98" s="21">
        <f t="shared" si="97"/>
        <v>0</v>
      </c>
      <c r="P98" s="9">
        <f t="shared" si="79"/>
        <v>0</v>
      </c>
      <c r="Q98" s="9">
        <f t="shared" si="80"/>
        <v>0</v>
      </c>
      <c r="R98" s="22" t="str">
        <f>IFERROR(INDEX(Convenience!$N$11:$N$148,MATCH('Calculations - Convenience'!$C98,Convenience!$J$11:$J$148,0)),"")</f>
        <v/>
      </c>
      <c r="S98" s="22" t="str">
        <f>IFERROR(INDEX(Convenience!$O$11:$O$148,MATCH('Calculations - Convenience'!$C98,Convenience!$J$11:$J$148,0)),"")</f>
        <v/>
      </c>
      <c r="T98" s="16" t="e">
        <f t="shared" si="83"/>
        <v>#VALUE!</v>
      </c>
      <c r="U98" s="16" t="e">
        <f t="shared" si="98"/>
        <v>#VALUE!</v>
      </c>
      <c r="V98" s="16" t="e">
        <f t="shared" si="99"/>
        <v>#VALUE!</v>
      </c>
      <c r="W98" s="10" t="str">
        <f t="shared" si="84"/>
        <v>-</v>
      </c>
      <c r="X98" s="10" t="str">
        <f t="shared" si="85"/>
        <v>-</v>
      </c>
      <c r="Y98" s="13" t="str">
        <f t="shared" si="100"/>
        <v>-</v>
      </c>
      <c r="Z98" s="9" t="str">
        <f t="shared" si="86"/>
        <v>-</v>
      </c>
      <c r="AA98" s="16" t="str">
        <f t="shared" si="101"/>
        <v>-</v>
      </c>
      <c r="AB98" s="16" t="str">
        <f t="shared" si="87"/>
        <v>-</v>
      </c>
      <c r="AC98" s="16" t="str">
        <f t="shared" si="88"/>
        <v>-</v>
      </c>
      <c r="AD98" s="16" t="str">
        <f t="shared" si="102"/>
        <v>-</v>
      </c>
      <c r="AE98" s="16"/>
      <c r="AF98" s="31" t="str">
        <f>IFERROR(INDEX(Convenience!$M$11:$M$148,MATCH('Calculations - Convenience'!C98,Convenience!$J$11:$J$148,0)),"")</f>
        <v/>
      </c>
      <c r="AG98" s="23" t="str">
        <f t="shared" si="103"/>
        <v/>
      </c>
      <c r="AH98" s="23" t="str">
        <f t="shared" si="103"/>
        <v/>
      </c>
      <c r="AI98" s="9" t="str">
        <f t="shared" si="89"/>
        <v/>
      </c>
      <c r="AJ98" s="4" t="str">
        <f t="shared" si="90"/>
        <v/>
      </c>
      <c r="AK98" s="4"/>
      <c r="AL98" s="4"/>
      <c r="AM98" s="4"/>
      <c r="AN98" s="4"/>
      <c r="AO98" s="4"/>
      <c r="AP98" s="20" t="str">
        <f t="shared" si="91"/>
        <v>-</v>
      </c>
      <c r="AQ98" s="13" t="str">
        <f t="shared" si="104"/>
        <v>-</v>
      </c>
      <c r="AR98" s="13" t="str">
        <f t="shared" si="105"/>
        <v>-</v>
      </c>
      <c r="AS98" s="13" t="str">
        <f t="shared" si="92"/>
        <v>-</v>
      </c>
      <c r="AT98" s="16" t="str">
        <f t="shared" si="106"/>
        <v>-</v>
      </c>
      <c r="AU98" s="16" t="str">
        <f t="shared" si="93"/>
        <v>-</v>
      </c>
      <c r="AV98" s="16" t="str">
        <f t="shared" si="94"/>
        <v>-</v>
      </c>
      <c r="AW98" s="16" t="str">
        <f t="shared" si="107"/>
        <v>-</v>
      </c>
      <c r="AX98" s="13" t="str">
        <f t="shared" si="108"/>
        <v>-</v>
      </c>
      <c r="AY98" s="10" t="str">
        <f t="shared" si="109"/>
        <v>-</v>
      </c>
      <c r="AZ98" s="9" t="str">
        <f t="shared" si="110"/>
        <v>-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</row>
    <row r="99" spans="2:68" x14ac:dyDescent="0.3">
      <c r="B99" s="108" t="str">
        <f t="shared" si="95"/>
        <v/>
      </c>
      <c r="C99" s="108" t="str">
        <f t="shared" si="81"/>
        <v/>
      </c>
      <c r="D99" s="3"/>
      <c r="E99" s="3"/>
      <c r="F99" s="3"/>
      <c r="G99" s="20">
        <f>IFERROR(INDEX('Input - Convenience'!F$2:F$200,MATCH('Calculations - Convenience'!$C99,'Input - Convenience'!$B$2:$B$200,0)),"")</f>
        <v>0</v>
      </c>
      <c r="H99" s="20">
        <f>IFERROR(INDEX('Input - Convenience'!G$2:G$200,MATCH('Calculations - Convenience'!$C99,'Input - Convenience'!$B$2:$B$200,0)),"")</f>
        <v>0</v>
      </c>
      <c r="I99" s="21">
        <f>IFERROR(INDEX('Input - Convenience'!H$2:H$200,MATCH('Calculations - Convenience'!$C99,'Input - Convenience'!$B$2:$B$200,0)),"")</f>
        <v>0</v>
      </c>
      <c r="J99" s="21">
        <f>IFERROR(INDEX('Input - Convenience'!I$2:I$200,MATCH('Calculations - Convenience'!$C99,'Input - Convenience'!$B$2:$B$200,0)),"")</f>
        <v>0</v>
      </c>
      <c r="K99" s="20">
        <f>IFERROR(INDEX('Input - Convenience'!J$2:J$200,MATCH('Calculations - Convenience'!$C99,'Input - Convenience'!$B$2:$B$200,0)),"")</f>
        <v>0</v>
      </c>
      <c r="L99" s="20">
        <f>IFERROR(INDEX('Input - Convenience'!K$2:K$200,MATCH('Calculations - Convenience'!$C99,'Input - Convenience'!$B$2:$B$200,0)),"")</f>
        <v>0</v>
      </c>
      <c r="M99" s="21" t="str">
        <f t="shared" si="96"/>
        <v/>
      </c>
      <c r="N99" s="21" t="str">
        <f t="shared" si="82"/>
        <v/>
      </c>
      <c r="O99" s="21">
        <f t="shared" si="97"/>
        <v>0</v>
      </c>
      <c r="P99" s="9">
        <f t="shared" si="79"/>
        <v>0</v>
      </c>
      <c r="Q99" s="9">
        <f t="shared" si="80"/>
        <v>0</v>
      </c>
      <c r="R99" s="22" t="str">
        <f>IFERROR(INDEX(Convenience!$N$11:$N$148,MATCH('Calculations - Convenience'!$C99,Convenience!$J$11:$J$148,0)),"")</f>
        <v/>
      </c>
      <c r="S99" s="22" t="str">
        <f>IFERROR(INDEX(Convenience!$O$11:$O$148,MATCH('Calculations - Convenience'!$C99,Convenience!$J$11:$J$148,0)),"")</f>
        <v/>
      </c>
      <c r="T99" s="16" t="e">
        <f t="shared" si="83"/>
        <v>#VALUE!</v>
      </c>
      <c r="U99" s="16" t="e">
        <f t="shared" si="98"/>
        <v>#VALUE!</v>
      </c>
      <c r="V99" s="16" t="e">
        <f t="shared" si="99"/>
        <v>#VALUE!</v>
      </c>
      <c r="W99" s="10" t="str">
        <f t="shared" si="84"/>
        <v>-</v>
      </c>
      <c r="X99" s="10" t="str">
        <f t="shared" si="85"/>
        <v>-</v>
      </c>
      <c r="Y99" s="13" t="str">
        <f t="shared" si="100"/>
        <v>-</v>
      </c>
      <c r="Z99" s="9" t="str">
        <f t="shared" si="86"/>
        <v>-</v>
      </c>
      <c r="AA99" s="16" t="str">
        <f t="shared" si="101"/>
        <v>-</v>
      </c>
      <c r="AB99" s="16" t="str">
        <f t="shared" si="87"/>
        <v>-</v>
      </c>
      <c r="AC99" s="16" t="str">
        <f t="shared" si="88"/>
        <v>-</v>
      </c>
      <c r="AD99" s="16" t="str">
        <f t="shared" si="102"/>
        <v>-</v>
      </c>
      <c r="AE99" s="16"/>
      <c r="AF99" s="31" t="str">
        <f>IFERROR(INDEX(Convenience!$M$11:$M$148,MATCH('Calculations - Convenience'!C99,Convenience!$J$11:$J$148,0)),"")</f>
        <v/>
      </c>
      <c r="AG99" s="23" t="str">
        <f t="shared" si="103"/>
        <v/>
      </c>
      <c r="AH99" s="23" t="str">
        <f t="shared" si="103"/>
        <v/>
      </c>
      <c r="AI99" s="9" t="str">
        <f t="shared" si="89"/>
        <v/>
      </c>
      <c r="AJ99" s="4" t="str">
        <f t="shared" si="90"/>
        <v/>
      </c>
      <c r="AK99" s="4"/>
      <c r="AL99" s="4"/>
      <c r="AM99" s="4"/>
      <c r="AN99" s="4"/>
      <c r="AO99" s="4"/>
      <c r="AP99" s="20" t="str">
        <f t="shared" si="91"/>
        <v>-</v>
      </c>
      <c r="AQ99" s="13" t="str">
        <f t="shared" si="104"/>
        <v>-</v>
      </c>
      <c r="AR99" s="13" t="str">
        <f t="shared" si="105"/>
        <v>-</v>
      </c>
      <c r="AS99" s="13" t="str">
        <f t="shared" si="92"/>
        <v>-</v>
      </c>
      <c r="AT99" s="16" t="str">
        <f t="shared" si="106"/>
        <v>-</v>
      </c>
      <c r="AU99" s="16" t="str">
        <f t="shared" si="93"/>
        <v>-</v>
      </c>
      <c r="AV99" s="16" t="str">
        <f t="shared" si="94"/>
        <v>-</v>
      </c>
      <c r="AW99" s="16" t="str">
        <f t="shared" si="107"/>
        <v>-</v>
      </c>
      <c r="AX99" s="13" t="str">
        <f t="shared" si="108"/>
        <v>-</v>
      </c>
      <c r="AY99" s="10" t="str">
        <f t="shared" si="109"/>
        <v>-</v>
      </c>
      <c r="AZ99" s="9" t="str">
        <f t="shared" si="110"/>
        <v>-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</row>
    <row r="100" spans="2:68" x14ac:dyDescent="0.3">
      <c r="B100" s="108" t="str">
        <f t="shared" si="95"/>
        <v/>
      </c>
      <c r="C100" s="108" t="str">
        <f t="shared" si="81"/>
        <v/>
      </c>
      <c r="D100" s="3"/>
      <c r="E100" s="3"/>
      <c r="F100" s="3"/>
      <c r="G100" s="20">
        <f>IFERROR(INDEX('Input - Convenience'!F$2:F$200,MATCH('Calculations - Convenience'!$C100,'Input - Convenience'!$B$2:$B$200,0)),"")</f>
        <v>0</v>
      </c>
      <c r="H100" s="20">
        <f>IFERROR(INDEX('Input - Convenience'!G$2:G$200,MATCH('Calculations - Convenience'!$C100,'Input - Convenience'!$B$2:$B$200,0)),"")</f>
        <v>0</v>
      </c>
      <c r="I100" s="21">
        <f>IFERROR(INDEX('Input - Convenience'!H$2:H$200,MATCH('Calculations - Convenience'!$C100,'Input - Convenience'!$B$2:$B$200,0)),"")</f>
        <v>0</v>
      </c>
      <c r="J100" s="21">
        <f>IFERROR(INDEX('Input - Convenience'!I$2:I$200,MATCH('Calculations - Convenience'!$C100,'Input - Convenience'!$B$2:$B$200,0)),"")</f>
        <v>0</v>
      </c>
      <c r="K100" s="20">
        <f>IFERROR(INDEX('Input - Convenience'!J$2:J$200,MATCH('Calculations - Convenience'!$C100,'Input - Convenience'!$B$2:$B$200,0)),"")</f>
        <v>0</v>
      </c>
      <c r="L100" s="20">
        <f>IFERROR(INDEX('Input - Convenience'!K$2:K$200,MATCH('Calculations - Convenience'!$C100,'Input - Convenience'!$B$2:$B$200,0)),"")</f>
        <v>0</v>
      </c>
      <c r="M100" s="21" t="str">
        <f t="shared" si="96"/>
        <v/>
      </c>
      <c r="N100" s="21" t="str">
        <f t="shared" si="82"/>
        <v/>
      </c>
      <c r="O100" s="21">
        <f t="shared" si="97"/>
        <v>0</v>
      </c>
      <c r="P100" s="9">
        <f t="shared" si="79"/>
        <v>0</v>
      </c>
      <c r="Q100" s="9">
        <f t="shared" si="80"/>
        <v>0</v>
      </c>
      <c r="R100" s="22" t="str">
        <f>IFERROR(INDEX(Convenience!$N$11:$N$148,MATCH('Calculations - Convenience'!$C100,Convenience!$J$11:$J$148,0)),"")</f>
        <v/>
      </c>
      <c r="S100" s="22" t="str">
        <f>IFERROR(INDEX(Convenience!$O$11:$O$148,MATCH('Calculations - Convenience'!$C100,Convenience!$J$11:$J$148,0)),"")</f>
        <v/>
      </c>
      <c r="T100" s="16" t="e">
        <f t="shared" si="83"/>
        <v>#VALUE!</v>
      </c>
      <c r="U100" s="16" t="e">
        <f t="shared" si="98"/>
        <v>#VALUE!</v>
      </c>
      <c r="V100" s="16" t="e">
        <f t="shared" si="99"/>
        <v>#VALUE!</v>
      </c>
      <c r="W100" s="10" t="str">
        <f t="shared" si="84"/>
        <v>-</v>
      </c>
      <c r="X100" s="10" t="str">
        <f t="shared" si="85"/>
        <v>-</v>
      </c>
      <c r="Y100" s="13" t="str">
        <f t="shared" si="100"/>
        <v>-</v>
      </c>
      <c r="Z100" s="9" t="str">
        <f t="shared" si="86"/>
        <v>-</v>
      </c>
      <c r="AA100" s="16" t="str">
        <f t="shared" si="101"/>
        <v>-</v>
      </c>
      <c r="AB100" s="16" t="str">
        <f t="shared" si="87"/>
        <v>-</v>
      </c>
      <c r="AC100" s="16" t="str">
        <f t="shared" si="88"/>
        <v>-</v>
      </c>
      <c r="AD100" s="16" t="str">
        <f t="shared" si="102"/>
        <v>-</v>
      </c>
      <c r="AE100" s="16"/>
      <c r="AF100" s="31" t="str">
        <f>IFERROR(INDEX(Convenience!$M$11:$M$148,MATCH('Calculations - Convenience'!C100,Convenience!$J$11:$J$148,0)),"")</f>
        <v/>
      </c>
      <c r="AG100" s="23" t="str">
        <f t="shared" si="103"/>
        <v/>
      </c>
      <c r="AH100" s="23" t="str">
        <f t="shared" si="103"/>
        <v/>
      </c>
      <c r="AI100" s="9" t="str">
        <f t="shared" si="89"/>
        <v/>
      </c>
      <c r="AJ100" s="4" t="str">
        <f t="shared" si="90"/>
        <v/>
      </c>
      <c r="AK100" s="4"/>
      <c r="AL100" s="4"/>
      <c r="AM100" s="4"/>
      <c r="AN100" s="4"/>
      <c r="AO100" s="4"/>
      <c r="AP100" s="20" t="str">
        <f t="shared" si="91"/>
        <v>-</v>
      </c>
      <c r="AQ100" s="13" t="str">
        <f t="shared" si="104"/>
        <v>-</v>
      </c>
      <c r="AR100" s="13" t="str">
        <f t="shared" si="105"/>
        <v>-</v>
      </c>
      <c r="AS100" s="13" t="str">
        <f t="shared" si="92"/>
        <v>-</v>
      </c>
      <c r="AT100" s="16" t="str">
        <f t="shared" si="106"/>
        <v>-</v>
      </c>
      <c r="AU100" s="16" t="str">
        <f t="shared" si="93"/>
        <v>-</v>
      </c>
      <c r="AV100" s="16" t="str">
        <f t="shared" si="94"/>
        <v>-</v>
      </c>
      <c r="AW100" s="16" t="str">
        <f t="shared" si="107"/>
        <v>-</v>
      </c>
      <c r="AX100" s="13" t="str">
        <f t="shared" si="108"/>
        <v>-</v>
      </c>
      <c r="AY100" s="10" t="str">
        <f t="shared" si="109"/>
        <v>-</v>
      </c>
      <c r="AZ100" s="9" t="str">
        <f t="shared" si="110"/>
        <v>-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</row>
    <row r="101" spans="2:68" x14ac:dyDescent="0.3">
      <c r="B101" s="108" t="str">
        <f t="shared" si="95"/>
        <v/>
      </c>
      <c r="C101" s="108" t="str">
        <f t="shared" si="81"/>
        <v/>
      </c>
      <c r="D101" s="3"/>
      <c r="E101" s="3"/>
      <c r="F101" s="3"/>
      <c r="G101" s="20">
        <f>IFERROR(INDEX('Input - Convenience'!F$2:F$200,MATCH('Calculations - Convenience'!$C101,'Input - Convenience'!$B$2:$B$200,0)),"")</f>
        <v>0</v>
      </c>
      <c r="H101" s="20">
        <f>IFERROR(INDEX('Input - Convenience'!G$2:G$200,MATCH('Calculations - Convenience'!$C101,'Input - Convenience'!$B$2:$B$200,0)),"")</f>
        <v>0</v>
      </c>
      <c r="I101" s="21">
        <f>IFERROR(INDEX('Input - Convenience'!H$2:H$200,MATCH('Calculations - Convenience'!$C101,'Input - Convenience'!$B$2:$B$200,0)),"")</f>
        <v>0</v>
      </c>
      <c r="J101" s="21">
        <f>IFERROR(INDEX('Input - Convenience'!I$2:I$200,MATCH('Calculations - Convenience'!$C101,'Input - Convenience'!$B$2:$B$200,0)),"")</f>
        <v>0</v>
      </c>
      <c r="K101" s="20">
        <f>IFERROR(INDEX('Input - Convenience'!J$2:J$200,MATCH('Calculations - Convenience'!$C101,'Input - Convenience'!$B$2:$B$200,0)),"")</f>
        <v>0</v>
      </c>
      <c r="L101" s="20">
        <f>IFERROR(INDEX('Input - Convenience'!K$2:K$200,MATCH('Calculations - Convenience'!$C101,'Input - Convenience'!$B$2:$B$200,0)),"")</f>
        <v>0</v>
      </c>
      <c r="M101" s="21" t="str">
        <f t="shared" si="96"/>
        <v/>
      </c>
      <c r="N101" s="21" t="str">
        <f t="shared" si="82"/>
        <v/>
      </c>
      <c r="O101" s="21">
        <f t="shared" si="97"/>
        <v>0</v>
      </c>
      <c r="P101" s="9">
        <f t="shared" si="79"/>
        <v>0</v>
      </c>
      <c r="Q101" s="9">
        <f t="shared" si="80"/>
        <v>0</v>
      </c>
      <c r="R101" s="22" t="str">
        <f>IFERROR(INDEX(Convenience!$N$11:$N$148,MATCH('Calculations - Convenience'!$C101,Convenience!$J$11:$J$148,0)),"")</f>
        <v/>
      </c>
      <c r="S101" s="22" t="str">
        <f>IFERROR(INDEX(Convenience!$O$11:$O$148,MATCH('Calculations - Convenience'!$C101,Convenience!$J$11:$J$148,0)),"")</f>
        <v/>
      </c>
      <c r="T101" s="16" t="e">
        <f t="shared" si="83"/>
        <v>#VALUE!</v>
      </c>
      <c r="U101" s="16" t="e">
        <f t="shared" si="98"/>
        <v>#VALUE!</v>
      </c>
      <c r="V101" s="16" t="e">
        <f t="shared" si="99"/>
        <v>#VALUE!</v>
      </c>
      <c r="W101" s="10" t="str">
        <f t="shared" si="84"/>
        <v>-</v>
      </c>
      <c r="X101" s="10" t="str">
        <f t="shared" si="85"/>
        <v>-</v>
      </c>
      <c r="Y101" s="13" t="str">
        <f t="shared" si="100"/>
        <v>-</v>
      </c>
      <c r="Z101" s="9" t="str">
        <f t="shared" si="86"/>
        <v>-</v>
      </c>
      <c r="AA101" s="16" t="str">
        <f t="shared" si="101"/>
        <v>-</v>
      </c>
      <c r="AB101" s="16" t="str">
        <f t="shared" si="87"/>
        <v>-</v>
      </c>
      <c r="AC101" s="16" t="str">
        <f t="shared" si="88"/>
        <v>-</v>
      </c>
      <c r="AD101" s="16" t="str">
        <f t="shared" si="102"/>
        <v>-</v>
      </c>
      <c r="AE101" s="16"/>
      <c r="AF101" s="31" t="str">
        <f>IFERROR(INDEX(Convenience!$M$11:$M$148,MATCH('Calculations - Convenience'!C101,Convenience!$J$11:$J$148,0)),"")</f>
        <v/>
      </c>
      <c r="AG101" s="23" t="str">
        <f t="shared" si="103"/>
        <v/>
      </c>
      <c r="AH101" s="23" t="str">
        <f t="shared" si="103"/>
        <v/>
      </c>
      <c r="AI101" s="9" t="str">
        <f t="shared" si="89"/>
        <v/>
      </c>
      <c r="AJ101" s="4" t="str">
        <f t="shared" si="90"/>
        <v/>
      </c>
      <c r="AK101" s="4"/>
      <c r="AL101" s="4"/>
      <c r="AM101" s="4"/>
      <c r="AN101" s="4"/>
      <c r="AO101" s="4"/>
      <c r="AP101" s="20" t="str">
        <f t="shared" si="91"/>
        <v>-</v>
      </c>
      <c r="AQ101" s="13" t="str">
        <f t="shared" si="104"/>
        <v>-</v>
      </c>
      <c r="AR101" s="13" t="str">
        <f t="shared" si="105"/>
        <v>-</v>
      </c>
      <c r="AS101" s="13" t="str">
        <f t="shared" si="92"/>
        <v>-</v>
      </c>
      <c r="AT101" s="16" t="str">
        <f t="shared" si="106"/>
        <v>-</v>
      </c>
      <c r="AU101" s="16" t="str">
        <f t="shared" si="93"/>
        <v>-</v>
      </c>
      <c r="AV101" s="16" t="str">
        <f t="shared" si="94"/>
        <v>-</v>
      </c>
      <c r="AW101" s="16" t="str">
        <f t="shared" si="107"/>
        <v>-</v>
      </c>
      <c r="AX101" s="13" t="str">
        <f t="shared" si="108"/>
        <v>-</v>
      </c>
      <c r="AY101" s="10" t="str">
        <f t="shared" si="109"/>
        <v>-</v>
      </c>
      <c r="AZ101" s="9" t="str">
        <f t="shared" si="110"/>
        <v>-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</row>
    <row r="102" spans="2:68" x14ac:dyDescent="0.3">
      <c r="B102" s="108" t="str">
        <f t="shared" si="95"/>
        <v/>
      </c>
      <c r="C102" s="108" t="str">
        <f t="shared" si="81"/>
        <v/>
      </c>
      <c r="D102" s="3"/>
      <c r="E102" s="3"/>
      <c r="F102" s="3"/>
      <c r="G102" s="20">
        <f>IFERROR(INDEX('Input - Convenience'!F$2:F$200,MATCH('Calculations - Convenience'!$C102,'Input - Convenience'!$B$2:$B$200,0)),"")</f>
        <v>0</v>
      </c>
      <c r="H102" s="20">
        <f>IFERROR(INDEX('Input - Convenience'!G$2:G$200,MATCH('Calculations - Convenience'!$C102,'Input - Convenience'!$B$2:$B$200,0)),"")</f>
        <v>0</v>
      </c>
      <c r="I102" s="21">
        <f>IFERROR(INDEX('Input - Convenience'!H$2:H$200,MATCH('Calculations - Convenience'!$C102,'Input - Convenience'!$B$2:$B$200,0)),"")</f>
        <v>0</v>
      </c>
      <c r="J102" s="21">
        <f>IFERROR(INDEX('Input - Convenience'!I$2:I$200,MATCH('Calculations - Convenience'!$C102,'Input - Convenience'!$B$2:$B$200,0)),"")</f>
        <v>0</v>
      </c>
      <c r="K102" s="20">
        <f>IFERROR(INDEX('Input - Convenience'!J$2:J$200,MATCH('Calculations - Convenience'!$C102,'Input - Convenience'!$B$2:$B$200,0)),"")</f>
        <v>0</v>
      </c>
      <c r="L102" s="20">
        <f>IFERROR(INDEX('Input - Convenience'!K$2:K$200,MATCH('Calculations - Convenience'!$C102,'Input - Convenience'!$B$2:$B$200,0)),"")</f>
        <v>0</v>
      </c>
      <c r="M102" s="21" t="str">
        <f t="shared" si="96"/>
        <v/>
      </c>
      <c r="N102" s="21" t="str">
        <f t="shared" si="82"/>
        <v/>
      </c>
      <c r="O102" s="21">
        <f t="shared" si="97"/>
        <v>0</v>
      </c>
      <c r="P102" s="9">
        <f t="shared" si="79"/>
        <v>0</v>
      </c>
      <c r="Q102" s="9">
        <f t="shared" si="80"/>
        <v>0</v>
      </c>
      <c r="R102" s="22" t="str">
        <f>IFERROR(INDEX(Convenience!$N$11:$N$148,MATCH('Calculations - Convenience'!$C102,Convenience!$J$11:$J$148,0)),"")</f>
        <v/>
      </c>
      <c r="S102" s="22" t="str">
        <f>IFERROR(INDEX(Convenience!$O$11:$O$148,MATCH('Calculations - Convenience'!$C102,Convenience!$J$11:$J$148,0)),"")</f>
        <v/>
      </c>
      <c r="T102" s="16" t="e">
        <f t="shared" si="83"/>
        <v>#VALUE!</v>
      </c>
      <c r="U102" s="16" t="e">
        <f t="shared" si="98"/>
        <v>#VALUE!</v>
      </c>
      <c r="V102" s="16" t="e">
        <f t="shared" si="99"/>
        <v>#VALUE!</v>
      </c>
      <c r="W102" s="10" t="str">
        <f t="shared" si="84"/>
        <v>-</v>
      </c>
      <c r="X102" s="10" t="str">
        <f t="shared" si="85"/>
        <v>-</v>
      </c>
      <c r="Y102" s="13" t="str">
        <f t="shared" si="100"/>
        <v>-</v>
      </c>
      <c r="Z102" s="9" t="str">
        <f t="shared" si="86"/>
        <v>-</v>
      </c>
      <c r="AA102" s="16" t="str">
        <f t="shared" si="101"/>
        <v>-</v>
      </c>
      <c r="AB102" s="16" t="str">
        <f t="shared" si="87"/>
        <v>-</v>
      </c>
      <c r="AC102" s="16" t="str">
        <f t="shared" si="88"/>
        <v>-</v>
      </c>
      <c r="AD102" s="16" t="str">
        <f t="shared" si="102"/>
        <v>-</v>
      </c>
      <c r="AE102" s="16"/>
      <c r="AF102" s="31" t="str">
        <f>IFERROR(INDEX(Convenience!$M$11:$M$148,MATCH('Calculations - Convenience'!C102,Convenience!$J$11:$J$148,0)),"")</f>
        <v/>
      </c>
      <c r="AG102" s="23" t="str">
        <f t="shared" si="103"/>
        <v/>
      </c>
      <c r="AH102" s="23" t="str">
        <f t="shared" si="103"/>
        <v/>
      </c>
      <c r="AI102" s="9" t="str">
        <f t="shared" si="89"/>
        <v/>
      </c>
      <c r="AJ102" s="4" t="str">
        <f t="shared" si="90"/>
        <v/>
      </c>
      <c r="AK102" s="4"/>
      <c r="AL102" s="4"/>
      <c r="AM102" s="4"/>
      <c r="AN102" s="4"/>
      <c r="AO102" s="4"/>
      <c r="AP102" s="20" t="str">
        <f t="shared" si="91"/>
        <v>-</v>
      </c>
      <c r="AQ102" s="13" t="str">
        <f t="shared" si="104"/>
        <v>-</v>
      </c>
      <c r="AR102" s="13" t="str">
        <f t="shared" si="105"/>
        <v>-</v>
      </c>
      <c r="AS102" s="13" t="str">
        <f t="shared" si="92"/>
        <v>-</v>
      </c>
      <c r="AT102" s="16" t="str">
        <f t="shared" si="106"/>
        <v>-</v>
      </c>
      <c r="AU102" s="16" t="str">
        <f t="shared" si="93"/>
        <v>-</v>
      </c>
      <c r="AV102" s="16" t="str">
        <f t="shared" si="94"/>
        <v>-</v>
      </c>
      <c r="AW102" s="16" t="str">
        <f t="shared" si="107"/>
        <v>-</v>
      </c>
      <c r="AX102" s="13" t="str">
        <f t="shared" si="108"/>
        <v>-</v>
      </c>
      <c r="AY102" s="10" t="str">
        <f t="shared" si="109"/>
        <v>-</v>
      </c>
      <c r="AZ102" s="9" t="str">
        <f t="shared" si="110"/>
        <v>-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</row>
    <row r="103" spans="2:68" x14ac:dyDescent="0.3">
      <c r="B103" s="108" t="str">
        <f t="shared" si="95"/>
        <v/>
      </c>
      <c r="C103" s="108" t="str">
        <f t="shared" si="81"/>
        <v/>
      </c>
      <c r="D103" s="3"/>
      <c r="E103" s="3"/>
      <c r="F103" s="3"/>
      <c r="G103" s="20">
        <f>IFERROR(INDEX('Input - Convenience'!F$2:F$200,MATCH('Calculations - Convenience'!$C103,'Input - Convenience'!$B$2:$B$200,0)),"")</f>
        <v>0</v>
      </c>
      <c r="H103" s="20">
        <f>IFERROR(INDEX('Input - Convenience'!G$2:G$200,MATCH('Calculations - Convenience'!$C103,'Input - Convenience'!$B$2:$B$200,0)),"")</f>
        <v>0</v>
      </c>
      <c r="I103" s="21">
        <f>IFERROR(INDEX('Input - Convenience'!H$2:H$200,MATCH('Calculations - Convenience'!$C103,'Input - Convenience'!$B$2:$B$200,0)),"")</f>
        <v>0</v>
      </c>
      <c r="J103" s="21">
        <f>IFERROR(INDEX('Input - Convenience'!I$2:I$200,MATCH('Calculations - Convenience'!$C103,'Input - Convenience'!$B$2:$B$200,0)),"")</f>
        <v>0</v>
      </c>
      <c r="K103" s="20">
        <f>IFERROR(INDEX('Input - Convenience'!J$2:J$200,MATCH('Calculations - Convenience'!$C103,'Input - Convenience'!$B$2:$B$200,0)),"")</f>
        <v>0</v>
      </c>
      <c r="L103" s="20">
        <f>IFERROR(INDEX('Input - Convenience'!K$2:K$200,MATCH('Calculations - Convenience'!$C103,'Input - Convenience'!$B$2:$B$200,0)),"")</f>
        <v>0</v>
      </c>
      <c r="M103" s="21" t="str">
        <f t="shared" si="96"/>
        <v/>
      </c>
      <c r="N103" s="21" t="str">
        <f t="shared" si="82"/>
        <v/>
      </c>
      <c r="O103" s="21">
        <f t="shared" si="97"/>
        <v>0</v>
      </c>
      <c r="P103" s="9">
        <f t="shared" si="79"/>
        <v>0</v>
      </c>
      <c r="Q103" s="9">
        <f t="shared" si="80"/>
        <v>0</v>
      </c>
      <c r="R103" s="22" t="str">
        <f>IFERROR(INDEX(Convenience!$N$11:$N$148,MATCH('Calculations - Convenience'!$C103,Convenience!$J$11:$J$148,0)),"")</f>
        <v/>
      </c>
      <c r="S103" s="22" t="str">
        <f>IFERROR(INDEX(Convenience!$O$11:$O$148,MATCH('Calculations - Convenience'!$C103,Convenience!$J$11:$J$148,0)),"")</f>
        <v/>
      </c>
      <c r="T103" s="16" t="e">
        <f t="shared" si="83"/>
        <v>#VALUE!</v>
      </c>
      <c r="U103" s="16" t="e">
        <f t="shared" si="98"/>
        <v>#VALUE!</v>
      </c>
      <c r="V103" s="16" t="e">
        <f t="shared" si="99"/>
        <v>#VALUE!</v>
      </c>
      <c r="W103" s="10" t="str">
        <f t="shared" si="84"/>
        <v>-</v>
      </c>
      <c r="X103" s="10" t="str">
        <f t="shared" si="85"/>
        <v>-</v>
      </c>
      <c r="Y103" s="13" t="str">
        <f t="shared" si="100"/>
        <v>-</v>
      </c>
      <c r="Z103" s="9" t="str">
        <f t="shared" si="86"/>
        <v>-</v>
      </c>
      <c r="AA103" s="16" t="str">
        <f t="shared" si="101"/>
        <v>-</v>
      </c>
      <c r="AB103" s="16" t="str">
        <f t="shared" si="87"/>
        <v>-</v>
      </c>
      <c r="AC103" s="16" t="str">
        <f t="shared" si="88"/>
        <v>-</v>
      </c>
      <c r="AD103" s="16" t="str">
        <f t="shared" si="102"/>
        <v>-</v>
      </c>
      <c r="AE103" s="16"/>
      <c r="AF103" s="31" t="str">
        <f>IFERROR(INDEX(Convenience!$M$11:$M$148,MATCH('Calculations - Convenience'!C103,Convenience!$J$11:$J$148,0)),"")</f>
        <v/>
      </c>
      <c r="AG103" s="23" t="str">
        <f t="shared" si="103"/>
        <v/>
      </c>
      <c r="AH103" s="23" t="str">
        <f t="shared" si="103"/>
        <v/>
      </c>
      <c r="AI103" s="9" t="str">
        <f t="shared" si="89"/>
        <v/>
      </c>
      <c r="AJ103" s="4" t="str">
        <f t="shared" si="90"/>
        <v/>
      </c>
      <c r="AK103" s="4"/>
      <c r="AL103" s="4"/>
      <c r="AM103" s="4"/>
      <c r="AN103" s="4"/>
      <c r="AO103" s="4"/>
      <c r="AP103" s="20" t="str">
        <f t="shared" si="91"/>
        <v>-</v>
      </c>
      <c r="AQ103" s="13" t="str">
        <f t="shared" si="104"/>
        <v>-</v>
      </c>
      <c r="AR103" s="13" t="str">
        <f t="shared" si="105"/>
        <v>-</v>
      </c>
      <c r="AS103" s="13" t="str">
        <f t="shared" si="92"/>
        <v>-</v>
      </c>
      <c r="AT103" s="16" t="str">
        <f t="shared" si="106"/>
        <v>-</v>
      </c>
      <c r="AU103" s="16" t="str">
        <f t="shared" si="93"/>
        <v>-</v>
      </c>
      <c r="AV103" s="16" t="str">
        <f t="shared" si="94"/>
        <v>-</v>
      </c>
      <c r="AW103" s="16" t="str">
        <f t="shared" si="107"/>
        <v>-</v>
      </c>
      <c r="AX103" s="13" t="str">
        <f t="shared" si="108"/>
        <v>-</v>
      </c>
      <c r="AY103" s="10" t="str">
        <f t="shared" si="109"/>
        <v>-</v>
      </c>
      <c r="AZ103" s="9" t="str">
        <f t="shared" si="110"/>
        <v>-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</row>
    <row r="104" spans="2:68" x14ac:dyDescent="0.3">
      <c r="B104" s="108" t="str">
        <f t="shared" si="95"/>
        <v/>
      </c>
      <c r="C104" s="108" t="str">
        <f t="shared" si="81"/>
        <v/>
      </c>
      <c r="D104" s="3"/>
      <c r="E104" s="3"/>
      <c r="F104" s="3"/>
      <c r="G104" s="20">
        <f>IFERROR(INDEX('Input - Convenience'!F$2:F$200,MATCH('Calculations - Convenience'!$C104,'Input - Convenience'!$B$2:$B$200,0)),"")</f>
        <v>0</v>
      </c>
      <c r="H104" s="20">
        <f>IFERROR(INDEX('Input - Convenience'!G$2:G$200,MATCH('Calculations - Convenience'!$C104,'Input - Convenience'!$B$2:$B$200,0)),"")</f>
        <v>0</v>
      </c>
      <c r="I104" s="21">
        <f>IFERROR(INDEX('Input - Convenience'!H$2:H$200,MATCH('Calculations - Convenience'!$C104,'Input - Convenience'!$B$2:$B$200,0)),"")</f>
        <v>0</v>
      </c>
      <c r="J104" s="21">
        <f>IFERROR(INDEX('Input - Convenience'!I$2:I$200,MATCH('Calculations - Convenience'!$C104,'Input - Convenience'!$B$2:$B$200,0)),"")</f>
        <v>0</v>
      </c>
      <c r="K104" s="20">
        <f>IFERROR(INDEX('Input - Convenience'!J$2:J$200,MATCH('Calculations - Convenience'!$C104,'Input - Convenience'!$B$2:$B$200,0)),"")</f>
        <v>0</v>
      </c>
      <c r="L104" s="20">
        <f>IFERROR(INDEX('Input - Convenience'!K$2:K$200,MATCH('Calculations - Convenience'!$C104,'Input - Convenience'!$B$2:$B$200,0)),"")</f>
        <v>0</v>
      </c>
      <c r="M104" s="21" t="str">
        <f t="shared" si="96"/>
        <v/>
      </c>
      <c r="N104" s="21" t="str">
        <f t="shared" si="82"/>
        <v/>
      </c>
      <c r="O104" s="21">
        <f t="shared" si="97"/>
        <v>0</v>
      </c>
      <c r="P104" s="9">
        <f t="shared" si="79"/>
        <v>0</v>
      </c>
      <c r="Q104" s="9">
        <f t="shared" si="80"/>
        <v>0</v>
      </c>
      <c r="R104" s="22" t="str">
        <f>IFERROR(INDEX(Convenience!$N$11:$N$148,MATCH('Calculations - Convenience'!$C104,Convenience!$J$11:$J$148,0)),"")</f>
        <v/>
      </c>
      <c r="S104" s="22" t="str">
        <f>IFERROR(INDEX(Convenience!$O$11:$O$148,MATCH('Calculations - Convenience'!$C104,Convenience!$J$11:$J$148,0)),"")</f>
        <v/>
      </c>
      <c r="T104" s="16" t="e">
        <f t="shared" si="83"/>
        <v>#VALUE!</v>
      </c>
      <c r="U104" s="16" t="e">
        <f t="shared" si="98"/>
        <v>#VALUE!</v>
      </c>
      <c r="V104" s="16" t="e">
        <f t="shared" si="99"/>
        <v>#VALUE!</v>
      </c>
      <c r="W104" s="10" t="str">
        <f t="shared" si="84"/>
        <v>-</v>
      </c>
      <c r="X104" s="10" t="str">
        <f t="shared" si="85"/>
        <v>-</v>
      </c>
      <c r="Y104" s="13" t="str">
        <f t="shared" si="100"/>
        <v>-</v>
      </c>
      <c r="Z104" s="9" t="str">
        <f t="shared" si="86"/>
        <v>-</v>
      </c>
      <c r="AA104" s="16" t="str">
        <f t="shared" si="101"/>
        <v>-</v>
      </c>
      <c r="AB104" s="16" t="str">
        <f t="shared" si="87"/>
        <v>-</v>
      </c>
      <c r="AC104" s="16" t="str">
        <f t="shared" si="88"/>
        <v>-</v>
      </c>
      <c r="AD104" s="16" t="str">
        <f t="shared" si="102"/>
        <v>-</v>
      </c>
      <c r="AE104" s="16"/>
      <c r="AF104" s="31" t="str">
        <f>IFERROR(INDEX(Convenience!$M$11:$M$148,MATCH('Calculations - Convenience'!C104,Convenience!$J$11:$J$148,0)),"")</f>
        <v/>
      </c>
      <c r="AG104" s="23" t="str">
        <f t="shared" si="103"/>
        <v/>
      </c>
      <c r="AH104" s="23" t="str">
        <f t="shared" si="103"/>
        <v/>
      </c>
      <c r="AI104" s="9" t="str">
        <f t="shared" si="89"/>
        <v/>
      </c>
      <c r="AJ104" s="4" t="str">
        <f t="shared" si="90"/>
        <v/>
      </c>
      <c r="AK104" s="4"/>
      <c r="AL104" s="4"/>
      <c r="AM104" s="4"/>
      <c r="AN104" s="4"/>
      <c r="AO104" s="4"/>
      <c r="AP104" s="20" t="str">
        <f t="shared" si="91"/>
        <v>-</v>
      </c>
      <c r="AQ104" s="13" t="str">
        <f t="shared" si="104"/>
        <v>-</v>
      </c>
      <c r="AR104" s="13" t="str">
        <f t="shared" si="105"/>
        <v>-</v>
      </c>
      <c r="AS104" s="13" t="str">
        <f t="shared" si="92"/>
        <v>-</v>
      </c>
      <c r="AT104" s="16" t="str">
        <f t="shared" si="106"/>
        <v>-</v>
      </c>
      <c r="AU104" s="16" t="str">
        <f t="shared" si="93"/>
        <v>-</v>
      </c>
      <c r="AV104" s="16" t="str">
        <f t="shared" si="94"/>
        <v>-</v>
      </c>
      <c r="AW104" s="16" t="str">
        <f t="shared" si="107"/>
        <v>-</v>
      </c>
      <c r="AX104" s="13" t="str">
        <f t="shared" si="108"/>
        <v>-</v>
      </c>
      <c r="AY104" s="10" t="str">
        <f t="shared" si="109"/>
        <v>-</v>
      </c>
      <c r="AZ104" s="9" t="str">
        <f t="shared" si="110"/>
        <v>-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</row>
    <row r="105" spans="2:68" x14ac:dyDescent="0.3">
      <c r="B105" s="108" t="str">
        <f t="shared" si="95"/>
        <v/>
      </c>
      <c r="C105" s="108" t="str">
        <f t="shared" si="81"/>
        <v/>
      </c>
      <c r="D105" s="3"/>
      <c r="E105" s="3"/>
      <c r="F105" s="3"/>
      <c r="G105" s="20">
        <f>IFERROR(INDEX('Input - Convenience'!F$2:F$200,MATCH('Calculations - Convenience'!$C105,'Input - Convenience'!$B$2:$B$200,0)),"")</f>
        <v>0</v>
      </c>
      <c r="H105" s="20">
        <f>IFERROR(INDEX('Input - Convenience'!G$2:G$200,MATCH('Calculations - Convenience'!$C105,'Input - Convenience'!$B$2:$B$200,0)),"")</f>
        <v>0</v>
      </c>
      <c r="I105" s="21">
        <f>IFERROR(INDEX('Input - Convenience'!H$2:H$200,MATCH('Calculations - Convenience'!$C105,'Input - Convenience'!$B$2:$B$200,0)),"")</f>
        <v>0</v>
      </c>
      <c r="J105" s="21">
        <f>IFERROR(INDEX('Input - Convenience'!I$2:I$200,MATCH('Calculations - Convenience'!$C105,'Input - Convenience'!$B$2:$B$200,0)),"")</f>
        <v>0</v>
      </c>
      <c r="K105" s="20">
        <f>IFERROR(INDEX('Input - Convenience'!J$2:J$200,MATCH('Calculations - Convenience'!$C105,'Input - Convenience'!$B$2:$B$200,0)),"")</f>
        <v>0</v>
      </c>
      <c r="L105" s="20">
        <f>IFERROR(INDEX('Input - Convenience'!K$2:K$200,MATCH('Calculations - Convenience'!$C105,'Input - Convenience'!$B$2:$B$200,0)),"")</f>
        <v>0</v>
      </c>
      <c r="M105" s="21" t="str">
        <f t="shared" si="96"/>
        <v/>
      </c>
      <c r="N105" s="21" t="str">
        <f t="shared" si="82"/>
        <v/>
      </c>
      <c r="O105" s="21">
        <f t="shared" si="97"/>
        <v>0</v>
      </c>
      <c r="P105" s="9">
        <f t="shared" si="79"/>
        <v>0</v>
      </c>
      <c r="Q105" s="9">
        <f t="shared" si="80"/>
        <v>0</v>
      </c>
      <c r="R105" s="22" t="str">
        <f>IFERROR(INDEX(Convenience!$N$11:$N$148,MATCH('Calculations - Convenience'!$C105,Convenience!$J$11:$J$148,0)),"")</f>
        <v/>
      </c>
      <c r="S105" s="22" t="str">
        <f>IFERROR(INDEX(Convenience!$O$11:$O$148,MATCH('Calculations - Convenience'!$C105,Convenience!$J$11:$J$148,0)),"")</f>
        <v/>
      </c>
      <c r="T105" s="16" t="e">
        <f t="shared" si="83"/>
        <v>#VALUE!</v>
      </c>
      <c r="U105" s="16" t="e">
        <f t="shared" si="98"/>
        <v>#VALUE!</v>
      </c>
      <c r="V105" s="16" t="e">
        <f t="shared" si="99"/>
        <v>#VALUE!</v>
      </c>
      <c r="W105" s="10" t="str">
        <f t="shared" si="84"/>
        <v>-</v>
      </c>
      <c r="X105" s="10" t="str">
        <f t="shared" si="85"/>
        <v>-</v>
      </c>
      <c r="Y105" s="13" t="str">
        <f t="shared" si="100"/>
        <v>-</v>
      </c>
      <c r="Z105" s="9" t="str">
        <f t="shared" si="86"/>
        <v>-</v>
      </c>
      <c r="AA105" s="16" t="str">
        <f t="shared" si="101"/>
        <v>-</v>
      </c>
      <c r="AB105" s="16" t="str">
        <f t="shared" si="87"/>
        <v>-</v>
      </c>
      <c r="AC105" s="16" t="str">
        <f t="shared" si="88"/>
        <v>-</v>
      </c>
      <c r="AD105" s="16" t="str">
        <f t="shared" si="102"/>
        <v>-</v>
      </c>
      <c r="AE105" s="16"/>
      <c r="AF105" s="31" t="str">
        <f>IFERROR(INDEX(Convenience!$M$11:$M$148,MATCH('Calculations - Convenience'!C105,Convenience!$J$11:$J$148,0)),"")</f>
        <v/>
      </c>
      <c r="AG105" s="23" t="str">
        <f t="shared" si="103"/>
        <v/>
      </c>
      <c r="AH105" s="23" t="str">
        <f t="shared" si="103"/>
        <v/>
      </c>
      <c r="AI105" s="9" t="str">
        <f t="shared" si="89"/>
        <v/>
      </c>
      <c r="AJ105" s="4" t="str">
        <f t="shared" si="90"/>
        <v/>
      </c>
      <c r="AK105" s="4"/>
      <c r="AL105" s="4"/>
      <c r="AM105" s="4"/>
      <c r="AN105" s="4"/>
      <c r="AO105" s="4"/>
      <c r="AP105" s="20" t="str">
        <f t="shared" si="91"/>
        <v>-</v>
      </c>
      <c r="AQ105" s="13" t="str">
        <f t="shared" si="104"/>
        <v>-</v>
      </c>
      <c r="AR105" s="13" t="str">
        <f t="shared" si="105"/>
        <v>-</v>
      </c>
      <c r="AS105" s="13" t="str">
        <f t="shared" si="92"/>
        <v>-</v>
      </c>
      <c r="AT105" s="16" t="str">
        <f t="shared" si="106"/>
        <v>-</v>
      </c>
      <c r="AU105" s="16" t="str">
        <f t="shared" si="93"/>
        <v>-</v>
      </c>
      <c r="AV105" s="16" t="str">
        <f t="shared" si="94"/>
        <v>-</v>
      </c>
      <c r="AW105" s="16" t="str">
        <f t="shared" si="107"/>
        <v>-</v>
      </c>
      <c r="AX105" s="13" t="str">
        <f t="shared" si="108"/>
        <v>-</v>
      </c>
      <c r="AY105" s="10" t="str">
        <f t="shared" si="109"/>
        <v>-</v>
      </c>
      <c r="AZ105" s="9" t="str">
        <f t="shared" si="110"/>
        <v>-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</row>
    <row r="106" spans="2:68" x14ac:dyDescent="0.3">
      <c r="B106" s="108" t="str">
        <f t="shared" si="95"/>
        <v/>
      </c>
      <c r="C106" s="108" t="str">
        <f t="shared" si="81"/>
        <v/>
      </c>
      <c r="D106" s="3"/>
      <c r="E106" s="3"/>
      <c r="F106" s="3"/>
      <c r="G106" s="20">
        <f>IFERROR(INDEX('Input - Convenience'!F$2:F$200,MATCH('Calculations - Convenience'!$C106,'Input - Convenience'!$B$2:$B$200,0)),"")</f>
        <v>0</v>
      </c>
      <c r="H106" s="20">
        <f>IFERROR(INDEX('Input - Convenience'!G$2:G$200,MATCH('Calculations - Convenience'!$C106,'Input - Convenience'!$B$2:$B$200,0)),"")</f>
        <v>0</v>
      </c>
      <c r="I106" s="21">
        <f>IFERROR(INDEX('Input - Convenience'!H$2:H$200,MATCH('Calculations - Convenience'!$C106,'Input - Convenience'!$B$2:$B$200,0)),"")</f>
        <v>0</v>
      </c>
      <c r="J106" s="21">
        <f>IFERROR(INDEX('Input - Convenience'!I$2:I$200,MATCH('Calculations - Convenience'!$C106,'Input - Convenience'!$B$2:$B$200,0)),"")</f>
        <v>0</v>
      </c>
      <c r="K106" s="20">
        <f>IFERROR(INDEX('Input - Convenience'!J$2:J$200,MATCH('Calculations - Convenience'!$C106,'Input - Convenience'!$B$2:$B$200,0)),"")</f>
        <v>0</v>
      </c>
      <c r="L106" s="20">
        <f>IFERROR(INDEX('Input - Convenience'!K$2:K$200,MATCH('Calculations - Convenience'!$C106,'Input - Convenience'!$B$2:$B$200,0)),"")</f>
        <v>0</v>
      </c>
      <c r="M106" s="21" t="str">
        <f t="shared" si="96"/>
        <v/>
      </c>
      <c r="N106" s="21" t="str">
        <f t="shared" si="82"/>
        <v/>
      </c>
      <c r="O106" s="21">
        <f t="shared" si="97"/>
        <v>0</v>
      </c>
      <c r="P106" s="9">
        <f t="shared" si="79"/>
        <v>0</v>
      </c>
      <c r="Q106" s="9">
        <f t="shared" si="80"/>
        <v>0</v>
      </c>
      <c r="R106" s="22" t="str">
        <f>IFERROR(INDEX(Convenience!$N$11:$N$148,MATCH('Calculations - Convenience'!$C106,Convenience!$J$11:$J$148,0)),"")</f>
        <v/>
      </c>
      <c r="S106" s="22" t="str">
        <f>IFERROR(INDEX(Convenience!$O$11:$O$148,MATCH('Calculations - Convenience'!$C106,Convenience!$J$11:$J$148,0)),"")</f>
        <v/>
      </c>
      <c r="T106" s="16" t="e">
        <f t="shared" si="83"/>
        <v>#VALUE!</v>
      </c>
      <c r="U106" s="16" t="e">
        <f t="shared" si="98"/>
        <v>#VALUE!</v>
      </c>
      <c r="V106" s="16" t="e">
        <f t="shared" si="99"/>
        <v>#VALUE!</v>
      </c>
      <c r="W106" s="10" t="str">
        <f t="shared" si="84"/>
        <v>-</v>
      </c>
      <c r="X106" s="10" t="str">
        <f t="shared" si="85"/>
        <v>-</v>
      </c>
      <c r="Y106" s="13" t="str">
        <f t="shared" si="100"/>
        <v>-</v>
      </c>
      <c r="Z106" s="9" t="str">
        <f t="shared" si="86"/>
        <v>-</v>
      </c>
      <c r="AA106" s="16" t="str">
        <f t="shared" si="101"/>
        <v>-</v>
      </c>
      <c r="AB106" s="16" t="str">
        <f t="shared" si="87"/>
        <v>-</v>
      </c>
      <c r="AC106" s="16" t="str">
        <f t="shared" si="88"/>
        <v>-</v>
      </c>
      <c r="AD106" s="16" t="str">
        <f t="shared" si="102"/>
        <v>-</v>
      </c>
      <c r="AE106" s="16"/>
      <c r="AF106" s="31" t="str">
        <f>IFERROR(INDEX(Convenience!$M$11:$M$148,MATCH('Calculations - Convenience'!C106,Convenience!$J$11:$J$148,0)),"")</f>
        <v/>
      </c>
      <c r="AG106" s="23" t="str">
        <f t="shared" si="103"/>
        <v/>
      </c>
      <c r="AH106" s="23" t="str">
        <f t="shared" si="103"/>
        <v/>
      </c>
      <c r="AI106" s="9" t="str">
        <f t="shared" si="89"/>
        <v/>
      </c>
      <c r="AJ106" s="4" t="str">
        <f t="shared" si="90"/>
        <v/>
      </c>
      <c r="AK106" s="4"/>
      <c r="AL106" s="4"/>
      <c r="AM106" s="4"/>
      <c r="AN106" s="4"/>
      <c r="AO106" s="4"/>
      <c r="AP106" s="20" t="str">
        <f t="shared" si="91"/>
        <v>-</v>
      </c>
      <c r="AQ106" s="13" t="str">
        <f t="shared" si="104"/>
        <v>-</v>
      </c>
      <c r="AR106" s="13" t="str">
        <f t="shared" si="105"/>
        <v>-</v>
      </c>
      <c r="AS106" s="13" t="str">
        <f t="shared" si="92"/>
        <v>-</v>
      </c>
      <c r="AT106" s="16" t="str">
        <f t="shared" si="106"/>
        <v>-</v>
      </c>
      <c r="AU106" s="16" t="str">
        <f t="shared" si="93"/>
        <v>-</v>
      </c>
      <c r="AV106" s="16" t="str">
        <f t="shared" si="94"/>
        <v>-</v>
      </c>
      <c r="AW106" s="16" t="str">
        <f t="shared" si="107"/>
        <v>-</v>
      </c>
      <c r="AX106" s="13" t="str">
        <f t="shared" si="108"/>
        <v>-</v>
      </c>
      <c r="AY106" s="10" t="str">
        <f t="shared" si="109"/>
        <v>-</v>
      </c>
      <c r="AZ106" s="9" t="str">
        <f t="shared" si="110"/>
        <v>-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</row>
    <row r="107" spans="2:68" x14ac:dyDescent="0.3">
      <c r="B107" s="108" t="str">
        <f t="shared" si="95"/>
        <v/>
      </c>
      <c r="C107" s="108" t="str">
        <f t="shared" si="81"/>
        <v/>
      </c>
      <c r="D107" s="3"/>
      <c r="E107" s="3"/>
      <c r="F107" s="3"/>
      <c r="G107" s="20">
        <f>IFERROR(INDEX('Input - Convenience'!F$2:F$200,MATCH('Calculations - Convenience'!$C107,'Input - Convenience'!$B$2:$B$200,0)),"")</f>
        <v>0</v>
      </c>
      <c r="H107" s="20">
        <f>IFERROR(INDEX('Input - Convenience'!G$2:G$200,MATCH('Calculations - Convenience'!$C107,'Input - Convenience'!$B$2:$B$200,0)),"")</f>
        <v>0</v>
      </c>
      <c r="I107" s="21">
        <f>IFERROR(INDEX('Input - Convenience'!H$2:H$200,MATCH('Calculations - Convenience'!$C107,'Input - Convenience'!$B$2:$B$200,0)),"")</f>
        <v>0</v>
      </c>
      <c r="J107" s="21">
        <f>IFERROR(INDEX('Input - Convenience'!I$2:I$200,MATCH('Calculations - Convenience'!$C107,'Input - Convenience'!$B$2:$B$200,0)),"")</f>
        <v>0</v>
      </c>
      <c r="K107" s="20">
        <f>IFERROR(INDEX('Input - Convenience'!J$2:J$200,MATCH('Calculations - Convenience'!$C107,'Input - Convenience'!$B$2:$B$200,0)),"")</f>
        <v>0</v>
      </c>
      <c r="L107" s="20">
        <f>IFERROR(INDEX('Input - Convenience'!K$2:K$200,MATCH('Calculations - Convenience'!$C107,'Input - Convenience'!$B$2:$B$200,0)),"")</f>
        <v>0</v>
      </c>
      <c r="M107" s="21" t="str">
        <f t="shared" si="96"/>
        <v/>
      </c>
      <c r="N107" s="21" t="str">
        <f t="shared" si="82"/>
        <v/>
      </c>
      <c r="O107" s="21">
        <f t="shared" si="97"/>
        <v>0</v>
      </c>
      <c r="P107" s="9">
        <f t="shared" si="79"/>
        <v>0</v>
      </c>
      <c r="Q107" s="9">
        <f t="shared" si="80"/>
        <v>0</v>
      </c>
      <c r="R107" s="22" t="str">
        <f>IFERROR(INDEX(Convenience!$N$11:$N$148,MATCH('Calculations - Convenience'!$C107,Convenience!$J$11:$J$148,0)),"")</f>
        <v/>
      </c>
      <c r="S107" s="22" t="str">
        <f>IFERROR(INDEX(Convenience!$O$11:$O$148,MATCH('Calculations - Convenience'!$C107,Convenience!$J$11:$J$148,0)),"")</f>
        <v/>
      </c>
      <c r="T107" s="16" t="e">
        <f t="shared" si="83"/>
        <v>#VALUE!</v>
      </c>
      <c r="U107" s="16" t="e">
        <f t="shared" si="98"/>
        <v>#VALUE!</v>
      </c>
      <c r="V107" s="16" t="e">
        <f t="shared" si="99"/>
        <v>#VALUE!</v>
      </c>
      <c r="W107" s="10" t="str">
        <f t="shared" si="84"/>
        <v>-</v>
      </c>
      <c r="X107" s="10" t="str">
        <f t="shared" si="85"/>
        <v>-</v>
      </c>
      <c r="Y107" s="13" t="str">
        <f t="shared" si="100"/>
        <v>-</v>
      </c>
      <c r="Z107" s="9" t="str">
        <f t="shared" si="86"/>
        <v>-</v>
      </c>
      <c r="AA107" s="16" t="str">
        <f t="shared" si="101"/>
        <v>-</v>
      </c>
      <c r="AB107" s="16" t="str">
        <f t="shared" si="87"/>
        <v>-</v>
      </c>
      <c r="AC107" s="16" t="str">
        <f t="shared" si="88"/>
        <v>-</v>
      </c>
      <c r="AD107" s="16" t="str">
        <f t="shared" si="102"/>
        <v>-</v>
      </c>
      <c r="AE107" s="16"/>
      <c r="AF107" s="31" t="str">
        <f>IFERROR(INDEX(Convenience!$M$11:$M$148,MATCH('Calculations - Convenience'!C107,Convenience!$J$11:$J$148,0)),"")</f>
        <v/>
      </c>
      <c r="AG107" s="23" t="str">
        <f t="shared" si="103"/>
        <v/>
      </c>
      <c r="AH107" s="23" t="str">
        <f t="shared" si="103"/>
        <v/>
      </c>
      <c r="AI107" s="9" t="str">
        <f t="shared" si="89"/>
        <v/>
      </c>
      <c r="AJ107" s="4" t="str">
        <f t="shared" si="90"/>
        <v/>
      </c>
      <c r="AK107" s="4"/>
      <c r="AL107" s="4"/>
      <c r="AM107" s="4"/>
      <c r="AN107" s="4"/>
      <c r="AO107" s="4"/>
      <c r="AP107" s="20" t="str">
        <f t="shared" si="91"/>
        <v>-</v>
      </c>
      <c r="AQ107" s="13" t="str">
        <f t="shared" si="104"/>
        <v>-</v>
      </c>
      <c r="AR107" s="13" t="str">
        <f t="shared" si="105"/>
        <v>-</v>
      </c>
      <c r="AS107" s="13" t="str">
        <f t="shared" si="92"/>
        <v>-</v>
      </c>
      <c r="AT107" s="16" t="str">
        <f t="shared" si="106"/>
        <v>-</v>
      </c>
      <c r="AU107" s="16" t="str">
        <f t="shared" si="93"/>
        <v>-</v>
      </c>
      <c r="AV107" s="16" t="str">
        <f t="shared" si="94"/>
        <v>-</v>
      </c>
      <c r="AW107" s="16" t="str">
        <f t="shared" si="107"/>
        <v>-</v>
      </c>
      <c r="AX107" s="13" t="str">
        <f t="shared" si="108"/>
        <v>-</v>
      </c>
      <c r="AY107" s="10" t="str">
        <f t="shared" si="109"/>
        <v>-</v>
      </c>
      <c r="AZ107" s="9" t="str">
        <f t="shared" si="110"/>
        <v>-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</row>
    <row r="108" spans="2:68" x14ac:dyDescent="0.3">
      <c r="B108" s="108" t="str">
        <f t="shared" si="95"/>
        <v/>
      </c>
      <c r="C108" s="108" t="str">
        <f t="shared" si="81"/>
        <v/>
      </c>
      <c r="D108" s="3"/>
      <c r="E108" s="3"/>
      <c r="F108" s="3"/>
      <c r="G108" s="20">
        <f>IFERROR(INDEX('Input - Convenience'!F$2:F$200,MATCH('Calculations - Convenience'!$C108,'Input - Convenience'!$B$2:$B$200,0)),"")</f>
        <v>0</v>
      </c>
      <c r="H108" s="20">
        <f>IFERROR(INDEX('Input - Convenience'!G$2:G$200,MATCH('Calculations - Convenience'!$C108,'Input - Convenience'!$B$2:$B$200,0)),"")</f>
        <v>0</v>
      </c>
      <c r="I108" s="21">
        <f>IFERROR(INDEX('Input - Convenience'!H$2:H$200,MATCH('Calculations - Convenience'!$C108,'Input - Convenience'!$B$2:$B$200,0)),"")</f>
        <v>0</v>
      </c>
      <c r="J108" s="21">
        <f>IFERROR(INDEX('Input - Convenience'!I$2:I$200,MATCH('Calculations - Convenience'!$C108,'Input - Convenience'!$B$2:$B$200,0)),"")</f>
        <v>0</v>
      </c>
      <c r="K108" s="20">
        <f>IFERROR(INDEX('Input - Convenience'!J$2:J$200,MATCH('Calculations - Convenience'!$C108,'Input - Convenience'!$B$2:$B$200,0)),"")</f>
        <v>0</v>
      </c>
      <c r="L108" s="20">
        <f>IFERROR(INDEX('Input - Convenience'!K$2:K$200,MATCH('Calculations - Convenience'!$C108,'Input - Convenience'!$B$2:$B$200,0)),"")</f>
        <v>0</v>
      </c>
      <c r="M108" s="21" t="str">
        <f t="shared" si="96"/>
        <v/>
      </c>
      <c r="N108" s="21" t="str">
        <f t="shared" si="82"/>
        <v/>
      </c>
      <c r="O108" s="21">
        <f t="shared" si="97"/>
        <v>0</v>
      </c>
      <c r="P108" s="9">
        <f t="shared" si="79"/>
        <v>0</v>
      </c>
      <c r="Q108" s="9">
        <f t="shared" si="80"/>
        <v>0</v>
      </c>
      <c r="R108" s="22" t="str">
        <f>IFERROR(INDEX(Convenience!$N$11:$N$148,MATCH('Calculations - Convenience'!$C108,Convenience!$J$11:$J$148,0)),"")</f>
        <v/>
      </c>
      <c r="S108" s="22" t="str">
        <f>IFERROR(INDEX(Convenience!$O$11:$O$148,MATCH('Calculations - Convenience'!$C108,Convenience!$J$11:$J$148,0)),"")</f>
        <v/>
      </c>
      <c r="T108" s="16" t="e">
        <f t="shared" si="83"/>
        <v>#VALUE!</v>
      </c>
      <c r="U108" s="16" t="e">
        <f t="shared" si="98"/>
        <v>#VALUE!</v>
      </c>
      <c r="V108" s="16" t="e">
        <f t="shared" si="99"/>
        <v>#VALUE!</v>
      </c>
      <c r="W108" s="10" t="str">
        <f t="shared" si="84"/>
        <v>-</v>
      </c>
      <c r="X108" s="10" t="str">
        <f t="shared" si="85"/>
        <v>-</v>
      </c>
      <c r="Y108" s="13" t="str">
        <f t="shared" si="100"/>
        <v>-</v>
      </c>
      <c r="Z108" s="9" t="str">
        <f t="shared" si="86"/>
        <v>-</v>
      </c>
      <c r="AA108" s="16" t="str">
        <f t="shared" si="101"/>
        <v>-</v>
      </c>
      <c r="AB108" s="16" t="str">
        <f t="shared" si="87"/>
        <v>-</v>
      </c>
      <c r="AC108" s="16" t="str">
        <f t="shared" si="88"/>
        <v>-</v>
      </c>
      <c r="AD108" s="16" t="str">
        <f t="shared" si="102"/>
        <v>-</v>
      </c>
      <c r="AE108" s="16"/>
      <c r="AF108" s="31" t="str">
        <f>IFERROR(INDEX(Convenience!$M$11:$M$148,MATCH('Calculations - Convenience'!C108,Convenience!$J$11:$J$148,0)),"")</f>
        <v/>
      </c>
      <c r="AG108" s="23" t="str">
        <f t="shared" si="103"/>
        <v/>
      </c>
      <c r="AH108" s="23" t="str">
        <f t="shared" si="103"/>
        <v/>
      </c>
      <c r="AI108" s="9" t="str">
        <f t="shared" si="89"/>
        <v/>
      </c>
      <c r="AJ108" s="4" t="str">
        <f t="shared" si="90"/>
        <v/>
      </c>
      <c r="AK108" s="4"/>
      <c r="AL108" s="4"/>
      <c r="AM108" s="4"/>
      <c r="AN108" s="4"/>
      <c r="AO108" s="4"/>
      <c r="AP108" s="20" t="str">
        <f t="shared" si="91"/>
        <v>-</v>
      </c>
      <c r="AQ108" s="13" t="str">
        <f t="shared" si="104"/>
        <v>-</v>
      </c>
      <c r="AR108" s="13" t="str">
        <f t="shared" si="105"/>
        <v>-</v>
      </c>
      <c r="AS108" s="13" t="str">
        <f t="shared" si="92"/>
        <v>-</v>
      </c>
      <c r="AT108" s="16" t="str">
        <f t="shared" si="106"/>
        <v>-</v>
      </c>
      <c r="AU108" s="16" t="str">
        <f t="shared" si="93"/>
        <v>-</v>
      </c>
      <c r="AV108" s="16" t="str">
        <f t="shared" si="94"/>
        <v>-</v>
      </c>
      <c r="AW108" s="16" t="str">
        <f t="shared" si="107"/>
        <v>-</v>
      </c>
      <c r="AX108" s="13" t="str">
        <f t="shared" si="108"/>
        <v>-</v>
      </c>
      <c r="AY108" s="10" t="str">
        <f t="shared" si="109"/>
        <v>-</v>
      </c>
      <c r="AZ108" s="9" t="str">
        <f t="shared" si="110"/>
        <v>-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</row>
    <row r="109" spans="2:68" x14ac:dyDescent="0.3">
      <c r="B109" s="108" t="str">
        <f t="shared" si="95"/>
        <v/>
      </c>
      <c r="C109" s="108" t="str">
        <f t="shared" si="81"/>
        <v/>
      </c>
      <c r="D109" s="3"/>
      <c r="E109" s="3"/>
      <c r="F109" s="3"/>
      <c r="G109" s="20">
        <f>IFERROR(INDEX('Input - Convenience'!F$2:F$200,MATCH('Calculations - Convenience'!$C109,'Input - Convenience'!$B$2:$B$200,0)),"")</f>
        <v>0</v>
      </c>
      <c r="H109" s="20">
        <f>IFERROR(INDEX('Input - Convenience'!G$2:G$200,MATCH('Calculations - Convenience'!$C109,'Input - Convenience'!$B$2:$B$200,0)),"")</f>
        <v>0</v>
      </c>
      <c r="I109" s="21">
        <f>IFERROR(INDEX('Input - Convenience'!H$2:H$200,MATCH('Calculations - Convenience'!$C109,'Input - Convenience'!$B$2:$B$200,0)),"")</f>
        <v>0</v>
      </c>
      <c r="J109" s="21">
        <f>IFERROR(INDEX('Input - Convenience'!I$2:I$200,MATCH('Calculations - Convenience'!$C109,'Input - Convenience'!$B$2:$B$200,0)),"")</f>
        <v>0</v>
      </c>
      <c r="K109" s="20">
        <f>IFERROR(INDEX('Input - Convenience'!J$2:J$200,MATCH('Calculations - Convenience'!$C109,'Input - Convenience'!$B$2:$B$200,0)),"")</f>
        <v>0</v>
      </c>
      <c r="L109" s="20">
        <f>IFERROR(INDEX('Input - Convenience'!K$2:K$200,MATCH('Calculations - Convenience'!$C109,'Input - Convenience'!$B$2:$B$200,0)),"")</f>
        <v>0</v>
      </c>
      <c r="M109" s="21" t="str">
        <f t="shared" si="96"/>
        <v/>
      </c>
      <c r="N109" s="21" t="str">
        <f t="shared" si="82"/>
        <v/>
      </c>
      <c r="O109" s="21">
        <f t="shared" si="97"/>
        <v>0</v>
      </c>
      <c r="P109" s="9">
        <f t="shared" si="79"/>
        <v>0</v>
      </c>
      <c r="Q109" s="9">
        <f t="shared" si="80"/>
        <v>0</v>
      </c>
      <c r="R109" s="22" t="str">
        <f>IFERROR(INDEX(Convenience!$N$11:$N$148,MATCH('Calculations - Convenience'!$C109,Convenience!$J$11:$J$148,0)),"")</f>
        <v/>
      </c>
      <c r="S109" s="22" t="str">
        <f>IFERROR(INDEX(Convenience!$O$11:$O$148,MATCH('Calculations - Convenience'!$C109,Convenience!$J$11:$J$148,0)),"")</f>
        <v/>
      </c>
      <c r="T109" s="16" t="e">
        <f t="shared" si="83"/>
        <v>#VALUE!</v>
      </c>
      <c r="U109" s="16" t="e">
        <f t="shared" si="98"/>
        <v>#VALUE!</v>
      </c>
      <c r="V109" s="16" t="e">
        <f t="shared" si="99"/>
        <v>#VALUE!</v>
      </c>
      <c r="W109" s="10" t="str">
        <f t="shared" si="84"/>
        <v>-</v>
      </c>
      <c r="X109" s="10" t="str">
        <f t="shared" si="85"/>
        <v>-</v>
      </c>
      <c r="Y109" s="13" t="str">
        <f t="shared" si="100"/>
        <v>-</v>
      </c>
      <c r="Z109" s="9" t="str">
        <f t="shared" si="86"/>
        <v>-</v>
      </c>
      <c r="AA109" s="16" t="str">
        <f t="shared" si="101"/>
        <v>-</v>
      </c>
      <c r="AB109" s="16" t="str">
        <f t="shared" si="87"/>
        <v>-</v>
      </c>
      <c r="AC109" s="16" t="str">
        <f t="shared" si="88"/>
        <v>-</v>
      </c>
      <c r="AD109" s="16" t="str">
        <f t="shared" si="102"/>
        <v>-</v>
      </c>
      <c r="AE109" s="16"/>
      <c r="AF109" s="31" t="str">
        <f>IFERROR(INDEX(Convenience!$M$11:$M$148,MATCH('Calculations - Convenience'!C109,Convenience!$J$11:$J$148,0)),"")</f>
        <v/>
      </c>
      <c r="AG109" s="23" t="str">
        <f t="shared" si="103"/>
        <v/>
      </c>
      <c r="AH109" s="23" t="str">
        <f t="shared" si="103"/>
        <v/>
      </c>
      <c r="AI109" s="9" t="str">
        <f t="shared" si="89"/>
        <v/>
      </c>
      <c r="AJ109" s="4" t="str">
        <f t="shared" si="90"/>
        <v/>
      </c>
      <c r="AK109" s="4"/>
      <c r="AL109" s="4"/>
      <c r="AM109" s="4"/>
      <c r="AN109" s="4"/>
      <c r="AO109" s="4"/>
      <c r="AP109" s="20" t="str">
        <f t="shared" si="91"/>
        <v>-</v>
      </c>
      <c r="AQ109" s="13" t="str">
        <f t="shared" si="104"/>
        <v>-</v>
      </c>
      <c r="AR109" s="13" t="str">
        <f t="shared" si="105"/>
        <v>-</v>
      </c>
      <c r="AS109" s="13" t="str">
        <f t="shared" si="92"/>
        <v>-</v>
      </c>
      <c r="AT109" s="16" t="str">
        <f t="shared" si="106"/>
        <v>-</v>
      </c>
      <c r="AU109" s="16" t="str">
        <f t="shared" si="93"/>
        <v>-</v>
      </c>
      <c r="AV109" s="16" t="str">
        <f t="shared" si="94"/>
        <v>-</v>
      </c>
      <c r="AW109" s="16" t="str">
        <f t="shared" si="107"/>
        <v>-</v>
      </c>
      <c r="AX109" s="13" t="str">
        <f t="shared" si="108"/>
        <v>-</v>
      </c>
      <c r="AY109" s="10" t="str">
        <f t="shared" si="109"/>
        <v>-</v>
      </c>
      <c r="AZ109" s="9" t="str">
        <f t="shared" si="110"/>
        <v>-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</row>
    <row r="110" spans="2:68" x14ac:dyDescent="0.3">
      <c r="B110" s="108" t="str">
        <f t="shared" si="95"/>
        <v/>
      </c>
      <c r="C110" s="108" t="str">
        <f t="shared" si="81"/>
        <v/>
      </c>
      <c r="D110" s="3"/>
      <c r="E110" s="3"/>
      <c r="F110" s="3"/>
      <c r="G110" s="20">
        <f>IFERROR(INDEX('Input - Convenience'!F$2:F$200,MATCH('Calculations - Convenience'!$C110,'Input - Convenience'!$B$2:$B$200,0)),"")</f>
        <v>0</v>
      </c>
      <c r="H110" s="20">
        <f>IFERROR(INDEX('Input - Convenience'!G$2:G$200,MATCH('Calculations - Convenience'!$C110,'Input - Convenience'!$B$2:$B$200,0)),"")</f>
        <v>0</v>
      </c>
      <c r="I110" s="21">
        <f>IFERROR(INDEX('Input - Convenience'!H$2:H$200,MATCH('Calculations - Convenience'!$C110,'Input - Convenience'!$B$2:$B$200,0)),"")</f>
        <v>0</v>
      </c>
      <c r="J110" s="21">
        <f>IFERROR(INDEX('Input - Convenience'!I$2:I$200,MATCH('Calculations - Convenience'!$C110,'Input - Convenience'!$B$2:$B$200,0)),"")</f>
        <v>0</v>
      </c>
      <c r="K110" s="20">
        <f>IFERROR(INDEX('Input - Convenience'!J$2:J$200,MATCH('Calculations - Convenience'!$C110,'Input - Convenience'!$B$2:$B$200,0)),"")</f>
        <v>0</v>
      </c>
      <c r="L110" s="20">
        <f>IFERROR(INDEX('Input - Convenience'!K$2:K$200,MATCH('Calculations - Convenience'!$C110,'Input - Convenience'!$B$2:$B$200,0)),"")</f>
        <v>0</v>
      </c>
      <c r="M110" s="21" t="str">
        <f t="shared" si="96"/>
        <v/>
      </c>
      <c r="N110" s="21" t="str">
        <f t="shared" si="82"/>
        <v/>
      </c>
      <c r="O110" s="21">
        <f t="shared" si="97"/>
        <v>0</v>
      </c>
      <c r="P110" s="9">
        <f t="shared" si="79"/>
        <v>0</v>
      </c>
      <c r="Q110" s="9">
        <f t="shared" si="80"/>
        <v>0</v>
      </c>
      <c r="R110" s="22" t="str">
        <f>IFERROR(INDEX(Convenience!$N$11:$N$148,MATCH('Calculations - Convenience'!$C110,Convenience!$J$11:$J$148,0)),"")</f>
        <v/>
      </c>
      <c r="S110" s="22" t="str">
        <f>IFERROR(INDEX(Convenience!$O$11:$O$148,MATCH('Calculations - Convenience'!$C110,Convenience!$J$11:$J$148,0)),"")</f>
        <v/>
      </c>
      <c r="T110" s="16" t="e">
        <f t="shared" si="83"/>
        <v>#VALUE!</v>
      </c>
      <c r="U110" s="16" t="e">
        <f t="shared" si="98"/>
        <v>#VALUE!</v>
      </c>
      <c r="V110" s="16" t="e">
        <f t="shared" si="99"/>
        <v>#VALUE!</v>
      </c>
      <c r="W110" s="10" t="str">
        <f t="shared" si="84"/>
        <v>-</v>
      </c>
      <c r="X110" s="10" t="str">
        <f t="shared" si="85"/>
        <v>-</v>
      </c>
      <c r="Y110" s="13" t="str">
        <f t="shared" si="100"/>
        <v>-</v>
      </c>
      <c r="Z110" s="9" t="str">
        <f t="shared" si="86"/>
        <v>-</v>
      </c>
      <c r="AA110" s="16" t="str">
        <f t="shared" si="101"/>
        <v>-</v>
      </c>
      <c r="AB110" s="16" t="str">
        <f t="shared" si="87"/>
        <v>-</v>
      </c>
      <c r="AC110" s="16" t="str">
        <f t="shared" si="88"/>
        <v>-</v>
      </c>
      <c r="AD110" s="16" t="str">
        <f t="shared" si="102"/>
        <v>-</v>
      </c>
      <c r="AE110" s="16"/>
      <c r="AF110" s="31" t="str">
        <f>IFERROR(INDEX(Convenience!$M$11:$M$148,MATCH('Calculations - Convenience'!C110,Convenience!$J$11:$J$148,0)),"")</f>
        <v/>
      </c>
      <c r="AG110" s="23" t="str">
        <f t="shared" si="103"/>
        <v/>
      </c>
      <c r="AH110" s="23" t="str">
        <f t="shared" si="103"/>
        <v/>
      </c>
      <c r="AI110" s="9" t="str">
        <f t="shared" si="89"/>
        <v/>
      </c>
      <c r="AJ110" s="4" t="str">
        <f t="shared" si="90"/>
        <v/>
      </c>
      <c r="AK110" s="4"/>
      <c r="AL110" s="4"/>
      <c r="AM110" s="4"/>
      <c r="AN110" s="4"/>
      <c r="AO110" s="4"/>
      <c r="AP110" s="20" t="str">
        <f t="shared" si="91"/>
        <v>-</v>
      </c>
      <c r="AQ110" s="13" t="str">
        <f t="shared" si="104"/>
        <v>-</v>
      </c>
      <c r="AR110" s="13" t="str">
        <f t="shared" si="105"/>
        <v>-</v>
      </c>
      <c r="AS110" s="13" t="str">
        <f t="shared" si="92"/>
        <v>-</v>
      </c>
      <c r="AT110" s="16" t="str">
        <f t="shared" si="106"/>
        <v>-</v>
      </c>
      <c r="AU110" s="16" t="str">
        <f t="shared" si="93"/>
        <v>-</v>
      </c>
      <c r="AV110" s="16" t="str">
        <f t="shared" si="94"/>
        <v>-</v>
      </c>
      <c r="AW110" s="16" t="str">
        <f t="shared" si="107"/>
        <v>-</v>
      </c>
      <c r="AX110" s="13" t="str">
        <f t="shared" si="108"/>
        <v>-</v>
      </c>
      <c r="AY110" s="10" t="str">
        <f t="shared" si="109"/>
        <v>-</v>
      </c>
      <c r="AZ110" s="9" t="str">
        <f t="shared" si="110"/>
        <v>-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</row>
    <row r="111" spans="2:68" x14ac:dyDescent="0.3">
      <c r="B111" s="108" t="str">
        <f t="shared" si="95"/>
        <v/>
      </c>
      <c r="C111" s="108" t="str">
        <f t="shared" si="81"/>
        <v/>
      </c>
      <c r="D111" s="3"/>
      <c r="E111" s="3"/>
      <c r="F111" s="3"/>
      <c r="G111" s="20">
        <f>IFERROR(INDEX('Input - Convenience'!F$2:F$200,MATCH('Calculations - Convenience'!$C111,'Input - Convenience'!$B$2:$B$200,0)),"")</f>
        <v>0</v>
      </c>
      <c r="H111" s="20">
        <f>IFERROR(INDEX('Input - Convenience'!G$2:G$200,MATCH('Calculations - Convenience'!$C111,'Input - Convenience'!$B$2:$B$200,0)),"")</f>
        <v>0</v>
      </c>
      <c r="I111" s="21">
        <f>IFERROR(INDEX('Input - Convenience'!H$2:H$200,MATCH('Calculations - Convenience'!$C111,'Input - Convenience'!$B$2:$B$200,0)),"")</f>
        <v>0</v>
      </c>
      <c r="J111" s="21">
        <f>IFERROR(INDEX('Input - Convenience'!I$2:I$200,MATCH('Calculations - Convenience'!$C111,'Input - Convenience'!$B$2:$B$200,0)),"")</f>
        <v>0</v>
      </c>
      <c r="K111" s="20">
        <f>IFERROR(INDEX('Input - Convenience'!J$2:J$200,MATCH('Calculations - Convenience'!$C111,'Input - Convenience'!$B$2:$B$200,0)),"")</f>
        <v>0</v>
      </c>
      <c r="L111" s="20">
        <f>IFERROR(INDEX('Input - Convenience'!K$2:K$200,MATCH('Calculations - Convenience'!$C111,'Input - Convenience'!$B$2:$B$200,0)),"")</f>
        <v>0</v>
      </c>
      <c r="M111" s="21" t="str">
        <f t="shared" si="96"/>
        <v/>
      </c>
      <c r="N111" s="21" t="str">
        <f t="shared" si="82"/>
        <v/>
      </c>
      <c r="O111" s="21">
        <f t="shared" si="97"/>
        <v>0</v>
      </c>
      <c r="P111" s="9">
        <f t="shared" si="79"/>
        <v>0</v>
      </c>
      <c r="Q111" s="9">
        <f t="shared" si="80"/>
        <v>0</v>
      </c>
      <c r="R111" s="22" t="str">
        <f>IFERROR(INDEX(Convenience!$N$11:$N$148,MATCH('Calculations - Convenience'!$C111,Convenience!$J$11:$J$148,0)),"")</f>
        <v/>
      </c>
      <c r="S111" s="22" t="str">
        <f>IFERROR(INDEX(Convenience!$O$11:$O$148,MATCH('Calculations - Convenience'!$C111,Convenience!$J$11:$J$148,0)),"")</f>
        <v/>
      </c>
      <c r="T111" s="16" t="e">
        <f t="shared" si="83"/>
        <v>#VALUE!</v>
      </c>
      <c r="U111" s="16" t="e">
        <f t="shared" si="98"/>
        <v>#VALUE!</v>
      </c>
      <c r="V111" s="16" t="e">
        <f t="shared" si="99"/>
        <v>#VALUE!</v>
      </c>
      <c r="W111" s="10" t="str">
        <f t="shared" si="84"/>
        <v>-</v>
      </c>
      <c r="X111" s="10" t="str">
        <f t="shared" si="85"/>
        <v>-</v>
      </c>
      <c r="Y111" s="13" t="str">
        <f t="shared" si="100"/>
        <v>-</v>
      </c>
      <c r="Z111" s="9" t="str">
        <f t="shared" si="86"/>
        <v>-</v>
      </c>
      <c r="AA111" s="16" t="str">
        <f t="shared" si="101"/>
        <v>-</v>
      </c>
      <c r="AB111" s="16" t="str">
        <f t="shared" si="87"/>
        <v>-</v>
      </c>
      <c r="AC111" s="16" t="str">
        <f t="shared" si="88"/>
        <v>-</v>
      </c>
      <c r="AD111" s="16" t="str">
        <f t="shared" si="102"/>
        <v>-</v>
      </c>
      <c r="AE111" s="16"/>
      <c r="AF111" s="31" t="str">
        <f>IFERROR(INDEX(Convenience!$M$11:$M$148,MATCH('Calculations - Convenience'!C111,Convenience!$J$11:$J$148,0)),"")</f>
        <v/>
      </c>
      <c r="AG111" s="23" t="str">
        <f t="shared" si="103"/>
        <v/>
      </c>
      <c r="AH111" s="23" t="str">
        <f t="shared" si="103"/>
        <v/>
      </c>
      <c r="AI111" s="9" t="str">
        <f t="shared" si="89"/>
        <v/>
      </c>
      <c r="AJ111" s="4" t="str">
        <f t="shared" si="90"/>
        <v/>
      </c>
      <c r="AK111" s="4"/>
      <c r="AL111" s="4"/>
      <c r="AM111" s="4"/>
      <c r="AN111" s="4"/>
      <c r="AO111" s="4"/>
      <c r="AP111" s="20" t="str">
        <f t="shared" si="91"/>
        <v>-</v>
      </c>
      <c r="AQ111" s="13" t="str">
        <f t="shared" si="104"/>
        <v>-</v>
      </c>
      <c r="AR111" s="13" t="str">
        <f t="shared" si="105"/>
        <v>-</v>
      </c>
      <c r="AS111" s="13" t="str">
        <f t="shared" si="92"/>
        <v>-</v>
      </c>
      <c r="AT111" s="16" t="str">
        <f t="shared" si="106"/>
        <v>-</v>
      </c>
      <c r="AU111" s="16" t="str">
        <f t="shared" si="93"/>
        <v>-</v>
      </c>
      <c r="AV111" s="16" t="str">
        <f t="shared" si="94"/>
        <v>-</v>
      </c>
      <c r="AW111" s="16" t="str">
        <f t="shared" si="107"/>
        <v>-</v>
      </c>
      <c r="AX111" s="13" t="str">
        <f t="shared" si="108"/>
        <v>-</v>
      </c>
      <c r="AY111" s="10" t="str">
        <f t="shared" si="109"/>
        <v>-</v>
      </c>
      <c r="AZ111" s="9" t="str">
        <f t="shared" si="110"/>
        <v>-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</row>
    <row r="112" spans="2:68" x14ac:dyDescent="0.3">
      <c r="B112" s="108" t="str">
        <f t="shared" si="95"/>
        <v/>
      </c>
      <c r="C112" s="108" t="str">
        <f t="shared" si="81"/>
        <v/>
      </c>
      <c r="D112" s="3"/>
      <c r="E112" s="3"/>
      <c r="F112" s="3"/>
      <c r="G112" s="20">
        <f>IFERROR(INDEX('Input - Convenience'!F$2:F$200,MATCH('Calculations - Convenience'!$C112,'Input - Convenience'!$B$2:$B$200,0)),"")</f>
        <v>0</v>
      </c>
      <c r="H112" s="20">
        <f>IFERROR(INDEX('Input - Convenience'!G$2:G$200,MATCH('Calculations - Convenience'!$C112,'Input - Convenience'!$B$2:$B$200,0)),"")</f>
        <v>0</v>
      </c>
      <c r="I112" s="21">
        <f>IFERROR(INDEX('Input - Convenience'!H$2:H$200,MATCH('Calculations - Convenience'!$C112,'Input - Convenience'!$B$2:$B$200,0)),"")</f>
        <v>0</v>
      </c>
      <c r="J112" s="21">
        <f>IFERROR(INDEX('Input - Convenience'!I$2:I$200,MATCH('Calculations - Convenience'!$C112,'Input - Convenience'!$B$2:$B$200,0)),"")</f>
        <v>0</v>
      </c>
      <c r="K112" s="20">
        <f>IFERROR(INDEX('Input - Convenience'!J$2:J$200,MATCH('Calculations - Convenience'!$C112,'Input - Convenience'!$B$2:$B$200,0)),"")</f>
        <v>0</v>
      </c>
      <c r="L112" s="20">
        <f>IFERROR(INDEX('Input - Convenience'!K$2:K$200,MATCH('Calculations - Convenience'!$C112,'Input - Convenience'!$B$2:$B$200,0)),"")</f>
        <v>0</v>
      </c>
      <c r="M112" s="21" t="str">
        <f t="shared" si="96"/>
        <v/>
      </c>
      <c r="N112" s="21" t="str">
        <f t="shared" si="82"/>
        <v/>
      </c>
      <c r="O112" s="21">
        <f t="shared" si="97"/>
        <v>0</v>
      </c>
      <c r="P112" s="9">
        <f t="shared" si="79"/>
        <v>0</v>
      </c>
      <c r="Q112" s="9">
        <f t="shared" si="80"/>
        <v>0</v>
      </c>
      <c r="R112" s="22" t="str">
        <f>IFERROR(INDEX(Convenience!$N$11:$N$148,MATCH('Calculations - Convenience'!$C112,Convenience!$J$11:$J$148,0)),"")</f>
        <v/>
      </c>
      <c r="S112" s="22" t="str">
        <f>IFERROR(INDEX(Convenience!$O$11:$O$148,MATCH('Calculations - Convenience'!$C112,Convenience!$J$11:$J$148,0)),"")</f>
        <v/>
      </c>
      <c r="T112" s="16" t="e">
        <f t="shared" si="83"/>
        <v>#VALUE!</v>
      </c>
      <c r="U112" s="16" t="e">
        <f t="shared" si="98"/>
        <v>#VALUE!</v>
      </c>
      <c r="V112" s="16" t="e">
        <f t="shared" si="99"/>
        <v>#VALUE!</v>
      </c>
      <c r="W112" s="10" t="str">
        <f t="shared" si="84"/>
        <v>-</v>
      </c>
      <c r="X112" s="10" t="str">
        <f t="shared" si="85"/>
        <v>-</v>
      </c>
      <c r="Y112" s="13" t="str">
        <f t="shared" si="100"/>
        <v>-</v>
      </c>
      <c r="Z112" s="9" t="str">
        <f t="shared" si="86"/>
        <v>-</v>
      </c>
      <c r="AA112" s="16" t="str">
        <f t="shared" si="101"/>
        <v>-</v>
      </c>
      <c r="AB112" s="16" t="str">
        <f t="shared" si="87"/>
        <v>-</v>
      </c>
      <c r="AC112" s="16" t="str">
        <f t="shared" si="88"/>
        <v>-</v>
      </c>
      <c r="AD112" s="16" t="str">
        <f t="shared" si="102"/>
        <v>-</v>
      </c>
      <c r="AE112" s="16"/>
      <c r="AF112" s="31" t="str">
        <f>IFERROR(INDEX(Convenience!$M$11:$M$148,MATCH('Calculations - Convenience'!C112,Convenience!$J$11:$J$148,0)),"")</f>
        <v/>
      </c>
      <c r="AG112" s="23" t="str">
        <f t="shared" si="103"/>
        <v/>
      </c>
      <c r="AH112" s="23" t="str">
        <f t="shared" si="103"/>
        <v/>
      </c>
      <c r="AI112" s="9" t="str">
        <f t="shared" si="89"/>
        <v/>
      </c>
      <c r="AJ112" s="4" t="str">
        <f t="shared" si="90"/>
        <v/>
      </c>
      <c r="AK112" s="4"/>
      <c r="AL112" s="4"/>
      <c r="AM112" s="4"/>
      <c r="AN112" s="4"/>
      <c r="AO112" s="4"/>
      <c r="AP112" s="20" t="str">
        <f t="shared" si="91"/>
        <v>-</v>
      </c>
      <c r="AQ112" s="13" t="str">
        <f t="shared" si="104"/>
        <v>-</v>
      </c>
      <c r="AR112" s="13" t="str">
        <f t="shared" si="105"/>
        <v>-</v>
      </c>
      <c r="AS112" s="13" t="str">
        <f t="shared" si="92"/>
        <v>-</v>
      </c>
      <c r="AT112" s="16" t="str">
        <f t="shared" si="106"/>
        <v>-</v>
      </c>
      <c r="AU112" s="16" t="str">
        <f t="shared" si="93"/>
        <v>-</v>
      </c>
      <c r="AV112" s="16" t="str">
        <f t="shared" si="94"/>
        <v>-</v>
      </c>
      <c r="AW112" s="16" t="str">
        <f t="shared" si="107"/>
        <v>-</v>
      </c>
      <c r="AX112" s="13" t="str">
        <f t="shared" si="108"/>
        <v>-</v>
      </c>
      <c r="AY112" s="10" t="str">
        <f t="shared" si="109"/>
        <v>-</v>
      </c>
      <c r="AZ112" s="9" t="str">
        <f t="shared" si="110"/>
        <v>-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</row>
    <row r="113" spans="2:68" x14ac:dyDescent="0.3">
      <c r="B113" s="108" t="str">
        <f t="shared" si="95"/>
        <v/>
      </c>
      <c r="C113" s="108" t="str">
        <f t="shared" si="81"/>
        <v/>
      </c>
      <c r="D113" s="3"/>
      <c r="E113" s="3"/>
      <c r="F113" s="3"/>
      <c r="G113" s="20">
        <f>IFERROR(INDEX('Input - Convenience'!F$2:F$200,MATCH('Calculations - Convenience'!$C113,'Input - Convenience'!$B$2:$B$200,0)),"")</f>
        <v>0</v>
      </c>
      <c r="H113" s="20">
        <f>IFERROR(INDEX('Input - Convenience'!G$2:G$200,MATCH('Calculations - Convenience'!$C113,'Input - Convenience'!$B$2:$B$200,0)),"")</f>
        <v>0</v>
      </c>
      <c r="I113" s="21">
        <f>IFERROR(INDEX('Input - Convenience'!H$2:H$200,MATCH('Calculations - Convenience'!$C113,'Input - Convenience'!$B$2:$B$200,0)),"")</f>
        <v>0</v>
      </c>
      <c r="J113" s="21">
        <f>IFERROR(INDEX('Input - Convenience'!I$2:I$200,MATCH('Calculations - Convenience'!$C113,'Input - Convenience'!$B$2:$B$200,0)),"")</f>
        <v>0</v>
      </c>
      <c r="K113" s="20">
        <f>IFERROR(INDEX('Input - Convenience'!J$2:J$200,MATCH('Calculations - Convenience'!$C113,'Input - Convenience'!$B$2:$B$200,0)),"")</f>
        <v>0</v>
      </c>
      <c r="L113" s="20">
        <f>IFERROR(INDEX('Input - Convenience'!K$2:K$200,MATCH('Calculations - Convenience'!$C113,'Input - Convenience'!$B$2:$B$200,0)),"")</f>
        <v>0</v>
      </c>
      <c r="M113" s="21" t="str">
        <f t="shared" si="96"/>
        <v/>
      </c>
      <c r="N113" s="21" t="str">
        <f t="shared" si="82"/>
        <v/>
      </c>
      <c r="O113" s="21">
        <f t="shared" si="97"/>
        <v>0</v>
      </c>
      <c r="P113" s="9">
        <f t="shared" si="79"/>
        <v>0</v>
      </c>
      <c r="Q113" s="9">
        <f t="shared" si="80"/>
        <v>0</v>
      </c>
      <c r="R113" s="22" t="str">
        <f>IFERROR(INDEX(Convenience!$N$11:$N$148,MATCH('Calculations - Convenience'!$C113,Convenience!$J$11:$J$148,0)),"")</f>
        <v/>
      </c>
      <c r="S113" s="22" t="str">
        <f>IFERROR(INDEX(Convenience!$O$11:$O$148,MATCH('Calculations - Convenience'!$C113,Convenience!$J$11:$J$148,0)),"")</f>
        <v/>
      </c>
      <c r="T113" s="16" t="e">
        <f t="shared" si="83"/>
        <v>#VALUE!</v>
      </c>
      <c r="U113" s="16" t="e">
        <f t="shared" si="98"/>
        <v>#VALUE!</v>
      </c>
      <c r="V113" s="16" t="e">
        <f t="shared" si="99"/>
        <v>#VALUE!</v>
      </c>
      <c r="W113" s="10" t="str">
        <f t="shared" si="84"/>
        <v>-</v>
      </c>
      <c r="X113" s="10" t="str">
        <f t="shared" si="85"/>
        <v>-</v>
      </c>
      <c r="Y113" s="13" t="str">
        <f t="shared" si="100"/>
        <v>-</v>
      </c>
      <c r="Z113" s="9" t="str">
        <f t="shared" si="86"/>
        <v>-</v>
      </c>
      <c r="AA113" s="16" t="str">
        <f t="shared" si="101"/>
        <v>-</v>
      </c>
      <c r="AB113" s="16" t="str">
        <f t="shared" si="87"/>
        <v>-</v>
      </c>
      <c r="AC113" s="16" t="str">
        <f t="shared" si="88"/>
        <v>-</v>
      </c>
      <c r="AD113" s="16" t="str">
        <f t="shared" si="102"/>
        <v>-</v>
      </c>
      <c r="AE113" s="16"/>
      <c r="AF113" s="31" t="str">
        <f>IFERROR(INDEX(Convenience!$M$11:$M$148,MATCH('Calculations - Convenience'!C113,Convenience!$J$11:$J$148,0)),"")</f>
        <v/>
      </c>
      <c r="AG113" s="23" t="str">
        <f t="shared" si="103"/>
        <v/>
      </c>
      <c r="AH113" s="23" t="str">
        <f t="shared" si="103"/>
        <v/>
      </c>
      <c r="AI113" s="9" t="str">
        <f t="shared" si="89"/>
        <v/>
      </c>
      <c r="AJ113" s="4" t="str">
        <f t="shared" si="90"/>
        <v/>
      </c>
      <c r="AK113" s="4"/>
      <c r="AL113" s="4"/>
      <c r="AM113" s="4"/>
      <c r="AN113" s="4"/>
      <c r="AO113" s="4"/>
      <c r="AP113" s="20" t="str">
        <f t="shared" si="91"/>
        <v>-</v>
      </c>
      <c r="AQ113" s="13" t="str">
        <f t="shared" si="104"/>
        <v>-</v>
      </c>
      <c r="AR113" s="13" t="str">
        <f t="shared" si="105"/>
        <v>-</v>
      </c>
      <c r="AS113" s="13" t="str">
        <f t="shared" si="92"/>
        <v>-</v>
      </c>
      <c r="AT113" s="16" t="str">
        <f t="shared" si="106"/>
        <v>-</v>
      </c>
      <c r="AU113" s="16" t="str">
        <f t="shared" si="93"/>
        <v>-</v>
      </c>
      <c r="AV113" s="16" t="str">
        <f t="shared" si="94"/>
        <v>-</v>
      </c>
      <c r="AW113" s="16" t="str">
        <f t="shared" si="107"/>
        <v>-</v>
      </c>
      <c r="AX113" s="13" t="str">
        <f t="shared" si="108"/>
        <v>-</v>
      </c>
      <c r="AY113" s="10" t="str">
        <f t="shared" si="109"/>
        <v>-</v>
      </c>
      <c r="AZ113" s="9" t="str">
        <f t="shared" si="110"/>
        <v>-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</row>
    <row r="114" spans="2:68" x14ac:dyDescent="0.3">
      <c r="B114" s="108" t="str">
        <f t="shared" si="95"/>
        <v/>
      </c>
      <c r="C114" s="108" t="str">
        <f t="shared" si="81"/>
        <v/>
      </c>
      <c r="D114" s="3"/>
      <c r="E114" s="3"/>
      <c r="F114" s="3"/>
      <c r="G114" s="20">
        <f>IFERROR(INDEX('Input - Convenience'!F$2:F$200,MATCH('Calculations - Convenience'!$C114,'Input - Convenience'!$B$2:$B$200,0)),"")</f>
        <v>0</v>
      </c>
      <c r="H114" s="20">
        <f>IFERROR(INDEX('Input - Convenience'!G$2:G$200,MATCH('Calculations - Convenience'!$C114,'Input - Convenience'!$B$2:$B$200,0)),"")</f>
        <v>0</v>
      </c>
      <c r="I114" s="21">
        <f>IFERROR(INDEX('Input - Convenience'!H$2:H$200,MATCH('Calculations - Convenience'!$C114,'Input - Convenience'!$B$2:$B$200,0)),"")</f>
        <v>0</v>
      </c>
      <c r="J114" s="21">
        <f>IFERROR(INDEX('Input - Convenience'!I$2:I$200,MATCH('Calculations - Convenience'!$C114,'Input - Convenience'!$B$2:$B$200,0)),"")</f>
        <v>0</v>
      </c>
      <c r="K114" s="20">
        <f>IFERROR(INDEX('Input - Convenience'!J$2:J$200,MATCH('Calculations - Convenience'!$C114,'Input - Convenience'!$B$2:$B$200,0)),"")</f>
        <v>0</v>
      </c>
      <c r="L114" s="20">
        <f>IFERROR(INDEX('Input - Convenience'!K$2:K$200,MATCH('Calculations - Convenience'!$C114,'Input - Convenience'!$B$2:$B$200,0)),"")</f>
        <v>0</v>
      </c>
      <c r="M114" s="21" t="str">
        <f t="shared" si="96"/>
        <v/>
      </c>
      <c r="N114" s="21" t="str">
        <f t="shared" si="82"/>
        <v/>
      </c>
      <c r="O114" s="21">
        <f t="shared" si="97"/>
        <v>0</v>
      </c>
      <c r="P114" s="9">
        <f t="shared" si="79"/>
        <v>0</v>
      </c>
      <c r="Q114" s="9">
        <f t="shared" si="80"/>
        <v>0</v>
      </c>
      <c r="R114" s="22" t="str">
        <f>IFERROR(INDEX(Convenience!$N$11:$N$148,MATCH('Calculations - Convenience'!$C114,Convenience!$J$11:$J$148,0)),"")</f>
        <v/>
      </c>
      <c r="S114" s="22" t="str">
        <f>IFERROR(INDEX(Convenience!$O$11:$O$148,MATCH('Calculations - Convenience'!$C114,Convenience!$J$11:$J$148,0)),"")</f>
        <v/>
      </c>
      <c r="T114" s="16" t="e">
        <f t="shared" si="83"/>
        <v>#VALUE!</v>
      </c>
      <c r="U114" s="16" t="e">
        <f t="shared" si="98"/>
        <v>#VALUE!</v>
      </c>
      <c r="V114" s="16" t="e">
        <f t="shared" si="99"/>
        <v>#VALUE!</v>
      </c>
      <c r="W114" s="10" t="str">
        <f t="shared" si="84"/>
        <v>-</v>
      </c>
      <c r="X114" s="10" t="str">
        <f t="shared" si="85"/>
        <v>-</v>
      </c>
      <c r="Y114" s="13" t="str">
        <f t="shared" si="100"/>
        <v>-</v>
      </c>
      <c r="Z114" s="9" t="str">
        <f t="shared" si="86"/>
        <v>-</v>
      </c>
      <c r="AA114" s="16" t="str">
        <f t="shared" si="101"/>
        <v>-</v>
      </c>
      <c r="AB114" s="16" t="str">
        <f t="shared" si="87"/>
        <v>-</v>
      </c>
      <c r="AC114" s="16" t="str">
        <f t="shared" si="88"/>
        <v>-</v>
      </c>
      <c r="AD114" s="16" t="str">
        <f t="shared" si="102"/>
        <v>-</v>
      </c>
      <c r="AE114" s="16"/>
      <c r="AF114" s="31" t="str">
        <f>IFERROR(INDEX(Convenience!$M$11:$M$148,MATCH('Calculations - Convenience'!C114,Convenience!$J$11:$J$148,0)),"")</f>
        <v/>
      </c>
      <c r="AG114" s="23" t="str">
        <f t="shared" si="103"/>
        <v/>
      </c>
      <c r="AH114" s="23" t="str">
        <f t="shared" si="103"/>
        <v/>
      </c>
      <c r="AI114" s="9" t="str">
        <f t="shared" si="89"/>
        <v/>
      </c>
      <c r="AJ114" s="4" t="str">
        <f t="shared" si="90"/>
        <v/>
      </c>
      <c r="AK114" s="4"/>
      <c r="AL114" s="4"/>
      <c r="AM114" s="4"/>
      <c r="AN114" s="4"/>
      <c r="AO114" s="4"/>
      <c r="AP114" s="20" t="str">
        <f t="shared" si="91"/>
        <v>-</v>
      </c>
      <c r="AQ114" s="13" t="str">
        <f t="shared" si="104"/>
        <v>-</v>
      </c>
      <c r="AR114" s="13" t="str">
        <f t="shared" si="105"/>
        <v>-</v>
      </c>
      <c r="AS114" s="13" t="str">
        <f t="shared" si="92"/>
        <v>-</v>
      </c>
      <c r="AT114" s="16" t="str">
        <f t="shared" si="106"/>
        <v>-</v>
      </c>
      <c r="AU114" s="16" t="str">
        <f t="shared" si="93"/>
        <v>-</v>
      </c>
      <c r="AV114" s="16" t="str">
        <f t="shared" si="94"/>
        <v>-</v>
      </c>
      <c r="AW114" s="16" t="str">
        <f t="shared" si="107"/>
        <v>-</v>
      </c>
      <c r="AX114" s="13" t="str">
        <f t="shared" si="108"/>
        <v>-</v>
      </c>
      <c r="AY114" s="10" t="str">
        <f t="shared" si="109"/>
        <v>-</v>
      </c>
      <c r="AZ114" s="9" t="str">
        <f t="shared" si="110"/>
        <v>-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</row>
    <row r="115" spans="2:68" x14ac:dyDescent="0.3">
      <c r="B115" s="108" t="str">
        <f t="shared" si="95"/>
        <v/>
      </c>
      <c r="C115" s="108" t="str">
        <f t="shared" si="81"/>
        <v/>
      </c>
      <c r="D115" s="3"/>
      <c r="E115" s="3"/>
      <c r="F115" s="3"/>
      <c r="G115" s="20">
        <f>IFERROR(INDEX('Input - Convenience'!F$2:F$200,MATCH('Calculations - Convenience'!$C115,'Input - Convenience'!$B$2:$B$200,0)),"")</f>
        <v>0</v>
      </c>
      <c r="H115" s="20">
        <f>IFERROR(INDEX('Input - Convenience'!G$2:G$200,MATCH('Calculations - Convenience'!$C115,'Input - Convenience'!$B$2:$B$200,0)),"")</f>
        <v>0</v>
      </c>
      <c r="I115" s="21">
        <f>IFERROR(INDEX('Input - Convenience'!H$2:H$200,MATCH('Calculations - Convenience'!$C115,'Input - Convenience'!$B$2:$B$200,0)),"")</f>
        <v>0</v>
      </c>
      <c r="J115" s="21">
        <f>IFERROR(INDEX('Input - Convenience'!I$2:I$200,MATCH('Calculations - Convenience'!$C115,'Input - Convenience'!$B$2:$B$200,0)),"")</f>
        <v>0</v>
      </c>
      <c r="K115" s="20">
        <f>IFERROR(INDEX('Input - Convenience'!J$2:J$200,MATCH('Calculations - Convenience'!$C115,'Input - Convenience'!$B$2:$B$200,0)),"")</f>
        <v>0</v>
      </c>
      <c r="L115" s="20">
        <f>IFERROR(INDEX('Input - Convenience'!K$2:K$200,MATCH('Calculations - Convenience'!$C115,'Input - Convenience'!$B$2:$B$200,0)),"")</f>
        <v>0</v>
      </c>
      <c r="M115" s="21" t="str">
        <f t="shared" si="96"/>
        <v/>
      </c>
      <c r="N115" s="21" t="str">
        <f t="shared" si="82"/>
        <v/>
      </c>
      <c r="O115" s="21">
        <f t="shared" si="97"/>
        <v>0</v>
      </c>
      <c r="P115" s="9">
        <f t="shared" si="79"/>
        <v>0</v>
      </c>
      <c r="Q115" s="9">
        <f t="shared" si="80"/>
        <v>0</v>
      </c>
      <c r="R115" s="22" t="str">
        <f>IFERROR(INDEX(Convenience!$N$11:$N$148,MATCH('Calculations - Convenience'!$C115,Convenience!$J$11:$J$148,0)),"")</f>
        <v/>
      </c>
      <c r="S115" s="22" t="str">
        <f>IFERROR(INDEX(Convenience!$O$11:$O$148,MATCH('Calculations - Convenience'!$C115,Convenience!$J$11:$J$148,0)),"")</f>
        <v/>
      </c>
      <c r="T115" s="16" t="e">
        <f t="shared" si="83"/>
        <v>#VALUE!</v>
      </c>
      <c r="U115" s="16" t="e">
        <f t="shared" si="98"/>
        <v>#VALUE!</v>
      </c>
      <c r="V115" s="16" t="e">
        <f t="shared" si="99"/>
        <v>#VALUE!</v>
      </c>
      <c r="W115" s="10" t="str">
        <f t="shared" si="84"/>
        <v>-</v>
      </c>
      <c r="X115" s="10" t="str">
        <f t="shared" si="85"/>
        <v>-</v>
      </c>
      <c r="Y115" s="13" t="str">
        <f t="shared" si="100"/>
        <v>-</v>
      </c>
      <c r="Z115" s="9" t="str">
        <f t="shared" si="86"/>
        <v>-</v>
      </c>
      <c r="AA115" s="16" t="str">
        <f t="shared" si="101"/>
        <v>-</v>
      </c>
      <c r="AB115" s="16" t="str">
        <f t="shared" si="87"/>
        <v>-</v>
      </c>
      <c r="AC115" s="16" t="str">
        <f t="shared" si="88"/>
        <v>-</v>
      </c>
      <c r="AD115" s="16" t="str">
        <f t="shared" si="102"/>
        <v>-</v>
      </c>
      <c r="AE115" s="16"/>
      <c r="AF115" s="31" t="str">
        <f>IFERROR(INDEX(Convenience!$M$11:$M$148,MATCH('Calculations - Convenience'!C115,Convenience!$J$11:$J$148,0)),"")</f>
        <v/>
      </c>
      <c r="AG115" s="23" t="str">
        <f t="shared" si="103"/>
        <v/>
      </c>
      <c r="AH115" s="23" t="str">
        <f t="shared" si="103"/>
        <v/>
      </c>
      <c r="AI115" s="9" t="str">
        <f t="shared" si="89"/>
        <v/>
      </c>
      <c r="AJ115" s="4" t="str">
        <f t="shared" si="90"/>
        <v/>
      </c>
      <c r="AK115" s="4"/>
      <c r="AL115" s="4"/>
      <c r="AM115" s="4"/>
      <c r="AN115" s="4"/>
      <c r="AO115" s="4"/>
      <c r="AP115" s="20" t="str">
        <f t="shared" si="91"/>
        <v>-</v>
      </c>
      <c r="AQ115" s="13" t="str">
        <f t="shared" si="104"/>
        <v>-</v>
      </c>
      <c r="AR115" s="13" t="str">
        <f t="shared" si="105"/>
        <v>-</v>
      </c>
      <c r="AS115" s="13" t="str">
        <f t="shared" si="92"/>
        <v>-</v>
      </c>
      <c r="AT115" s="16" t="str">
        <f t="shared" si="106"/>
        <v>-</v>
      </c>
      <c r="AU115" s="16" t="str">
        <f t="shared" si="93"/>
        <v>-</v>
      </c>
      <c r="AV115" s="16" t="str">
        <f t="shared" si="94"/>
        <v>-</v>
      </c>
      <c r="AW115" s="16" t="str">
        <f t="shared" si="107"/>
        <v>-</v>
      </c>
      <c r="AX115" s="13" t="str">
        <f t="shared" si="108"/>
        <v>-</v>
      </c>
      <c r="AY115" s="10" t="str">
        <f t="shared" si="109"/>
        <v>-</v>
      </c>
      <c r="AZ115" s="9" t="str">
        <f t="shared" si="110"/>
        <v>-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</row>
    <row r="116" spans="2:68" x14ac:dyDescent="0.3">
      <c r="B116" s="108" t="str">
        <f t="shared" si="95"/>
        <v/>
      </c>
      <c r="C116" s="108" t="str">
        <f t="shared" si="81"/>
        <v/>
      </c>
      <c r="D116" s="3"/>
      <c r="E116" s="3"/>
      <c r="F116" s="3"/>
      <c r="G116" s="20">
        <f>IFERROR(INDEX('Input - Convenience'!F$2:F$200,MATCH('Calculations - Convenience'!$C116,'Input - Convenience'!$B$2:$B$200,0)),"")</f>
        <v>0</v>
      </c>
      <c r="H116" s="20">
        <f>IFERROR(INDEX('Input - Convenience'!G$2:G$200,MATCH('Calculations - Convenience'!$C116,'Input - Convenience'!$B$2:$B$200,0)),"")</f>
        <v>0</v>
      </c>
      <c r="I116" s="21">
        <f>IFERROR(INDEX('Input - Convenience'!H$2:H$200,MATCH('Calculations - Convenience'!$C116,'Input - Convenience'!$B$2:$B$200,0)),"")</f>
        <v>0</v>
      </c>
      <c r="J116" s="21">
        <f>IFERROR(INDEX('Input - Convenience'!I$2:I$200,MATCH('Calculations - Convenience'!$C116,'Input - Convenience'!$B$2:$B$200,0)),"")</f>
        <v>0</v>
      </c>
      <c r="K116" s="20">
        <f>IFERROR(INDEX('Input - Convenience'!J$2:J$200,MATCH('Calculations - Convenience'!$C116,'Input - Convenience'!$B$2:$B$200,0)),"")</f>
        <v>0</v>
      </c>
      <c r="L116" s="20">
        <f>IFERROR(INDEX('Input - Convenience'!K$2:K$200,MATCH('Calculations - Convenience'!$C116,'Input - Convenience'!$B$2:$B$200,0)),"")</f>
        <v>0</v>
      </c>
      <c r="M116" s="21" t="str">
        <f t="shared" si="96"/>
        <v/>
      </c>
      <c r="N116" s="21" t="str">
        <f t="shared" si="82"/>
        <v/>
      </c>
      <c r="O116" s="21">
        <f t="shared" si="97"/>
        <v>0</v>
      </c>
      <c r="P116" s="9">
        <f t="shared" si="79"/>
        <v>0</v>
      </c>
      <c r="Q116" s="9">
        <f t="shared" si="80"/>
        <v>0</v>
      </c>
      <c r="R116" s="22" t="str">
        <f>IFERROR(INDEX(Convenience!$N$11:$N$148,MATCH('Calculations - Convenience'!$C116,Convenience!$J$11:$J$148,0)),"")</f>
        <v/>
      </c>
      <c r="S116" s="22" t="str">
        <f>IFERROR(INDEX(Convenience!$O$11:$O$148,MATCH('Calculations - Convenience'!$C116,Convenience!$J$11:$J$148,0)),"")</f>
        <v/>
      </c>
      <c r="T116" s="16" t="e">
        <f t="shared" si="83"/>
        <v>#VALUE!</v>
      </c>
      <c r="U116" s="16" t="e">
        <f t="shared" si="98"/>
        <v>#VALUE!</v>
      </c>
      <c r="V116" s="16" t="e">
        <f t="shared" si="99"/>
        <v>#VALUE!</v>
      </c>
      <c r="W116" s="10" t="str">
        <f t="shared" si="84"/>
        <v>-</v>
      </c>
      <c r="X116" s="10" t="str">
        <f t="shared" si="85"/>
        <v>-</v>
      </c>
      <c r="Y116" s="13" t="str">
        <f t="shared" si="100"/>
        <v>-</v>
      </c>
      <c r="Z116" s="9" t="str">
        <f t="shared" si="86"/>
        <v>-</v>
      </c>
      <c r="AA116" s="16" t="str">
        <f t="shared" si="101"/>
        <v>-</v>
      </c>
      <c r="AB116" s="16" t="str">
        <f t="shared" si="87"/>
        <v>-</v>
      </c>
      <c r="AC116" s="16" t="str">
        <f t="shared" si="88"/>
        <v>-</v>
      </c>
      <c r="AD116" s="16" t="str">
        <f t="shared" si="102"/>
        <v>-</v>
      </c>
      <c r="AE116" s="16"/>
      <c r="AF116" s="31" t="str">
        <f>IFERROR(INDEX(Convenience!$M$11:$M$148,MATCH('Calculations - Convenience'!C116,Convenience!$J$11:$J$148,0)),"")</f>
        <v/>
      </c>
      <c r="AG116" s="23" t="str">
        <f t="shared" si="103"/>
        <v/>
      </c>
      <c r="AH116" s="23" t="str">
        <f t="shared" si="103"/>
        <v/>
      </c>
      <c r="AI116" s="9" t="str">
        <f t="shared" si="89"/>
        <v/>
      </c>
      <c r="AJ116" s="4" t="str">
        <f t="shared" si="90"/>
        <v/>
      </c>
      <c r="AK116" s="4"/>
      <c r="AL116" s="4"/>
      <c r="AM116" s="4"/>
      <c r="AN116" s="4"/>
      <c r="AO116" s="4"/>
      <c r="AP116" s="20" t="str">
        <f t="shared" si="91"/>
        <v>-</v>
      </c>
      <c r="AQ116" s="13" t="str">
        <f t="shared" si="104"/>
        <v>-</v>
      </c>
      <c r="AR116" s="13" t="str">
        <f t="shared" si="105"/>
        <v>-</v>
      </c>
      <c r="AS116" s="13" t="str">
        <f t="shared" si="92"/>
        <v>-</v>
      </c>
      <c r="AT116" s="16" t="str">
        <f t="shared" si="106"/>
        <v>-</v>
      </c>
      <c r="AU116" s="16" t="str">
        <f t="shared" si="93"/>
        <v>-</v>
      </c>
      <c r="AV116" s="16" t="str">
        <f t="shared" si="94"/>
        <v>-</v>
      </c>
      <c r="AW116" s="16" t="str">
        <f t="shared" si="107"/>
        <v>-</v>
      </c>
      <c r="AX116" s="13" t="str">
        <f t="shared" si="108"/>
        <v>-</v>
      </c>
      <c r="AY116" s="10" t="str">
        <f t="shared" si="109"/>
        <v>-</v>
      </c>
      <c r="AZ116" s="9" t="str">
        <f t="shared" si="110"/>
        <v>-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</row>
    <row r="117" spans="2:68" x14ac:dyDescent="0.3">
      <c r="B117" s="108" t="str">
        <f t="shared" si="95"/>
        <v/>
      </c>
      <c r="C117" s="108" t="str">
        <f t="shared" si="81"/>
        <v/>
      </c>
      <c r="D117" s="3"/>
      <c r="E117" s="3"/>
      <c r="F117" s="3"/>
      <c r="G117" s="20">
        <f>IFERROR(INDEX('Input - Convenience'!F$2:F$200,MATCH('Calculations - Convenience'!$C117,'Input - Convenience'!$B$2:$B$200,0)),"")</f>
        <v>0</v>
      </c>
      <c r="H117" s="20">
        <f>IFERROR(INDEX('Input - Convenience'!G$2:G$200,MATCH('Calculations - Convenience'!$C117,'Input - Convenience'!$B$2:$B$200,0)),"")</f>
        <v>0</v>
      </c>
      <c r="I117" s="21">
        <f>IFERROR(INDEX('Input - Convenience'!H$2:H$200,MATCH('Calculations - Convenience'!$C117,'Input - Convenience'!$B$2:$B$200,0)),"")</f>
        <v>0</v>
      </c>
      <c r="J117" s="21">
        <f>IFERROR(INDEX('Input - Convenience'!I$2:I$200,MATCH('Calculations - Convenience'!$C117,'Input - Convenience'!$B$2:$B$200,0)),"")</f>
        <v>0</v>
      </c>
      <c r="K117" s="20">
        <f>IFERROR(INDEX('Input - Convenience'!J$2:J$200,MATCH('Calculations - Convenience'!$C117,'Input - Convenience'!$B$2:$B$200,0)),"")</f>
        <v>0</v>
      </c>
      <c r="L117" s="20">
        <f>IFERROR(INDEX('Input - Convenience'!K$2:K$200,MATCH('Calculations - Convenience'!$C117,'Input - Convenience'!$B$2:$B$200,0)),"")</f>
        <v>0</v>
      </c>
      <c r="M117" s="21" t="str">
        <f t="shared" si="96"/>
        <v/>
      </c>
      <c r="N117" s="21" t="str">
        <f t="shared" si="82"/>
        <v/>
      </c>
      <c r="O117" s="21">
        <f t="shared" si="97"/>
        <v>0</v>
      </c>
      <c r="P117" s="9">
        <f t="shared" si="79"/>
        <v>0</v>
      </c>
      <c r="Q117" s="9">
        <f t="shared" si="80"/>
        <v>0</v>
      </c>
      <c r="R117" s="22" t="str">
        <f>IFERROR(INDEX(Convenience!$N$11:$N$148,MATCH('Calculations - Convenience'!$C117,Convenience!$J$11:$J$148,0)),"")</f>
        <v/>
      </c>
      <c r="S117" s="22" t="str">
        <f>IFERROR(INDEX(Convenience!$O$11:$O$148,MATCH('Calculations - Convenience'!$C117,Convenience!$J$11:$J$148,0)),"")</f>
        <v/>
      </c>
      <c r="T117" s="16" t="e">
        <f t="shared" si="83"/>
        <v>#VALUE!</v>
      </c>
      <c r="U117" s="16" t="e">
        <f t="shared" si="98"/>
        <v>#VALUE!</v>
      </c>
      <c r="V117" s="16" t="e">
        <f t="shared" si="99"/>
        <v>#VALUE!</v>
      </c>
      <c r="W117" s="10" t="str">
        <f t="shared" si="84"/>
        <v>-</v>
      </c>
      <c r="X117" s="10" t="str">
        <f t="shared" si="85"/>
        <v>-</v>
      </c>
      <c r="Y117" s="13" t="str">
        <f t="shared" si="100"/>
        <v>-</v>
      </c>
      <c r="Z117" s="9" t="str">
        <f t="shared" si="86"/>
        <v>-</v>
      </c>
      <c r="AA117" s="16" t="str">
        <f t="shared" si="101"/>
        <v>-</v>
      </c>
      <c r="AB117" s="16" t="str">
        <f t="shared" si="87"/>
        <v>-</v>
      </c>
      <c r="AC117" s="16" t="str">
        <f t="shared" si="88"/>
        <v>-</v>
      </c>
      <c r="AD117" s="16" t="str">
        <f t="shared" si="102"/>
        <v>-</v>
      </c>
      <c r="AE117" s="16"/>
      <c r="AF117" s="31" t="str">
        <f>IFERROR(INDEX(Convenience!$M$11:$M$148,MATCH('Calculations - Convenience'!C117,Convenience!$J$11:$J$148,0)),"")</f>
        <v/>
      </c>
      <c r="AG117" s="23" t="str">
        <f t="shared" si="103"/>
        <v/>
      </c>
      <c r="AH117" s="23" t="str">
        <f t="shared" si="103"/>
        <v/>
      </c>
      <c r="AI117" s="9" t="str">
        <f t="shared" si="89"/>
        <v/>
      </c>
      <c r="AJ117" s="4" t="str">
        <f t="shared" si="90"/>
        <v/>
      </c>
      <c r="AK117" s="4"/>
      <c r="AL117" s="4"/>
      <c r="AM117" s="4"/>
      <c r="AN117" s="4"/>
      <c r="AO117" s="4"/>
      <c r="AP117" s="20" t="str">
        <f t="shared" si="91"/>
        <v>-</v>
      </c>
      <c r="AQ117" s="13" t="str">
        <f t="shared" si="104"/>
        <v>-</v>
      </c>
      <c r="AR117" s="13" t="str">
        <f t="shared" si="105"/>
        <v>-</v>
      </c>
      <c r="AS117" s="13" t="str">
        <f t="shared" si="92"/>
        <v>-</v>
      </c>
      <c r="AT117" s="16" t="str">
        <f t="shared" si="106"/>
        <v>-</v>
      </c>
      <c r="AU117" s="16" t="str">
        <f t="shared" si="93"/>
        <v>-</v>
      </c>
      <c r="AV117" s="16" t="str">
        <f t="shared" si="94"/>
        <v>-</v>
      </c>
      <c r="AW117" s="16" t="str">
        <f t="shared" si="107"/>
        <v>-</v>
      </c>
      <c r="AX117" s="13" t="str">
        <f t="shared" si="108"/>
        <v>-</v>
      </c>
      <c r="AY117" s="10" t="str">
        <f t="shared" si="109"/>
        <v>-</v>
      </c>
      <c r="AZ117" s="9" t="str">
        <f t="shared" si="110"/>
        <v>-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</row>
    <row r="118" spans="2:68" x14ac:dyDescent="0.3">
      <c r="B118" s="108" t="str">
        <f t="shared" si="95"/>
        <v/>
      </c>
      <c r="C118" s="108" t="str">
        <f t="shared" si="81"/>
        <v/>
      </c>
      <c r="D118" s="3"/>
      <c r="E118" s="3"/>
      <c r="F118" s="3"/>
      <c r="G118" s="20">
        <f>IFERROR(INDEX('Input - Convenience'!F$2:F$200,MATCH('Calculations - Convenience'!$C118,'Input - Convenience'!$B$2:$B$200,0)),"")</f>
        <v>0</v>
      </c>
      <c r="H118" s="20">
        <f>IFERROR(INDEX('Input - Convenience'!G$2:G$200,MATCH('Calculations - Convenience'!$C118,'Input - Convenience'!$B$2:$B$200,0)),"")</f>
        <v>0</v>
      </c>
      <c r="I118" s="21">
        <f>IFERROR(INDEX('Input - Convenience'!H$2:H$200,MATCH('Calculations - Convenience'!$C118,'Input - Convenience'!$B$2:$B$200,0)),"")</f>
        <v>0</v>
      </c>
      <c r="J118" s="21">
        <f>IFERROR(INDEX('Input - Convenience'!I$2:I$200,MATCH('Calculations - Convenience'!$C118,'Input - Convenience'!$B$2:$B$200,0)),"")</f>
        <v>0</v>
      </c>
      <c r="K118" s="20">
        <f>IFERROR(INDEX('Input - Convenience'!J$2:J$200,MATCH('Calculations - Convenience'!$C118,'Input - Convenience'!$B$2:$B$200,0)),"")</f>
        <v>0</v>
      </c>
      <c r="L118" s="20">
        <f>IFERROR(INDEX('Input - Convenience'!K$2:K$200,MATCH('Calculations - Convenience'!$C118,'Input - Convenience'!$B$2:$B$200,0)),"")</f>
        <v>0</v>
      </c>
      <c r="M118" s="21" t="str">
        <f t="shared" si="96"/>
        <v/>
      </c>
      <c r="N118" s="21" t="str">
        <f t="shared" si="82"/>
        <v/>
      </c>
      <c r="O118" s="21">
        <f t="shared" si="97"/>
        <v>0</v>
      </c>
      <c r="P118" s="9">
        <f t="shared" si="79"/>
        <v>0</v>
      </c>
      <c r="Q118" s="9">
        <f t="shared" si="80"/>
        <v>0</v>
      </c>
      <c r="R118" s="22" t="str">
        <f>IFERROR(INDEX(Convenience!$N$11:$N$148,MATCH('Calculations - Convenience'!$C118,Convenience!$J$11:$J$148,0)),"")</f>
        <v/>
      </c>
      <c r="S118" s="22" t="str">
        <f>IFERROR(INDEX(Convenience!$O$11:$O$148,MATCH('Calculations - Convenience'!$C118,Convenience!$J$11:$J$148,0)),"")</f>
        <v/>
      </c>
      <c r="T118" s="16" t="e">
        <f t="shared" si="83"/>
        <v>#VALUE!</v>
      </c>
      <c r="U118" s="16" t="e">
        <f t="shared" si="98"/>
        <v>#VALUE!</v>
      </c>
      <c r="V118" s="16" t="e">
        <f t="shared" si="99"/>
        <v>#VALUE!</v>
      </c>
      <c r="W118" s="10" t="str">
        <f t="shared" si="84"/>
        <v>-</v>
      </c>
      <c r="X118" s="10" t="str">
        <f t="shared" si="85"/>
        <v>-</v>
      </c>
      <c r="Y118" s="13" t="str">
        <f t="shared" si="100"/>
        <v>-</v>
      </c>
      <c r="Z118" s="9" t="str">
        <f t="shared" si="86"/>
        <v>-</v>
      </c>
      <c r="AA118" s="16" t="str">
        <f t="shared" si="101"/>
        <v>-</v>
      </c>
      <c r="AB118" s="16" t="str">
        <f t="shared" si="87"/>
        <v>-</v>
      </c>
      <c r="AC118" s="16" t="str">
        <f t="shared" si="88"/>
        <v>-</v>
      </c>
      <c r="AD118" s="16" t="str">
        <f t="shared" si="102"/>
        <v>-</v>
      </c>
      <c r="AE118" s="16"/>
      <c r="AF118" s="31" t="str">
        <f>IFERROR(INDEX(Convenience!$M$11:$M$148,MATCH('Calculations - Convenience'!C118,Convenience!$J$11:$J$148,0)),"")</f>
        <v/>
      </c>
      <c r="AG118" s="23" t="str">
        <f t="shared" si="103"/>
        <v/>
      </c>
      <c r="AH118" s="23" t="str">
        <f t="shared" si="103"/>
        <v/>
      </c>
      <c r="AI118" s="9" t="str">
        <f t="shared" si="89"/>
        <v/>
      </c>
      <c r="AJ118" s="4" t="str">
        <f t="shared" si="90"/>
        <v/>
      </c>
      <c r="AK118" s="4"/>
      <c r="AL118" s="4"/>
      <c r="AM118" s="4"/>
      <c r="AN118" s="4"/>
      <c r="AO118" s="4"/>
      <c r="AP118" s="20" t="str">
        <f t="shared" si="91"/>
        <v>-</v>
      </c>
      <c r="AQ118" s="13" t="str">
        <f t="shared" si="104"/>
        <v>-</v>
      </c>
      <c r="AR118" s="13" t="str">
        <f t="shared" si="105"/>
        <v>-</v>
      </c>
      <c r="AS118" s="13" t="str">
        <f t="shared" si="92"/>
        <v>-</v>
      </c>
      <c r="AT118" s="16" t="str">
        <f t="shared" si="106"/>
        <v>-</v>
      </c>
      <c r="AU118" s="16" t="str">
        <f t="shared" si="93"/>
        <v>-</v>
      </c>
      <c r="AV118" s="16" t="str">
        <f t="shared" si="94"/>
        <v>-</v>
      </c>
      <c r="AW118" s="16" t="str">
        <f t="shared" si="107"/>
        <v>-</v>
      </c>
      <c r="AX118" s="13" t="str">
        <f t="shared" si="108"/>
        <v>-</v>
      </c>
      <c r="AY118" s="10" t="str">
        <f t="shared" si="109"/>
        <v>-</v>
      </c>
      <c r="AZ118" s="9" t="str">
        <f t="shared" si="110"/>
        <v>-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</row>
    <row r="119" spans="2:68" x14ac:dyDescent="0.3">
      <c r="B119" s="108" t="str">
        <f t="shared" si="95"/>
        <v/>
      </c>
      <c r="C119" s="108" t="str">
        <f t="shared" si="81"/>
        <v/>
      </c>
      <c r="D119" s="3"/>
      <c r="E119" s="3"/>
      <c r="F119" s="3"/>
      <c r="G119" s="20">
        <f>IFERROR(INDEX('Input - Convenience'!F$2:F$200,MATCH('Calculations - Convenience'!$C119,'Input - Convenience'!$B$2:$B$200,0)),"")</f>
        <v>0</v>
      </c>
      <c r="H119" s="20">
        <f>IFERROR(INDEX('Input - Convenience'!G$2:G$200,MATCH('Calculations - Convenience'!$C119,'Input - Convenience'!$B$2:$B$200,0)),"")</f>
        <v>0</v>
      </c>
      <c r="I119" s="21">
        <f>IFERROR(INDEX('Input - Convenience'!H$2:H$200,MATCH('Calculations - Convenience'!$C119,'Input - Convenience'!$B$2:$B$200,0)),"")</f>
        <v>0</v>
      </c>
      <c r="J119" s="21">
        <f>IFERROR(INDEX('Input - Convenience'!I$2:I$200,MATCH('Calculations - Convenience'!$C119,'Input - Convenience'!$B$2:$B$200,0)),"")</f>
        <v>0</v>
      </c>
      <c r="K119" s="20">
        <f>IFERROR(INDEX('Input - Convenience'!J$2:J$200,MATCH('Calculations - Convenience'!$C119,'Input - Convenience'!$B$2:$B$200,0)),"")</f>
        <v>0</v>
      </c>
      <c r="L119" s="20">
        <f>IFERROR(INDEX('Input - Convenience'!K$2:K$200,MATCH('Calculations - Convenience'!$C119,'Input - Convenience'!$B$2:$B$200,0)),"")</f>
        <v>0</v>
      </c>
      <c r="M119" s="21" t="str">
        <f t="shared" si="96"/>
        <v/>
      </c>
      <c r="N119" s="21" t="str">
        <f t="shared" si="82"/>
        <v/>
      </c>
      <c r="O119" s="21">
        <f t="shared" si="97"/>
        <v>0</v>
      </c>
      <c r="P119" s="9">
        <f t="shared" si="79"/>
        <v>0</v>
      </c>
      <c r="Q119" s="9">
        <f t="shared" si="80"/>
        <v>0</v>
      </c>
      <c r="R119" s="22" t="str">
        <f>IFERROR(INDEX(Convenience!$N$11:$N$148,MATCH('Calculations - Convenience'!$C119,Convenience!$J$11:$J$148,0)),"")</f>
        <v/>
      </c>
      <c r="S119" s="22" t="str">
        <f>IFERROR(INDEX(Convenience!$O$11:$O$148,MATCH('Calculations - Convenience'!$C119,Convenience!$J$11:$J$148,0)),"")</f>
        <v/>
      </c>
      <c r="T119" s="16" t="e">
        <f t="shared" si="83"/>
        <v>#VALUE!</v>
      </c>
      <c r="U119" s="16" t="e">
        <f t="shared" si="98"/>
        <v>#VALUE!</v>
      </c>
      <c r="V119" s="16" t="e">
        <f t="shared" si="99"/>
        <v>#VALUE!</v>
      </c>
      <c r="W119" s="10" t="str">
        <f t="shared" si="84"/>
        <v>-</v>
      </c>
      <c r="X119" s="10" t="str">
        <f t="shared" si="85"/>
        <v>-</v>
      </c>
      <c r="Y119" s="13" t="str">
        <f t="shared" si="100"/>
        <v>-</v>
      </c>
      <c r="Z119" s="9" t="str">
        <f t="shared" si="86"/>
        <v>-</v>
      </c>
      <c r="AA119" s="16" t="str">
        <f t="shared" si="101"/>
        <v>-</v>
      </c>
      <c r="AB119" s="16" t="str">
        <f t="shared" si="87"/>
        <v>-</v>
      </c>
      <c r="AC119" s="16" t="str">
        <f t="shared" si="88"/>
        <v>-</v>
      </c>
      <c r="AD119" s="16" t="str">
        <f t="shared" si="102"/>
        <v>-</v>
      </c>
      <c r="AE119" s="16"/>
      <c r="AF119" s="31" t="str">
        <f>IFERROR(INDEX(Convenience!$M$11:$M$148,MATCH('Calculations - Convenience'!C119,Convenience!$J$11:$J$148,0)),"")</f>
        <v/>
      </c>
      <c r="AG119" s="23" t="str">
        <f t="shared" si="103"/>
        <v/>
      </c>
      <c r="AH119" s="23" t="str">
        <f t="shared" si="103"/>
        <v/>
      </c>
      <c r="AI119" s="9" t="str">
        <f t="shared" si="89"/>
        <v/>
      </c>
      <c r="AJ119" s="4" t="str">
        <f t="shared" si="90"/>
        <v/>
      </c>
      <c r="AK119" s="4"/>
      <c r="AL119" s="4"/>
      <c r="AM119" s="4"/>
      <c r="AN119" s="4"/>
      <c r="AO119" s="4"/>
      <c r="AP119" s="20" t="str">
        <f t="shared" si="91"/>
        <v>-</v>
      </c>
      <c r="AQ119" s="13" t="str">
        <f t="shared" si="104"/>
        <v>-</v>
      </c>
      <c r="AR119" s="13" t="str">
        <f t="shared" si="105"/>
        <v>-</v>
      </c>
      <c r="AS119" s="13" t="str">
        <f t="shared" si="92"/>
        <v>-</v>
      </c>
      <c r="AT119" s="16" t="str">
        <f t="shared" si="106"/>
        <v>-</v>
      </c>
      <c r="AU119" s="16" t="str">
        <f t="shared" si="93"/>
        <v>-</v>
      </c>
      <c r="AV119" s="16" t="str">
        <f t="shared" si="94"/>
        <v>-</v>
      </c>
      <c r="AW119" s="16" t="str">
        <f t="shared" si="107"/>
        <v>-</v>
      </c>
      <c r="AX119" s="13" t="str">
        <f t="shared" si="108"/>
        <v>-</v>
      </c>
      <c r="AY119" s="10" t="str">
        <f t="shared" si="109"/>
        <v>-</v>
      </c>
      <c r="AZ119" s="9" t="str">
        <f t="shared" si="110"/>
        <v>-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</row>
    <row r="120" spans="2:68" x14ac:dyDescent="0.3">
      <c r="B120" s="108" t="str">
        <f t="shared" si="95"/>
        <v/>
      </c>
      <c r="C120" s="108" t="str">
        <f t="shared" si="81"/>
        <v/>
      </c>
      <c r="D120" s="3"/>
      <c r="E120" s="3"/>
      <c r="F120" s="3"/>
      <c r="G120" s="20">
        <f>IFERROR(INDEX('Input - Convenience'!F$2:F$200,MATCH('Calculations - Convenience'!$C120,'Input - Convenience'!$B$2:$B$200,0)),"")</f>
        <v>0</v>
      </c>
      <c r="H120" s="20">
        <f>IFERROR(INDEX('Input - Convenience'!G$2:G$200,MATCH('Calculations - Convenience'!$C120,'Input - Convenience'!$B$2:$B$200,0)),"")</f>
        <v>0</v>
      </c>
      <c r="I120" s="21">
        <f>IFERROR(INDEX('Input - Convenience'!H$2:H$200,MATCH('Calculations - Convenience'!$C120,'Input - Convenience'!$B$2:$B$200,0)),"")</f>
        <v>0</v>
      </c>
      <c r="J120" s="21">
        <f>IFERROR(INDEX('Input - Convenience'!I$2:I$200,MATCH('Calculations - Convenience'!$C120,'Input - Convenience'!$B$2:$B$200,0)),"")</f>
        <v>0</v>
      </c>
      <c r="K120" s="20">
        <f>IFERROR(INDEX('Input - Convenience'!J$2:J$200,MATCH('Calculations - Convenience'!$C120,'Input - Convenience'!$B$2:$B$200,0)),"")</f>
        <v>0</v>
      </c>
      <c r="L120" s="20">
        <f>IFERROR(INDEX('Input - Convenience'!K$2:K$200,MATCH('Calculations - Convenience'!$C120,'Input - Convenience'!$B$2:$B$200,0)),"")</f>
        <v>0</v>
      </c>
      <c r="M120" s="21" t="str">
        <f t="shared" si="96"/>
        <v/>
      </c>
      <c r="N120" s="21" t="str">
        <f t="shared" si="82"/>
        <v/>
      </c>
      <c r="O120" s="21">
        <f t="shared" si="97"/>
        <v>0</v>
      </c>
      <c r="P120" s="9">
        <f t="shared" si="79"/>
        <v>0</v>
      </c>
      <c r="Q120" s="9">
        <f t="shared" si="80"/>
        <v>0</v>
      </c>
      <c r="R120" s="22" t="str">
        <f>IFERROR(INDEX(Convenience!$N$11:$N$148,MATCH('Calculations - Convenience'!$C120,Convenience!$J$11:$J$148,0)),"")</f>
        <v/>
      </c>
      <c r="S120" s="22" t="str">
        <f>IFERROR(INDEX(Convenience!$O$11:$O$148,MATCH('Calculations - Convenience'!$C120,Convenience!$J$11:$J$148,0)),"")</f>
        <v/>
      </c>
      <c r="T120" s="16" t="e">
        <f t="shared" si="83"/>
        <v>#VALUE!</v>
      </c>
      <c r="U120" s="16" t="e">
        <f t="shared" si="98"/>
        <v>#VALUE!</v>
      </c>
      <c r="V120" s="16" t="e">
        <f t="shared" si="99"/>
        <v>#VALUE!</v>
      </c>
      <c r="W120" s="10" t="str">
        <f t="shared" si="84"/>
        <v>-</v>
      </c>
      <c r="X120" s="10" t="str">
        <f t="shared" si="85"/>
        <v>-</v>
      </c>
      <c r="Y120" s="13" t="str">
        <f t="shared" si="100"/>
        <v>-</v>
      </c>
      <c r="Z120" s="9" t="str">
        <f t="shared" si="86"/>
        <v>-</v>
      </c>
      <c r="AA120" s="16" t="str">
        <f t="shared" si="101"/>
        <v>-</v>
      </c>
      <c r="AB120" s="16" t="str">
        <f t="shared" si="87"/>
        <v>-</v>
      </c>
      <c r="AC120" s="16" t="str">
        <f t="shared" si="88"/>
        <v>-</v>
      </c>
      <c r="AD120" s="16" t="str">
        <f t="shared" si="102"/>
        <v>-</v>
      </c>
      <c r="AE120" s="16"/>
      <c r="AF120" s="31" t="str">
        <f>IFERROR(INDEX(Convenience!$M$11:$M$148,MATCH('Calculations - Convenience'!C120,Convenience!$J$11:$J$148,0)),"")</f>
        <v/>
      </c>
      <c r="AG120" s="23" t="str">
        <f t="shared" si="103"/>
        <v/>
      </c>
      <c r="AH120" s="23" t="str">
        <f t="shared" si="103"/>
        <v/>
      </c>
      <c r="AI120" s="9" t="str">
        <f t="shared" si="89"/>
        <v/>
      </c>
      <c r="AJ120" s="4" t="str">
        <f t="shared" si="90"/>
        <v/>
      </c>
      <c r="AK120" s="4"/>
      <c r="AL120" s="4"/>
      <c r="AM120" s="4"/>
      <c r="AN120" s="4"/>
      <c r="AO120" s="4"/>
      <c r="AP120" s="20" t="str">
        <f t="shared" si="91"/>
        <v>-</v>
      </c>
      <c r="AQ120" s="13" t="str">
        <f t="shared" si="104"/>
        <v>-</v>
      </c>
      <c r="AR120" s="13" t="str">
        <f t="shared" si="105"/>
        <v>-</v>
      </c>
      <c r="AS120" s="13" t="str">
        <f t="shared" si="92"/>
        <v>-</v>
      </c>
      <c r="AT120" s="16" t="str">
        <f t="shared" si="106"/>
        <v>-</v>
      </c>
      <c r="AU120" s="16" t="str">
        <f t="shared" si="93"/>
        <v>-</v>
      </c>
      <c r="AV120" s="16" t="str">
        <f t="shared" si="94"/>
        <v>-</v>
      </c>
      <c r="AW120" s="16" t="str">
        <f t="shared" si="107"/>
        <v>-</v>
      </c>
      <c r="AX120" s="13" t="str">
        <f t="shared" si="108"/>
        <v>-</v>
      </c>
      <c r="AY120" s="10" t="str">
        <f t="shared" si="109"/>
        <v>-</v>
      </c>
      <c r="AZ120" s="9" t="str">
        <f t="shared" si="110"/>
        <v>-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</row>
    <row r="121" spans="2:68" x14ac:dyDescent="0.3">
      <c r="B121" s="108" t="str">
        <f t="shared" si="95"/>
        <v/>
      </c>
      <c r="C121" s="108" t="str">
        <f t="shared" si="81"/>
        <v/>
      </c>
      <c r="D121" s="3"/>
      <c r="E121" s="3"/>
      <c r="F121" s="3"/>
      <c r="G121" s="20">
        <f>IFERROR(INDEX('Input - Convenience'!F$2:F$200,MATCH('Calculations - Convenience'!$C121,'Input - Convenience'!$B$2:$B$200,0)),"")</f>
        <v>0</v>
      </c>
      <c r="H121" s="20">
        <f>IFERROR(INDEX('Input - Convenience'!G$2:G$200,MATCH('Calculations - Convenience'!$C121,'Input - Convenience'!$B$2:$B$200,0)),"")</f>
        <v>0</v>
      </c>
      <c r="I121" s="21">
        <f>IFERROR(INDEX('Input - Convenience'!H$2:H$200,MATCH('Calculations - Convenience'!$C121,'Input - Convenience'!$B$2:$B$200,0)),"")</f>
        <v>0</v>
      </c>
      <c r="J121" s="21">
        <f>IFERROR(INDEX('Input - Convenience'!I$2:I$200,MATCH('Calculations - Convenience'!$C121,'Input - Convenience'!$B$2:$B$200,0)),"")</f>
        <v>0</v>
      </c>
      <c r="K121" s="20">
        <f>IFERROR(INDEX('Input - Convenience'!J$2:J$200,MATCH('Calculations - Convenience'!$C121,'Input - Convenience'!$B$2:$B$200,0)),"")</f>
        <v>0</v>
      </c>
      <c r="L121" s="20">
        <f>IFERROR(INDEX('Input - Convenience'!K$2:K$200,MATCH('Calculations - Convenience'!$C121,'Input - Convenience'!$B$2:$B$200,0)),"")</f>
        <v>0</v>
      </c>
      <c r="M121" s="21" t="str">
        <f t="shared" si="96"/>
        <v/>
      </c>
      <c r="N121" s="21" t="str">
        <f t="shared" si="82"/>
        <v/>
      </c>
      <c r="O121" s="21">
        <f t="shared" si="97"/>
        <v>0</v>
      </c>
      <c r="P121" s="9">
        <f t="shared" si="79"/>
        <v>0</v>
      </c>
      <c r="Q121" s="9">
        <f t="shared" si="80"/>
        <v>0</v>
      </c>
      <c r="R121" s="22" t="str">
        <f>IFERROR(INDEX(Convenience!$N$11:$N$148,MATCH('Calculations - Convenience'!$C121,Convenience!$J$11:$J$148,0)),"")</f>
        <v/>
      </c>
      <c r="S121" s="22" t="str">
        <f>IFERROR(INDEX(Convenience!$O$11:$O$148,MATCH('Calculations - Convenience'!$C121,Convenience!$J$11:$J$148,0)),"")</f>
        <v/>
      </c>
      <c r="T121" s="16" t="e">
        <f t="shared" si="83"/>
        <v>#VALUE!</v>
      </c>
      <c r="U121" s="16" t="e">
        <f t="shared" si="98"/>
        <v>#VALUE!</v>
      </c>
      <c r="V121" s="16" t="e">
        <f t="shared" si="99"/>
        <v>#VALUE!</v>
      </c>
      <c r="W121" s="10" t="str">
        <f t="shared" si="84"/>
        <v>-</v>
      </c>
      <c r="X121" s="10" t="str">
        <f t="shared" si="85"/>
        <v>-</v>
      </c>
      <c r="Y121" s="13" t="str">
        <f t="shared" si="100"/>
        <v>-</v>
      </c>
      <c r="Z121" s="9" t="str">
        <f t="shared" si="86"/>
        <v>-</v>
      </c>
      <c r="AA121" s="16" t="str">
        <f t="shared" si="101"/>
        <v>-</v>
      </c>
      <c r="AB121" s="16" t="str">
        <f t="shared" si="87"/>
        <v>-</v>
      </c>
      <c r="AC121" s="16" t="str">
        <f t="shared" si="88"/>
        <v>-</v>
      </c>
      <c r="AD121" s="16" t="str">
        <f t="shared" si="102"/>
        <v>-</v>
      </c>
      <c r="AE121" s="16"/>
      <c r="AF121" s="31" t="str">
        <f>IFERROR(INDEX(Convenience!$M$11:$M$148,MATCH('Calculations - Convenience'!C121,Convenience!$J$11:$J$148,0)),"")</f>
        <v/>
      </c>
      <c r="AG121" s="23" t="str">
        <f t="shared" si="103"/>
        <v/>
      </c>
      <c r="AH121" s="23" t="str">
        <f t="shared" si="103"/>
        <v/>
      </c>
      <c r="AI121" s="9" t="str">
        <f t="shared" si="89"/>
        <v/>
      </c>
      <c r="AJ121" s="4" t="str">
        <f t="shared" si="90"/>
        <v/>
      </c>
      <c r="AK121" s="4"/>
      <c r="AL121" s="4"/>
      <c r="AM121" s="4"/>
      <c r="AN121" s="4"/>
      <c r="AO121" s="4"/>
      <c r="AP121" s="20" t="str">
        <f t="shared" si="91"/>
        <v>-</v>
      </c>
      <c r="AQ121" s="13" t="str">
        <f t="shared" si="104"/>
        <v>-</v>
      </c>
      <c r="AR121" s="13" t="str">
        <f t="shared" si="105"/>
        <v>-</v>
      </c>
      <c r="AS121" s="13" t="str">
        <f t="shared" si="92"/>
        <v>-</v>
      </c>
      <c r="AT121" s="16" t="str">
        <f t="shared" si="106"/>
        <v>-</v>
      </c>
      <c r="AU121" s="16" t="str">
        <f t="shared" si="93"/>
        <v>-</v>
      </c>
      <c r="AV121" s="16" t="str">
        <f t="shared" si="94"/>
        <v>-</v>
      </c>
      <c r="AW121" s="16" t="str">
        <f t="shared" si="107"/>
        <v>-</v>
      </c>
      <c r="AX121" s="13" t="str">
        <f t="shared" si="108"/>
        <v>-</v>
      </c>
      <c r="AY121" s="10" t="str">
        <f t="shared" si="109"/>
        <v>-</v>
      </c>
      <c r="AZ121" s="9" t="str">
        <f t="shared" si="110"/>
        <v>-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</row>
    <row r="122" spans="2:68" x14ac:dyDescent="0.3">
      <c r="B122" s="108" t="str">
        <f t="shared" si="95"/>
        <v/>
      </c>
      <c r="C122" s="108" t="str">
        <f t="shared" si="81"/>
        <v/>
      </c>
      <c r="D122" s="3"/>
      <c r="E122" s="3"/>
      <c r="F122" s="3"/>
      <c r="G122" s="20">
        <f>IFERROR(INDEX('Input - Convenience'!F$2:F$200,MATCH('Calculations - Convenience'!$C122,'Input - Convenience'!$B$2:$B$200,0)),"")</f>
        <v>0</v>
      </c>
      <c r="H122" s="20">
        <f>IFERROR(INDEX('Input - Convenience'!G$2:G$200,MATCH('Calculations - Convenience'!$C122,'Input - Convenience'!$B$2:$B$200,0)),"")</f>
        <v>0</v>
      </c>
      <c r="I122" s="21">
        <f>IFERROR(INDEX('Input - Convenience'!H$2:H$200,MATCH('Calculations - Convenience'!$C122,'Input - Convenience'!$B$2:$B$200,0)),"")</f>
        <v>0</v>
      </c>
      <c r="J122" s="21">
        <f>IFERROR(INDEX('Input - Convenience'!I$2:I$200,MATCH('Calculations - Convenience'!$C122,'Input - Convenience'!$B$2:$B$200,0)),"")</f>
        <v>0</v>
      </c>
      <c r="K122" s="20">
        <f>IFERROR(INDEX('Input - Convenience'!J$2:J$200,MATCH('Calculations - Convenience'!$C122,'Input - Convenience'!$B$2:$B$200,0)),"")</f>
        <v>0</v>
      </c>
      <c r="L122" s="20">
        <f>IFERROR(INDEX('Input - Convenience'!K$2:K$200,MATCH('Calculations - Convenience'!$C122,'Input - Convenience'!$B$2:$B$200,0)),"")</f>
        <v>0</v>
      </c>
      <c r="M122" s="21" t="str">
        <f t="shared" si="96"/>
        <v/>
      </c>
      <c r="N122" s="21" t="str">
        <f t="shared" si="82"/>
        <v/>
      </c>
      <c r="O122" s="21">
        <f t="shared" si="97"/>
        <v>0</v>
      </c>
      <c r="P122" s="9">
        <f t="shared" si="79"/>
        <v>0</v>
      </c>
      <c r="Q122" s="9">
        <f t="shared" si="80"/>
        <v>0</v>
      </c>
      <c r="R122" s="22" t="str">
        <f>IFERROR(INDEX(Convenience!$N$11:$N$148,MATCH('Calculations - Convenience'!$C122,Convenience!$J$11:$J$148,0)),"")</f>
        <v/>
      </c>
      <c r="S122" s="22" t="str">
        <f>IFERROR(INDEX(Convenience!$O$11:$O$148,MATCH('Calculations - Convenience'!$C122,Convenience!$J$11:$J$148,0)),"")</f>
        <v/>
      </c>
      <c r="T122" s="16" t="e">
        <f t="shared" si="83"/>
        <v>#VALUE!</v>
      </c>
      <c r="U122" s="16" t="e">
        <f t="shared" si="98"/>
        <v>#VALUE!</v>
      </c>
      <c r="V122" s="16" t="e">
        <f t="shared" si="99"/>
        <v>#VALUE!</v>
      </c>
      <c r="W122" s="10" t="str">
        <f t="shared" si="84"/>
        <v>-</v>
      </c>
      <c r="X122" s="10" t="str">
        <f t="shared" si="85"/>
        <v>-</v>
      </c>
      <c r="Y122" s="13" t="str">
        <f t="shared" si="100"/>
        <v>-</v>
      </c>
      <c r="Z122" s="9" t="str">
        <f t="shared" si="86"/>
        <v>-</v>
      </c>
      <c r="AA122" s="16" t="str">
        <f t="shared" si="101"/>
        <v>-</v>
      </c>
      <c r="AB122" s="16" t="str">
        <f t="shared" si="87"/>
        <v>-</v>
      </c>
      <c r="AC122" s="16" t="str">
        <f t="shared" si="88"/>
        <v>-</v>
      </c>
      <c r="AD122" s="16" t="str">
        <f t="shared" si="102"/>
        <v>-</v>
      </c>
      <c r="AE122" s="16"/>
      <c r="AF122" s="31" t="str">
        <f>IFERROR(INDEX(Convenience!$M$11:$M$148,MATCH('Calculations - Convenience'!C122,Convenience!$J$11:$J$148,0)),"")</f>
        <v/>
      </c>
      <c r="AG122" s="23" t="str">
        <f t="shared" si="103"/>
        <v/>
      </c>
      <c r="AH122" s="23" t="str">
        <f t="shared" si="103"/>
        <v/>
      </c>
      <c r="AI122" s="9" t="str">
        <f t="shared" si="89"/>
        <v/>
      </c>
      <c r="AJ122" s="4" t="str">
        <f t="shared" si="90"/>
        <v/>
      </c>
      <c r="AK122" s="4"/>
      <c r="AL122" s="4"/>
      <c r="AM122" s="4"/>
      <c r="AN122" s="4"/>
      <c r="AO122" s="4"/>
      <c r="AP122" s="20" t="str">
        <f t="shared" si="91"/>
        <v>-</v>
      </c>
      <c r="AQ122" s="13" t="str">
        <f t="shared" si="104"/>
        <v>-</v>
      </c>
      <c r="AR122" s="13" t="str">
        <f t="shared" si="105"/>
        <v>-</v>
      </c>
      <c r="AS122" s="13" t="str">
        <f t="shared" si="92"/>
        <v>-</v>
      </c>
      <c r="AT122" s="16" t="str">
        <f t="shared" si="106"/>
        <v>-</v>
      </c>
      <c r="AU122" s="16" t="str">
        <f t="shared" si="93"/>
        <v>-</v>
      </c>
      <c r="AV122" s="16" t="str">
        <f t="shared" si="94"/>
        <v>-</v>
      </c>
      <c r="AW122" s="16" t="str">
        <f t="shared" si="107"/>
        <v>-</v>
      </c>
      <c r="AX122" s="13" t="str">
        <f t="shared" si="108"/>
        <v>-</v>
      </c>
      <c r="AY122" s="10" t="str">
        <f t="shared" si="109"/>
        <v>-</v>
      </c>
      <c r="AZ122" s="9" t="str">
        <f t="shared" si="110"/>
        <v>-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</row>
    <row r="123" spans="2:68" x14ac:dyDescent="0.3">
      <c r="B123" s="108" t="str">
        <f t="shared" si="95"/>
        <v/>
      </c>
      <c r="C123" s="108" t="str">
        <f t="shared" si="81"/>
        <v/>
      </c>
      <c r="D123" s="3"/>
      <c r="E123" s="3"/>
      <c r="F123" s="3"/>
      <c r="G123" s="20">
        <f>IFERROR(INDEX('Input - Convenience'!F$2:F$200,MATCH('Calculations - Convenience'!$C123,'Input - Convenience'!$B$2:$B$200,0)),"")</f>
        <v>0</v>
      </c>
      <c r="H123" s="20">
        <f>IFERROR(INDEX('Input - Convenience'!G$2:G$200,MATCH('Calculations - Convenience'!$C123,'Input - Convenience'!$B$2:$B$200,0)),"")</f>
        <v>0</v>
      </c>
      <c r="I123" s="21">
        <f>IFERROR(INDEX('Input - Convenience'!H$2:H$200,MATCH('Calculations - Convenience'!$C123,'Input - Convenience'!$B$2:$B$200,0)),"")</f>
        <v>0</v>
      </c>
      <c r="J123" s="21">
        <f>IFERROR(INDEX('Input - Convenience'!I$2:I$200,MATCH('Calculations - Convenience'!$C123,'Input - Convenience'!$B$2:$B$200,0)),"")</f>
        <v>0</v>
      </c>
      <c r="K123" s="20">
        <f>IFERROR(INDEX('Input - Convenience'!J$2:J$200,MATCH('Calculations - Convenience'!$C123,'Input - Convenience'!$B$2:$B$200,0)),"")</f>
        <v>0</v>
      </c>
      <c r="L123" s="20">
        <f>IFERROR(INDEX('Input - Convenience'!K$2:K$200,MATCH('Calculations - Convenience'!$C123,'Input - Convenience'!$B$2:$B$200,0)),"")</f>
        <v>0</v>
      </c>
      <c r="M123" s="21" t="str">
        <f t="shared" si="96"/>
        <v/>
      </c>
      <c r="N123" s="21" t="str">
        <f t="shared" si="82"/>
        <v/>
      </c>
      <c r="O123" s="21">
        <f t="shared" si="97"/>
        <v>0</v>
      </c>
      <c r="P123" s="9">
        <f t="shared" si="79"/>
        <v>0</v>
      </c>
      <c r="Q123" s="9">
        <f t="shared" si="80"/>
        <v>0</v>
      </c>
      <c r="R123" s="22" t="str">
        <f>IFERROR(INDEX(Convenience!$N$11:$N$148,MATCH('Calculations - Convenience'!$C123,Convenience!$J$11:$J$148,0)),"")</f>
        <v/>
      </c>
      <c r="S123" s="22" t="str">
        <f>IFERROR(INDEX(Convenience!$O$11:$O$148,MATCH('Calculations - Convenience'!$C123,Convenience!$J$11:$J$148,0)),"")</f>
        <v/>
      </c>
      <c r="T123" s="16" t="e">
        <f t="shared" si="83"/>
        <v>#VALUE!</v>
      </c>
      <c r="U123" s="16" t="e">
        <f t="shared" si="98"/>
        <v>#VALUE!</v>
      </c>
      <c r="V123" s="16" t="e">
        <f t="shared" si="99"/>
        <v>#VALUE!</v>
      </c>
      <c r="W123" s="10" t="str">
        <f t="shared" si="84"/>
        <v>-</v>
      </c>
      <c r="X123" s="10" t="str">
        <f t="shared" si="85"/>
        <v>-</v>
      </c>
      <c r="Y123" s="13" t="str">
        <f t="shared" si="100"/>
        <v>-</v>
      </c>
      <c r="Z123" s="9" t="str">
        <f t="shared" si="86"/>
        <v>-</v>
      </c>
      <c r="AA123" s="16" t="str">
        <f t="shared" si="101"/>
        <v>-</v>
      </c>
      <c r="AB123" s="16" t="str">
        <f t="shared" si="87"/>
        <v>-</v>
      </c>
      <c r="AC123" s="16" t="str">
        <f t="shared" si="88"/>
        <v>-</v>
      </c>
      <c r="AD123" s="16" t="str">
        <f t="shared" si="102"/>
        <v>-</v>
      </c>
      <c r="AE123" s="16"/>
      <c r="AF123" s="31" t="str">
        <f>IFERROR(INDEX(Convenience!$M$11:$M$148,MATCH('Calculations - Convenience'!C123,Convenience!$J$11:$J$148,0)),"")</f>
        <v/>
      </c>
      <c r="AG123" s="23" t="str">
        <f t="shared" si="103"/>
        <v/>
      </c>
      <c r="AH123" s="23" t="str">
        <f t="shared" si="103"/>
        <v/>
      </c>
      <c r="AI123" s="9" t="str">
        <f t="shared" si="89"/>
        <v/>
      </c>
      <c r="AJ123" s="4" t="str">
        <f t="shared" si="90"/>
        <v/>
      </c>
      <c r="AK123" s="4"/>
      <c r="AL123" s="4"/>
      <c r="AM123" s="4"/>
      <c r="AN123" s="4"/>
      <c r="AO123" s="4"/>
      <c r="AP123" s="20" t="str">
        <f t="shared" si="91"/>
        <v>-</v>
      </c>
      <c r="AQ123" s="13" t="str">
        <f t="shared" si="104"/>
        <v>-</v>
      </c>
      <c r="AR123" s="13" t="str">
        <f t="shared" si="105"/>
        <v>-</v>
      </c>
      <c r="AS123" s="13" t="str">
        <f t="shared" si="92"/>
        <v>-</v>
      </c>
      <c r="AT123" s="16" t="str">
        <f t="shared" si="106"/>
        <v>-</v>
      </c>
      <c r="AU123" s="16" t="str">
        <f t="shared" si="93"/>
        <v>-</v>
      </c>
      <c r="AV123" s="16" t="str">
        <f t="shared" si="94"/>
        <v>-</v>
      </c>
      <c r="AW123" s="16" t="str">
        <f t="shared" si="107"/>
        <v>-</v>
      </c>
      <c r="AX123" s="13" t="str">
        <f t="shared" si="108"/>
        <v>-</v>
      </c>
      <c r="AY123" s="10" t="str">
        <f t="shared" si="109"/>
        <v>-</v>
      </c>
      <c r="AZ123" s="9" t="str">
        <f t="shared" si="110"/>
        <v>-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</row>
    <row r="124" spans="2:68" x14ac:dyDescent="0.3">
      <c r="B124" s="108" t="str">
        <f t="shared" si="95"/>
        <v/>
      </c>
      <c r="C124" s="108" t="str">
        <f t="shared" si="81"/>
        <v/>
      </c>
      <c r="D124" s="3"/>
      <c r="E124" s="3"/>
      <c r="F124" s="3"/>
      <c r="G124" s="20">
        <f>IFERROR(INDEX('Input - Convenience'!F$2:F$200,MATCH('Calculations - Convenience'!$C124,'Input - Convenience'!$B$2:$B$200,0)),"")</f>
        <v>0</v>
      </c>
      <c r="H124" s="20">
        <f>IFERROR(INDEX('Input - Convenience'!G$2:G$200,MATCH('Calculations - Convenience'!$C124,'Input - Convenience'!$B$2:$B$200,0)),"")</f>
        <v>0</v>
      </c>
      <c r="I124" s="21">
        <f>IFERROR(INDEX('Input - Convenience'!H$2:H$200,MATCH('Calculations - Convenience'!$C124,'Input - Convenience'!$B$2:$B$200,0)),"")</f>
        <v>0</v>
      </c>
      <c r="J124" s="21">
        <f>IFERROR(INDEX('Input - Convenience'!I$2:I$200,MATCH('Calculations - Convenience'!$C124,'Input - Convenience'!$B$2:$B$200,0)),"")</f>
        <v>0</v>
      </c>
      <c r="K124" s="20">
        <f>IFERROR(INDEX('Input - Convenience'!J$2:J$200,MATCH('Calculations - Convenience'!$C124,'Input - Convenience'!$B$2:$B$200,0)),"")</f>
        <v>0</v>
      </c>
      <c r="L124" s="20">
        <f>IFERROR(INDEX('Input - Convenience'!K$2:K$200,MATCH('Calculations - Convenience'!$C124,'Input - Convenience'!$B$2:$B$200,0)),"")</f>
        <v>0</v>
      </c>
      <c r="M124" s="21" t="str">
        <f t="shared" si="96"/>
        <v/>
      </c>
      <c r="N124" s="21" t="str">
        <f t="shared" si="82"/>
        <v/>
      </c>
      <c r="O124" s="21">
        <f t="shared" si="97"/>
        <v>0</v>
      </c>
      <c r="P124" s="9">
        <f t="shared" si="79"/>
        <v>0</v>
      </c>
      <c r="Q124" s="9">
        <f t="shared" si="80"/>
        <v>0</v>
      </c>
      <c r="R124" s="22" t="str">
        <f>IFERROR(INDEX(Convenience!$N$11:$N$148,MATCH('Calculations - Convenience'!$C124,Convenience!$J$11:$J$148,0)),"")</f>
        <v/>
      </c>
      <c r="S124" s="22" t="str">
        <f>IFERROR(INDEX(Convenience!$O$11:$O$148,MATCH('Calculations - Convenience'!$C124,Convenience!$J$11:$J$148,0)),"")</f>
        <v/>
      </c>
      <c r="T124" s="16" t="e">
        <f t="shared" si="83"/>
        <v>#VALUE!</v>
      </c>
      <c r="U124" s="16" t="e">
        <f t="shared" si="98"/>
        <v>#VALUE!</v>
      </c>
      <c r="V124" s="16" t="e">
        <f t="shared" si="99"/>
        <v>#VALUE!</v>
      </c>
      <c r="W124" s="10" t="str">
        <f t="shared" si="84"/>
        <v>-</v>
      </c>
      <c r="X124" s="10" t="str">
        <f t="shared" si="85"/>
        <v>-</v>
      </c>
      <c r="Y124" s="13" t="str">
        <f t="shared" si="100"/>
        <v>-</v>
      </c>
      <c r="Z124" s="9" t="str">
        <f t="shared" si="86"/>
        <v>-</v>
      </c>
      <c r="AA124" s="16" t="str">
        <f t="shared" si="101"/>
        <v>-</v>
      </c>
      <c r="AB124" s="16" t="str">
        <f t="shared" si="87"/>
        <v>-</v>
      </c>
      <c r="AC124" s="16" t="str">
        <f t="shared" si="88"/>
        <v>-</v>
      </c>
      <c r="AD124" s="16" t="str">
        <f t="shared" si="102"/>
        <v>-</v>
      </c>
      <c r="AE124" s="16"/>
      <c r="AF124" s="31" t="str">
        <f>IFERROR(INDEX(Convenience!$M$11:$M$148,MATCH('Calculations - Convenience'!C124,Convenience!$J$11:$J$148,0)),"")</f>
        <v/>
      </c>
      <c r="AG124" s="23" t="str">
        <f t="shared" si="103"/>
        <v/>
      </c>
      <c r="AH124" s="23" t="str">
        <f t="shared" si="103"/>
        <v/>
      </c>
      <c r="AI124" s="9" t="str">
        <f t="shared" si="89"/>
        <v/>
      </c>
      <c r="AJ124" s="4" t="str">
        <f t="shared" si="90"/>
        <v/>
      </c>
      <c r="AK124" s="4"/>
      <c r="AL124" s="4"/>
      <c r="AM124" s="4"/>
      <c r="AN124" s="4"/>
      <c r="AO124" s="4"/>
      <c r="AP124" s="20" t="str">
        <f t="shared" si="91"/>
        <v>-</v>
      </c>
      <c r="AQ124" s="13" t="str">
        <f t="shared" si="104"/>
        <v>-</v>
      </c>
      <c r="AR124" s="13" t="str">
        <f t="shared" si="105"/>
        <v>-</v>
      </c>
      <c r="AS124" s="13" t="str">
        <f t="shared" si="92"/>
        <v>-</v>
      </c>
      <c r="AT124" s="16" t="str">
        <f t="shared" si="106"/>
        <v>-</v>
      </c>
      <c r="AU124" s="16" t="str">
        <f t="shared" si="93"/>
        <v>-</v>
      </c>
      <c r="AV124" s="16" t="str">
        <f t="shared" si="94"/>
        <v>-</v>
      </c>
      <c r="AW124" s="16" t="str">
        <f t="shared" si="107"/>
        <v>-</v>
      </c>
      <c r="AX124" s="13" t="str">
        <f t="shared" si="108"/>
        <v>-</v>
      </c>
      <c r="AY124" s="10" t="str">
        <f t="shared" si="109"/>
        <v>-</v>
      </c>
      <c r="AZ124" s="9" t="str">
        <f t="shared" si="110"/>
        <v>-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</row>
    <row r="125" spans="2:68" x14ac:dyDescent="0.3">
      <c r="B125" s="108" t="str">
        <f t="shared" si="95"/>
        <v/>
      </c>
      <c r="C125" s="108" t="str">
        <f t="shared" si="81"/>
        <v/>
      </c>
      <c r="D125" s="3"/>
      <c r="E125" s="3"/>
      <c r="F125" s="3"/>
      <c r="G125" s="20">
        <f>IFERROR(INDEX('Input - Convenience'!F$2:F$200,MATCH('Calculations - Convenience'!$C125,'Input - Convenience'!$B$2:$B$200,0)),"")</f>
        <v>0</v>
      </c>
      <c r="H125" s="20">
        <f>IFERROR(INDEX('Input - Convenience'!G$2:G$200,MATCH('Calculations - Convenience'!$C125,'Input - Convenience'!$B$2:$B$200,0)),"")</f>
        <v>0</v>
      </c>
      <c r="I125" s="21">
        <f>IFERROR(INDEX('Input - Convenience'!H$2:H$200,MATCH('Calculations - Convenience'!$C125,'Input - Convenience'!$B$2:$B$200,0)),"")</f>
        <v>0</v>
      </c>
      <c r="J125" s="21">
        <f>IFERROR(INDEX('Input - Convenience'!I$2:I$200,MATCH('Calculations - Convenience'!$C125,'Input - Convenience'!$B$2:$B$200,0)),"")</f>
        <v>0</v>
      </c>
      <c r="K125" s="20">
        <f>IFERROR(INDEX('Input - Convenience'!J$2:J$200,MATCH('Calculations - Convenience'!$C125,'Input - Convenience'!$B$2:$B$200,0)),"")</f>
        <v>0</v>
      </c>
      <c r="L125" s="20">
        <f>IFERROR(INDEX('Input - Convenience'!K$2:K$200,MATCH('Calculations - Convenience'!$C125,'Input - Convenience'!$B$2:$B$200,0)),"")</f>
        <v>0</v>
      </c>
      <c r="M125" s="21" t="str">
        <f t="shared" si="96"/>
        <v/>
      </c>
      <c r="N125" s="21" t="str">
        <f t="shared" si="82"/>
        <v/>
      </c>
      <c r="O125" s="21">
        <f t="shared" si="97"/>
        <v>0</v>
      </c>
      <c r="P125" s="9">
        <f t="shared" si="79"/>
        <v>0</v>
      </c>
      <c r="Q125" s="9">
        <f t="shared" si="80"/>
        <v>0</v>
      </c>
      <c r="R125" s="22" t="str">
        <f>IFERROR(INDEX(Convenience!$N$11:$N$148,MATCH('Calculations - Convenience'!$C125,Convenience!$J$11:$J$148,0)),"")</f>
        <v/>
      </c>
      <c r="S125" s="22" t="str">
        <f>IFERROR(INDEX(Convenience!$O$11:$O$148,MATCH('Calculations - Convenience'!$C125,Convenience!$J$11:$J$148,0)),"")</f>
        <v/>
      </c>
      <c r="T125" s="16" t="e">
        <f t="shared" si="83"/>
        <v>#VALUE!</v>
      </c>
      <c r="U125" s="16" t="e">
        <f t="shared" si="98"/>
        <v>#VALUE!</v>
      </c>
      <c r="V125" s="16" t="e">
        <f t="shared" si="99"/>
        <v>#VALUE!</v>
      </c>
      <c r="W125" s="10" t="str">
        <f t="shared" si="84"/>
        <v>-</v>
      </c>
      <c r="X125" s="10" t="str">
        <f t="shared" si="85"/>
        <v>-</v>
      </c>
      <c r="Y125" s="13" t="str">
        <f t="shared" si="100"/>
        <v>-</v>
      </c>
      <c r="Z125" s="9" t="str">
        <f t="shared" si="86"/>
        <v>-</v>
      </c>
      <c r="AA125" s="16" t="str">
        <f t="shared" si="101"/>
        <v>-</v>
      </c>
      <c r="AB125" s="16" t="str">
        <f t="shared" si="87"/>
        <v>-</v>
      </c>
      <c r="AC125" s="16" t="str">
        <f t="shared" si="88"/>
        <v>-</v>
      </c>
      <c r="AD125" s="16" t="str">
        <f t="shared" si="102"/>
        <v>-</v>
      </c>
      <c r="AE125" s="16"/>
      <c r="AF125" s="31" t="str">
        <f>IFERROR(INDEX(Convenience!$M$11:$M$148,MATCH('Calculations - Convenience'!C125,Convenience!$J$11:$J$148,0)),"")</f>
        <v/>
      </c>
      <c r="AG125" s="23" t="str">
        <f t="shared" si="103"/>
        <v/>
      </c>
      <c r="AH125" s="23" t="str">
        <f t="shared" si="103"/>
        <v/>
      </c>
      <c r="AI125" s="9" t="str">
        <f t="shared" si="89"/>
        <v/>
      </c>
      <c r="AJ125" s="4" t="str">
        <f t="shared" si="90"/>
        <v/>
      </c>
      <c r="AK125" s="4"/>
      <c r="AL125" s="4"/>
      <c r="AM125" s="4"/>
      <c r="AN125" s="4"/>
      <c r="AO125" s="4"/>
      <c r="AP125" s="20" t="str">
        <f t="shared" si="91"/>
        <v>-</v>
      </c>
      <c r="AQ125" s="13" t="str">
        <f t="shared" si="104"/>
        <v>-</v>
      </c>
      <c r="AR125" s="13" t="str">
        <f t="shared" si="105"/>
        <v>-</v>
      </c>
      <c r="AS125" s="13" t="str">
        <f t="shared" si="92"/>
        <v>-</v>
      </c>
      <c r="AT125" s="16" t="str">
        <f t="shared" si="106"/>
        <v>-</v>
      </c>
      <c r="AU125" s="16" t="str">
        <f t="shared" si="93"/>
        <v>-</v>
      </c>
      <c r="AV125" s="16" t="str">
        <f t="shared" si="94"/>
        <v>-</v>
      </c>
      <c r="AW125" s="16" t="str">
        <f t="shared" si="107"/>
        <v>-</v>
      </c>
      <c r="AX125" s="13" t="str">
        <f t="shared" si="108"/>
        <v>-</v>
      </c>
      <c r="AY125" s="10" t="str">
        <f t="shared" si="109"/>
        <v>-</v>
      </c>
      <c r="AZ125" s="9" t="str">
        <f t="shared" si="110"/>
        <v>-</v>
      </c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</row>
    <row r="126" spans="2:68" x14ac:dyDescent="0.3">
      <c r="B126" s="108" t="str">
        <f t="shared" si="95"/>
        <v/>
      </c>
      <c r="C126" s="108" t="str">
        <f t="shared" si="81"/>
        <v/>
      </c>
      <c r="D126" s="3"/>
      <c r="E126" s="3"/>
      <c r="F126" s="3"/>
      <c r="G126" s="20">
        <f>IFERROR(INDEX('Input - Convenience'!F$2:F$200,MATCH('Calculations - Convenience'!$C126,'Input - Convenience'!$B$2:$B$200,0)),"")</f>
        <v>0</v>
      </c>
      <c r="H126" s="20">
        <f>IFERROR(INDEX('Input - Convenience'!G$2:G$200,MATCH('Calculations - Convenience'!$C126,'Input - Convenience'!$B$2:$B$200,0)),"")</f>
        <v>0</v>
      </c>
      <c r="I126" s="21">
        <f>IFERROR(INDEX('Input - Convenience'!H$2:H$200,MATCH('Calculations - Convenience'!$C126,'Input - Convenience'!$B$2:$B$200,0)),"")</f>
        <v>0</v>
      </c>
      <c r="J126" s="21">
        <f>IFERROR(INDEX('Input - Convenience'!I$2:I$200,MATCH('Calculations - Convenience'!$C126,'Input - Convenience'!$B$2:$B$200,0)),"")</f>
        <v>0</v>
      </c>
      <c r="K126" s="20">
        <f>IFERROR(INDEX('Input - Convenience'!J$2:J$200,MATCH('Calculations - Convenience'!$C126,'Input - Convenience'!$B$2:$B$200,0)),"")</f>
        <v>0</v>
      </c>
      <c r="L126" s="20">
        <f>IFERROR(INDEX('Input - Convenience'!K$2:K$200,MATCH('Calculations - Convenience'!$C126,'Input - Convenience'!$B$2:$B$200,0)),"")</f>
        <v>0</v>
      </c>
      <c r="M126" s="21" t="str">
        <f t="shared" si="96"/>
        <v/>
      </c>
      <c r="N126" s="21" t="str">
        <f t="shared" si="82"/>
        <v/>
      </c>
      <c r="O126" s="21">
        <f t="shared" si="97"/>
        <v>0</v>
      </c>
      <c r="P126" s="9">
        <f t="shared" si="79"/>
        <v>0</v>
      </c>
      <c r="Q126" s="9">
        <f t="shared" si="80"/>
        <v>0</v>
      </c>
      <c r="R126" s="22" t="str">
        <f>IFERROR(INDEX(Convenience!$N$11:$N$148,MATCH('Calculations - Convenience'!$C126,Convenience!$J$11:$J$148,0)),"")</f>
        <v/>
      </c>
      <c r="S126" s="22" t="str">
        <f>IFERROR(INDEX(Convenience!$O$11:$O$148,MATCH('Calculations - Convenience'!$C126,Convenience!$J$11:$J$148,0)),"")</f>
        <v/>
      </c>
      <c r="T126" s="16" t="e">
        <f t="shared" si="83"/>
        <v>#VALUE!</v>
      </c>
      <c r="U126" s="16" t="e">
        <f t="shared" si="98"/>
        <v>#VALUE!</v>
      </c>
      <c r="V126" s="16" t="e">
        <f t="shared" si="99"/>
        <v>#VALUE!</v>
      </c>
      <c r="W126" s="10" t="str">
        <f t="shared" si="84"/>
        <v>-</v>
      </c>
      <c r="X126" s="10" t="str">
        <f t="shared" si="85"/>
        <v>-</v>
      </c>
      <c r="Y126" s="13" t="str">
        <f t="shared" si="100"/>
        <v>-</v>
      </c>
      <c r="Z126" s="9" t="str">
        <f t="shared" si="86"/>
        <v>-</v>
      </c>
      <c r="AA126" s="16" t="str">
        <f t="shared" si="101"/>
        <v>-</v>
      </c>
      <c r="AB126" s="16" t="str">
        <f t="shared" si="87"/>
        <v>-</v>
      </c>
      <c r="AC126" s="16" t="str">
        <f t="shared" si="88"/>
        <v>-</v>
      </c>
      <c r="AD126" s="16" t="str">
        <f t="shared" si="102"/>
        <v>-</v>
      </c>
      <c r="AE126" s="16"/>
      <c r="AF126" s="31" t="str">
        <f>IFERROR(INDEX(Convenience!$M$11:$M$148,MATCH('Calculations - Convenience'!C126,Convenience!$J$11:$J$148,0)),"")</f>
        <v/>
      </c>
      <c r="AG126" s="23" t="str">
        <f t="shared" si="103"/>
        <v/>
      </c>
      <c r="AH126" s="23" t="str">
        <f t="shared" si="103"/>
        <v/>
      </c>
      <c r="AI126" s="9" t="str">
        <f t="shared" si="89"/>
        <v/>
      </c>
      <c r="AJ126" s="4" t="str">
        <f t="shared" si="90"/>
        <v/>
      </c>
      <c r="AK126" s="4"/>
      <c r="AL126" s="4"/>
      <c r="AM126" s="4"/>
      <c r="AN126" s="4"/>
      <c r="AO126" s="4"/>
      <c r="AP126" s="20" t="str">
        <f t="shared" si="91"/>
        <v>-</v>
      </c>
      <c r="AQ126" s="13" t="str">
        <f t="shared" si="104"/>
        <v>-</v>
      </c>
      <c r="AR126" s="13" t="str">
        <f t="shared" si="105"/>
        <v>-</v>
      </c>
      <c r="AS126" s="13" t="str">
        <f t="shared" si="92"/>
        <v>-</v>
      </c>
      <c r="AT126" s="16" t="str">
        <f t="shared" si="106"/>
        <v>-</v>
      </c>
      <c r="AU126" s="16" t="str">
        <f t="shared" si="93"/>
        <v>-</v>
      </c>
      <c r="AV126" s="16" t="str">
        <f t="shared" si="94"/>
        <v>-</v>
      </c>
      <c r="AW126" s="16" t="str">
        <f t="shared" si="107"/>
        <v>-</v>
      </c>
      <c r="AX126" s="13" t="str">
        <f t="shared" si="108"/>
        <v>-</v>
      </c>
      <c r="AY126" s="10" t="str">
        <f t="shared" si="109"/>
        <v>-</v>
      </c>
      <c r="AZ126" s="9" t="str">
        <f t="shared" si="110"/>
        <v>-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</row>
    <row r="127" spans="2:68" x14ac:dyDescent="0.3">
      <c r="B127" s="108" t="str">
        <f t="shared" si="95"/>
        <v/>
      </c>
      <c r="C127" s="108" t="str">
        <f t="shared" si="81"/>
        <v/>
      </c>
      <c r="D127" s="3"/>
      <c r="E127" s="3"/>
      <c r="F127" s="3"/>
      <c r="G127" s="20">
        <f>IFERROR(INDEX('Input - Convenience'!F$2:F$200,MATCH('Calculations - Convenience'!$C127,'Input - Convenience'!$B$2:$B$200,0)),"")</f>
        <v>0</v>
      </c>
      <c r="H127" s="20">
        <f>IFERROR(INDEX('Input - Convenience'!G$2:G$200,MATCH('Calculations - Convenience'!$C127,'Input - Convenience'!$B$2:$B$200,0)),"")</f>
        <v>0</v>
      </c>
      <c r="I127" s="21">
        <f>IFERROR(INDEX('Input - Convenience'!H$2:H$200,MATCH('Calculations - Convenience'!$C127,'Input - Convenience'!$B$2:$B$200,0)),"")</f>
        <v>0</v>
      </c>
      <c r="J127" s="21">
        <f>IFERROR(INDEX('Input - Convenience'!I$2:I$200,MATCH('Calculations - Convenience'!$C127,'Input - Convenience'!$B$2:$B$200,0)),"")</f>
        <v>0</v>
      </c>
      <c r="K127" s="20">
        <f>IFERROR(INDEX('Input - Convenience'!J$2:J$200,MATCH('Calculations - Convenience'!$C127,'Input - Convenience'!$B$2:$B$200,0)),"")</f>
        <v>0</v>
      </c>
      <c r="L127" s="20">
        <f>IFERROR(INDEX('Input - Convenience'!K$2:K$200,MATCH('Calculations - Convenience'!$C127,'Input - Convenience'!$B$2:$B$200,0)),"")</f>
        <v>0</v>
      </c>
      <c r="M127" s="21" t="str">
        <f t="shared" si="96"/>
        <v/>
      </c>
      <c r="N127" s="21" t="str">
        <f t="shared" si="82"/>
        <v/>
      </c>
      <c r="O127" s="21">
        <f t="shared" si="97"/>
        <v>0</v>
      </c>
      <c r="P127" s="9">
        <f t="shared" si="79"/>
        <v>0</v>
      </c>
      <c r="Q127" s="9">
        <f t="shared" si="80"/>
        <v>0</v>
      </c>
      <c r="R127" s="22" t="str">
        <f>IFERROR(INDEX(Convenience!$N$11:$N$148,MATCH('Calculations - Convenience'!$C127,Convenience!$J$11:$J$148,0)),"")</f>
        <v/>
      </c>
      <c r="S127" s="22" t="str">
        <f>IFERROR(INDEX(Convenience!$O$11:$O$148,MATCH('Calculations - Convenience'!$C127,Convenience!$J$11:$J$148,0)),"")</f>
        <v/>
      </c>
      <c r="T127" s="16" t="e">
        <f t="shared" si="83"/>
        <v>#VALUE!</v>
      </c>
      <c r="U127" s="16" t="e">
        <f t="shared" si="98"/>
        <v>#VALUE!</v>
      </c>
      <c r="V127" s="16" t="e">
        <f t="shared" si="99"/>
        <v>#VALUE!</v>
      </c>
      <c r="W127" s="10" t="str">
        <f t="shared" si="84"/>
        <v>-</v>
      </c>
      <c r="X127" s="10" t="str">
        <f t="shared" si="85"/>
        <v>-</v>
      </c>
      <c r="Y127" s="13" t="str">
        <f t="shared" si="100"/>
        <v>-</v>
      </c>
      <c r="Z127" s="9" t="str">
        <f t="shared" si="86"/>
        <v>-</v>
      </c>
      <c r="AA127" s="16" t="str">
        <f t="shared" si="101"/>
        <v>-</v>
      </c>
      <c r="AB127" s="16" t="str">
        <f t="shared" si="87"/>
        <v>-</v>
      </c>
      <c r="AC127" s="16" t="str">
        <f t="shared" si="88"/>
        <v>-</v>
      </c>
      <c r="AD127" s="16" t="str">
        <f t="shared" si="102"/>
        <v>-</v>
      </c>
      <c r="AE127" s="16"/>
      <c r="AF127" s="31" t="str">
        <f>IFERROR(INDEX(Convenience!$M$11:$M$148,MATCH('Calculations - Convenience'!C127,Convenience!$J$11:$J$148,0)),"")</f>
        <v/>
      </c>
      <c r="AG127" s="23" t="str">
        <f t="shared" si="103"/>
        <v/>
      </c>
      <c r="AH127" s="23" t="str">
        <f t="shared" si="103"/>
        <v/>
      </c>
      <c r="AI127" s="9" t="str">
        <f t="shared" si="89"/>
        <v/>
      </c>
      <c r="AJ127" s="4" t="str">
        <f t="shared" si="90"/>
        <v/>
      </c>
      <c r="AK127" s="4"/>
      <c r="AL127" s="4"/>
      <c r="AM127" s="4"/>
      <c r="AN127" s="4"/>
      <c r="AO127" s="4"/>
      <c r="AP127" s="20" t="str">
        <f t="shared" si="91"/>
        <v>-</v>
      </c>
      <c r="AQ127" s="13" t="str">
        <f t="shared" si="104"/>
        <v>-</v>
      </c>
      <c r="AR127" s="13" t="str">
        <f t="shared" si="105"/>
        <v>-</v>
      </c>
      <c r="AS127" s="13" t="str">
        <f t="shared" si="92"/>
        <v>-</v>
      </c>
      <c r="AT127" s="16" t="str">
        <f t="shared" si="106"/>
        <v>-</v>
      </c>
      <c r="AU127" s="16" t="str">
        <f t="shared" si="93"/>
        <v>-</v>
      </c>
      <c r="AV127" s="16" t="str">
        <f t="shared" si="94"/>
        <v>-</v>
      </c>
      <c r="AW127" s="16" t="str">
        <f t="shared" si="107"/>
        <v>-</v>
      </c>
      <c r="AX127" s="13" t="str">
        <f t="shared" si="108"/>
        <v>-</v>
      </c>
      <c r="AY127" s="10" t="str">
        <f t="shared" si="109"/>
        <v>-</v>
      </c>
      <c r="AZ127" s="9" t="str">
        <f t="shared" si="110"/>
        <v>-</v>
      </c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</row>
    <row r="128" spans="2:68" x14ac:dyDescent="0.3">
      <c r="B128" s="108" t="str">
        <f t="shared" si="95"/>
        <v/>
      </c>
      <c r="C128" s="108" t="str">
        <f t="shared" si="81"/>
        <v/>
      </c>
      <c r="D128" s="3"/>
      <c r="E128" s="3"/>
      <c r="F128" s="3"/>
      <c r="G128" s="20">
        <f>IFERROR(INDEX('Input - Convenience'!F$2:F$200,MATCH('Calculations - Convenience'!$C128,'Input - Convenience'!$B$2:$B$200,0)),"")</f>
        <v>0</v>
      </c>
      <c r="H128" s="20">
        <f>IFERROR(INDEX('Input - Convenience'!G$2:G$200,MATCH('Calculations - Convenience'!$C128,'Input - Convenience'!$B$2:$B$200,0)),"")</f>
        <v>0</v>
      </c>
      <c r="I128" s="21">
        <f>IFERROR(INDEX('Input - Convenience'!H$2:H$200,MATCH('Calculations - Convenience'!$C128,'Input - Convenience'!$B$2:$B$200,0)),"")</f>
        <v>0</v>
      </c>
      <c r="J128" s="21">
        <f>IFERROR(INDEX('Input - Convenience'!I$2:I$200,MATCH('Calculations - Convenience'!$C128,'Input - Convenience'!$B$2:$B$200,0)),"")</f>
        <v>0</v>
      </c>
      <c r="K128" s="20">
        <f>IFERROR(INDEX('Input - Convenience'!J$2:J$200,MATCH('Calculations - Convenience'!$C128,'Input - Convenience'!$B$2:$B$200,0)),"")</f>
        <v>0</v>
      </c>
      <c r="L128" s="20">
        <f>IFERROR(INDEX('Input - Convenience'!K$2:K$200,MATCH('Calculations - Convenience'!$C128,'Input - Convenience'!$B$2:$B$200,0)),"")</f>
        <v>0</v>
      </c>
      <c r="M128" s="21" t="str">
        <f t="shared" si="96"/>
        <v/>
      </c>
      <c r="N128" s="21" t="str">
        <f t="shared" si="82"/>
        <v/>
      </c>
      <c r="O128" s="21">
        <f t="shared" si="97"/>
        <v>0</v>
      </c>
      <c r="P128" s="9">
        <f t="shared" ref="P128:P191" si="111">G128/SUM(G$32:G$229)</f>
        <v>0</v>
      </c>
      <c r="Q128" s="9">
        <f t="shared" ref="Q128:Q191" si="112">H128/SUM(H$32:H$229)</f>
        <v>0</v>
      </c>
      <c r="R128" s="22" t="str">
        <f>IFERROR(INDEX(Convenience!$N$11:$N$148,MATCH('Calculations - Convenience'!$C128,Convenience!$J$11:$J$148,0)),"")</f>
        <v/>
      </c>
      <c r="S128" s="22" t="str">
        <f>IFERROR(INDEX(Convenience!$O$11:$O$148,MATCH('Calculations - Convenience'!$C128,Convenience!$J$11:$J$148,0)),"")</f>
        <v/>
      </c>
      <c r="T128" s="16" t="e">
        <f t="shared" si="83"/>
        <v>#VALUE!</v>
      </c>
      <c r="U128" s="16" t="e">
        <f t="shared" si="98"/>
        <v>#VALUE!</v>
      </c>
      <c r="V128" s="16" t="e">
        <f t="shared" si="99"/>
        <v>#VALUE!</v>
      </c>
      <c r="W128" s="10" t="str">
        <f t="shared" si="84"/>
        <v>-</v>
      </c>
      <c r="X128" s="10" t="str">
        <f t="shared" si="85"/>
        <v>-</v>
      </c>
      <c r="Y128" s="13" t="str">
        <f t="shared" si="100"/>
        <v>-</v>
      </c>
      <c r="Z128" s="9" t="str">
        <f t="shared" si="86"/>
        <v>-</v>
      </c>
      <c r="AA128" s="16" t="str">
        <f t="shared" si="101"/>
        <v>-</v>
      </c>
      <c r="AB128" s="16" t="str">
        <f t="shared" si="87"/>
        <v>-</v>
      </c>
      <c r="AC128" s="16" t="str">
        <f t="shared" si="88"/>
        <v>-</v>
      </c>
      <c r="AD128" s="16" t="str">
        <f t="shared" si="102"/>
        <v>-</v>
      </c>
      <c r="AE128" s="16"/>
      <c r="AF128" s="31" t="str">
        <f>IFERROR(INDEX(Convenience!$M$11:$M$148,MATCH('Calculations - Convenience'!C128,Convenience!$J$11:$J$148,0)),"")</f>
        <v/>
      </c>
      <c r="AG128" s="23" t="str">
        <f t="shared" si="103"/>
        <v/>
      </c>
      <c r="AH128" s="23" t="str">
        <f t="shared" si="103"/>
        <v/>
      </c>
      <c r="AI128" s="9" t="str">
        <f t="shared" si="89"/>
        <v/>
      </c>
      <c r="AJ128" s="4" t="str">
        <f t="shared" si="90"/>
        <v/>
      </c>
      <c r="AK128" s="4"/>
      <c r="AL128" s="4"/>
      <c r="AM128" s="4"/>
      <c r="AN128" s="4"/>
      <c r="AO128" s="4"/>
      <c r="AP128" s="20" t="str">
        <f t="shared" si="91"/>
        <v>-</v>
      </c>
      <c r="AQ128" s="13" t="str">
        <f t="shared" si="104"/>
        <v>-</v>
      </c>
      <c r="AR128" s="13" t="str">
        <f t="shared" si="105"/>
        <v>-</v>
      </c>
      <c r="AS128" s="13" t="str">
        <f t="shared" si="92"/>
        <v>-</v>
      </c>
      <c r="AT128" s="16" t="str">
        <f t="shared" si="106"/>
        <v>-</v>
      </c>
      <c r="AU128" s="16" t="str">
        <f t="shared" si="93"/>
        <v>-</v>
      </c>
      <c r="AV128" s="16" t="str">
        <f t="shared" si="94"/>
        <v>-</v>
      </c>
      <c r="AW128" s="16" t="str">
        <f t="shared" si="107"/>
        <v>-</v>
      </c>
      <c r="AX128" s="13" t="str">
        <f t="shared" si="108"/>
        <v>-</v>
      </c>
      <c r="AY128" s="10" t="str">
        <f t="shared" si="109"/>
        <v>-</v>
      </c>
      <c r="AZ128" s="9" t="str">
        <f t="shared" si="110"/>
        <v>-</v>
      </c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</row>
    <row r="129" spans="2:68" x14ac:dyDescent="0.3">
      <c r="B129" s="108" t="str">
        <f t="shared" si="95"/>
        <v/>
      </c>
      <c r="C129" s="108" t="str">
        <f t="shared" si="81"/>
        <v/>
      </c>
      <c r="D129" s="3"/>
      <c r="E129" s="3"/>
      <c r="F129" s="3"/>
      <c r="G129" s="20">
        <f>IFERROR(INDEX('Input - Convenience'!F$2:F$200,MATCH('Calculations - Convenience'!$C129,'Input - Convenience'!$B$2:$B$200,0)),"")</f>
        <v>0</v>
      </c>
      <c r="H129" s="20">
        <f>IFERROR(INDEX('Input - Convenience'!G$2:G$200,MATCH('Calculations - Convenience'!$C129,'Input - Convenience'!$B$2:$B$200,0)),"")</f>
        <v>0</v>
      </c>
      <c r="I129" s="21">
        <f>IFERROR(INDEX('Input - Convenience'!H$2:H$200,MATCH('Calculations - Convenience'!$C129,'Input - Convenience'!$B$2:$B$200,0)),"")</f>
        <v>0</v>
      </c>
      <c r="J129" s="21">
        <f>IFERROR(INDEX('Input - Convenience'!I$2:I$200,MATCH('Calculations - Convenience'!$C129,'Input - Convenience'!$B$2:$B$200,0)),"")</f>
        <v>0</v>
      </c>
      <c r="K129" s="20">
        <f>IFERROR(INDEX('Input - Convenience'!J$2:J$200,MATCH('Calculations - Convenience'!$C129,'Input - Convenience'!$B$2:$B$200,0)),"")</f>
        <v>0</v>
      </c>
      <c r="L129" s="20">
        <f>IFERROR(INDEX('Input - Convenience'!K$2:K$200,MATCH('Calculations - Convenience'!$C129,'Input - Convenience'!$B$2:$B$200,0)),"")</f>
        <v>0</v>
      </c>
      <c r="M129" s="21" t="str">
        <f t="shared" si="96"/>
        <v/>
      </c>
      <c r="N129" s="21" t="str">
        <f t="shared" si="82"/>
        <v/>
      </c>
      <c r="O129" s="21">
        <f t="shared" si="97"/>
        <v>0</v>
      </c>
      <c r="P129" s="9">
        <f t="shared" si="111"/>
        <v>0</v>
      </c>
      <c r="Q129" s="9">
        <f t="shared" si="112"/>
        <v>0</v>
      </c>
      <c r="R129" s="22" t="str">
        <f>IFERROR(INDEX(Convenience!$N$11:$N$148,MATCH('Calculations - Convenience'!$C129,Convenience!$J$11:$J$148,0)),"")</f>
        <v/>
      </c>
      <c r="S129" s="22" t="str">
        <f>IFERROR(INDEX(Convenience!$O$11:$O$148,MATCH('Calculations - Convenience'!$C129,Convenience!$J$11:$J$148,0)),"")</f>
        <v/>
      </c>
      <c r="T129" s="16" t="e">
        <f t="shared" si="83"/>
        <v>#VALUE!</v>
      </c>
      <c r="U129" s="16" t="e">
        <f t="shared" si="98"/>
        <v>#VALUE!</v>
      </c>
      <c r="V129" s="16" t="e">
        <f t="shared" si="99"/>
        <v>#VALUE!</v>
      </c>
      <c r="W129" s="10" t="str">
        <f t="shared" si="84"/>
        <v>-</v>
      </c>
      <c r="X129" s="10" t="str">
        <f t="shared" si="85"/>
        <v>-</v>
      </c>
      <c r="Y129" s="13" t="str">
        <f t="shared" si="100"/>
        <v>-</v>
      </c>
      <c r="Z129" s="9" t="str">
        <f t="shared" si="86"/>
        <v>-</v>
      </c>
      <c r="AA129" s="16" t="str">
        <f t="shared" si="101"/>
        <v>-</v>
      </c>
      <c r="AB129" s="16" t="str">
        <f t="shared" si="87"/>
        <v>-</v>
      </c>
      <c r="AC129" s="16" t="str">
        <f t="shared" si="88"/>
        <v>-</v>
      </c>
      <c r="AD129" s="16" t="str">
        <f t="shared" si="102"/>
        <v>-</v>
      </c>
      <c r="AE129" s="16"/>
      <c r="AF129" s="31" t="str">
        <f>IFERROR(INDEX(Convenience!$M$11:$M$148,MATCH('Calculations - Convenience'!C129,Convenience!$J$11:$J$148,0)),"")</f>
        <v/>
      </c>
      <c r="AG129" s="23" t="str">
        <f t="shared" si="103"/>
        <v/>
      </c>
      <c r="AH129" s="23" t="str">
        <f t="shared" si="103"/>
        <v/>
      </c>
      <c r="AI129" s="9" t="str">
        <f t="shared" si="89"/>
        <v/>
      </c>
      <c r="AJ129" s="4" t="str">
        <f t="shared" si="90"/>
        <v/>
      </c>
      <c r="AK129" s="4"/>
      <c r="AL129" s="4"/>
      <c r="AM129" s="4"/>
      <c r="AN129" s="4"/>
      <c r="AO129" s="4"/>
      <c r="AP129" s="20" t="str">
        <f t="shared" si="91"/>
        <v>-</v>
      </c>
      <c r="AQ129" s="13" t="str">
        <f t="shared" si="104"/>
        <v>-</v>
      </c>
      <c r="AR129" s="13" t="str">
        <f t="shared" si="105"/>
        <v>-</v>
      </c>
      <c r="AS129" s="13" t="str">
        <f t="shared" si="92"/>
        <v>-</v>
      </c>
      <c r="AT129" s="16" t="str">
        <f t="shared" si="106"/>
        <v>-</v>
      </c>
      <c r="AU129" s="16" t="str">
        <f t="shared" si="93"/>
        <v>-</v>
      </c>
      <c r="AV129" s="16" t="str">
        <f t="shared" si="94"/>
        <v>-</v>
      </c>
      <c r="AW129" s="16" t="str">
        <f t="shared" si="107"/>
        <v>-</v>
      </c>
      <c r="AX129" s="13" t="str">
        <f t="shared" si="108"/>
        <v>-</v>
      </c>
      <c r="AY129" s="10" t="str">
        <f t="shared" si="109"/>
        <v>-</v>
      </c>
      <c r="AZ129" s="9" t="str">
        <f t="shared" si="110"/>
        <v>-</v>
      </c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</row>
    <row r="130" spans="2:68" x14ac:dyDescent="0.3">
      <c r="B130" s="108" t="str">
        <f t="shared" si="95"/>
        <v/>
      </c>
      <c r="C130" s="108" t="str">
        <f t="shared" si="81"/>
        <v/>
      </c>
      <c r="D130" s="3"/>
      <c r="E130" s="3"/>
      <c r="F130" s="3"/>
      <c r="G130" s="20">
        <f>IFERROR(INDEX('Input - Convenience'!F$2:F$200,MATCH('Calculations - Convenience'!$C130,'Input - Convenience'!$B$2:$B$200,0)),"")</f>
        <v>0</v>
      </c>
      <c r="H130" s="20">
        <f>IFERROR(INDEX('Input - Convenience'!G$2:G$200,MATCH('Calculations - Convenience'!$C130,'Input - Convenience'!$B$2:$B$200,0)),"")</f>
        <v>0</v>
      </c>
      <c r="I130" s="21">
        <f>IFERROR(INDEX('Input - Convenience'!H$2:H$200,MATCH('Calculations - Convenience'!$C130,'Input - Convenience'!$B$2:$B$200,0)),"")</f>
        <v>0</v>
      </c>
      <c r="J130" s="21">
        <f>IFERROR(INDEX('Input - Convenience'!I$2:I$200,MATCH('Calculations - Convenience'!$C130,'Input - Convenience'!$B$2:$B$200,0)),"")</f>
        <v>0</v>
      </c>
      <c r="K130" s="20">
        <f>IFERROR(INDEX('Input - Convenience'!J$2:J$200,MATCH('Calculations - Convenience'!$C130,'Input - Convenience'!$B$2:$B$200,0)),"")</f>
        <v>0</v>
      </c>
      <c r="L130" s="20">
        <f>IFERROR(INDEX('Input - Convenience'!K$2:K$200,MATCH('Calculations - Convenience'!$C130,'Input - Convenience'!$B$2:$B$200,0)),"")</f>
        <v>0</v>
      </c>
      <c r="M130" s="21" t="str">
        <f t="shared" si="96"/>
        <v/>
      </c>
      <c r="N130" s="21" t="str">
        <f t="shared" si="82"/>
        <v/>
      </c>
      <c r="O130" s="21">
        <f t="shared" si="97"/>
        <v>0</v>
      </c>
      <c r="P130" s="9">
        <f t="shared" si="111"/>
        <v>0</v>
      </c>
      <c r="Q130" s="9">
        <f t="shared" si="112"/>
        <v>0</v>
      </c>
      <c r="R130" s="22" t="str">
        <f>IFERROR(INDEX(Convenience!$N$11:$N$148,MATCH('Calculations - Convenience'!$C130,Convenience!$J$11:$J$148,0)),"")</f>
        <v/>
      </c>
      <c r="S130" s="22" t="str">
        <f>IFERROR(INDEX(Convenience!$O$11:$O$148,MATCH('Calculations - Convenience'!$C130,Convenience!$J$11:$J$148,0)),"")</f>
        <v/>
      </c>
      <c r="T130" s="16" t="e">
        <f t="shared" si="83"/>
        <v>#VALUE!</v>
      </c>
      <c r="U130" s="16" t="e">
        <f t="shared" si="98"/>
        <v>#VALUE!</v>
      </c>
      <c r="V130" s="16" t="e">
        <f t="shared" si="99"/>
        <v>#VALUE!</v>
      </c>
      <c r="W130" s="10" t="str">
        <f t="shared" si="84"/>
        <v>-</v>
      </c>
      <c r="X130" s="10" t="str">
        <f t="shared" si="85"/>
        <v>-</v>
      </c>
      <c r="Y130" s="13" t="str">
        <f t="shared" si="100"/>
        <v>-</v>
      </c>
      <c r="Z130" s="9" t="str">
        <f t="shared" si="86"/>
        <v>-</v>
      </c>
      <c r="AA130" s="16" t="str">
        <f t="shared" si="101"/>
        <v>-</v>
      </c>
      <c r="AB130" s="16" t="str">
        <f t="shared" si="87"/>
        <v>-</v>
      </c>
      <c r="AC130" s="16" t="str">
        <f t="shared" si="88"/>
        <v>-</v>
      </c>
      <c r="AD130" s="16" t="str">
        <f t="shared" si="102"/>
        <v>-</v>
      </c>
      <c r="AE130" s="16"/>
      <c r="AF130" s="31" t="str">
        <f>IFERROR(INDEX(Convenience!$M$11:$M$148,MATCH('Calculations - Convenience'!C130,Convenience!$J$11:$J$148,0)),"")</f>
        <v/>
      </c>
      <c r="AG130" s="23" t="str">
        <f t="shared" si="103"/>
        <v/>
      </c>
      <c r="AH130" s="23" t="str">
        <f t="shared" si="103"/>
        <v/>
      </c>
      <c r="AI130" s="9" t="str">
        <f t="shared" si="89"/>
        <v/>
      </c>
      <c r="AJ130" s="4" t="str">
        <f t="shared" si="90"/>
        <v/>
      </c>
      <c r="AK130" s="4"/>
      <c r="AL130" s="4"/>
      <c r="AM130" s="4"/>
      <c r="AN130" s="4"/>
      <c r="AO130" s="4"/>
      <c r="AP130" s="20" t="str">
        <f t="shared" si="91"/>
        <v>-</v>
      </c>
      <c r="AQ130" s="13" t="str">
        <f t="shared" si="104"/>
        <v>-</v>
      </c>
      <c r="AR130" s="13" t="str">
        <f t="shared" si="105"/>
        <v>-</v>
      </c>
      <c r="AS130" s="13" t="str">
        <f t="shared" si="92"/>
        <v>-</v>
      </c>
      <c r="AT130" s="16" t="str">
        <f t="shared" si="106"/>
        <v>-</v>
      </c>
      <c r="AU130" s="16" t="str">
        <f t="shared" si="93"/>
        <v>-</v>
      </c>
      <c r="AV130" s="16" t="str">
        <f t="shared" si="94"/>
        <v>-</v>
      </c>
      <c r="AW130" s="16" t="str">
        <f t="shared" si="107"/>
        <v>-</v>
      </c>
      <c r="AX130" s="13" t="str">
        <f t="shared" si="108"/>
        <v>-</v>
      </c>
      <c r="AY130" s="10" t="str">
        <f t="shared" si="109"/>
        <v>-</v>
      </c>
      <c r="AZ130" s="9" t="str">
        <f t="shared" si="110"/>
        <v>-</v>
      </c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</row>
    <row r="131" spans="2:68" x14ac:dyDescent="0.3">
      <c r="B131" s="108" t="str">
        <f t="shared" si="95"/>
        <v/>
      </c>
      <c r="C131" s="108" t="str">
        <f t="shared" si="81"/>
        <v/>
      </c>
      <c r="D131" s="3"/>
      <c r="E131" s="3"/>
      <c r="F131" s="3"/>
      <c r="G131" s="20">
        <f>IFERROR(INDEX('Input - Convenience'!F$2:F$200,MATCH('Calculations - Convenience'!$C131,'Input - Convenience'!$B$2:$B$200,0)),"")</f>
        <v>0</v>
      </c>
      <c r="H131" s="20">
        <f>IFERROR(INDEX('Input - Convenience'!G$2:G$200,MATCH('Calculations - Convenience'!$C131,'Input - Convenience'!$B$2:$B$200,0)),"")</f>
        <v>0</v>
      </c>
      <c r="I131" s="21">
        <f>IFERROR(INDEX('Input - Convenience'!H$2:H$200,MATCH('Calculations - Convenience'!$C131,'Input - Convenience'!$B$2:$B$200,0)),"")</f>
        <v>0</v>
      </c>
      <c r="J131" s="21">
        <f>IFERROR(INDEX('Input - Convenience'!I$2:I$200,MATCH('Calculations - Convenience'!$C131,'Input - Convenience'!$B$2:$B$200,0)),"")</f>
        <v>0</v>
      </c>
      <c r="K131" s="20">
        <f>IFERROR(INDEX('Input - Convenience'!J$2:J$200,MATCH('Calculations - Convenience'!$C131,'Input - Convenience'!$B$2:$B$200,0)),"")</f>
        <v>0</v>
      </c>
      <c r="L131" s="20">
        <f>IFERROR(INDEX('Input - Convenience'!K$2:K$200,MATCH('Calculations - Convenience'!$C131,'Input - Convenience'!$B$2:$B$200,0)),"")</f>
        <v>0</v>
      </c>
      <c r="M131" s="21" t="str">
        <f t="shared" si="96"/>
        <v/>
      </c>
      <c r="N131" s="21" t="str">
        <f t="shared" si="82"/>
        <v/>
      </c>
      <c r="O131" s="21">
        <f t="shared" si="97"/>
        <v>0</v>
      </c>
      <c r="P131" s="9">
        <f t="shared" si="111"/>
        <v>0</v>
      </c>
      <c r="Q131" s="9">
        <f t="shared" si="112"/>
        <v>0</v>
      </c>
      <c r="R131" s="22" t="str">
        <f>IFERROR(INDEX(Convenience!$N$11:$N$148,MATCH('Calculations - Convenience'!$C131,Convenience!$J$11:$J$148,0)),"")</f>
        <v/>
      </c>
      <c r="S131" s="22" t="str">
        <f>IFERROR(INDEX(Convenience!$O$11:$O$148,MATCH('Calculations - Convenience'!$C131,Convenience!$J$11:$J$148,0)),"")</f>
        <v/>
      </c>
      <c r="T131" s="16" t="e">
        <f t="shared" si="83"/>
        <v>#VALUE!</v>
      </c>
      <c r="U131" s="16" t="e">
        <f t="shared" si="98"/>
        <v>#VALUE!</v>
      </c>
      <c r="V131" s="16" t="e">
        <f t="shared" si="99"/>
        <v>#VALUE!</v>
      </c>
      <c r="W131" s="10" t="str">
        <f t="shared" si="84"/>
        <v>-</v>
      </c>
      <c r="X131" s="10" t="str">
        <f t="shared" si="85"/>
        <v>-</v>
      </c>
      <c r="Y131" s="13" t="str">
        <f t="shared" si="100"/>
        <v>-</v>
      </c>
      <c r="Z131" s="9" t="str">
        <f t="shared" si="86"/>
        <v>-</v>
      </c>
      <c r="AA131" s="16" t="str">
        <f t="shared" si="101"/>
        <v>-</v>
      </c>
      <c r="AB131" s="16" t="str">
        <f t="shared" si="87"/>
        <v>-</v>
      </c>
      <c r="AC131" s="16" t="str">
        <f t="shared" si="88"/>
        <v>-</v>
      </c>
      <c r="AD131" s="16" t="str">
        <f t="shared" si="102"/>
        <v>-</v>
      </c>
      <c r="AE131" s="16"/>
      <c r="AF131" s="31" t="str">
        <f>IFERROR(INDEX(Convenience!$M$11:$M$148,MATCH('Calculations - Convenience'!C131,Convenience!$J$11:$J$148,0)),"")</f>
        <v/>
      </c>
      <c r="AG131" s="23" t="str">
        <f t="shared" si="103"/>
        <v/>
      </c>
      <c r="AH131" s="23" t="str">
        <f t="shared" si="103"/>
        <v/>
      </c>
      <c r="AI131" s="9" t="str">
        <f t="shared" si="89"/>
        <v/>
      </c>
      <c r="AJ131" s="4" t="str">
        <f t="shared" si="90"/>
        <v/>
      </c>
      <c r="AK131" s="4"/>
      <c r="AL131" s="4"/>
      <c r="AM131" s="4"/>
      <c r="AN131" s="4"/>
      <c r="AO131" s="4"/>
      <c r="AP131" s="20" t="str">
        <f t="shared" si="91"/>
        <v>-</v>
      </c>
      <c r="AQ131" s="13" t="str">
        <f t="shared" si="104"/>
        <v>-</v>
      </c>
      <c r="AR131" s="13" t="str">
        <f t="shared" si="105"/>
        <v>-</v>
      </c>
      <c r="AS131" s="13" t="str">
        <f t="shared" si="92"/>
        <v>-</v>
      </c>
      <c r="AT131" s="16" t="str">
        <f t="shared" si="106"/>
        <v>-</v>
      </c>
      <c r="AU131" s="16" t="str">
        <f t="shared" si="93"/>
        <v>-</v>
      </c>
      <c r="AV131" s="16" t="str">
        <f t="shared" si="94"/>
        <v>-</v>
      </c>
      <c r="AW131" s="16" t="str">
        <f t="shared" si="107"/>
        <v>-</v>
      </c>
      <c r="AX131" s="13" t="str">
        <f t="shared" si="108"/>
        <v>-</v>
      </c>
      <c r="AY131" s="10" t="str">
        <f t="shared" si="109"/>
        <v>-</v>
      </c>
      <c r="AZ131" s="9" t="str">
        <f t="shared" si="110"/>
        <v>-</v>
      </c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</row>
    <row r="132" spans="2:68" x14ac:dyDescent="0.3">
      <c r="B132" s="108" t="str">
        <f t="shared" si="95"/>
        <v/>
      </c>
      <c r="C132" s="108" t="str">
        <f t="shared" si="81"/>
        <v/>
      </c>
      <c r="D132" s="3"/>
      <c r="E132" s="3"/>
      <c r="F132" s="3"/>
      <c r="G132" s="20">
        <f>IFERROR(INDEX('Input - Convenience'!F$2:F$200,MATCH('Calculations - Convenience'!$C132,'Input - Convenience'!$B$2:$B$200,0)),"")</f>
        <v>0</v>
      </c>
      <c r="H132" s="20">
        <f>IFERROR(INDEX('Input - Convenience'!G$2:G$200,MATCH('Calculations - Convenience'!$C132,'Input - Convenience'!$B$2:$B$200,0)),"")</f>
        <v>0</v>
      </c>
      <c r="I132" s="21">
        <f>IFERROR(INDEX('Input - Convenience'!H$2:H$200,MATCH('Calculations - Convenience'!$C132,'Input - Convenience'!$B$2:$B$200,0)),"")</f>
        <v>0</v>
      </c>
      <c r="J132" s="21">
        <f>IFERROR(INDEX('Input - Convenience'!I$2:I$200,MATCH('Calculations - Convenience'!$C132,'Input - Convenience'!$B$2:$B$200,0)),"")</f>
        <v>0</v>
      </c>
      <c r="K132" s="20">
        <f>IFERROR(INDEX('Input - Convenience'!J$2:J$200,MATCH('Calculations - Convenience'!$C132,'Input - Convenience'!$B$2:$B$200,0)),"")</f>
        <v>0</v>
      </c>
      <c r="L132" s="20">
        <f>IFERROR(INDEX('Input - Convenience'!K$2:K$200,MATCH('Calculations - Convenience'!$C132,'Input - Convenience'!$B$2:$B$200,0)),"")</f>
        <v>0</v>
      </c>
      <c r="M132" s="21" t="str">
        <f t="shared" si="96"/>
        <v/>
      </c>
      <c r="N132" s="21" t="str">
        <f t="shared" si="82"/>
        <v/>
      </c>
      <c r="O132" s="21">
        <f t="shared" si="97"/>
        <v>0</v>
      </c>
      <c r="P132" s="9">
        <f t="shared" si="111"/>
        <v>0</v>
      </c>
      <c r="Q132" s="9">
        <f t="shared" si="112"/>
        <v>0</v>
      </c>
      <c r="R132" s="22" t="str">
        <f>IFERROR(INDEX(Convenience!$N$11:$N$148,MATCH('Calculations - Convenience'!$C132,Convenience!$J$11:$J$148,0)),"")</f>
        <v/>
      </c>
      <c r="S132" s="22" t="str">
        <f>IFERROR(INDEX(Convenience!$O$11:$O$148,MATCH('Calculations - Convenience'!$C132,Convenience!$J$11:$J$148,0)),"")</f>
        <v/>
      </c>
      <c r="T132" s="16" t="e">
        <f t="shared" si="83"/>
        <v>#VALUE!</v>
      </c>
      <c r="U132" s="16" t="e">
        <f t="shared" si="98"/>
        <v>#VALUE!</v>
      </c>
      <c r="V132" s="16" t="e">
        <f t="shared" si="99"/>
        <v>#VALUE!</v>
      </c>
      <c r="W132" s="10" t="str">
        <f t="shared" si="84"/>
        <v>-</v>
      </c>
      <c r="X132" s="10" t="str">
        <f t="shared" si="85"/>
        <v>-</v>
      </c>
      <c r="Y132" s="13" t="str">
        <f t="shared" si="100"/>
        <v>-</v>
      </c>
      <c r="Z132" s="9" t="str">
        <f t="shared" si="86"/>
        <v>-</v>
      </c>
      <c r="AA132" s="16" t="str">
        <f t="shared" si="101"/>
        <v>-</v>
      </c>
      <c r="AB132" s="16" t="str">
        <f t="shared" si="87"/>
        <v>-</v>
      </c>
      <c r="AC132" s="16" t="str">
        <f t="shared" si="88"/>
        <v>-</v>
      </c>
      <c r="AD132" s="16" t="str">
        <f t="shared" si="102"/>
        <v>-</v>
      </c>
      <c r="AE132" s="16"/>
      <c r="AF132" s="31" t="str">
        <f>IFERROR(INDEX(Convenience!$M$11:$M$148,MATCH('Calculations - Convenience'!C132,Convenience!$J$11:$J$148,0)),"")</f>
        <v/>
      </c>
      <c r="AG132" s="23" t="str">
        <f t="shared" si="103"/>
        <v/>
      </c>
      <c r="AH132" s="23" t="str">
        <f t="shared" si="103"/>
        <v/>
      </c>
      <c r="AI132" s="9" t="str">
        <f t="shared" si="89"/>
        <v/>
      </c>
      <c r="AJ132" s="4" t="str">
        <f t="shared" si="90"/>
        <v/>
      </c>
      <c r="AK132" s="4"/>
      <c r="AL132" s="4"/>
      <c r="AM132" s="4"/>
      <c r="AN132" s="4"/>
      <c r="AO132" s="4"/>
      <c r="AP132" s="20" t="str">
        <f t="shared" si="91"/>
        <v>-</v>
      </c>
      <c r="AQ132" s="13" t="str">
        <f t="shared" si="104"/>
        <v>-</v>
      </c>
      <c r="AR132" s="13" t="str">
        <f t="shared" si="105"/>
        <v>-</v>
      </c>
      <c r="AS132" s="13" t="str">
        <f t="shared" si="92"/>
        <v>-</v>
      </c>
      <c r="AT132" s="16" t="str">
        <f t="shared" si="106"/>
        <v>-</v>
      </c>
      <c r="AU132" s="16" t="str">
        <f t="shared" si="93"/>
        <v>-</v>
      </c>
      <c r="AV132" s="16" t="str">
        <f t="shared" si="94"/>
        <v>-</v>
      </c>
      <c r="AW132" s="16" t="str">
        <f t="shared" si="107"/>
        <v>-</v>
      </c>
      <c r="AX132" s="13" t="str">
        <f t="shared" si="108"/>
        <v>-</v>
      </c>
      <c r="AY132" s="10" t="str">
        <f t="shared" si="109"/>
        <v>-</v>
      </c>
      <c r="AZ132" s="9" t="str">
        <f t="shared" si="110"/>
        <v>-</v>
      </c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</row>
    <row r="133" spans="2:68" x14ac:dyDescent="0.3">
      <c r="B133" s="108" t="str">
        <f t="shared" si="95"/>
        <v/>
      </c>
      <c r="C133" s="108" t="str">
        <f t="shared" si="81"/>
        <v/>
      </c>
      <c r="D133" s="3"/>
      <c r="E133" s="3"/>
      <c r="F133" s="3"/>
      <c r="G133" s="20">
        <f>IFERROR(INDEX('Input - Convenience'!F$2:F$200,MATCH('Calculations - Convenience'!$C133,'Input - Convenience'!$B$2:$B$200,0)),"")</f>
        <v>0</v>
      </c>
      <c r="H133" s="20">
        <f>IFERROR(INDEX('Input - Convenience'!G$2:G$200,MATCH('Calculations - Convenience'!$C133,'Input - Convenience'!$B$2:$B$200,0)),"")</f>
        <v>0</v>
      </c>
      <c r="I133" s="21">
        <f>IFERROR(INDEX('Input - Convenience'!H$2:H$200,MATCH('Calculations - Convenience'!$C133,'Input - Convenience'!$B$2:$B$200,0)),"")</f>
        <v>0</v>
      </c>
      <c r="J133" s="21">
        <f>IFERROR(INDEX('Input - Convenience'!I$2:I$200,MATCH('Calculations - Convenience'!$C133,'Input - Convenience'!$B$2:$B$200,0)),"")</f>
        <v>0</v>
      </c>
      <c r="K133" s="20">
        <f>IFERROR(INDEX('Input - Convenience'!J$2:J$200,MATCH('Calculations - Convenience'!$C133,'Input - Convenience'!$B$2:$B$200,0)),"")</f>
        <v>0</v>
      </c>
      <c r="L133" s="20">
        <f>IFERROR(INDEX('Input - Convenience'!K$2:K$200,MATCH('Calculations - Convenience'!$C133,'Input - Convenience'!$B$2:$B$200,0)),"")</f>
        <v>0</v>
      </c>
      <c r="M133" s="21" t="str">
        <f t="shared" si="96"/>
        <v/>
      </c>
      <c r="N133" s="21" t="str">
        <f t="shared" si="82"/>
        <v/>
      </c>
      <c r="O133" s="21">
        <f t="shared" si="97"/>
        <v>0</v>
      </c>
      <c r="P133" s="9">
        <f t="shared" si="111"/>
        <v>0</v>
      </c>
      <c r="Q133" s="9">
        <f t="shared" si="112"/>
        <v>0</v>
      </c>
      <c r="R133" s="22" t="str">
        <f>IFERROR(INDEX(Convenience!$N$11:$N$148,MATCH('Calculations - Convenience'!$C133,Convenience!$J$11:$J$148,0)),"")</f>
        <v/>
      </c>
      <c r="S133" s="22" t="str">
        <f>IFERROR(INDEX(Convenience!$O$11:$O$148,MATCH('Calculations - Convenience'!$C133,Convenience!$J$11:$J$148,0)),"")</f>
        <v/>
      </c>
      <c r="T133" s="16" t="e">
        <f t="shared" si="83"/>
        <v>#VALUE!</v>
      </c>
      <c r="U133" s="16" t="e">
        <f t="shared" si="98"/>
        <v>#VALUE!</v>
      </c>
      <c r="V133" s="16" t="e">
        <f t="shared" si="99"/>
        <v>#VALUE!</v>
      </c>
      <c r="W133" s="10" t="str">
        <f t="shared" si="84"/>
        <v>-</v>
      </c>
      <c r="X133" s="10" t="str">
        <f t="shared" si="85"/>
        <v>-</v>
      </c>
      <c r="Y133" s="13" t="str">
        <f t="shared" si="100"/>
        <v>-</v>
      </c>
      <c r="Z133" s="9" t="str">
        <f t="shared" si="86"/>
        <v>-</v>
      </c>
      <c r="AA133" s="16" t="str">
        <f t="shared" si="101"/>
        <v>-</v>
      </c>
      <c r="AB133" s="16" t="str">
        <f t="shared" si="87"/>
        <v>-</v>
      </c>
      <c r="AC133" s="16" t="str">
        <f t="shared" si="88"/>
        <v>-</v>
      </c>
      <c r="AD133" s="16" t="str">
        <f t="shared" si="102"/>
        <v>-</v>
      </c>
      <c r="AE133" s="16"/>
      <c r="AF133" s="31" t="str">
        <f>IFERROR(INDEX(Convenience!$M$11:$M$148,MATCH('Calculations - Convenience'!C133,Convenience!$J$11:$J$148,0)),"")</f>
        <v/>
      </c>
      <c r="AG133" s="23" t="str">
        <f t="shared" si="103"/>
        <v/>
      </c>
      <c r="AH133" s="23" t="str">
        <f t="shared" si="103"/>
        <v/>
      </c>
      <c r="AI133" s="9" t="str">
        <f t="shared" si="89"/>
        <v/>
      </c>
      <c r="AJ133" s="4" t="str">
        <f t="shared" si="90"/>
        <v/>
      </c>
      <c r="AK133" s="4"/>
      <c r="AL133" s="4"/>
      <c r="AM133" s="4"/>
      <c r="AN133" s="4"/>
      <c r="AO133" s="4"/>
      <c r="AP133" s="20" t="str">
        <f t="shared" si="91"/>
        <v>-</v>
      </c>
      <c r="AQ133" s="13" t="str">
        <f t="shared" si="104"/>
        <v>-</v>
      </c>
      <c r="AR133" s="13" t="str">
        <f t="shared" si="105"/>
        <v>-</v>
      </c>
      <c r="AS133" s="13" t="str">
        <f t="shared" si="92"/>
        <v>-</v>
      </c>
      <c r="AT133" s="16" t="str">
        <f t="shared" si="106"/>
        <v>-</v>
      </c>
      <c r="AU133" s="16" t="str">
        <f t="shared" si="93"/>
        <v>-</v>
      </c>
      <c r="AV133" s="16" t="str">
        <f t="shared" si="94"/>
        <v>-</v>
      </c>
      <c r="AW133" s="16" t="str">
        <f t="shared" si="107"/>
        <v>-</v>
      </c>
      <c r="AX133" s="13" t="str">
        <f t="shared" si="108"/>
        <v>-</v>
      </c>
      <c r="AY133" s="10" t="str">
        <f t="shared" si="109"/>
        <v>-</v>
      </c>
      <c r="AZ133" s="9" t="str">
        <f t="shared" si="110"/>
        <v>-</v>
      </c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</row>
    <row r="134" spans="2:68" x14ac:dyDescent="0.3">
      <c r="B134" s="108" t="str">
        <f t="shared" si="95"/>
        <v/>
      </c>
      <c r="C134" s="108" t="str">
        <f t="shared" si="81"/>
        <v/>
      </c>
      <c r="D134" s="3"/>
      <c r="E134" s="3"/>
      <c r="F134" s="3"/>
      <c r="G134" s="20">
        <f>IFERROR(INDEX('Input - Convenience'!F$2:F$200,MATCH('Calculations - Convenience'!$C134,'Input - Convenience'!$B$2:$B$200,0)),"")</f>
        <v>0</v>
      </c>
      <c r="H134" s="20">
        <f>IFERROR(INDEX('Input - Convenience'!G$2:G$200,MATCH('Calculations - Convenience'!$C134,'Input - Convenience'!$B$2:$B$200,0)),"")</f>
        <v>0</v>
      </c>
      <c r="I134" s="21">
        <f>IFERROR(INDEX('Input - Convenience'!H$2:H$200,MATCH('Calculations - Convenience'!$C134,'Input - Convenience'!$B$2:$B$200,0)),"")</f>
        <v>0</v>
      </c>
      <c r="J134" s="21">
        <f>IFERROR(INDEX('Input - Convenience'!I$2:I$200,MATCH('Calculations - Convenience'!$C134,'Input - Convenience'!$B$2:$B$200,0)),"")</f>
        <v>0</v>
      </c>
      <c r="K134" s="20">
        <f>IFERROR(INDEX('Input - Convenience'!J$2:J$200,MATCH('Calculations - Convenience'!$C134,'Input - Convenience'!$B$2:$B$200,0)),"")</f>
        <v>0</v>
      </c>
      <c r="L134" s="20">
        <f>IFERROR(INDEX('Input - Convenience'!K$2:K$200,MATCH('Calculations - Convenience'!$C134,'Input - Convenience'!$B$2:$B$200,0)),"")</f>
        <v>0</v>
      </c>
      <c r="M134" s="21" t="str">
        <f t="shared" si="96"/>
        <v/>
      </c>
      <c r="N134" s="21" t="str">
        <f t="shared" si="82"/>
        <v/>
      </c>
      <c r="O134" s="21">
        <f t="shared" si="97"/>
        <v>0</v>
      </c>
      <c r="P134" s="9">
        <f t="shared" si="111"/>
        <v>0</v>
      </c>
      <c r="Q134" s="9">
        <f t="shared" si="112"/>
        <v>0</v>
      </c>
      <c r="R134" s="22" t="str">
        <f>IFERROR(INDEX(Convenience!$N$11:$N$148,MATCH('Calculations - Convenience'!$C134,Convenience!$J$11:$J$148,0)),"")</f>
        <v/>
      </c>
      <c r="S134" s="22" t="str">
        <f>IFERROR(INDEX(Convenience!$O$11:$O$148,MATCH('Calculations - Convenience'!$C134,Convenience!$J$11:$J$148,0)),"")</f>
        <v/>
      </c>
      <c r="T134" s="16" t="e">
        <f t="shared" si="83"/>
        <v>#VALUE!</v>
      </c>
      <c r="U134" s="16" t="e">
        <f t="shared" si="98"/>
        <v>#VALUE!</v>
      </c>
      <c r="V134" s="16" t="e">
        <f t="shared" si="99"/>
        <v>#VALUE!</v>
      </c>
      <c r="W134" s="10" t="str">
        <f t="shared" si="84"/>
        <v>-</v>
      </c>
      <c r="X134" s="10" t="str">
        <f t="shared" si="85"/>
        <v>-</v>
      </c>
      <c r="Y134" s="13" t="str">
        <f t="shared" si="100"/>
        <v>-</v>
      </c>
      <c r="Z134" s="9" t="str">
        <f t="shared" si="86"/>
        <v>-</v>
      </c>
      <c r="AA134" s="16" t="str">
        <f t="shared" si="101"/>
        <v>-</v>
      </c>
      <c r="AB134" s="16" t="str">
        <f t="shared" si="87"/>
        <v>-</v>
      </c>
      <c r="AC134" s="16" t="str">
        <f t="shared" si="88"/>
        <v>-</v>
      </c>
      <c r="AD134" s="16" t="str">
        <f t="shared" si="102"/>
        <v>-</v>
      </c>
      <c r="AE134" s="16"/>
      <c r="AF134" s="31" t="str">
        <f>IFERROR(INDEX(Convenience!$M$11:$M$148,MATCH('Calculations - Convenience'!C134,Convenience!$J$11:$J$148,0)),"")</f>
        <v/>
      </c>
      <c r="AG134" s="23" t="str">
        <f t="shared" si="103"/>
        <v/>
      </c>
      <c r="AH134" s="23" t="str">
        <f t="shared" si="103"/>
        <v/>
      </c>
      <c r="AI134" s="9" t="str">
        <f t="shared" si="89"/>
        <v/>
      </c>
      <c r="AJ134" s="4" t="str">
        <f t="shared" si="90"/>
        <v/>
      </c>
      <c r="AK134" s="4"/>
      <c r="AL134" s="4"/>
      <c r="AM134" s="4"/>
      <c r="AN134" s="4"/>
      <c r="AO134" s="4"/>
      <c r="AP134" s="20" t="str">
        <f t="shared" si="91"/>
        <v>-</v>
      </c>
      <c r="AQ134" s="13" t="str">
        <f t="shared" si="104"/>
        <v>-</v>
      </c>
      <c r="AR134" s="13" t="str">
        <f t="shared" si="105"/>
        <v>-</v>
      </c>
      <c r="AS134" s="13" t="str">
        <f t="shared" si="92"/>
        <v>-</v>
      </c>
      <c r="AT134" s="16" t="str">
        <f t="shared" si="106"/>
        <v>-</v>
      </c>
      <c r="AU134" s="16" t="str">
        <f t="shared" si="93"/>
        <v>-</v>
      </c>
      <c r="AV134" s="16" t="str">
        <f t="shared" si="94"/>
        <v>-</v>
      </c>
      <c r="AW134" s="16" t="str">
        <f t="shared" si="107"/>
        <v>-</v>
      </c>
      <c r="AX134" s="13" t="str">
        <f t="shared" si="108"/>
        <v>-</v>
      </c>
      <c r="AY134" s="10" t="str">
        <f t="shared" si="109"/>
        <v>-</v>
      </c>
      <c r="AZ134" s="9" t="str">
        <f t="shared" si="110"/>
        <v>-</v>
      </c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</row>
    <row r="135" spans="2:68" x14ac:dyDescent="0.3">
      <c r="B135" s="108" t="str">
        <f t="shared" si="95"/>
        <v/>
      </c>
      <c r="C135" s="108" t="str">
        <f t="shared" si="81"/>
        <v/>
      </c>
      <c r="D135" s="3"/>
      <c r="E135" s="3"/>
      <c r="F135" s="3"/>
      <c r="G135" s="20">
        <f>IFERROR(INDEX('Input - Convenience'!F$2:F$200,MATCH('Calculations - Convenience'!$C135,'Input - Convenience'!$B$2:$B$200,0)),"")</f>
        <v>0</v>
      </c>
      <c r="H135" s="20">
        <f>IFERROR(INDEX('Input - Convenience'!G$2:G$200,MATCH('Calculations - Convenience'!$C135,'Input - Convenience'!$B$2:$B$200,0)),"")</f>
        <v>0</v>
      </c>
      <c r="I135" s="21">
        <f>IFERROR(INDEX('Input - Convenience'!H$2:H$200,MATCH('Calculations - Convenience'!$C135,'Input - Convenience'!$B$2:$B$200,0)),"")</f>
        <v>0</v>
      </c>
      <c r="J135" s="21">
        <f>IFERROR(INDEX('Input - Convenience'!I$2:I$200,MATCH('Calculations - Convenience'!$C135,'Input - Convenience'!$B$2:$B$200,0)),"")</f>
        <v>0</v>
      </c>
      <c r="K135" s="20">
        <f>IFERROR(INDEX('Input - Convenience'!J$2:J$200,MATCH('Calculations - Convenience'!$C135,'Input - Convenience'!$B$2:$B$200,0)),"")</f>
        <v>0</v>
      </c>
      <c r="L135" s="20">
        <f>IFERROR(INDEX('Input - Convenience'!K$2:K$200,MATCH('Calculations - Convenience'!$C135,'Input - Convenience'!$B$2:$B$200,0)),"")</f>
        <v>0</v>
      </c>
      <c r="M135" s="21" t="str">
        <f t="shared" si="96"/>
        <v/>
      </c>
      <c r="N135" s="21" t="str">
        <f t="shared" si="82"/>
        <v/>
      </c>
      <c r="O135" s="21">
        <f t="shared" si="97"/>
        <v>0</v>
      </c>
      <c r="P135" s="9">
        <f t="shared" si="111"/>
        <v>0</v>
      </c>
      <c r="Q135" s="9">
        <f t="shared" si="112"/>
        <v>0</v>
      </c>
      <c r="R135" s="22" t="str">
        <f>IFERROR(INDEX(Convenience!$N$11:$N$148,MATCH('Calculations - Convenience'!$C135,Convenience!$J$11:$J$148,0)),"")</f>
        <v/>
      </c>
      <c r="S135" s="22" t="str">
        <f>IFERROR(INDEX(Convenience!$O$11:$O$148,MATCH('Calculations - Convenience'!$C135,Convenience!$J$11:$J$148,0)),"")</f>
        <v/>
      </c>
      <c r="T135" s="16" t="e">
        <f t="shared" si="83"/>
        <v>#VALUE!</v>
      </c>
      <c r="U135" s="16" t="e">
        <f t="shared" si="98"/>
        <v>#VALUE!</v>
      </c>
      <c r="V135" s="16" t="e">
        <f t="shared" si="99"/>
        <v>#VALUE!</v>
      </c>
      <c r="W135" s="10" t="str">
        <f t="shared" si="84"/>
        <v>-</v>
      </c>
      <c r="X135" s="10" t="str">
        <f t="shared" si="85"/>
        <v>-</v>
      </c>
      <c r="Y135" s="13" t="str">
        <f t="shared" si="100"/>
        <v>-</v>
      </c>
      <c r="Z135" s="9" t="str">
        <f t="shared" si="86"/>
        <v>-</v>
      </c>
      <c r="AA135" s="16" t="str">
        <f t="shared" si="101"/>
        <v>-</v>
      </c>
      <c r="AB135" s="16" t="str">
        <f t="shared" si="87"/>
        <v>-</v>
      </c>
      <c r="AC135" s="16" t="str">
        <f t="shared" si="88"/>
        <v>-</v>
      </c>
      <c r="AD135" s="16" t="str">
        <f t="shared" si="102"/>
        <v>-</v>
      </c>
      <c r="AE135" s="16"/>
      <c r="AF135" s="31" t="str">
        <f>IFERROR(INDEX(Convenience!$M$11:$M$148,MATCH('Calculations - Convenience'!C135,Convenience!$J$11:$J$148,0)),"")</f>
        <v/>
      </c>
      <c r="AG135" s="23" t="str">
        <f t="shared" si="103"/>
        <v/>
      </c>
      <c r="AH135" s="23" t="str">
        <f t="shared" si="103"/>
        <v/>
      </c>
      <c r="AI135" s="9" t="str">
        <f t="shared" si="89"/>
        <v/>
      </c>
      <c r="AJ135" s="4" t="str">
        <f t="shared" si="90"/>
        <v/>
      </c>
      <c r="AK135" s="4"/>
      <c r="AL135" s="4"/>
      <c r="AM135" s="4"/>
      <c r="AN135" s="4"/>
      <c r="AO135" s="4"/>
      <c r="AP135" s="20" t="str">
        <f t="shared" si="91"/>
        <v>-</v>
      </c>
      <c r="AQ135" s="13" t="str">
        <f t="shared" si="104"/>
        <v>-</v>
      </c>
      <c r="AR135" s="13" t="str">
        <f t="shared" si="105"/>
        <v>-</v>
      </c>
      <c r="AS135" s="13" t="str">
        <f t="shared" si="92"/>
        <v>-</v>
      </c>
      <c r="AT135" s="16" t="str">
        <f t="shared" si="106"/>
        <v>-</v>
      </c>
      <c r="AU135" s="16" t="str">
        <f t="shared" si="93"/>
        <v>-</v>
      </c>
      <c r="AV135" s="16" t="str">
        <f t="shared" si="94"/>
        <v>-</v>
      </c>
      <c r="AW135" s="16" t="str">
        <f t="shared" si="107"/>
        <v>-</v>
      </c>
      <c r="AX135" s="13" t="str">
        <f t="shared" si="108"/>
        <v>-</v>
      </c>
      <c r="AY135" s="10" t="str">
        <f t="shared" si="109"/>
        <v>-</v>
      </c>
      <c r="AZ135" s="9" t="str">
        <f t="shared" si="110"/>
        <v>-</v>
      </c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</row>
    <row r="136" spans="2:68" x14ac:dyDescent="0.3">
      <c r="B136" s="108" t="str">
        <f t="shared" si="95"/>
        <v/>
      </c>
      <c r="C136" s="108" t="str">
        <f t="shared" si="81"/>
        <v/>
      </c>
      <c r="D136" s="3"/>
      <c r="E136" s="3"/>
      <c r="F136" s="3"/>
      <c r="G136" s="20">
        <f>IFERROR(INDEX('Input - Convenience'!F$2:F$200,MATCH('Calculations - Convenience'!$C136,'Input - Convenience'!$B$2:$B$200,0)),"")</f>
        <v>0</v>
      </c>
      <c r="H136" s="20">
        <f>IFERROR(INDEX('Input - Convenience'!G$2:G$200,MATCH('Calculations - Convenience'!$C136,'Input - Convenience'!$B$2:$B$200,0)),"")</f>
        <v>0</v>
      </c>
      <c r="I136" s="21">
        <f>IFERROR(INDEX('Input - Convenience'!H$2:H$200,MATCH('Calculations - Convenience'!$C136,'Input - Convenience'!$B$2:$B$200,0)),"")</f>
        <v>0</v>
      </c>
      <c r="J136" s="21">
        <f>IFERROR(INDEX('Input - Convenience'!I$2:I$200,MATCH('Calculations - Convenience'!$C136,'Input - Convenience'!$B$2:$B$200,0)),"")</f>
        <v>0</v>
      </c>
      <c r="K136" s="20">
        <f>IFERROR(INDEX('Input - Convenience'!J$2:J$200,MATCH('Calculations - Convenience'!$C136,'Input - Convenience'!$B$2:$B$200,0)),"")</f>
        <v>0</v>
      </c>
      <c r="L136" s="20">
        <f>IFERROR(INDEX('Input - Convenience'!K$2:K$200,MATCH('Calculations - Convenience'!$C136,'Input - Convenience'!$B$2:$B$200,0)),"")</f>
        <v>0</v>
      </c>
      <c r="M136" s="21" t="str">
        <f t="shared" si="96"/>
        <v/>
      </c>
      <c r="N136" s="21" t="str">
        <f t="shared" si="82"/>
        <v/>
      </c>
      <c r="O136" s="21">
        <f t="shared" si="97"/>
        <v>0</v>
      </c>
      <c r="P136" s="9">
        <f t="shared" si="111"/>
        <v>0</v>
      </c>
      <c r="Q136" s="9">
        <f t="shared" si="112"/>
        <v>0</v>
      </c>
      <c r="R136" s="22" t="str">
        <f>IFERROR(INDEX(Convenience!$N$11:$N$148,MATCH('Calculations - Convenience'!$C136,Convenience!$J$11:$J$148,0)),"")</f>
        <v/>
      </c>
      <c r="S136" s="22" t="str">
        <f>IFERROR(INDEX(Convenience!$O$11:$O$148,MATCH('Calculations - Convenience'!$C136,Convenience!$J$11:$J$148,0)),"")</f>
        <v/>
      </c>
      <c r="T136" s="16" t="e">
        <f t="shared" si="83"/>
        <v>#VALUE!</v>
      </c>
      <c r="U136" s="16" t="e">
        <f t="shared" si="98"/>
        <v>#VALUE!</v>
      </c>
      <c r="V136" s="16" t="e">
        <f t="shared" si="99"/>
        <v>#VALUE!</v>
      </c>
      <c r="W136" s="10" t="str">
        <f t="shared" si="84"/>
        <v>-</v>
      </c>
      <c r="X136" s="10" t="str">
        <f t="shared" si="85"/>
        <v>-</v>
      </c>
      <c r="Y136" s="13" t="str">
        <f t="shared" si="100"/>
        <v>-</v>
      </c>
      <c r="Z136" s="9" t="str">
        <f t="shared" si="86"/>
        <v>-</v>
      </c>
      <c r="AA136" s="16" t="str">
        <f t="shared" si="101"/>
        <v>-</v>
      </c>
      <c r="AB136" s="16" t="str">
        <f t="shared" si="87"/>
        <v>-</v>
      </c>
      <c r="AC136" s="16" t="str">
        <f t="shared" si="88"/>
        <v>-</v>
      </c>
      <c r="AD136" s="16" t="str">
        <f t="shared" si="102"/>
        <v>-</v>
      </c>
      <c r="AE136" s="16"/>
      <c r="AF136" s="31" t="str">
        <f>IFERROR(INDEX(Convenience!$M$11:$M$148,MATCH('Calculations - Convenience'!C136,Convenience!$J$11:$J$148,0)),"")</f>
        <v/>
      </c>
      <c r="AG136" s="23" t="str">
        <f t="shared" si="103"/>
        <v/>
      </c>
      <c r="AH136" s="23" t="str">
        <f t="shared" si="103"/>
        <v/>
      </c>
      <c r="AI136" s="9" t="str">
        <f t="shared" si="89"/>
        <v/>
      </c>
      <c r="AJ136" s="4" t="str">
        <f t="shared" si="90"/>
        <v/>
      </c>
      <c r="AK136" s="4"/>
      <c r="AL136" s="4"/>
      <c r="AM136" s="4"/>
      <c r="AN136" s="4"/>
      <c r="AO136" s="4"/>
      <c r="AP136" s="20" t="str">
        <f t="shared" si="91"/>
        <v>-</v>
      </c>
      <c r="AQ136" s="13" t="str">
        <f t="shared" si="104"/>
        <v>-</v>
      </c>
      <c r="AR136" s="13" t="str">
        <f t="shared" si="105"/>
        <v>-</v>
      </c>
      <c r="AS136" s="13" t="str">
        <f t="shared" si="92"/>
        <v>-</v>
      </c>
      <c r="AT136" s="16" t="str">
        <f t="shared" si="106"/>
        <v>-</v>
      </c>
      <c r="AU136" s="16" t="str">
        <f t="shared" si="93"/>
        <v>-</v>
      </c>
      <c r="AV136" s="16" t="str">
        <f t="shared" si="94"/>
        <v>-</v>
      </c>
      <c r="AW136" s="16" t="str">
        <f t="shared" si="107"/>
        <v>-</v>
      </c>
      <c r="AX136" s="13" t="str">
        <f t="shared" si="108"/>
        <v>-</v>
      </c>
      <c r="AY136" s="10" t="str">
        <f t="shared" si="109"/>
        <v>-</v>
      </c>
      <c r="AZ136" s="9" t="str">
        <f t="shared" si="110"/>
        <v>-</v>
      </c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</row>
    <row r="137" spans="2:68" x14ac:dyDescent="0.3">
      <c r="B137" s="108" t="str">
        <f t="shared" si="95"/>
        <v/>
      </c>
      <c r="C137" s="108" t="str">
        <f t="shared" si="81"/>
        <v/>
      </c>
      <c r="D137" s="3"/>
      <c r="E137" s="3"/>
      <c r="F137" s="3"/>
      <c r="G137" s="20">
        <f>IFERROR(INDEX('Input - Convenience'!F$2:F$200,MATCH('Calculations - Convenience'!$C137,'Input - Convenience'!$B$2:$B$200,0)),"")</f>
        <v>0</v>
      </c>
      <c r="H137" s="20">
        <f>IFERROR(INDEX('Input - Convenience'!G$2:G$200,MATCH('Calculations - Convenience'!$C137,'Input - Convenience'!$B$2:$B$200,0)),"")</f>
        <v>0</v>
      </c>
      <c r="I137" s="21">
        <f>IFERROR(INDEX('Input - Convenience'!H$2:H$200,MATCH('Calculations - Convenience'!$C137,'Input - Convenience'!$B$2:$B$200,0)),"")</f>
        <v>0</v>
      </c>
      <c r="J137" s="21">
        <f>IFERROR(INDEX('Input - Convenience'!I$2:I$200,MATCH('Calculations - Convenience'!$C137,'Input - Convenience'!$B$2:$B$200,0)),"")</f>
        <v>0</v>
      </c>
      <c r="K137" s="20">
        <f>IFERROR(INDEX('Input - Convenience'!J$2:J$200,MATCH('Calculations - Convenience'!$C137,'Input - Convenience'!$B$2:$B$200,0)),"")</f>
        <v>0</v>
      </c>
      <c r="L137" s="20">
        <f>IFERROR(INDEX('Input - Convenience'!K$2:K$200,MATCH('Calculations - Convenience'!$C137,'Input - Convenience'!$B$2:$B$200,0)),"")</f>
        <v>0</v>
      </c>
      <c r="M137" s="21" t="str">
        <f t="shared" si="96"/>
        <v/>
      </c>
      <c r="N137" s="21" t="str">
        <f t="shared" si="82"/>
        <v/>
      </c>
      <c r="O137" s="21">
        <f t="shared" si="97"/>
        <v>0</v>
      </c>
      <c r="P137" s="9">
        <f t="shared" si="111"/>
        <v>0</v>
      </c>
      <c r="Q137" s="9">
        <f t="shared" si="112"/>
        <v>0</v>
      </c>
      <c r="R137" s="22" t="str">
        <f>IFERROR(INDEX(Convenience!$N$11:$N$148,MATCH('Calculations - Convenience'!$C137,Convenience!$J$11:$J$148,0)),"")</f>
        <v/>
      </c>
      <c r="S137" s="22" t="str">
        <f>IFERROR(INDEX(Convenience!$O$11:$O$148,MATCH('Calculations - Convenience'!$C137,Convenience!$J$11:$J$148,0)),"")</f>
        <v/>
      </c>
      <c r="T137" s="16" t="e">
        <f t="shared" si="83"/>
        <v>#VALUE!</v>
      </c>
      <c r="U137" s="16" t="e">
        <f t="shared" si="98"/>
        <v>#VALUE!</v>
      </c>
      <c r="V137" s="16" t="e">
        <f t="shared" si="99"/>
        <v>#VALUE!</v>
      </c>
      <c r="W137" s="10" t="str">
        <f t="shared" si="84"/>
        <v>-</v>
      </c>
      <c r="X137" s="10" t="str">
        <f t="shared" si="85"/>
        <v>-</v>
      </c>
      <c r="Y137" s="13" t="str">
        <f t="shared" si="100"/>
        <v>-</v>
      </c>
      <c r="Z137" s="9" t="str">
        <f t="shared" si="86"/>
        <v>-</v>
      </c>
      <c r="AA137" s="16" t="str">
        <f t="shared" si="101"/>
        <v>-</v>
      </c>
      <c r="AB137" s="16" t="str">
        <f t="shared" si="87"/>
        <v>-</v>
      </c>
      <c r="AC137" s="16" t="str">
        <f t="shared" si="88"/>
        <v>-</v>
      </c>
      <c r="AD137" s="16" t="str">
        <f t="shared" si="102"/>
        <v>-</v>
      </c>
      <c r="AE137" s="16"/>
      <c r="AF137" s="31" t="str">
        <f>IFERROR(INDEX(Convenience!$M$11:$M$148,MATCH('Calculations - Convenience'!C137,Convenience!$J$11:$J$148,0)),"")</f>
        <v/>
      </c>
      <c r="AG137" s="23" t="str">
        <f t="shared" si="103"/>
        <v/>
      </c>
      <c r="AH137" s="23" t="str">
        <f t="shared" si="103"/>
        <v/>
      </c>
      <c r="AI137" s="9" t="str">
        <f t="shared" si="89"/>
        <v/>
      </c>
      <c r="AJ137" s="4" t="str">
        <f t="shared" si="90"/>
        <v/>
      </c>
      <c r="AK137" s="4"/>
      <c r="AL137" s="4"/>
      <c r="AM137" s="4"/>
      <c r="AN137" s="4"/>
      <c r="AO137" s="4"/>
      <c r="AP137" s="20" t="str">
        <f t="shared" si="91"/>
        <v>-</v>
      </c>
      <c r="AQ137" s="13" t="str">
        <f t="shared" si="104"/>
        <v>-</v>
      </c>
      <c r="AR137" s="13" t="str">
        <f t="shared" si="105"/>
        <v>-</v>
      </c>
      <c r="AS137" s="13" t="str">
        <f t="shared" si="92"/>
        <v>-</v>
      </c>
      <c r="AT137" s="16" t="str">
        <f t="shared" si="106"/>
        <v>-</v>
      </c>
      <c r="AU137" s="16" t="str">
        <f t="shared" si="93"/>
        <v>-</v>
      </c>
      <c r="AV137" s="16" t="str">
        <f t="shared" si="94"/>
        <v>-</v>
      </c>
      <c r="AW137" s="16" t="str">
        <f t="shared" si="107"/>
        <v>-</v>
      </c>
      <c r="AX137" s="13" t="str">
        <f t="shared" si="108"/>
        <v>-</v>
      </c>
      <c r="AY137" s="10" t="str">
        <f t="shared" si="109"/>
        <v>-</v>
      </c>
      <c r="AZ137" s="9" t="str">
        <f t="shared" si="110"/>
        <v>-</v>
      </c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</row>
    <row r="138" spans="2:68" x14ac:dyDescent="0.3">
      <c r="B138" s="108" t="str">
        <f t="shared" si="95"/>
        <v/>
      </c>
      <c r="C138" s="108" t="str">
        <f t="shared" si="81"/>
        <v/>
      </c>
      <c r="D138" s="3"/>
      <c r="E138" s="3"/>
      <c r="F138" s="3"/>
      <c r="G138" s="20">
        <f>IFERROR(INDEX('Input - Convenience'!F$2:F$200,MATCH('Calculations - Convenience'!$C138,'Input - Convenience'!$B$2:$B$200,0)),"")</f>
        <v>0</v>
      </c>
      <c r="H138" s="20">
        <f>IFERROR(INDEX('Input - Convenience'!G$2:G$200,MATCH('Calculations - Convenience'!$C138,'Input - Convenience'!$B$2:$B$200,0)),"")</f>
        <v>0</v>
      </c>
      <c r="I138" s="21">
        <f>IFERROR(INDEX('Input - Convenience'!H$2:H$200,MATCH('Calculations - Convenience'!$C138,'Input - Convenience'!$B$2:$B$200,0)),"")</f>
        <v>0</v>
      </c>
      <c r="J138" s="21">
        <f>IFERROR(INDEX('Input - Convenience'!I$2:I$200,MATCH('Calculations - Convenience'!$C138,'Input - Convenience'!$B$2:$B$200,0)),"")</f>
        <v>0</v>
      </c>
      <c r="K138" s="20">
        <f>IFERROR(INDEX('Input - Convenience'!J$2:J$200,MATCH('Calculations - Convenience'!$C138,'Input - Convenience'!$B$2:$B$200,0)),"")</f>
        <v>0</v>
      </c>
      <c r="L138" s="20">
        <f>IFERROR(INDEX('Input - Convenience'!K$2:K$200,MATCH('Calculations - Convenience'!$C138,'Input - Convenience'!$B$2:$B$200,0)),"")</f>
        <v>0</v>
      </c>
      <c r="M138" s="21" t="str">
        <f t="shared" si="96"/>
        <v/>
      </c>
      <c r="N138" s="21" t="str">
        <f t="shared" si="82"/>
        <v/>
      </c>
      <c r="O138" s="21">
        <f t="shared" si="97"/>
        <v>0</v>
      </c>
      <c r="P138" s="9">
        <f t="shared" si="111"/>
        <v>0</v>
      </c>
      <c r="Q138" s="9">
        <f t="shared" si="112"/>
        <v>0</v>
      </c>
      <c r="R138" s="22" t="str">
        <f>IFERROR(INDEX(Convenience!$N$11:$N$148,MATCH('Calculations - Convenience'!$C138,Convenience!$J$11:$J$148,0)),"")</f>
        <v/>
      </c>
      <c r="S138" s="22" t="str">
        <f>IFERROR(INDEX(Convenience!$O$11:$O$148,MATCH('Calculations - Convenience'!$C138,Convenience!$J$11:$J$148,0)),"")</f>
        <v/>
      </c>
      <c r="T138" s="16" t="e">
        <f t="shared" si="83"/>
        <v>#VALUE!</v>
      </c>
      <c r="U138" s="16" t="e">
        <f t="shared" si="98"/>
        <v>#VALUE!</v>
      </c>
      <c r="V138" s="16" t="e">
        <f t="shared" si="99"/>
        <v>#VALUE!</v>
      </c>
      <c r="W138" s="10" t="str">
        <f t="shared" si="84"/>
        <v>-</v>
      </c>
      <c r="X138" s="10" t="str">
        <f t="shared" si="85"/>
        <v>-</v>
      </c>
      <c r="Y138" s="13" t="str">
        <f t="shared" si="100"/>
        <v>-</v>
      </c>
      <c r="Z138" s="9" t="str">
        <f t="shared" si="86"/>
        <v>-</v>
      </c>
      <c r="AA138" s="16" t="str">
        <f t="shared" si="101"/>
        <v>-</v>
      </c>
      <c r="AB138" s="16" t="str">
        <f t="shared" si="87"/>
        <v>-</v>
      </c>
      <c r="AC138" s="16" t="str">
        <f t="shared" si="88"/>
        <v>-</v>
      </c>
      <c r="AD138" s="16" t="str">
        <f t="shared" si="102"/>
        <v>-</v>
      </c>
      <c r="AE138" s="16"/>
      <c r="AF138" s="31" t="str">
        <f>IFERROR(INDEX(Convenience!$M$11:$M$148,MATCH('Calculations - Convenience'!C138,Convenience!$J$11:$J$148,0)),"")</f>
        <v/>
      </c>
      <c r="AG138" s="23" t="str">
        <f t="shared" si="103"/>
        <v/>
      </c>
      <c r="AH138" s="23" t="str">
        <f t="shared" si="103"/>
        <v/>
      </c>
      <c r="AI138" s="9" t="str">
        <f t="shared" si="89"/>
        <v/>
      </c>
      <c r="AJ138" s="4" t="str">
        <f t="shared" si="90"/>
        <v/>
      </c>
      <c r="AK138" s="4"/>
      <c r="AL138" s="4"/>
      <c r="AM138" s="4"/>
      <c r="AN138" s="4"/>
      <c r="AO138" s="4"/>
      <c r="AP138" s="20" t="str">
        <f t="shared" si="91"/>
        <v>-</v>
      </c>
      <c r="AQ138" s="13" t="str">
        <f t="shared" si="104"/>
        <v>-</v>
      </c>
      <c r="AR138" s="13" t="str">
        <f t="shared" si="105"/>
        <v>-</v>
      </c>
      <c r="AS138" s="13" t="str">
        <f t="shared" si="92"/>
        <v>-</v>
      </c>
      <c r="AT138" s="16" t="str">
        <f t="shared" si="106"/>
        <v>-</v>
      </c>
      <c r="AU138" s="16" t="str">
        <f t="shared" si="93"/>
        <v>-</v>
      </c>
      <c r="AV138" s="16" t="str">
        <f t="shared" si="94"/>
        <v>-</v>
      </c>
      <c r="AW138" s="16" t="str">
        <f t="shared" si="107"/>
        <v>-</v>
      </c>
      <c r="AX138" s="13" t="str">
        <f t="shared" si="108"/>
        <v>-</v>
      </c>
      <c r="AY138" s="10" t="str">
        <f t="shared" si="109"/>
        <v>-</v>
      </c>
      <c r="AZ138" s="9" t="str">
        <f t="shared" si="110"/>
        <v>-</v>
      </c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</row>
    <row r="139" spans="2:68" x14ac:dyDescent="0.3">
      <c r="B139" s="108" t="str">
        <f t="shared" si="95"/>
        <v/>
      </c>
      <c r="C139" s="108" t="str">
        <f t="shared" si="81"/>
        <v/>
      </c>
      <c r="D139" s="3"/>
      <c r="E139" s="3"/>
      <c r="F139" s="3"/>
      <c r="G139" s="20">
        <f>IFERROR(INDEX('Input - Convenience'!F$2:F$200,MATCH('Calculations - Convenience'!$C139,'Input - Convenience'!$B$2:$B$200,0)),"")</f>
        <v>0</v>
      </c>
      <c r="H139" s="20">
        <f>IFERROR(INDEX('Input - Convenience'!G$2:G$200,MATCH('Calculations - Convenience'!$C139,'Input - Convenience'!$B$2:$B$200,0)),"")</f>
        <v>0</v>
      </c>
      <c r="I139" s="21">
        <f>IFERROR(INDEX('Input - Convenience'!H$2:H$200,MATCH('Calculations - Convenience'!$C139,'Input - Convenience'!$B$2:$B$200,0)),"")</f>
        <v>0</v>
      </c>
      <c r="J139" s="21">
        <f>IFERROR(INDEX('Input - Convenience'!I$2:I$200,MATCH('Calculations - Convenience'!$C139,'Input - Convenience'!$B$2:$B$200,0)),"")</f>
        <v>0</v>
      </c>
      <c r="K139" s="20">
        <f>IFERROR(INDEX('Input - Convenience'!J$2:J$200,MATCH('Calculations - Convenience'!$C139,'Input - Convenience'!$B$2:$B$200,0)),"")</f>
        <v>0</v>
      </c>
      <c r="L139" s="20">
        <f>IFERROR(INDEX('Input - Convenience'!K$2:K$200,MATCH('Calculations - Convenience'!$C139,'Input - Convenience'!$B$2:$B$200,0)),"")</f>
        <v>0</v>
      </c>
      <c r="M139" s="21" t="str">
        <f t="shared" si="96"/>
        <v/>
      </c>
      <c r="N139" s="21" t="str">
        <f t="shared" si="82"/>
        <v/>
      </c>
      <c r="O139" s="21">
        <f t="shared" si="97"/>
        <v>0</v>
      </c>
      <c r="P139" s="9">
        <f t="shared" si="111"/>
        <v>0</v>
      </c>
      <c r="Q139" s="9">
        <f t="shared" si="112"/>
        <v>0</v>
      </c>
      <c r="R139" s="22" t="str">
        <f>IFERROR(INDEX(Convenience!$N$11:$N$148,MATCH('Calculations - Convenience'!$C139,Convenience!$J$11:$J$148,0)),"")</f>
        <v/>
      </c>
      <c r="S139" s="22" t="str">
        <f>IFERROR(INDEX(Convenience!$O$11:$O$148,MATCH('Calculations - Convenience'!$C139,Convenience!$J$11:$J$148,0)),"")</f>
        <v/>
      </c>
      <c r="T139" s="16" t="e">
        <f t="shared" si="83"/>
        <v>#VALUE!</v>
      </c>
      <c r="U139" s="16" t="e">
        <f t="shared" si="98"/>
        <v>#VALUE!</v>
      </c>
      <c r="V139" s="16" t="e">
        <f t="shared" si="99"/>
        <v>#VALUE!</v>
      </c>
      <c r="W139" s="10" t="str">
        <f t="shared" si="84"/>
        <v>-</v>
      </c>
      <c r="X139" s="10" t="str">
        <f t="shared" si="85"/>
        <v>-</v>
      </c>
      <c r="Y139" s="13" t="str">
        <f t="shared" si="100"/>
        <v>-</v>
      </c>
      <c r="Z139" s="9" t="str">
        <f t="shared" si="86"/>
        <v>-</v>
      </c>
      <c r="AA139" s="16" t="str">
        <f t="shared" si="101"/>
        <v>-</v>
      </c>
      <c r="AB139" s="16" t="str">
        <f t="shared" si="87"/>
        <v>-</v>
      </c>
      <c r="AC139" s="16" t="str">
        <f t="shared" si="88"/>
        <v>-</v>
      </c>
      <c r="AD139" s="16" t="str">
        <f t="shared" si="102"/>
        <v>-</v>
      </c>
      <c r="AE139" s="16"/>
      <c r="AF139" s="31" t="str">
        <f>IFERROR(INDEX(Convenience!$M$11:$M$148,MATCH('Calculations - Convenience'!C139,Convenience!$J$11:$J$148,0)),"")</f>
        <v/>
      </c>
      <c r="AG139" s="23" t="str">
        <f t="shared" si="103"/>
        <v/>
      </c>
      <c r="AH139" s="23" t="str">
        <f t="shared" si="103"/>
        <v/>
      </c>
      <c r="AI139" s="9" t="str">
        <f t="shared" si="89"/>
        <v/>
      </c>
      <c r="AJ139" s="4" t="str">
        <f t="shared" si="90"/>
        <v/>
      </c>
      <c r="AK139" s="4"/>
      <c r="AL139" s="4"/>
      <c r="AM139" s="4"/>
      <c r="AN139" s="4"/>
      <c r="AO139" s="4"/>
      <c r="AP139" s="20" t="str">
        <f t="shared" si="91"/>
        <v>-</v>
      </c>
      <c r="AQ139" s="13" t="str">
        <f t="shared" si="104"/>
        <v>-</v>
      </c>
      <c r="AR139" s="13" t="str">
        <f t="shared" si="105"/>
        <v>-</v>
      </c>
      <c r="AS139" s="13" t="str">
        <f t="shared" si="92"/>
        <v>-</v>
      </c>
      <c r="AT139" s="16" t="str">
        <f t="shared" si="106"/>
        <v>-</v>
      </c>
      <c r="AU139" s="16" t="str">
        <f t="shared" si="93"/>
        <v>-</v>
      </c>
      <c r="AV139" s="16" t="str">
        <f t="shared" si="94"/>
        <v>-</v>
      </c>
      <c r="AW139" s="16" t="str">
        <f t="shared" si="107"/>
        <v>-</v>
      </c>
      <c r="AX139" s="13" t="str">
        <f t="shared" si="108"/>
        <v>-</v>
      </c>
      <c r="AY139" s="10" t="str">
        <f t="shared" si="109"/>
        <v>-</v>
      </c>
      <c r="AZ139" s="9" t="str">
        <f t="shared" si="110"/>
        <v>-</v>
      </c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</row>
    <row r="140" spans="2:68" x14ac:dyDescent="0.3">
      <c r="B140" s="108" t="str">
        <f t="shared" si="95"/>
        <v/>
      </c>
      <c r="C140" s="108" t="str">
        <f t="shared" si="81"/>
        <v/>
      </c>
      <c r="D140" s="3"/>
      <c r="E140" s="3"/>
      <c r="F140" s="3"/>
      <c r="G140" s="20">
        <f>IFERROR(INDEX('Input - Convenience'!F$2:F$200,MATCH('Calculations - Convenience'!$C140,'Input - Convenience'!$B$2:$B$200,0)),"")</f>
        <v>0</v>
      </c>
      <c r="H140" s="20">
        <f>IFERROR(INDEX('Input - Convenience'!G$2:G$200,MATCH('Calculations - Convenience'!$C140,'Input - Convenience'!$B$2:$B$200,0)),"")</f>
        <v>0</v>
      </c>
      <c r="I140" s="21">
        <f>IFERROR(INDEX('Input - Convenience'!H$2:H$200,MATCH('Calculations - Convenience'!$C140,'Input - Convenience'!$B$2:$B$200,0)),"")</f>
        <v>0</v>
      </c>
      <c r="J140" s="21">
        <f>IFERROR(INDEX('Input - Convenience'!I$2:I$200,MATCH('Calculations - Convenience'!$C140,'Input - Convenience'!$B$2:$B$200,0)),"")</f>
        <v>0</v>
      </c>
      <c r="K140" s="20">
        <f>IFERROR(INDEX('Input - Convenience'!J$2:J$200,MATCH('Calculations - Convenience'!$C140,'Input - Convenience'!$B$2:$B$200,0)),"")</f>
        <v>0</v>
      </c>
      <c r="L140" s="20">
        <f>IFERROR(INDEX('Input - Convenience'!K$2:K$200,MATCH('Calculations - Convenience'!$C140,'Input - Convenience'!$B$2:$B$200,0)),"")</f>
        <v>0</v>
      </c>
      <c r="M140" s="21" t="str">
        <f t="shared" si="96"/>
        <v/>
      </c>
      <c r="N140" s="21" t="str">
        <f t="shared" si="82"/>
        <v/>
      </c>
      <c r="O140" s="21">
        <f t="shared" si="97"/>
        <v>0</v>
      </c>
      <c r="P140" s="9">
        <f t="shared" si="111"/>
        <v>0</v>
      </c>
      <c r="Q140" s="9">
        <f t="shared" si="112"/>
        <v>0</v>
      </c>
      <c r="R140" s="22" t="str">
        <f>IFERROR(INDEX(Convenience!$N$11:$N$148,MATCH('Calculations - Convenience'!$C140,Convenience!$J$11:$J$148,0)),"")</f>
        <v/>
      </c>
      <c r="S140" s="22" t="str">
        <f>IFERROR(INDEX(Convenience!$O$11:$O$148,MATCH('Calculations - Convenience'!$C140,Convenience!$J$11:$J$148,0)),"")</f>
        <v/>
      </c>
      <c r="T140" s="16" t="e">
        <f t="shared" si="83"/>
        <v>#VALUE!</v>
      </c>
      <c r="U140" s="16" t="e">
        <f t="shared" si="98"/>
        <v>#VALUE!</v>
      </c>
      <c r="V140" s="16" t="e">
        <f t="shared" si="99"/>
        <v>#VALUE!</v>
      </c>
      <c r="W140" s="10" t="str">
        <f t="shared" si="84"/>
        <v>-</v>
      </c>
      <c r="X140" s="10" t="str">
        <f t="shared" si="85"/>
        <v>-</v>
      </c>
      <c r="Y140" s="13" t="str">
        <f t="shared" si="100"/>
        <v>-</v>
      </c>
      <c r="Z140" s="9" t="str">
        <f t="shared" si="86"/>
        <v>-</v>
      </c>
      <c r="AA140" s="16" t="str">
        <f t="shared" si="101"/>
        <v>-</v>
      </c>
      <c r="AB140" s="16" t="str">
        <f t="shared" si="87"/>
        <v>-</v>
      </c>
      <c r="AC140" s="16" t="str">
        <f t="shared" si="88"/>
        <v>-</v>
      </c>
      <c r="AD140" s="16" t="str">
        <f t="shared" si="102"/>
        <v>-</v>
      </c>
      <c r="AE140" s="16"/>
      <c r="AF140" s="31" t="str">
        <f>IFERROR(INDEX(Convenience!$M$11:$M$148,MATCH('Calculations - Convenience'!C140,Convenience!$J$11:$J$148,0)),"")</f>
        <v/>
      </c>
      <c r="AG140" s="23" t="str">
        <f t="shared" si="103"/>
        <v/>
      </c>
      <c r="AH140" s="23" t="str">
        <f t="shared" si="103"/>
        <v/>
      </c>
      <c r="AI140" s="9" t="str">
        <f t="shared" si="89"/>
        <v/>
      </c>
      <c r="AJ140" s="4" t="str">
        <f t="shared" si="90"/>
        <v/>
      </c>
      <c r="AK140" s="4"/>
      <c r="AL140" s="4"/>
      <c r="AM140" s="4"/>
      <c r="AN140" s="4"/>
      <c r="AO140" s="4"/>
      <c r="AP140" s="20" t="str">
        <f t="shared" si="91"/>
        <v>-</v>
      </c>
      <c r="AQ140" s="13" t="str">
        <f t="shared" si="104"/>
        <v>-</v>
      </c>
      <c r="AR140" s="13" t="str">
        <f t="shared" si="105"/>
        <v>-</v>
      </c>
      <c r="AS140" s="13" t="str">
        <f t="shared" si="92"/>
        <v>-</v>
      </c>
      <c r="AT140" s="16" t="str">
        <f t="shared" si="106"/>
        <v>-</v>
      </c>
      <c r="AU140" s="16" t="str">
        <f t="shared" si="93"/>
        <v>-</v>
      </c>
      <c r="AV140" s="16" t="str">
        <f t="shared" si="94"/>
        <v>-</v>
      </c>
      <c r="AW140" s="16" t="str">
        <f t="shared" si="107"/>
        <v>-</v>
      </c>
      <c r="AX140" s="13" t="str">
        <f t="shared" si="108"/>
        <v>-</v>
      </c>
      <c r="AY140" s="10" t="str">
        <f t="shared" si="109"/>
        <v>-</v>
      </c>
      <c r="AZ140" s="9" t="str">
        <f t="shared" si="110"/>
        <v>-</v>
      </c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</row>
    <row r="141" spans="2:68" x14ac:dyDescent="0.3">
      <c r="B141" s="108" t="str">
        <f t="shared" si="95"/>
        <v/>
      </c>
      <c r="C141" s="108" t="str">
        <f t="shared" si="81"/>
        <v/>
      </c>
      <c r="D141" s="3"/>
      <c r="E141" s="3"/>
      <c r="F141" s="3"/>
      <c r="G141" s="20">
        <f>IFERROR(INDEX('Input - Convenience'!F$2:F$200,MATCH('Calculations - Convenience'!$C141,'Input - Convenience'!$B$2:$B$200,0)),"")</f>
        <v>0</v>
      </c>
      <c r="H141" s="20">
        <f>IFERROR(INDEX('Input - Convenience'!G$2:G$200,MATCH('Calculations - Convenience'!$C141,'Input - Convenience'!$B$2:$B$200,0)),"")</f>
        <v>0</v>
      </c>
      <c r="I141" s="21">
        <f>IFERROR(INDEX('Input - Convenience'!H$2:H$200,MATCH('Calculations - Convenience'!$C141,'Input - Convenience'!$B$2:$B$200,0)),"")</f>
        <v>0</v>
      </c>
      <c r="J141" s="21">
        <f>IFERROR(INDEX('Input - Convenience'!I$2:I$200,MATCH('Calculations - Convenience'!$C141,'Input - Convenience'!$B$2:$B$200,0)),"")</f>
        <v>0</v>
      </c>
      <c r="K141" s="20">
        <f>IFERROR(INDEX('Input - Convenience'!J$2:J$200,MATCH('Calculations - Convenience'!$C141,'Input - Convenience'!$B$2:$B$200,0)),"")</f>
        <v>0</v>
      </c>
      <c r="L141" s="20">
        <f>IFERROR(INDEX('Input - Convenience'!K$2:K$200,MATCH('Calculations - Convenience'!$C141,'Input - Convenience'!$B$2:$B$200,0)),"")</f>
        <v>0</v>
      </c>
      <c r="M141" s="21" t="str">
        <f t="shared" si="96"/>
        <v/>
      </c>
      <c r="N141" s="21" t="str">
        <f t="shared" si="82"/>
        <v/>
      </c>
      <c r="O141" s="21">
        <f t="shared" si="97"/>
        <v>0</v>
      </c>
      <c r="P141" s="9">
        <f t="shared" si="111"/>
        <v>0</v>
      </c>
      <c r="Q141" s="9">
        <f t="shared" si="112"/>
        <v>0</v>
      </c>
      <c r="R141" s="22" t="str">
        <f>IFERROR(INDEX(Convenience!$N$11:$N$148,MATCH('Calculations - Convenience'!$C141,Convenience!$J$11:$J$148,0)),"")</f>
        <v/>
      </c>
      <c r="S141" s="22" t="str">
        <f>IFERROR(INDEX(Convenience!$O$11:$O$148,MATCH('Calculations - Convenience'!$C141,Convenience!$J$11:$J$148,0)),"")</f>
        <v/>
      </c>
      <c r="T141" s="16" t="e">
        <f t="shared" si="83"/>
        <v>#VALUE!</v>
      </c>
      <c r="U141" s="16" t="e">
        <f t="shared" si="98"/>
        <v>#VALUE!</v>
      </c>
      <c r="V141" s="16" t="e">
        <f t="shared" si="99"/>
        <v>#VALUE!</v>
      </c>
      <c r="W141" s="10" t="str">
        <f t="shared" si="84"/>
        <v>-</v>
      </c>
      <c r="X141" s="10" t="str">
        <f t="shared" si="85"/>
        <v>-</v>
      </c>
      <c r="Y141" s="13" t="str">
        <f t="shared" si="100"/>
        <v>-</v>
      </c>
      <c r="Z141" s="9" t="str">
        <f t="shared" si="86"/>
        <v>-</v>
      </c>
      <c r="AA141" s="16" t="str">
        <f t="shared" si="101"/>
        <v>-</v>
      </c>
      <c r="AB141" s="16" t="str">
        <f t="shared" si="87"/>
        <v>-</v>
      </c>
      <c r="AC141" s="16" t="str">
        <f t="shared" si="88"/>
        <v>-</v>
      </c>
      <c r="AD141" s="16" t="str">
        <f t="shared" si="102"/>
        <v>-</v>
      </c>
      <c r="AE141" s="16"/>
      <c r="AF141" s="31" t="str">
        <f>IFERROR(INDEX(Convenience!$M$11:$M$148,MATCH('Calculations - Convenience'!C141,Convenience!$J$11:$J$148,0)),"")</f>
        <v/>
      </c>
      <c r="AG141" s="23" t="str">
        <f t="shared" si="103"/>
        <v/>
      </c>
      <c r="AH141" s="23" t="str">
        <f t="shared" si="103"/>
        <v/>
      </c>
      <c r="AI141" s="9" t="str">
        <f t="shared" si="89"/>
        <v/>
      </c>
      <c r="AJ141" s="4" t="str">
        <f t="shared" si="90"/>
        <v/>
      </c>
      <c r="AK141" s="4"/>
      <c r="AL141" s="4"/>
      <c r="AM141" s="4"/>
      <c r="AN141" s="4"/>
      <c r="AO141" s="4"/>
      <c r="AP141" s="20" t="str">
        <f t="shared" si="91"/>
        <v>-</v>
      </c>
      <c r="AQ141" s="13" t="str">
        <f t="shared" si="104"/>
        <v>-</v>
      </c>
      <c r="AR141" s="13" t="str">
        <f t="shared" si="105"/>
        <v>-</v>
      </c>
      <c r="AS141" s="13" t="str">
        <f t="shared" si="92"/>
        <v>-</v>
      </c>
      <c r="AT141" s="16" t="str">
        <f t="shared" si="106"/>
        <v>-</v>
      </c>
      <c r="AU141" s="16" t="str">
        <f t="shared" si="93"/>
        <v>-</v>
      </c>
      <c r="AV141" s="16" t="str">
        <f t="shared" si="94"/>
        <v>-</v>
      </c>
      <c r="AW141" s="16" t="str">
        <f t="shared" si="107"/>
        <v>-</v>
      </c>
      <c r="AX141" s="13" t="str">
        <f t="shared" si="108"/>
        <v>-</v>
      </c>
      <c r="AY141" s="10" t="str">
        <f t="shared" si="109"/>
        <v>-</v>
      </c>
      <c r="AZ141" s="9" t="str">
        <f t="shared" si="110"/>
        <v>-</v>
      </c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</row>
    <row r="142" spans="2:68" x14ac:dyDescent="0.3">
      <c r="B142" s="108" t="str">
        <f t="shared" si="95"/>
        <v/>
      </c>
      <c r="C142" s="108" t="str">
        <f t="shared" si="81"/>
        <v/>
      </c>
      <c r="D142" s="3"/>
      <c r="E142" s="3"/>
      <c r="F142" s="3"/>
      <c r="G142" s="20">
        <f>IFERROR(INDEX('Input - Convenience'!F$2:F$200,MATCH('Calculations - Convenience'!$C142,'Input - Convenience'!$B$2:$B$200,0)),"")</f>
        <v>0</v>
      </c>
      <c r="H142" s="20">
        <f>IFERROR(INDEX('Input - Convenience'!G$2:G$200,MATCH('Calculations - Convenience'!$C142,'Input - Convenience'!$B$2:$B$200,0)),"")</f>
        <v>0</v>
      </c>
      <c r="I142" s="21">
        <f>IFERROR(INDEX('Input - Convenience'!H$2:H$200,MATCH('Calculations - Convenience'!$C142,'Input - Convenience'!$B$2:$B$200,0)),"")</f>
        <v>0</v>
      </c>
      <c r="J142" s="21">
        <f>IFERROR(INDEX('Input - Convenience'!I$2:I$200,MATCH('Calculations - Convenience'!$C142,'Input - Convenience'!$B$2:$B$200,0)),"")</f>
        <v>0</v>
      </c>
      <c r="K142" s="20">
        <f>IFERROR(INDEX('Input - Convenience'!J$2:J$200,MATCH('Calculations - Convenience'!$C142,'Input - Convenience'!$B$2:$B$200,0)),"")</f>
        <v>0</v>
      </c>
      <c r="L142" s="20">
        <f>IFERROR(INDEX('Input - Convenience'!K$2:K$200,MATCH('Calculations - Convenience'!$C142,'Input - Convenience'!$B$2:$B$200,0)),"")</f>
        <v>0</v>
      </c>
      <c r="M142" s="21" t="str">
        <f t="shared" si="96"/>
        <v/>
      </c>
      <c r="N142" s="21" t="str">
        <f t="shared" si="82"/>
        <v/>
      </c>
      <c r="O142" s="21">
        <f t="shared" si="97"/>
        <v>0</v>
      </c>
      <c r="P142" s="9">
        <f t="shared" si="111"/>
        <v>0</v>
      </c>
      <c r="Q142" s="9">
        <f t="shared" si="112"/>
        <v>0</v>
      </c>
      <c r="R142" s="22" t="str">
        <f>IFERROR(INDEX(Convenience!$N$11:$N$148,MATCH('Calculations - Convenience'!$C142,Convenience!$J$11:$J$148,0)),"")</f>
        <v/>
      </c>
      <c r="S142" s="22" t="str">
        <f>IFERROR(INDEX(Convenience!$O$11:$O$148,MATCH('Calculations - Convenience'!$C142,Convenience!$J$11:$J$148,0)),"")</f>
        <v/>
      </c>
      <c r="T142" s="16" t="e">
        <f t="shared" si="83"/>
        <v>#VALUE!</v>
      </c>
      <c r="U142" s="16" t="e">
        <f t="shared" si="98"/>
        <v>#VALUE!</v>
      </c>
      <c r="V142" s="16" t="e">
        <f t="shared" si="99"/>
        <v>#VALUE!</v>
      </c>
      <c r="W142" s="10" t="str">
        <f t="shared" si="84"/>
        <v>-</v>
      </c>
      <c r="X142" s="10" t="str">
        <f t="shared" si="85"/>
        <v>-</v>
      </c>
      <c r="Y142" s="13" t="str">
        <f t="shared" si="100"/>
        <v>-</v>
      </c>
      <c r="Z142" s="9" t="str">
        <f t="shared" si="86"/>
        <v>-</v>
      </c>
      <c r="AA142" s="16" t="str">
        <f t="shared" si="101"/>
        <v>-</v>
      </c>
      <c r="AB142" s="16" t="str">
        <f t="shared" si="87"/>
        <v>-</v>
      </c>
      <c r="AC142" s="16" t="str">
        <f t="shared" si="88"/>
        <v>-</v>
      </c>
      <c r="AD142" s="16" t="str">
        <f t="shared" si="102"/>
        <v>-</v>
      </c>
      <c r="AE142" s="16"/>
      <c r="AF142" s="31" t="str">
        <f>IFERROR(INDEX(Convenience!$M$11:$M$148,MATCH('Calculations - Convenience'!C142,Convenience!$J$11:$J$148,0)),"")</f>
        <v/>
      </c>
      <c r="AG142" s="23" t="str">
        <f t="shared" si="103"/>
        <v/>
      </c>
      <c r="AH142" s="23" t="str">
        <f t="shared" si="103"/>
        <v/>
      </c>
      <c r="AI142" s="9" t="str">
        <f t="shared" si="89"/>
        <v/>
      </c>
      <c r="AJ142" s="4" t="str">
        <f t="shared" si="90"/>
        <v/>
      </c>
      <c r="AK142" s="4"/>
      <c r="AL142" s="4"/>
      <c r="AM142" s="4"/>
      <c r="AN142" s="4"/>
      <c r="AO142" s="4"/>
      <c r="AP142" s="20" t="str">
        <f t="shared" si="91"/>
        <v>-</v>
      </c>
      <c r="AQ142" s="13" t="str">
        <f t="shared" si="104"/>
        <v>-</v>
      </c>
      <c r="AR142" s="13" t="str">
        <f t="shared" si="105"/>
        <v>-</v>
      </c>
      <c r="AS142" s="13" t="str">
        <f t="shared" si="92"/>
        <v>-</v>
      </c>
      <c r="AT142" s="16" t="str">
        <f t="shared" si="106"/>
        <v>-</v>
      </c>
      <c r="AU142" s="16" t="str">
        <f t="shared" si="93"/>
        <v>-</v>
      </c>
      <c r="AV142" s="16" t="str">
        <f t="shared" si="94"/>
        <v>-</v>
      </c>
      <c r="AW142" s="16" t="str">
        <f t="shared" si="107"/>
        <v>-</v>
      </c>
      <c r="AX142" s="13" t="str">
        <f t="shared" si="108"/>
        <v>-</v>
      </c>
      <c r="AY142" s="10" t="str">
        <f t="shared" si="109"/>
        <v>-</v>
      </c>
      <c r="AZ142" s="9" t="str">
        <f t="shared" si="110"/>
        <v>-</v>
      </c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</row>
    <row r="143" spans="2:68" x14ac:dyDescent="0.3">
      <c r="B143" s="108" t="str">
        <f t="shared" si="95"/>
        <v/>
      </c>
      <c r="C143" s="108" t="str">
        <f t="shared" si="81"/>
        <v/>
      </c>
      <c r="D143" s="3"/>
      <c r="E143" s="3"/>
      <c r="F143" s="3"/>
      <c r="G143" s="20">
        <f>IFERROR(INDEX('Input - Convenience'!F$2:F$200,MATCH('Calculations - Convenience'!$C143,'Input - Convenience'!$B$2:$B$200,0)),"")</f>
        <v>0</v>
      </c>
      <c r="H143" s="20">
        <f>IFERROR(INDEX('Input - Convenience'!G$2:G$200,MATCH('Calculations - Convenience'!$C143,'Input - Convenience'!$B$2:$B$200,0)),"")</f>
        <v>0</v>
      </c>
      <c r="I143" s="21">
        <f>IFERROR(INDEX('Input - Convenience'!H$2:H$200,MATCH('Calculations - Convenience'!$C143,'Input - Convenience'!$B$2:$B$200,0)),"")</f>
        <v>0</v>
      </c>
      <c r="J143" s="21">
        <f>IFERROR(INDEX('Input - Convenience'!I$2:I$200,MATCH('Calculations - Convenience'!$C143,'Input - Convenience'!$B$2:$B$200,0)),"")</f>
        <v>0</v>
      </c>
      <c r="K143" s="20">
        <f>IFERROR(INDEX('Input - Convenience'!J$2:J$200,MATCH('Calculations - Convenience'!$C143,'Input - Convenience'!$B$2:$B$200,0)),"")</f>
        <v>0</v>
      </c>
      <c r="L143" s="20">
        <f>IFERROR(INDEX('Input - Convenience'!K$2:K$200,MATCH('Calculations - Convenience'!$C143,'Input - Convenience'!$B$2:$B$200,0)),"")</f>
        <v>0</v>
      </c>
      <c r="M143" s="21" t="str">
        <f t="shared" si="96"/>
        <v/>
      </c>
      <c r="N143" s="21" t="str">
        <f t="shared" si="82"/>
        <v/>
      </c>
      <c r="O143" s="21">
        <f t="shared" si="97"/>
        <v>0</v>
      </c>
      <c r="P143" s="9">
        <f t="shared" si="111"/>
        <v>0</v>
      </c>
      <c r="Q143" s="9">
        <f t="shared" si="112"/>
        <v>0</v>
      </c>
      <c r="R143" s="22" t="str">
        <f>IFERROR(INDEX(Convenience!$N$11:$N$148,MATCH('Calculations - Convenience'!$C143,Convenience!$J$11:$J$148,0)),"")</f>
        <v/>
      </c>
      <c r="S143" s="22" t="str">
        <f>IFERROR(INDEX(Convenience!$O$11:$O$148,MATCH('Calculations - Convenience'!$C143,Convenience!$J$11:$J$148,0)),"")</f>
        <v/>
      </c>
      <c r="T143" s="16" t="e">
        <f t="shared" si="83"/>
        <v>#VALUE!</v>
      </c>
      <c r="U143" s="16" t="e">
        <f t="shared" si="98"/>
        <v>#VALUE!</v>
      </c>
      <c r="V143" s="16" t="e">
        <f t="shared" si="99"/>
        <v>#VALUE!</v>
      </c>
      <c r="W143" s="10" t="str">
        <f t="shared" si="84"/>
        <v>-</v>
      </c>
      <c r="X143" s="10" t="str">
        <f t="shared" si="85"/>
        <v>-</v>
      </c>
      <c r="Y143" s="13" t="str">
        <f t="shared" si="100"/>
        <v>-</v>
      </c>
      <c r="Z143" s="9" t="str">
        <f t="shared" si="86"/>
        <v>-</v>
      </c>
      <c r="AA143" s="16" t="str">
        <f t="shared" si="101"/>
        <v>-</v>
      </c>
      <c r="AB143" s="16" t="str">
        <f t="shared" si="87"/>
        <v>-</v>
      </c>
      <c r="AC143" s="16" t="str">
        <f t="shared" si="88"/>
        <v>-</v>
      </c>
      <c r="AD143" s="16" t="str">
        <f t="shared" si="102"/>
        <v>-</v>
      </c>
      <c r="AE143" s="16"/>
      <c r="AF143" s="31" t="str">
        <f>IFERROR(INDEX(Convenience!$M$11:$M$148,MATCH('Calculations - Convenience'!C143,Convenience!$J$11:$J$148,0)),"")</f>
        <v/>
      </c>
      <c r="AG143" s="23" t="str">
        <f t="shared" si="103"/>
        <v/>
      </c>
      <c r="AH143" s="23" t="str">
        <f t="shared" si="103"/>
        <v/>
      </c>
      <c r="AI143" s="9" t="str">
        <f t="shared" si="89"/>
        <v/>
      </c>
      <c r="AJ143" s="4" t="str">
        <f t="shared" si="90"/>
        <v/>
      </c>
      <c r="AK143" s="4"/>
      <c r="AL143" s="4"/>
      <c r="AM143" s="4"/>
      <c r="AN143" s="4"/>
      <c r="AO143" s="4"/>
      <c r="AP143" s="20" t="str">
        <f t="shared" si="91"/>
        <v>-</v>
      </c>
      <c r="AQ143" s="13" t="str">
        <f t="shared" si="104"/>
        <v>-</v>
      </c>
      <c r="AR143" s="13" t="str">
        <f t="shared" si="105"/>
        <v>-</v>
      </c>
      <c r="AS143" s="13" t="str">
        <f t="shared" si="92"/>
        <v>-</v>
      </c>
      <c r="AT143" s="16" t="str">
        <f t="shared" si="106"/>
        <v>-</v>
      </c>
      <c r="AU143" s="16" t="str">
        <f t="shared" si="93"/>
        <v>-</v>
      </c>
      <c r="AV143" s="16" t="str">
        <f t="shared" si="94"/>
        <v>-</v>
      </c>
      <c r="AW143" s="16" t="str">
        <f t="shared" si="107"/>
        <v>-</v>
      </c>
      <c r="AX143" s="13" t="str">
        <f t="shared" si="108"/>
        <v>-</v>
      </c>
      <c r="AY143" s="10" t="str">
        <f t="shared" si="109"/>
        <v>-</v>
      </c>
      <c r="AZ143" s="9" t="str">
        <f t="shared" si="110"/>
        <v>-</v>
      </c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</row>
    <row r="144" spans="2:68" x14ac:dyDescent="0.3">
      <c r="B144" s="108" t="str">
        <f t="shared" si="95"/>
        <v/>
      </c>
      <c r="C144" s="108" t="str">
        <f t="shared" si="81"/>
        <v/>
      </c>
      <c r="D144" s="3"/>
      <c r="E144" s="3"/>
      <c r="F144" s="3"/>
      <c r="G144" s="20">
        <f>IFERROR(INDEX('Input - Convenience'!F$2:F$200,MATCH('Calculations - Convenience'!$C144,'Input - Convenience'!$B$2:$B$200,0)),"")</f>
        <v>0</v>
      </c>
      <c r="H144" s="20">
        <f>IFERROR(INDEX('Input - Convenience'!G$2:G$200,MATCH('Calculations - Convenience'!$C144,'Input - Convenience'!$B$2:$B$200,0)),"")</f>
        <v>0</v>
      </c>
      <c r="I144" s="21">
        <f>IFERROR(INDEX('Input - Convenience'!H$2:H$200,MATCH('Calculations - Convenience'!$C144,'Input - Convenience'!$B$2:$B$200,0)),"")</f>
        <v>0</v>
      </c>
      <c r="J144" s="21">
        <f>IFERROR(INDEX('Input - Convenience'!I$2:I$200,MATCH('Calculations - Convenience'!$C144,'Input - Convenience'!$B$2:$B$200,0)),"")</f>
        <v>0</v>
      </c>
      <c r="K144" s="20">
        <f>IFERROR(INDEX('Input - Convenience'!J$2:J$200,MATCH('Calculations - Convenience'!$C144,'Input - Convenience'!$B$2:$B$200,0)),"")</f>
        <v>0</v>
      </c>
      <c r="L144" s="20">
        <f>IFERROR(INDEX('Input - Convenience'!K$2:K$200,MATCH('Calculations - Convenience'!$C144,'Input - Convenience'!$B$2:$B$200,0)),"")</f>
        <v>0</v>
      </c>
      <c r="M144" s="21" t="str">
        <f t="shared" si="96"/>
        <v/>
      </c>
      <c r="N144" s="21" t="str">
        <f t="shared" si="82"/>
        <v/>
      </c>
      <c r="O144" s="21">
        <f t="shared" si="97"/>
        <v>0</v>
      </c>
      <c r="P144" s="9">
        <f t="shared" si="111"/>
        <v>0</v>
      </c>
      <c r="Q144" s="9">
        <f t="shared" si="112"/>
        <v>0</v>
      </c>
      <c r="R144" s="22" t="str">
        <f>IFERROR(INDEX(Convenience!$N$11:$N$148,MATCH('Calculations - Convenience'!$C144,Convenience!$J$11:$J$148,0)),"")</f>
        <v/>
      </c>
      <c r="S144" s="22" t="str">
        <f>IFERROR(INDEX(Convenience!$O$11:$O$148,MATCH('Calculations - Convenience'!$C144,Convenience!$J$11:$J$148,0)),"")</f>
        <v/>
      </c>
      <c r="T144" s="16" t="e">
        <f t="shared" si="83"/>
        <v>#VALUE!</v>
      </c>
      <c r="U144" s="16" t="e">
        <f t="shared" si="98"/>
        <v>#VALUE!</v>
      </c>
      <c r="V144" s="16" t="e">
        <f t="shared" si="99"/>
        <v>#VALUE!</v>
      </c>
      <c r="W144" s="10" t="str">
        <f t="shared" si="84"/>
        <v>-</v>
      </c>
      <c r="X144" s="10" t="str">
        <f t="shared" si="85"/>
        <v>-</v>
      </c>
      <c r="Y144" s="13" t="str">
        <f t="shared" si="100"/>
        <v>-</v>
      </c>
      <c r="Z144" s="9" t="str">
        <f t="shared" si="86"/>
        <v>-</v>
      </c>
      <c r="AA144" s="16" t="str">
        <f t="shared" si="101"/>
        <v>-</v>
      </c>
      <c r="AB144" s="16" t="str">
        <f t="shared" si="87"/>
        <v>-</v>
      </c>
      <c r="AC144" s="16" t="str">
        <f t="shared" si="88"/>
        <v>-</v>
      </c>
      <c r="AD144" s="16" t="str">
        <f t="shared" si="102"/>
        <v>-</v>
      </c>
      <c r="AE144" s="16"/>
      <c r="AF144" s="31" t="str">
        <f>IFERROR(INDEX(Convenience!$M$11:$M$148,MATCH('Calculations - Convenience'!C144,Convenience!$J$11:$J$148,0)),"")</f>
        <v/>
      </c>
      <c r="AG144" s="23" t="str">
        <f t="shared" si="103"/>
        <v/>
      </c>
      <c r="AH144" s="23" t="str">
        <f t="shared" si="103"/>
        <v/>
      </c>
      <c r="AI144" s="9" t="str">
        <f t="shared" si="89"/>
        <v/>
      </c>
      <c r="AJ144" s="4" t="str">
        <f t="shared" si="90"/>
        <v/>
      </c>
      <c r="AK144" s="4"/>
      <c r="AL144" s="4"/>
      <c r="AM144" s="4"/>
      <c r="AN144" s="4"/>
      <c r="AO144" s="4"/>
      <c r="AP144" s="20" t="str">
        <f t="shared" si="91"/>
        <v>-</v>
      </c>
      <c r="AQ144" s="13" t="str">
        <f t="shared" si="104"/>
        <v>-</v>
      </c>
      <c r="AR144" s="13" t="str">
        <f t="shared" si="105"/>
        <v>-</v>
      </c>
      <c r="AS144" s="13" t="str">
        <f t="shared" si="92"/>
        <v>-</v>
      </c>
      <c r="AT144" s="16" t="str">
        <f t="shared" si="106"/>
        <v>-</v>
      </c>
      <c r="AU144" s="16" t="str">
        <f t="shared" si="93"/>
        <v>-</v>
      </c>
      <c r="AV144" s="16" t="str">
        <f t="shared" si="94"/>
        <v>-</v>
      </c>
      <c r="AW144" s="16" t="str">
        <f t="shared" si="107"/>
        <v>-</v>
      </c>
      <c r="AX144" s="13" t="str">
        <f t="shared" si="108"/>
        <v>-</v>
      </c>
      <c r="AY144" s="10" t="str">
        <f t="shared" si="109"/>
        <v>-</v>
      </c>
      <c r="AZ144" s="9" t="str">
        <f t="shared" si="110"/>
        <v>-</v>
      </c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</row>
    <row r="145" spans="2:68" x14ac:dyDescent="0.3">
      <c r="B145" s="108" t="str">
        <f t="shared" si="95"/>
        <v/>
      </c>
      <c r="C145" s="108" t="str">
        <f t="shared" si="81"/>
        <v/>
      </c>
      <c r="D145" s="3"/>
      <c r="E145" s="3"/>
      <c r="F145" s="3"/>
      <c r="G145" s="20">
        <f>IFERROR(INDEX('Input - Convenience'!F$2:F$200,MATCH('Calculations - Convenience'!$C145,'Input - Convenience'!$B$2:$B$200,0)),"")</f>
        <v>0</v>
      </c>
      <c r="H145" s="20">
        <f>IFERROR(INDEX('Input - Convenience'!G$2:G$200,MATCH('Calculations - Convenience'!$C145,'Input - Convenience'!$B$2:$B$200,0)),"")</f>
        <v>0</v>
      </c>
      <c r="I145" s="21">
        <f>IFERROR(INDEX('Input - Convenience'!H$2:H$200,MATCH('Calculations - Convenience'!$C145,'Input - Convenience'!$B$2:$B$200,0)),"")</f>
        <v>0</v>
      </c>
      <c r="J145" s="21">
        <f>IFERROR(INDEX('Input - Convenience'!I$2:I$200,MATCH('Calculations - Convenience'!$C145,'Input - Convenience'!$B$2:$B$200,0)),"")</f>
        <v>0</v>
      </c>
      <c r="K145" s="20">
        <f>IFERROR(INDEX('Input - Convenience'!J$2:J$200,MATCH('Calculations - Convenience'!$C145,'Input - Convenience'!$B$2:$B$200,0)),"")</f>
        <v>0</v>
      </c>
      <c r="L145" s="20">
        <f>IFERROR(INDEX('Input - Convenience'!K$2:K$200,MATCH('Calculations - Convenience'!$C145,'Input - Convenience'!$B$2:$B$200,0)),"")</f>
        <v>0</v>
      </c>
      <c r="M145" s="21" t="str">
        <f t="shared" si="96"/>
        <v/>
      </c>
      <c r="N145" s="21" t="str">
        <f t="shared" si="82"/>
        <v/>
      </c>
      <c r="O145" s="21">
        <f t="shared" si="97"/>
        <v>0</v>
      </c>
      <c r="P145" s="9">
        <f t="shared" si="111"/>
        <v>0</v>
      </c>
      <c r="Q145" s="9">
        <f t="shared" si="112"/>
        <v>0</v>
      </c>
      <c r="R145" s="22" t="str">
        <f>IFERROR(INDEX(Convenience!$N$11:$N$148,MATCH('Calculations - Convenience'!$C145,Convenience!$J$11:$J$148,0)),"")</f>
        <v/>
      </c>
      <c r="S145" s="22" t="str">
        <f>IFERROR(INDEX(Convenience!$O$11:$O$148,MATCH('Calculations - Convenience'!$C145,Convenience!$J$11:$J$148,0)),"")</f>
        <v/>
      </c>
      <c r="T145" s="16" t="e">
        <f t="shared" si="83"/>
        <v>#VALUE!</v>
      </c>
      <c r="U145" s="16" t="e">
        <f t="shared" si="98"/>
        <v>#VALUE!</v>
      </c>
      <c r="V145" s="16" t="e">
        <f t="shared" si="99"/>
        <v>#VALUE!</v>
      </c>
      <c r="W145" s="10" t="str">
        <f t="shared" si="84"/>
        <v>-</v>
      </c>
      <c r="X145" s="10" t="str">
        <f t="shared" si="85"/>
        <v>-</v>
      </c>
      <c r="Y145" s="13" t="str">
        <f t="shared" si="100"/>
        <v>-</v>
      </c>
      <c r="Z145" s="9" t="str">
        <f t="shared" si="86"/>
        <v>-</v>
      </c>
      <c r="AA145" s="16" t="str">
        <f t="shared" si="101"/>
        <v>-</v>
      </c>
      <c r="AB145" s="16" t="str">
        <f t="shared" si="87"/>
        <v>-</v>
      </c>
      <c r="AC145" s="16" t="str">
        <f t="shared" si="88"/>
        <v>-</v>
      </c>
      <c r="AD145" s="16" t="str">
        <f t="shared" si="102"/>
        <v>-</v>
      </c>
      <c r="AE145" s="16"/>
      <c r="AF145" s="31" t="str">
        <f>IFERROR(INDEX(Convenience!$M$11:$M$148,MATCH('Calculations - Convenience'!C145,Convenience!$J$11:$J$148,0)),"")</f>
        <v/>
      </c>
      <c r="AG145" s="23" t="str">
        <f t="shared" si="103"/>
        <v/>
      </c>
      <c r="AH145" s="23" t="str">
        <f t="shared" si="103"/>
        <v/>
      </c>
      <c r="AI145" s="9" t="str">
        <f t="shared" si="89"/>
        <v/>
      </c>
      <c r="AJ145" s="4" t="str">
        <f t="shared" si="90"/>
        <v/>
      </c>
      <c r="AK145" s="4"/>
      <c r="AL145" s="4"/>
      <c r="AM145" s="4"/>
      <c r="AN145" s="4"/>
      <c r="AO145" s="4"/>
      <c r="AP145" s="20" t="str">
        <f t="shared" si="91"/>
        <v>-</v>
      </c>
      <c r="AQ145" s="13" t="str">
        <f t="shared" si="104"/>
        <v>-</v>
      </c>
      <c r="AR145" s="13" t="str">
        <f t="shared" si="105"/>
        <v>-</v>
      </c>
      <c r="AS145" s="13" t="str">
        <f t="shared" si="92"/>
        <v>-</v>
      </c>
      <c r="AT145" s="16" t="str">
        <f t="shared" si="106"/>
        <v>-</v>
      </c>
      <c r="AU145" s="16" t="str">
        <f t="shared" si="93"/>
        <v>-</v>
      </c>
      <c r="AV145" s="16" t="str">
        <f t="shared" si="94"/>
        <v>-</v>
      </c>
      <c r="AW145" s="16" t="str">
        <f t="shared" si="107"/>
        <v>-</v>
      </c>
      <c r="AX145" s="13" t="str">
        <f t="shared" si="108"/>
        <v>-</v>
      </c>
      <c r="AY145" s="10" t="str">
        <f t="shared" si="109"/>
        <v>-</v>
      </c>
      <c r="AZ145" s="9" t="str">
        <f t="shared" si="110"/>
        <v>-</v>
      </c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</row>
    <row r="146" spans="2:68" x14ac:dyDescent="0.3">
      <c r="B146" s="108" t="str">
        <f t="shared" si="95"/>
        <v/>
      </c>
      <c r="C146" s="108" t="str">
        <f t="shared" si="81"/>
        <v/>
      </c>
      <c r="D146" s="3"/>
      <c r="E146" s="3"/>
      <c r="F146" s="3"/>
      <c r="G146" s="20">
        <f>IFERROR(INDEX('Input - Convenience'!F$2:F$200,MATCH('Calculations - Convenience'!$C146,'Input - Convenience'!$B$2:$B$200,0)),"")</f>
        <v>0</v>
      </c>
      <c r="H146" s="20">
        <f>IFERROR(INDEX('Input - Convenience'!G$2:G$200,MATCH('Calculations - Convenience'!$C146,'Input - Convenience'!$B$2:$B$200,0)),"")</f>
        <v>0</v>
      </c>
      <c r="I146" s="21">
        <f>IFERROR(INDEX('Input - Convenience'!H$2:H$200,MATCH('Calculations - Convenience'!$C146,'Input - Convenience'!$B$2:$B$200,0)),"")</f>
        <v>0</v>
      </c>
      <c r="J146" s="21">
        <f>IFERROR(INDEX('Input - Convenience'!I$2:I$200,MATCH('Calculations - Convenience'!$C146,'Input - Convenience'!$B$2:$B$200,0)),"")</f>
        <v>0</v>
      </c>
      <c r="K146" s="20">
        <f>IFERROR(INDEX('Input - Convenience'!J$2:J$200,MATCH('Calculations - Convenience'!$C146,'Input - Convenience'!$B$2:$B$200,0)),"")</f>
        <v>0</v>
      </c>
      <c r="L146" s="20">
        <f>IFERROR(INDEX('Input - Convenience'!K$2:K$200,MATCH('Calculations - Convenience'!$C146,'Input - Convenience'!$B$2:$B$200,0)),"")</f>
        <v>0</v>
      </c>
      <c r="M146" s="21" t="str">
        <f t="shared" si="96"/>
        <v/>
      </c>
      <c r="N146" s="21" t="str">
        <f t="shared" si="82"/>
        <v/>
      </c>
      <c r="O146" s="21">
        <f t="shared" si="97"/>
        <v>0</v>
      </c>
      <c r="P146" s="9">
        <f t="shared" si="111"/>
        <v>0</v>
      </c>
      <c r="Q146" s="9">
        <f t="shared" si="112"/>
        <v>0</v>
      </c>
      <c r="R146" s="22" t="str">
        <f>IFERROR(INDEX(Convenience!$N$11:$N$148,MATCH('Calculations - Convenience'!$C146,Convenience!$J$11:$J$148,0)),"")</f>
        <v/>
      </c>
      <c r="S146" s="22" t="str">
        <f>IFERROR(INDEX(Convenience!$O$11:$O$148,MATCH('Calculations - Convenience'!$C146,Convenience!$J$11:$J$148,0)),"")</f>
        <v/>
      </c>
      <c r="T146" s="16" t="e">
        <f t="shared" si="83"/>
        <v>#VALUE!</v>
      </c>
      <c r="U146" s="16" t="e">
        <f t="shared" si="98"/>
        <v>#VALUE!</v>
      </c>
      <c r="V146" s="16" t="e">
        <f t="shared" si="99"/>
        <v>#VALUE!</v>
      </c>
      <c r="W146" s="10" t="str">
        <f t="shared" si="84"/>
        <v>-</v>
      </c>
      <c r="X146" s="10" t="str">
        <f t="shared" si="85"/>
        <v>-</v>
      </c>
      <c r="Y146" s="13" t="str">
        <f t="shared" si="100"/>
        <v>-</v>
      </c>
      <c r="Z146" s="9" t="str">
        <f t="shared" si="86"/>
        <v>-</v>
      </c>
      <c r="AA146" s="16" t="str">
        <f t="shared" si="101"/>
        <v>-</v>
      </c>
      <c r="AB146" s="16" t="str">
        <f t="shared" si="87"/>
        <v>-</v>
      </c>
      <c r="AC146" s="16" t="str">
        <f t="shared" si="88"/>
        <v>-</v>
      </c>
      <c r="AD146" s="16" t="str">
        <f t="shared" si="102"/>
        <v>-</v>
      </c>
      <c r="AE146" s="16"/>
      <c r="AF146" s="31" t="str">
        <f>IFERROR(INDEX(Convenience!$M$11:$M$148,MATCH('Calculations - Convenience'!C146,Convenience!$J$11:$J$148,0)),"")</f>
        <v/>
      </c>
      <c r="AG146" s="23" t="str">
        <f t="shared" si="103"/>
        <v/>
      </c>
      <c r="AH146" s="23" t="str">
        <f t="shared" si="103"/>
        <v/>
      </c>
      <c r="AI146" s="9" t="str">
        <f t="shared" si="89"/>
        <v/>
      </c>
      <c r="AJ146" s="4" t="str">
        <f t="shared" si="90"/>
        <v/>
      </c>
      <c r="AK146" s="4"/>
      <c r="AL146" s="4"/>
      <c r="AM146" s="4"/>
      <c r="AN146" s="4"/>
      <c r="AO146" s="4"/>
      <c r="AP146" s="20" t="str">
        <f t="shared" si="91"/>
        <v>-</v>
      </c>
      <c r="AQ146" s="13" t="str">
        <f t="shared" si="104"/>
        <v>-</v>
      </c>
      <c r="AR146" s="13" t="str">
        <f t="shared" si="105"/>
        <v>-</v>
      </c>
      <c r="AS146" s="13" t="str">
        <f t="shared" si="92"/>
        <v>-</v>
      </c>
      <c r="AT146" s="16" t="str">
        <f t="shared" si="106"/>
        <v>-</v>
      </c>
      <c r="AU146" s="16" t="str">
        <f t="shared" si="93"/>
        <v>-</v>
      </c>
      <c r="AV146" s="16" t="str">
        <f t="shared" si="94"/>
        <v>-</v>
      </c>
      <c r="AW146" s="16" t="str">
        <f t="shared" si="107"/>
        <v>-</v>
      </c>
      <c r="AX146" s="13" t="str">
        <f t="shared" si="108"/>
        <v>-</v>
      </c>
      <c r="AY146" s="10" t="str">
        <f t="shared" si="109"/>
        <v>-</v>
      </c>
      <c r="AZ146" s="9" t="str">
        <f t="shared" si="110"/>
        <v>-</v>
      </c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</row>
    <row r="147" spans="2:68" x14ac:dyDescent="0.3">
      <c r="B147" s="108" t="str">
        <f t="shared" si="95"/>
        <v/>
      </c>
      <c r="C147" s="108" t="str">
        <f t="shared" si="81"/>
        <v/>
      </c>
      <c r="D147" s="3"/>
      <c r="E147" s="3"/>
      <c r="F147" s="3"/>
      <c r="G147" s="20">
        <f>IFERROR(INDEX('Input - Convenience'!F$2:F$200,MATCH('Calculations - Convenience'!$C147,'Input - Convenience'!$B$2:$B$200,0)),"")</f>
        <v>0</v>
      </c>
      <c r="H147" s="20">
        <f>IFERROR(INDEX('Input - Convenience'!G$2:G$200,MATCH('Calculations - Convenience'!$C147,'Input - Convenience'!$B$2:$B$200,0)),"")</f>
        <v>0</v>
      </c>
      <c r="I147" s="21">
        <f>IFERROR(INDEX('Input - Convenience'!H$2:H$200,MATCH('Calculations - Convenience'!$C147,'Input - Convenience'!$B$2:$B$200,0)),"")</f>
        <v>0</v>
      </c>
      <c r="J147" s="21">
        <f>IFERROR(INDEX('Input - Convenience'!I$2:I$200,MATCH('Calculations - Convenience'!$C147,'Input - Convenience'!$B$2:$B$200,0)),"")</f>
        <v>0</v>
      </c>
      <c r="K147" s="20">
        <f>IFERROR(INDEX('Input - Convenience'!J$2:J$200,MATCH('Calculations - Convenience'!$C147,'Input - Convenience'!$B$2:$B$200,0)),"")</f>
        <v>0</v>
      </c>
      <c r="L147" s="20">
        <f>IFERROR(INDEX('Input - Convenience'!K$2:K$200,MATCH('Calculations - Convenience'!$C147,'Input - Convenience'!$B$2:$B$200,0)),"")</f>
        <v>0</v>
      </c>
      <c r="M147" s="21" t="str">
        <f t="shared" si="96"/>
        <v/>
      </c>
      <c r="N147" s="21" t="str">
        <f t="shared" si="82"/>
        <v/>
      </c>
      <c r="O147" s="21">
        <f t="shared" si="97"/>
        <v>0</v>
      </c>
      <c r="P147" s="9">
        <f t="shared" si="111"/>
        <v>0</v>
      </c>
      <c r="Q147" s="9">
        <f t="shared" si="112"/>
        <v>0</v>
      </c>
      <c r="R147" s="22" t="str">
        <f>IFERROR(INDEX(Convenience!$N$11:$N$148,MATCH('Calculations - Convenience'!$C147,Convenience!$J$11:$J$148,0)),"")</f>
        <v/>
      </c>
      <c r="S147" s="22" t="str">
        <f>IFERROR(INDEX(Convenience!$O$11:$O$148,MATCH('Calculations - Convenience'!$C147,Convenience!$J$11:$J$148,0)),"")</f>
        <v/>
      </c>
      <c r="T147" s="16" t="e">
        <f t="shared" si="83"/>
        <v>#VALUE!</v>
      </c>
      <c r="U147" s="16" t="e">
        <f t="shared" si="98"/>
        <v>#VALUE!</v>
      </c>
      <c r="V147" s="16" t="e">
        <f t="shared" si="99"/>
        <v>#VALUE!</v>
      </c>
      <c r="W147" s="10" t="str">
        <f t="shared" si="84"/>
        <v>-</v>
      </c>
      <c r="X147" s="10" t="str">
        <f t="shared" si="85"/>
        <v>-</v>
      </c>
      <c r="Y147" s="13" t="str">
        <f t="shared" si="100"/>
        <v>-</v>
      </c>
      <c r="Z147" s="9" t="str">
        <f t="shared" si="86"/>
        <v>-</v>
      </c>
      <c r="AA147" s="16" t="str">
        <f t="shared" si="101"/>
        <v>-</v>
      </c>
      <c r="AB147" s="16" t="str">
        <f t="shared" si="87"/>
        <v>-</v>
      </c>
      <c r="AC147" s="16" t="str">
        <f t="shared" si="88"/>
        <v>-</v>
      </c>
      <c r="AD147" s="16" t="str">
        <f t="shared" si="102"/>
        <v>-</v>
      </c>
      <c r="AE147" s="16"/>
      <c r="AF147" s="31" t="str">
        <f>IFERROR(INDEX(Convenience!$M$11:$M$148,MATCH('Calculations - Convenience'!C147,Convenience!$J$11:$J$148,0)),"")</f>
        <v/>
      </c>
      <c r="AG147" s="23" t="str">
        <f t="shared" si="103"/>
        <v/>
      </c>
      <c r="AH147" s="23" t="str">
        <f t="shared" si="103"/>
        <v/>
      </c>
      <c r="AI147" s="9" t="str">
        <f t="shared" si="89"/>
        <v/>
      </c>
      <c r="AJ147" s="4" t="str">
        <f t="shared" si="90"/>
        <v/>
      </c>
      <c r="AK147" s="4"/>
      <c r="AL147" s="4"/>
      <c r="AM147" s="4"/>
      <c r="AN147" s="4"/>
      <c r="AO147" s="4"/>
      <c r="AP147" s="20" t="str">
        <f t="shared" si="91"/>
        <v>-</v>
      </c>
      <c r="AQ147" s="13" t="str">
        <f t="shared" si="104"/>
        <v>-</v>
      </c>
      <c r="AR147" s="13" t="str">
        <f t="shared" si="105"/>
        <v>-</v>
      </c>
      <c r="AS147" s="13" t="str">
        <f t="shared" si="92"/>
        <v>-</v>
      </c>
      <c r="AT147" s="16" t="str">
        <f t="shared" si="106"/>
        <v>-</v>
      </c>
      <c r="AU147" s="16" t="str">
        <f t="shared" si="93"/>
        <v>-</v>
      </c>
      <c r="AV147" s="16" t="str">
        <f t="shared" si="94"/>
        <v>-</v>
      </c>
      <c r="AW147" s="16" t="str">
        <f t="shared" si="107"/>
        <v>-</v>
      </c>
      <c r="AX147" s="13" t="str">
        <f t="shared" si="108"/>
        <v>-</v>
      </c>
      <c r="AY147" s="10" t="str">
        <f t="shared" si="109"/>
        <v>-</v>
      </c>
      <c r="AZ147" s="9" t="str">
        <f t="shared" si="110"/>
        <v>-</v>
      </c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</row>
    <row r="148" spans="2:68" x14ac:dyDescent="0.3">
      <c r="B148" s="108" t="str">
        <f t="shared" si="95"/>
        <v/>
      </c>
      <c r="C148" s="108" t="str">
        <f t="shared" si="81"/>
        <v/>
      </c>
      <c r="D148" s="3"/>
      <c r="E148" s="3"/>
      <c r="F148" s="3"/>
      <c r="G148" s="20">
        <f>IFERROR(INDEX('Input - Convenience'!F$2:F$200,MATCH('Calculations - Convenience'!$C148,'Input - Convenience'!$B$2:$B$200,0)),"")</f>
        <v>0</v>
      </c>
      <c r="H148" s="20">
        <f>IFERROR(INDEX('Input - Convenience'!G$2:G$200,MATCH('Calculations - Convenience'!$C148,'Input - Convenience'!$B$2:$B$200,0)),"")</f>
        <v>0</v>
      </c>
      <c r="I148" s="21">
        <f>IFERROR(INDEX('Input - Convenience'!H$2:H$200,MATCH('Calculations - Convenience'!$C148,'Input - Convenience'!$B$2:$B$200,0)),"")</f>
        <v>0</v>
      </c>
      <c r="J148" s="21">
        <f>IFERROR(INDEX('Input - Convenience'!I$2:I$200,MATCH('Calculations - Convenience'!$C148,'Input - Convenience'!$B$2:$B$200,0)),"")</f>
        <v>0</v>
      </c>
      <c r="K148" s="20">
        <f>IFERROR(INDEX('Input - Convenience'!J$2:J$200,MATCH('Calculations - Convenience'!$C148,'Input - Convenience'!$B$2:$B$200,0)),"")</f>
        <v>0</v>
      </c>
      <c r="L148" s="20">
        <f>IFERROR(INDEX('Input - Convenience'!K$2:K$200,MATCH('Calculations - Convenience'!$C148,'Input - Convenience'!$B$2:$B$200,0)),"")</f>
        <v>0</v>
      </c>
      <c r="M148" s="21" t="str">
        <f t="shared" si="96"/>
        <v/>
      </c>
      <c r="N148" s="21" t="str">
        <f t="shared" si="82"/>
        <v/>
      </c>
      <c r="O148" s="21">
        <f t="shared" si="97"/>
        <v>0</v>
      </c>
      <c r="P148" s="9">
        <f t="shared" si="111"/>
        <v>0</v>
      </c>
      <c r="Q148" s="9">
        <f t="shared" si="112"/>
        <v>0</v>
      </c>
      <c r="R148" s="22" t="str">
        <f>IFERROR(INDEX(Convenience!$N$11:$N$148,MATCH('Calculations - Convenience'!$C148,Convenience!$J$11:$J$148,0)),"")</f>
        <v/>
      </c>
      <c r="S148" s="22" t="str">
        <f>IFERROR(INDEX(Convenience!$O$11:$O$148,MATCH('Calculations - Convenience'!$C148,Convenience!$J$11:$J$148,0)),"")</f>
        <v/>
      </c>
      <c r="T148" s="16" t="e">
        <f t="shared" si="83"/>
        <v>#VALUE!</v>
      </c>
      <c r="U148" s="16" t="e">
        <f t="shared" si="98"/>
        <v>#VALUE!</v>
      </c>
      <c r="V148" s="16" t="e">
        <f t="shared" si="99"/>
        <v>#VALUE!</v>
      </c>
      <c r="W148" s="10" t="str">
        <f t="shared" si="84"/>
        <v>-</v>
      </c>
      <c r="X148" s="10" t="str">
        <f t="shared" si="85"/>
        <v>-</v>
      </c>
      <c r="Y148" s="13" t="str">
        <f t="shared" si="100"/>
        <v>-</v>
      </c>
      <c r="Z148" s="9" t="str">
        <f t="shared" si="86"/>
        <v>-</v>
      </c>
      <c r="AA148" s="16" t="str">
        <f t="shared" si="101"/>
        <v>-</v>
      </c>
      <c r="AB148" s="16" t="str">
        <f t="shared" si="87"/>
        <v>-</v>
      </c>
      <c r="AC148" s="16" t="str">
        <f t="shared" si="88"/>
        <v>-</v>
      </c>
      <c r="AD148" s="16" t="str">
        <f t="shared" si="102"/>
        <v>-</v>
      </c>
      <c r="AE148" s="16"/>
      <c r="AF148" s="31" t="str">
        <f>IFERROR(INDEX(Convenience!$M$11:$M$148,MATCH('Calculations - Convenience'!C148,Convenience!$J$11:$J$148,0)),"")</f>
        <v/>
      </c>
      <c r="AG148" s="23" t="str">
        <f t="shared" si="103"/>
        <v/>
      </c>
      <c r="AH148" s="23" t="str">
        <f t="shared" si="103"/>
        <v/>
      </c>
      <c r="AI148" s="9" t="str">
        <f t="shared" si="89"/>
        <v/>
      </c>
      <c r="AJ148" s="4" t="str">
        <f t="shared" si="90"/>
        <v/>
      </c>
      <c r="AK148" s="4"/>
      <c r="AL148" s="4"/>
      <c r="AM148" s="4"/>
      <c r="AN148" s="4"/>
      <c r="AO148" s="4"/>
      <c r="AP148" s="20" t="str">
        <f t="shared" si="91"/>
        <v>-</v>
      </c>
      <c r="AQ148" s="13" t="str">
        <f t="shared" si="104"/>
        <v>-</v>
      </c>
      <c r="AR148" s="13" t="str">
        <f t="shared" si="105"/>
        <v>-</v>
      </c>
      <c r="AS148" s="13" t="str">
        <f t="shared" si="92"/>
        <v>-</v>
      </c>
      <c r="AT148" s="16" t="str">
        <f t="shared" si="106"/>
        <v>-</v>
      </c>
      <c r="AU148" s="16" t="str">
        <f t="shared" si="93"/>
        <v>-</v>
      </c>
      <c r="AV148" s="16" t="str">
        <f t="shared" si="94"/>
        <v>-</v>
      </c>
      <c r="AW148" s="16" t="str">
        <f t="shared" si="107"/>
        <v>-</v>
      </c>
      <c r="AX148" s="13" t="str">
        <f t="shared" si="108"/>
        <v>-</v>
      </c>
      <c r="AY148" s="10" t="str">
        <f t="shared" si="109"/>
        <v>-</v>
      </c>
      <c r="AZ148" s="9" t="str">
        <f t="shared" si="110"/>
        <v>-</v>
      </c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</row>
    <row r="149" spans="2:68" x14ac:dyDescent="0.3">
      <c r="B149" s="108" t="str">
        <f t="shared" si="95"/>
        <v/>
      </c>
      <c r="C149" s="108" t="str">
        <f t="shared" si="81"/>
        <v/>
      </c>
      <c r="D149" s="3"/>
      <c r="E149" s="3"/>
      <c r="F149" s="3"/>
      <c r="G149" s="20">
        <f>IFERROR(INDEX('Input - Convenience'!F$2:F$200,MATCH('Calculations - Convenience'!$C149,'Input - Convenience'!$B$2:$B$200,0)),"")</f>
        <v>0</v>
      </c>
      <c r="H149" s="20">
        <f>IFERROR(INDEX('Input - Convenience'!G$2:G$200,MATCH('Calculations - Convenience'!$C149,'Input - Convenience'!$B$2:$B$200,0)),"")</f>
        <v>0</v>
      </c>
      <c r="I149" s="21">
        <f>IFERROR(INDEX('Input - Convenience'!H$2:H$200,MATCH('Calculations - Convenience'!$C149,'Input - Convenience'!$B$2:$B$200,0)),"")</f>
        <v>0</v>
      </c>
      <c r="J149" s="21">
        <f>IFERROR(INDEX('Input - Convenience'!I$2:I$200,MATCH('Calculations - Convenience'!$C149,'Input - Convenience'!$B$2:$B$200,0)),"")</f>
        <v>0</v>
      </c>
      <c r="K149" s="20">
        <f>IFERROR(INDEX('Input - Convenience'!J$2:J$200,MATCH('Calculations - Convenience'!$C149,'Input - Convenience'!$B$2:$B$200,0)),"")</f>
        <v>0</v>
      </c>
      <c r="L149" s="20">
        <f>IFERROR(INDEX('Input - Convenience'!K$2:K$200,MATCH('Calculations - Convenience'!$C149,'Input - Convenience'!$B$2:$B$200,0)),"")</f>
        <v>0</v>
      </c>
      <c r="M149" s="21" t="str">
        <f t="shared" si="96"/>
        <v/>
      </c>
      <c r="N149" s="21" t="str">
        <f t="shared" si="82"/>
        <v/>
      </c>
      <c r="O149" s="21">
        <f t="shared" si="97"/>
        <v>0</v>
      </c>
      <c r="P149" s="9">
        <f t="shared" si="111"/>
        <v>0</v>
      </c>
      <c r="Q149" s="9">
        <f t="shared" si="112"/>
        <v>0</v>
      </c>
      <c r="R149" s="22" t="str">
        <f>IFERROR(INDEX(Convenience!$N$11:$N$148,MATCH('Calculations - Convenience'!$C149,Convenience!$J$11:$J$148,0)),"")</f>
        <v/>
      </c>
      <c r="S149" s="22" t="str">
        <f>IFERROR(INDEX(Convenience!$O$11:$O$148,MATCH('Calculations - Convenience'!$C149,Convenience!$J$11:$J$148,0)),"")</f>
        <v/>
      </c>
      <c r="T149" s="16" t="e">
        <f t="shared" si="83"/>
        <v>#VALUE!</v>
      </c>
      <c r="U149" s="16" t="e">
        <f t="shared" si="98"/>
        <v>#VALUE!</v>
      </c>
      <c r="V149" s="16" t="e">
        <f t="shared" si="99"/>
        <v>#VALUE!</v>
      </c>
      <c r="W149" s="10" t="str">
        <f t="shared" si="84"/>
        <v>-</v>
      </c>
      <c r="X149" s="10" t="str">
        <f t="shared" si="85"/>
        <v>-</v>
      </c>
      <c r="Y149" s="13" t="str">
        <f t="shared" si="100"/>
        <v>-</v>
      </c>
      <c r="Z149" s="9" t="str">
        <f t="shared" si="86"/>
        <v>-</v>
      </c>
      <c r="AA149" s="16" t="str">
        <f t="shared" si="101"/>
        <v>-</v>
      </c>
      <c r="AB149" s="16" t="str">
        <f t="shared" si="87"/>
        <v>-</v>
      </c>
      <c r="AC149" s="16" t="str">
        <f t="shared" si="88"/>
        <v>-</v>
      </c>
      <c r="AD149" s="16" t="str">
        <f t="shared" si="102"/>
        <v>-</v>
      </c>
      <c r="AE149" s="16"/>
      <c r="AF149" s="31" t="str">
        <f>IFERROR(INDEX(Convenience!$M$11:$M$148,MATCH('Calculations - Convenience'!C149,Convenience!$J$11:$J$148,0)),"")</f>
        <v/>
      </c>
      <c r="AG149" s="23" t="str">
        <f t="shared" si="103"/>
        <v/>
      </c>
      <c r="AH149" s="23" t="str">
        <f t="shared" si="103"/>
        <v/>
      </c>
      <c r="AI149" s="9" t="str">
        <f t="shared" si="89"/>
        <v/>
      </c>
      <c r="AJ149" s="4" t="str">
        <f t="shared" si="90"/>
        <v/>
      </c>
      <c r="AK149" s="4"/>
      <c r="AL149" s="4"/>
      <c r="AM149" s="4"/>
      <c r="AN149" s="4"/>
      <c r="AO149" s="4"/>
      <c r="AP149" s="20" t="str">
        <f t="shared" si="91"/>
        <v>-</v>
      </c>
      <c r="AQ149" s="13" t="str">
        <f t="shared" si="104"/>
        <v>-</v>
      </c>
      <c r="AR149" s="13" t="str">
        <f t="shared" si="105"/>
        <v>-</v>
      </c>
      <c r="AS149" s="13" t="str">
        <f t="shared" si="92"/>
        <v>-</v>
      </c>
      <c r="AT149" s="16" t="str">
        <f t="shared" si="106"/>
        <v>-</v>
      </c>
      <c r="AU149" s="16" t="str">
        <f t="shared" si="93"/>
        <v>-</v>
      </c>
      <c r="AV149" s="16" t="str">
        <f t="shared" si="94"/>
        <v>-</v>
      </c>
      <c r="AW149" s="16" t="str">
        <f t="shared" si="107"/>
        <v>-</v>
      </c>
      <c r="AX149" s="13" t="str">
        <f t="shared" si="108"/>
        <v>-</v>
      </c>
      <c r="AY149" s="10" t="str">
        <f t="shared" si="109"/>
        <v>-</v>
      </c>
      <c r="AZ149" s="9" t="str">
        <f t="shared" si="110"/>
        <v>-</v>
      </c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</row>
    <row r="150" spans="2:68" x14ac:dyDescent="0.3">
      <c r="B150" s="108" t="str">
        <f t="shared" si="95"/>
        <v/>
      </c>
      <c r="C150" s="108" t="str">
        <f t="shared" si="81"/>
        <v/>
      </c>
      <c r="D150" s="3"/>
      <c r="E150" s="3"/>
      <c r="F150" s="3"/>
      <c r="G150" s="20">
        <f>IFERROR(INDEX('Input - Convenience'!F$2:F$200,MATCH('Calculations - Convenience'!$C150,'Input - Convenience'!$B$2:$B$200,0)),"")</f>
        <v>0</v>
      </c>
      <c r="H150" s="20">
        <f>IFERROR(INDEX('Input - Convenience'!G$2:G$200,MATCH('Calculations - Convenience'!$C150,'Input - Convenience'!$B$2:$B$200,0)),"")</f>
        <v>0</v>
      </c>
      <c r="I150" s="21">
        <f>IFERROR(INDEX('Input - Convenience'!H$2:H$200,MATCH('Calculations - Convenience'!$C150,'Input - Convenience'!$B$2:$B$200,0)),"")</f>
        <v>0</v>
      </c>
      <c r="J150" s="21">
        <f>IFERROR(INDEX('Input - Convenience'!I$2:I$200,MATCH('Calculations - Convenience'!$C150,'Input - Convenience'!$B$2:$B$200,0)),"")</f>
        <v>0</v>
      </c>
      <c r="K150" s="20">
        <f>IFERROR(INDEX('Input - Convenience'!J$2:J$200,MATCH('Calculations - Convenience'!$C150,'Input - Convenience'!$B$2:$B$200,0)),"")</f>
        <v>0</v>
      </c>
      <c r="L150" s="20">
        <f>IFERROR(INDEX('Input - Convenience'!K$2:K$200,MATCH('Calculations - Convenience'!$C150,'Input - Convenience'!$B$2:$B$200,0)),"")</f>
        <v>0</v>
      </c>
      <c r="M150" s="21" t="str">
        <f t="shared" si="96"/>
        <v/>
      </c>
      <c r="N150" s="21" t="str">
        <f t="shared" si="82"/>
        <v/>
      </c>
      <c r="O150" s="21">
        <f t="shared" si="97"/>
        <v>0</v>
      </c>
      <c r="P150" s="9">
        <f t="shared" si="111"/>
        <v>0</v>
      </c>
      <c r="Q150" s="9">
        <f t="shared" si="112"/>
        <v>0</v>
      </c>
      <c r="R150" s="22" t="str">
        <f>IFERROR(INDEX(Convenience!$N$11:$N$148,MATCH('Calculations - Convenience'!$C150,Convenience!$J$11:$J$148,0)),"")</f>
        <v/>
      </c>
      <c r="S150" s="22" t="str">
        <f>IFERROR(INDEX(Convenience!$O$11:$O$148,MATCH('Calculations - Convenience'!$C150,Convenience!$J$11:$J$148,0)),"")</f>
        <v/>
      </c>
      <c r="T150" s="16" t="e">
        <f t="shared" si="83"/>
        <v>#VALUE!</v>
      </c>
      <c r="U150" s="16" t="e">
        <f t="shared" si="98"/>
        <v>#VALUE!</v>
      </c>
      <c r="V150" s="16" t="e">
        <f t="shared" si="99"/>
        <v>#VALUE!</v>
      </c>
      <c r="W150" s="10" t="str">
        <f t="shared" si="84"/>
        <v>-</v>
      </c>
      <c r="X150" s="10" t="str">
        <f t="shared" si="85"/>
        <v>-</v>
      </c>
      <c r="Y150" s="13" t="str">
        <f t="shared" si="100"/>
        <v>-</v>
      </c>
      <c r="Z150" s="9" t="str">
        <f t="shared" si="86"/>
        <v>-</v>
      </c>
      <c r="AA150" s="16" t="str">
        <f t="shared" si="101"/>
        <v>-</v>
      </c>
      <c r="AB150" s="16" t="str">
        <f t="shared" si="87"/>
        <v>-</v>
      </c>
      <c r="AC150" s="16" t="str">
        <f t="shared" si="88"/>
        <v>-</v>
      </c>
      <c r="AD150" s="16" t="str">
        <f t="shared" si="102"/>
        <v>-</v>
      </c>
      <c r="AE150" s="16"/>
      <c r="AF150" s="31" t="str">
        <f>IFERROR(INDEX(Convenience!$M$11:$M$148,MATCH('Calculations - Convenience'!C150,Convenience!$J$11:$J$148,0)),"")</f>
        <v/>
      </c>
      <c r="AG150" s="23" t="str">
        <f t="shared" si="103"/>
        <v/>
      </c>
      <c r="AH150" s="23" t="str">
        <f t="shared" si="103"/>
        <v/>
      </c>
      <c r="AI150" s="9" t="str">
        <f t="shared" si="89"/>
        <v/>
      </c>
      <c r="AJ150" s="4" t="str">
        <f t="shared" si="90"/>
        <v/>
      </c>
      <c r="AK150" s="4"/>
      <c r="AL150" s="4"/>
      <c r="AM150" s="4"/>
      <c r="AN150" s="4"/>
      <c r="AO150" s="4"/>
      <c r="AP150" s="20" t="str">
        <f t="shared" si="91"/>
        <v>-</v>
      </c>
      <c r="AQ150" s="13" t="str">
        <f t="shared" si="104"/>
        <v>-</v>
      </c>
      <c r="AR150" s="13" t="str">
        <f t="shared" si="105"/>
        <v>-</v>
      </c>
      <c r="AS150" s="13" t="str">
        <f t="shared" si="92"/>
        <v>-</v>
      </c>
      <c r="AT150" s="16" t="str">
        <f t="shared" si="106"/>
        <v>-</v>
      </c>
      <c r="AU150" s="16" t="str">
        <f t="shared" si="93"/>
        <v>-</v>
      </c>
      <c r="AV150" s="16" t="str">
        <f t="shared" si="94"/>
        <v>-</v>
      </c>
      <c r="AW150" s="16" t="str">
        <f t="shared" si="107"/>
        <v>-</v>
      </c>
      <c r="AX150" s="13" t="str">
        <f t="shared" si="108"/>
        <v>-</v>
      </c>
      <c r="AY150" s="10" t="str">
        <f t="shared" si="109"/>
        <v>-</v>
      </c>
      <c r="AZ150" s="9" t="str">
        <f t="shared" si="110"/>
        <v>-</v>
      </c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</row>
    <row r="151" spans="2:68" x14ac:dyDescent="0.3">
      <c r="B151" s="108" t="str">
        <f t="shared" si="95"/>
        <v/>
      </c>
      <c r="C151" s="108" t="str">
        <f t="shared" si="81"/>
        <v/>
      </c>
      <c r="D151" s="3"/>
      <c r="E151" s="3"/>
      <c r="F151" s="3"/>
      <c r="G151" s="20">
        <f>IFERROR(INDEX('Input - Convenience'!F$2:F$200,MATCH('Calculations - Convenience'!$C151,'Input - Convenience'!$B$2:$B$200,0)),"")</f>
        <v>0</v>
      </c>
      <c r="H151" s="20">
        <f>IFERROR(INDEX('Input - Convenience'!G$2:G$200,MATCH('Calculations - Convenience'!$C151,'Input - Convenience'!$B$2:$B$200,0)),"")</f>
        <v>0</v>
      </c>
      <c r="I151" s="21">
        <f>IFERROR(INDEX('Input - Convenience'!H$2:H$200,MATCH('Calculations - Convenience'!$C151,'Input - Convenience'!$B$2:$B$200,0)),"")</f>
        <v>0</v>
      </c>
      <c r="J151" s="21">
        <f>IFERROR(INDEX('Input - Convenience'!I$2:I$200,MATCH('Calculations - Convenience'!$C151,'Input - Convenience'!$B$2:$B$200,0)),"")</f>
        <v>0</v>
      </c>
      <c r="K151" s="20">
        <f>IFERROR(INDEX('Input - Convenience'!J$2:J$200,MATCH('Calculations - Convenience'!$C151,'Input - Convenience'!$B$2:$B$200,0)),"")</f>
        <v>0</v>
      </c>
      <c r="L151" s="20">
        <f>IFERROR(INDEX('Input - Convenience'!K$2:K$200,MATCH('Calculations - Convenience'!$C151,'Input - Convenience'!$B$2:$B$200,0)),"")</f>
        <v>0</v>
      </c>
      <c r="M151" s="21" t="str">
        <f t="shared" si="96"/>
        <v/>
      </c>
      <c r="N151" s="21" t="str">
        <f t="shared" si="82"/>
        <v/>
      </c>
      <c r="O151" s="21">
        <f t="shared" si="97"/>
        <v>0</v>
      </c>
      <c r="P151" s="9">
        <f t="shared" si="111"/>
        <v>0</v>
      </c>
      <c r="Q151" s="9">
        <f t="shared" si="112"/>
        <v>0</v>
      </c>
      <c r="R151" s="22" t="str">
        <f>IFERROR(INDEX(Convenience!$N$11:$N$148,MATCH('Calculations - Convenience'!$C151,Convenience!$J$11:$J$148,0)),"")</f>
        <v/>
      </c>
      <c r="S151" s="22" t="str">
        <f>IFERROR(INDEX(Convenience!$O$11:$O$148,MATCH('Calculations - Convenience'!$C151,Convenience!$J$11:$J$148,0)),"")</f>
        <v/>
      </c>
      <c r="T151" s="16" t="e">
        <f t="shared" si="83"/>
        <v>#VALUE!</v>
      </c>
      <c r="U151" s="16" t="e">
        <f t="shared" si="98"/>
        <v>#VALUE!</v>
      </c>
      <c r="V151" s="16" t="e">
        <f t="shared" si="99"/>
        <v>#VALUE!</v>
      </c>
      <c r="W151" s="10" t="str">
        <f t="shared" si="84"/>
        <v>-</v>
      </c>
      <c r="X151" s="10" t="str">
        <f t="shared" si="85"/>
        <v>-</v>
      </c>
      <c r="Y151" s="13" t="str">
        <f t="shared" si="100"/>
        <v>-</v>
      </c>
      <c r="Z151" s="9" t="str">
        <f t="shared" si="86"/>
        <v>-</v>
      </c>
      <c r="AA151" s="16" t="str">
        <f t="shared" si="101"/>
        <v>-</v>
      </c>
      <c r="AB151" s="16" t="str">
        <f t="shared" si="87"/>
        <v>-</v>
      </c>
      <c r="AC151" s="16" t="str">
        <f t="shared" si="88"/>
        <v>-</v>
      </c>
      <c r="AD151" s="16" t="str">
        <f t="shared" si="102"/>
        <v>-</v>
      </c>
      <c r="AE151" s="16"/>
      <c r="AF151" s="31" t="str">
        <f>IFERROR(INDEX(Convenience!$M$11:$M$148,MATCH('Calculations - Convenience'!C151,Convenience!$J$11:$J$148,0)),"")</f>
        <v/>
      </c>
      <c r="AG151" s="23" t="str">
        <f t="shared" si="103"/>
        <v/>
      </c>
      <c r="AH151" s="23" t="str">
        <f t="shared" si="103"/>
        <v/>
      </c>
      <c r="AI151" s="9" t="str">
        <f t="shared" si="89"/>
        <v/>
      </c>
      <c r="AJ151" s="4" t="str">
        <f t="shared" si="90"/>
        <v/>
      </c>
      <c r="AK151" s="4"/>
      <c r="AL151" s="4"/>
      <c r="AM151" s="4"/>
      <c r="AN151" s="4"/>
      <c r="AO151" s="4"/>
      <c r="AP151" s="20" t="str">
        <f t="shared" si="91"/>
        <v>-</v>
      </c>
      <c r="AQ151" s="13" t="str">
        <f t="shared" si="104"/>
        <v>-</v>
      </c>
      <c r="AR151" s="13" t="str">
        <f t="shared" si="105"/>
        <v>-</v>
      </c>
      <c r="AS151" s="13" t="str">
        <f t="shared" si="92"/>
        <v>-</v>
      </c>
      <c r="AT151" s="16" t="str">
        <f t="shared" si="106"/>
        <v>-</v>
      </c>
      <c r="AU151" s="16" t="str">
        <f t="shared" si="93"/>
        <v>-</v>
      </c>
      <c r="AV151" s="16" t="str">
        <f t="shared" si="94"/>
        <v>-</v>
      </c>
      <c r="AW151" s="16" t="str">
        <f t="shared" si="107"/>
        <v>-</v>
      </c>
      <c r="AX151" s="13" t="str">
        <f t="shared" si="108"/>
        <v>-</v>
      </c>
      <c r="AY151" s="10" t="str">
        <f t="shared" si="109"/>
        <v>-</v>
      </c>
      <c r="AZ151" s="9" t="str">
        <f t="shared" si="110"/>
        <v>-</v>
      </c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</row>
    <row r="152" spans="2:68" x14ac:dyDescent="0.3">
      <c r="B152" s="108" t="str">
        <f t="shared" si="95"/>
        <v/>
      </c>
      <c r="C152" s="108" t="str">
        <f t="shared" si="81"/>
        <v/>
      </c>
      <c r="D152" s="3"/>
      <c r="E152" s="3"/>
      <c r="F152" s="3"/>
      <c r="G152" s="20">
        <f>IFERROR(INDEX('Input - Convenience'!F$2:F$200,MATCH('Calculations - Convenience'!$C152,'Input - Convenience'!$B$2:$B$200,0)),"")</f>
        <v>0</v>
      </c>
      <c r="H152" s="20">
        <f>IFERROR(INDEX('Input - Convenience'!G$2:G$200,MATCH('Calculations - Convenience'!$C152,'Input - Convenience'!$B$2:$B$200,0)),"")</f>
        <v>0</v>
      </c>
      <c r="I152" s="21">
        <f>IFERROR(INDEX('Input - Convenience'!H$2:H$200,MATCH('Calculations - Convenience'!$C152,'Input - Convenience'!$B$2:$B$200,0)),"")</f>
        <v>0</v>
      </c>
      <c r="J152" s="21">
        <f>IFERROR(INDEX('Input - Convenience'!I$2:I$200,MATCH('Calculations - Convenience'!$C152,'Input - Convenience'!$B$2:$B$200,0)),"")</f>
        <v>0</v>
      </c>
      <c r="K152" s="20">
        <f>IFERROR(INDEX('Input - Convenience'!J$2:J$200,MATCH('Calculations - Convenience'!$C152,'Input - Convenience'!$B$2:$B$200,0)),"")</f>
        <v>0</v>
      </c>
      <c r="L152" s="20">
        <f>IFERROR(INDEX('Input - Convenience'!K$2:K$200,MATCH('Calculations - Convenience'!$C152,'Input - Convenience'!$B$2:$B$200,0)),"")</f>
        <v>0</v>
      </c>
      <c r="M152" s="21" t="str">
        <f t="shared" si="96"/>
        <v/>
      </c>
      <c r="N152" s="21" t="str">
        <f t="shared" si="82"/>
        <v/>
      </c>
      <c r="O152" s="21">
        <f t="shared" si="97"/>
        <v>0</v>
      </c>
      <c r="P152" s="9">
        <f t="shared" si="111"/>
        <v>0</v>
      </c>
      <c r="Q152" s="9">
        <f t="shared" si="112"/>
        <v>0</v>
      </c>
      <c r="R152" s="22" t="str">
        <f>IFERROR(INDEX(Convenience!$N$11:$N$148,MATCH('Calculations - Convenience'!$C152,Convenience!$J$11:$J$148,0)),"")</f>
        <v/>
      </c>
      <c r="S152" s="22" t="str">
        <f>IFERROR(INDEX(Convenience!$O$11:$O$148,MATCH('Calculations - Convenience'!$C152,Convenience!$J$11:$J$148,0)),"")</f>
        <v/>
      </c>
      <c r="T152" s="16" t="e">
        <f t="shared" si="83"/>
        <v>#VALUE!</v>
      </c>
      <c r="U152" s="16" t="e">
        <f t="shared" si="98"/>
        <v>#VALUE!</v>
      </c>
      <c r="V152" s="16" t="e">
        <f t="shared" si="99"/>
        <v>#VALUE!</v>
      </c>
      <c r="W152" s="10" t="str">
        <f t="shared" si="84"/>
        <v>-</v>
      </c>
      <c r="X152" s="10" t="str">
        <f t="shared" si="85"/>
        <v>-</v>
      </c>
      <c r="Y152" s="13" t="str">
        <f t="shared" si="100"/>
        <v>-</v>
      </c>
      <c r="Z152" s="9" t="str">
        <f t="shared" si="86"/>
        <v>-</v>
      </c>
      <c r="AA152" s="16" t="str">
        <f t="shared" si="101"/>
        <v>-</v>
      </c>
      <c r="AB152" s="16" t="str">
        <f t="shared" si="87"/>
        <v>-</v>
      </c>
      <c r="AC152" s="16" t="str">
        <f t="shared" si="88"/>
        <v>-</v>
      </c>
      <c r="AD152" s="16" t="str">
        <f t="shared" si="102"/>
        <v>-</v>
      </c>
      <c r="AE152" s="16"/>
      <c r="AF152" s="31" t="str">
        <f>IFERROR(INDEX(Convenience!$M$11:$M$148,MATCH('Calculations - Convenience'!C152,Convenience!$J$11:$J$148,0)),"")</f>
        <v/>
      </c>
      <c r="AG152" s="23" t="str">
        <f t="shared" si="103"/>
        <v/>
      </c>
      <c r="AH152" s="23" t="str">
        <f t="shared" si="103"/>
        <v/>
      </c>
      <c r="AI152" s="9" t="str">
        <f t="shared" si="89"/>
        <v/>
      </c>
      <c r="AJ152" s="4" t="str">
        <f t="shared" si="90"/>
        <v/>
      </c>
      <c r="AK152" s="4"/>
      <c r="AL152" s="4"/>
      <c r="AM152" s="4"/>
      <c r="AN152" s="4"/>
      <c r="AO152" s="4"/>
      <c r="AP152" s="20" t="str">
        <f t="shared" si="91"/>
        <v>-</v>
      </c>
      <c r="AQ152" s="13" t="str">
        <f t="shared" si="104"/>
        <v>-</v>
      </c>
      <c r="AR152" s="13" t="str">
        <f t="shared" si="105"/>
        <v>-</v>
      </c>
      <c r="AS152" s="13" t="str">
        <f t="shared" si="92"/>
        <v>-</v>
      </c>
      <c r="AT152" s="16" t="str">
        <f t="shared" si="106"/>
        <v>-</v>
      </c>
      <c r="AU152" s="16" t="str">
        <f t="shared" si="93"/>
        <v>-</v>
      </c>
      <c r="AV152" s="16" t="str">
        <f t="shared" si="94"/>
        <v>-</v>
      </c>
      <c r="AW152" s="16" t="str">
        <f t="shared" si="107"/>
        <v>-</v>
      </c>
      <c r="AX152" s="13" t="str">
        <f t="shared" si="108"/>
        <v>-</v>
      </c>
      <c r="AY152" s="10" t="str">
        <f t="shared" si="109"/>
        <v>-</v>
      </c>
      <c r="AZ152" s="9" t="str">
        <f t="shared" si="110"/>
        <v>-</v>
      </c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</row>
    <row r="153" spans="2:68" x14ac:dyDescent="0.3">
      <c r="B153" s="108" t="str">
        <f t="shared" si="95"/>
        <v/>
      </c>
      <c r="C153" s="108" t="str">
        <f t="shared" si="81"/>
        <v/>
      </c>
      <c r="D153" s="3"/>
      <c r="E153" s="3"/>
      <c r="F153" s="3"/>
      <c r="G153" s="20">
        <f>IFERROR(INDEX('Input - Convenience'!F$2:F$200,MATCH('Calculations - Convenience'!$C153,'Input - Convenience'!$B$2:$B$200,0)),"")</f>
        <v>0</v>
      </c>
      <c r="H153" s="20">
        <f>IFERROR(INDEX('Input - Convenience'!G$2:G$200,MATCH('Calculations - Convenience'!$C153,'Input - Convenience'!$B$2:$B$200,0)),"")</f>
        <v>0</v>
      </c>
      <c r="I153" s="21">
        <f>IFERROR(INDEX('Input - Convenience'!H$2:H$200,MATCH('Calculations - Convenience'!$C153,'Input - Convenience'!$B$2:$B$200,0)),"")</f>
        <v>0</v>
      </c>
      <c r="J153" s="21">
        <f>IFERROR(INDEX('Input - Convenience'!I$2:I$200,MATCH('Calculations - Convenience'!$C153,'Input - Convenience'!$B$2:$B$200,0)),"")</f>
        <v>0</v>
      </c>
      <c r="K153" s="20">
        <f>IFERROR(INDEX('Input - Convenience'!J$2:J$200,MATCH('Calculations - Convenience'!$C153,'Input - Convenience'!$B$2:$B$200,0)),"")</f>
        <v>0</v>
      </c>
      <c r="L153" s="20">
        <f>IFERROR(INDEX('Input - Convenience'!K$2:K$200,MATCH('Calculations - Convenience'!$C153,'Input - Convenience'!$B$2:$B$200,0)),"")</f>
        <v>0</v>
      </c>
      <c r="M153" s="21" t="str">
        <f t="shared" si="96"/>
        <v/>
      </c>
      <c r="N153" s="21" t="str">
        <f t="shared" si="82"/>
        <v/>
      </c>
      <c r="O153" s="21">
        <f t="shared" si="97"/>
        <v>0</v>
      </c>
      <c r="P153" s="9">
        <f t="shared" si="111"/>
        <v>0</v>
      </c>
      <c r="Q153" s="9">
        <f t="shared" si="112"/>
        <v>0</v>
      </c>
      <c r="R153" s="22" t="str">
        <f>IFERROR(INDEX(Convenience!$N$11:$N$148,MATCH('Calculations - Convenience'!$C153,Convenience!$J$11:$J$148,0)),"")</f>
        <v/>
      </c>
      <c r="S153" s="22" t="str">
        <f>IFERROR(INDEX(Convenience!$O$11:$O$148,MATCH('Calculations - Convenience'!$C153,Convenience!$J$11:$J$148,0)),"")</f>
        <v/>
      </c>
      <c r="T153" s="16" t="e">
        <f t="shared" si="83"/>
        <v>#VALUE!</v>
      </c>
      <c r="U153" s="16" t="e">
        <f t="shared" si="98"/>
        <v>#VALUE!</v>
      </c>
      <c r="V153" s="16" t="e">
        <f t="shared" si="99"/>
        <v>#VALUE!</v>
      </c>
      <c r="W153" s="10" t="str">
        <f t="shared" si="84"/>
        <v>-</v>
      </c>
      <c r="X153" s="10" t="str">
        <f t="shared" si="85"/>
        <v>-</v>
      </c>
      <c r="Y153" s="13" t="str">
        <f t="shared" si="100"/>
        <v>-</v>
      </c>
      <c r="Z153" s="9" t="str">
        <f t="shared" si="86"/>
        <v>-</v>
      </c>
      <c r="AA153" s="16" t="str">
        <f t="shared" si="101"/>
        <v>-</v>
      </c>
      <c r="AB153" s="16" t="str">
        <f t="shared" si="87"/>
        <v>-</v>
      </c>
      <c r="AC153" s="16" t="str">
        <f t="shared" si="88"/>
        <v>-</v>
      </c>
      <c r="AD153" s="16" t="str">
        <f t="shared" si="102"/>
        <v>-</v>
      </c>
      <c r="AE153" s="16"/>
      <c r="AF153" s="31" t="str">
        <f>IFERROR(INDEX(Convenience!$M$11:$M$148,MATCH('Calculations - Convenience'!C153,Convenience!$J$11:$J$148,0)),"")</f>
        <v/>
      </c>
      <c r="AG153" s="23" t="str">
        <f t="shared" si="103"/>
        <v/>
      </c>
      <c r="AH153" s="23" t="str">
        <f t="shared" si="103"/>
        <v/>
      </c>
      <c r="AI153" s="9" t="str">
        <f t="shared" si="89"/>
        <v/>
      </c>
      <c r="AJ153" s="4" t="str">
        <f t="shared" si="90"/>
        <v/>
      </c>
      <c r="AK153" s="4"/>
      <c r="AL153" s="4"/>
      <c r="AM153" s="4"/>
      <c r="AN153" s="4"/>
      <c r="AO153" s="4"/>
      <c r="AP153" s="20" t="str">
        <f t="shared" si="91"/>
        <v>-</v>
      </c>
      <c r="AQ153" s="13" t="str">
        <f t="shared" si="104"/>
        <v>-</v>
      </c>
      <c r="AR153" s="13" t="str">
        <f t="shared" si="105"/>
        <v>-</v>
      </c>
      <c r="AS153" s="13" t="str">
        <f t="shared" si="92"/>
        <v>-</v>
      </c>
      <c r="AT153" s="16" t="str">
        <f t="shared" si="106"/>
        <v>-</v>
      </c>
      <c r="AU153" s="16" t="str">
        <f t="shared" si="93"/>
        <v>-</v>
      </c>
      <c r="AV153" s="16" t="str">
        <f t="shared" si="94"/>
        <v>-</v>
      </c>
      <c r="AW153" s="16" t="str">
        <f t="shared" si="107"/>
        <v>-</v>
      </c>
      <c r="AX153" s="13" t="str">
        <f t="shared" si="108"/>
        <v>-</v>
      </c>
      <c r="AY153" s="10" t="str">
        <f t="shared" si="109"/>
        <v>-</v>
      </c>
      <c r="AZ153" s="9" t="str">
        <f t="shared" si="110"/>
        <v>-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</row>
    <row r="154" spans="2:68" x14ac:dyDescent="0.3">
      <c r="B154" s="108" t="str">
        <f t="shared" si="95"/>
        <v/>
      </c>
      <c r="C154" s="108" t="str">
        <f t="shared" si="81"/>
        <v/>
      </c>
      <c r="D154" s="3"/>
      <c r="E154" s="3"/>
      <c r="F154" s="3"/>
      <c r="G154" s="20">
        <f>IFERROR(INDEX('Input - Convenience'!F$2:F$200,MATCH('Calculations - Convenience'!$C154,'Input - Convenience'!$B$2:$B$200,0)),"")</f>
        <v>0</v>
      </c>
      <c r="H154" s="20">
        <f>IFERROR(INDEX('Input - Convenience'!G$2:G$200,MATCH('Calculations - Convenience'!$C154,'Input - Convenience'!$B$2:$B$200,0)),"")</f>
        <v>0</v>
      </c>
      <c r="I154" s="21">
        <f>IFERROR(INDEX('Input - Convenience'!H$2:H$200,MATCH('Calculations - Convenience'!$C154,'Input - Convenience'!$B$2:$B$200,0)),"")</f>
        <v>0</v>
      </c>
      <c r="J154" s="21">
        <f>IFERROR(INDEX('Input - Convenience'!I$2:I$200,MATCH('Calculations - Convenience'!$C154,'Input - Convenience'!$B$2:$B$200,0)),"")</f>
        <v>0</v>
      </c>
      <c r="K154" s="20">
        <f>IFERROR(INDEX('Input - Convenience'!J$2:J$200,MATCH('Calculations - Convenience'!$C154,'Input - Convenience'!$B$2:$B$200,0)),"")</f>
        <v>0</v>
      </c>
      <c r="L154" s="20">
        <f>IFERROR(INDEX('Input - Convenience'!K$2:K$200,MATCH('Calculations - Convenience'!$C154,'Input - Convenience'!$B$2:$B$200,0)),"")</f>
        <v>0</v>
      </c>
      <c r="M154" s="21" t="str">
        <f t="shared" si="96"/>
        <v/>
      </c>
      <c r="N154" s="21" t="str">
        <f t="shared" si="82"/>
        <v/>
      </c>
      <c r="O154" s="21">
        <f t="shared" si="97"/>
        <v>0</v>
      </c>
      <c r="P154" s="9">
        <f t="shared" si="111"/>
        <v>0</v>
      </c>
      <c r="Q154" s="9">
        <f t="shared" si="112"/>
        <v>0</v>
      </c>
      <c r="R154" s="22" t="str">
        <f>IFERROR(INDEX(Convenience!$N$11:$N$148,MATCH('Calculations - Convenience'!$C154,Convenience!$J$11:$J$148,0)),"")</f>
        <v/>
      </c>
      <c r="S154" s="22" t="str">
        <f>IFERROR(INDEX(Convenience!$O$11:$O$148,MATCH('Calculations - Convenience'!$C154,Convenience!$J$11:$J$148,0)),"")</f>
        <v/>
      </c>
      <c r="T154" s="16" t="e">
        <f t="shared" si="83"/>
        <v>#VALUE!</v>
      </c>
      <c r="U154" s="16" t="e">
        <f t="shared" si="98"/>
        <v>#VALUE!</v>
      </c>
      <c r="V154" s="16" t="e">
        <f t="shared" si="99"/>
        <v>#VALUE!</v>
      </c>
      <c r="W154" s="10" t="str">
        <f t="shared" si="84"/>
        <v>-</v>
      </c>
      <c r="X154" s="10" t="str">
        <f t="shared" si="85"/>
        <v>-</v>
      </c>
      <c r="Y154" s="13" t="str">
        <f t="shared" si="100"/>
        <v>-</v>
      </c>
      <c r="Z154" s="9" t="str">
        <f t="shared" si="86"/>
        <v>-</v>
      </c>
      <c r="AA154" s="16" t="str">
        <f t="shared" si="101"/>
        <v>-</v>
      </c>
      <c r="AB154" s="16" t="str">
        <f t="shared" si="87"/>
        <v>-</v>
      </c>
      <c r="AC154" s="16" t="str">
        <f t="shared" si="88"/>
        <v>-</v>
      </c>
      <c r="AD154" s="16" t="str">
        <f t="shared" si="102"/>
        <v>-</v>
      </c>
      <c r="AE154" s="16"/>
      <c r="AF154" s="31" t="str">
        <f>IFERROR(INDEX(Convenience!$M$11:$M$148,MATCH('Calculations - Convenience'!C154,Convenience!$J$11:$J$148,0)),"")</f>
        <v/>
      </c>
      <c r="AG154" s="23" t="str">
        <f t="shared" si="103"/>
        <v/>
      </c>
      <c r="AH154" s="23" t="str">
        <f t="shared" si="103"/>
        <v/>
      </c>
      <c r="AI154" s="9" t="str">
        <f t="shared" si="89"/>
        <v/>
      </c>
      <c r="AJ154" s="4" t="str">
        <f t="shared" si="90"/>
        <v/>
      </c>
      <c r="AK154" s="4"/>
      <c r="AL154" s="4"/>
      <c r="AM154" s="4"/>
      <c r="AN154" s="4"/>
      <c r="AO154" s="4"/>
      <c r="AP154" s="20" t="str">
        <f t="shared" si="91"/>
        <v>-</v>
      </c>
      <c r="AQ154" s="13" t="str">
        <f t="shared" si="104"/>
        <v>-</v>
      </c>
      <c r="AR154" s="13" t="str">
        <f t="shared" si="105"/>
        <v>-</v>
      </c>
      <c r="AS154" s="13" t="str">
        <f t="shared" si="92"/>
        <v>-</v>
      </c>
      <c r="AT154" s="16" t="str">
        <f t="shared" si="106"/>
        <v>-</v>
      </c>
      <c r="AU154" s="16" t="str">
        <f t="shared" si="93"/>
        <v>-</v>
      </c>
      <c r="AV154" s="16" t="str">
        <f t="shared" si="94"/>
        <v>-</v>
      </c>
      <c r="AW154" s="16" t="str">
        <f t="shared" si="107"/>
        <v>-</v>
      </c>
      <c r="AX154" s="13" t="str">
        <f t="shared" si="108"/>
        <v>-</v>
      </c>
      <c r="AY154" s="10" t="str">
        <f t="shared" si="109"/>
        <v>-</v>
      </c>
      <c r="AZ154" s="9" t="str">
        <f t="shared" si="110"/>
        <v>-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</row>
    <row r="155" spans="2:68" x14ac:dyDescent="0.3">
      <c r="B155" s="108" t="str">
        <f t="shared" si="95"/>
        <v/>
      </c>
      <c r="C155" s="108" t="str">
        <f t="shared" si="81"/>
        <v/>
      </c>
      <c r="D155" s="3"/>
      <c r="E155" s="3"/>
      <c r="F155" s="3"/>
      <c r="G155" s="20">
        <f>IFERROR(INDEX('Input - Convenience'!F$2:F$200,MATCH('Calculations - Convenience'!$C155,'Input - Convenience'!$B$2:$B$200,0)),"")</f>
        <v>0</v>
      </c>
      <c r="H155" s="20">
        <f>IFERROR(INDEX('Input - Convenience'!G$2:G$200,MATCH('Calculations - Convenience'!$C155,'Input - Convenience'!$B$2:$B$200,0)),"")</f>
        <v>0</v>
      </c>
      <c r="I155" s="21">
        <f>IFERROR(INDEX('Input - Convenience'!H$2:H$200,MATCH('Calculations - Convenience'!$C155,'Input - Convenience'!$B$2:$B$200,0)),"")</f>
        <v>0</v>
      </c>
      <c r="J155" s="21">
        <f>IFERROR(INDEX('Input - Convenience'!I$2:I$200,MATCH('Calculations - Convenience'!$C155,'Input - Convenience'!$B$2:$B$200,0)),"")</f>
        <v>0</v>
      </c>
      <c r="K155" s="20">
        <f>IFERROR(INDEX('Input - Convenience'!J$2:J$200,MATCH('Calculations - Convenience'!$C155,'Input - Convenience'!$B$2:$B$200,0)),"")</f>
        <v>0</v>
      </c>
      <c r="L155" s="20">
        <f>IFERROR(INDEX('Input - Convenience'!K$2:K$200,MATCH('Calculations - Convenience'!$C155,'Input - Convenience'!$B$2:$B$200,0)),"")</f>
        <v>0</v>
      </c>
      <c r="M155" s="21" t="str">
        <f t="shared" si="96"/>
        <v/>
      </c>
      <c r="N155" s="21" t="str">
        <f t="shared" si="82"/>
        <v/>
      </c>
      <c r="O155" s="21">
        <f t="shared" si="97"/>
        <v>0</v>
      </c>
      <c r="P155" s="9">
        <f t="shared" si="111"/>
        <v>0</v>
      </c>
      <c r="Q155" s="9">
        <f t="shared" si="112"/>
        <v>0</v>
      </c>
      <c r="R155" s="22" t="str">
        <f>IFERROR(INDEX(Convenience!$N$11:$N$148,MATCH('Calculations - Convenience'!$C155,Convenience!$J$11:$J$148,0)),"")</f>
        <v/>
      </c>
      <c r="S155" s="22" t="str">
        <f>IFERROR(INDEX(Convenience!$O$11:$O$148,MATCH('Calculations - Convenience'!$C155,Convenience!$J$11:$J$148,0)),"")</f>
        <v/>
      </c>
      <c r="T155" s="16" t="e">
        <f t="shared" si="83"/>
        <v>#VALUE!</v>
      </c>
      <c r="U155" s="16" t="e">
        <f t="shared" si="98"/>
        <v>#VALUE!</v>
      </c>
      <c r="V155" s="16" t="e">
        <f t="shared" si="99"/>
        <v>#VALUE!</v>
      </c>
      <c r="W155" s="10" t="str">
        <f t="shared" si="84"/>
        <v>-</v>
      </c>
      <c r="X155" s="10" t="str">
        <f t="shared" si="85"/>
        <v>-</v>
      </c>
      <c r="Y155" s="13" t="str">
        <f t="shared" si="100"/>
        <v>-</v>
      </c>
      <c r="Z155" s="9" t="str">
        <f t="shared" si="86"/>
        <v>-</v>
      </c>
      <c r="AA155" s="16" t="str">
        <f t="shared" si="101"/>
        <v>-</v>
      </c>
      <c r="AB155" s="16" t="str">
        <f t="shared" si="87"/>
        <v>-</v>
      </c>
      <c r="AC155" s="16" t="str">
        <f t="shared" si="88"/>
        <v>-</v>
      </c>
      <c r="AD155" s="16" t="str">
        <f t="shared" si="102"/>
        <v>-</v>
      </c>
      <c r="AE155" s="16"/>
      <c r="AF155" s="31" t="str">
        <f>IFERROR(INDEX(Convenience!$M$11:$M$148,MATCH('Calculations - Convenience'!C155,Convenience!$J$11:$J$148,0)),"")</f>
        <v/>
      </c>
      <c r="AG155" s="23" t="str">
        <f t="shared" si="103"/>
        <v/>
      </c>
      <c r="AH155" s="23" t="str">
        <f t="shared" si="103"/>
        <v/>
      </c>
      <c r="AI155" s="9" t="str">
        <f t="shared" si="89"/>
        <v/>
      </c>
      <c r="AJ155" s="4" t="str">
        <f t="shared" si="90"/>
        <v/>
      </c>
      <c r="AK155" s="4"/>
      <c r="AL155" s="4"/>
      <c r="AM155" s="4"/>
      <c r="AN155" s="4"/>
      <c r="AO155" s="4"/>
      <c r="AP155" s="20" t="str">
        <f t="shared" si="91"/>
        <v>-</v>
      </c>
      <c r="AQ155" s="13" t="str">
        <f t="shared" si="104"/>
        <v>-</v>
      </c>
      <c r="AR155" s="13" t="str">
        <f t="shared" si="105"/>
        <v>-</v>
      </c>
      <c r="AS155" s="13" t="str">
        <f t="shared" si="92"/>
        <v>-</v>
      </c>
      <c r="AT155" s="16" t="str">
        <f t="shared" si="106"/>
        <v>-</v>
      </c>
      <c r="AU155" s="16" t="str">
        <f t="shared" si="93"/>
        <v>-</v>
      </c>
      <c r="AV155" s="16" t="str">
        <f t="shared" si="94"/>
        <v>-</v>
      </c>
      <c r="AW155" s="16" t="str">
        <f t="shared" si="107"/>
        <v>-</v>
      </c>
      <c r="AX155" s="13" t="str">
        <f t="shared" si="108"/>
        <v>-</v>
      </c>
      <c r="AY155" s="10" t="str">
        <f t="shared" si="109"/>
        <v>-</v>
      </c>
      <c r="AZ155" s="9" t="str">
        <f t="shared" si="110"/>
        <v>-</v>
      </c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</row>
    <row r="156" spans="2:68" x14ac:dyDescent="0.3">
      <c r="B156" s="108" t="str">
        <f t="shared" si="95"/>
        <v/>
      </c>
      <c r="C156" s="108" t="str">
        <f t="shared" si="81"/>
        <v/>
      </c>
      <c r="D156" s="3"/>
      <c r="E156" s="3"/>
      <c r="F156" s="3"/>
      <c r="G156" s="20">
        <f>IFERROR(INDEX('Input - Convenience'!F$2:F$200,MATCH('Calculations - Convenience'!$C156,'Input - Convenience'!$B$2:$B$200,0)),"")</f>
        <v>0</v>
      </c>
      <c r="H156" s="20">
        <f>IFERROR(INDEX('Input - Convenience'!G$2:G$200,MATCH('Calculations - Convenience'!$C156,'Input - Convenience'!$B$2:$B$200,0)),"")</f>
        <v>0</v>
      </c>
      <c r="I156" s="21">
        <f>IFERROR(INDEX('Input - Convenience'!H$2:H$200,MATCH('Calculations - Convenience'!$C156,'Input - Convenience'!$B$2:$B$200,0)),"")</f>
        <v>0</v>
      </c>
      <c r="J156" s="21">
        <f>IFERROR(INDEX('Input - Convenience'!I$2:I$200,MATCH('Calculations - Convenience'!$C156,'Input - Convenience'!$B$2:$B$200,0)),"")</f>
        <v>0</v>
      </c>
      <c r="K156" s="20">
        <f>IFERROR(INDEX('Input - Convenience'!J$2:J$200,MATCH('Calculations - Convenience'!$C156,'Input - Convenience'!$B$2:$B$200,0)),"")</f>
        <v>0</v>
      </c>
      <c r="L156" s="20">
        <f>IFERROR(INDEX('Input - Convenience'!K$2:K$200,MATCH('Calculations - Convenience'!$C156,'Input - Convenience'!$B$2:$B$200,0)),"")</f>
        <v>0</v>
      </c>
      <c r="M156" s="21" t="str">
        <f t="shared" si="96"/>
        <v/>
      </c>
      <c r="N156" s="21" t="str">
        <f t="shared" si="82"/>
        <v/>
      </c>
      <c r="O156" s="21">
        <f t="shared" si="97"/>
        <v>0</v>
      </c>
      <c r="P156" s="9">
        <f t="shared" si="111"/>
        <v>0</v>
      </c>
      <c r="Q156" s="9">
        <f t="shared" si="112"/>
        <v>0</v>
      </c>
      <c r="R156" s="22" t="str">
        <f>IFERROR(INDEX(Convenience!$N$11:$N$148,MATCH('Calculations - Convenience'!$C156,Convenience!$J$11:$J$148,0)),"")</f>
        <v/>
      </c>
      <c r="S156" s="22" t="str">
        <f>IFERROR(INDEX(Convenience!$O$11:$O$148,MATCH('Calculations - Convenience'!$C156,Convenience!$J$11:$J$148,0)),"")</f>
        <v/>
      </c>
      <c r="T156" s="16" t="e">
        <f t="shared" si="83"/>
        <v>#VALUE!</v>
      </c>
      <c r="U156" s="16" t="e">
        <f t="shared" si="98"/>
        <v>#VALUE!</v>
      </c>
      <c r="V156" s="16" t="e">
        <f t="shared" si="99"/>
        <v>#VALUE!</v>
      </c>
      <c r="W156" s="10" t="str">
        <f t="shared" si="84"/>
        <v>-</v>
      </c>
      <c r="X156" s="10" t="str">
        <f t="shared" si="85"/>
        <v>-</v>
      </c>
      <c r="Y156" s="13" t="str">
        <f t="shared" si="100"/>
        <v>-</v>
      </c>
      <c r="Z156" s="9" t="str">
        <f t="shared" si="86"/>
        <v>-</v>
      </c>
      <c r="AA156" s="16" t="str">
        <f t="shared" si="101"/>
        <v>-</v>
      </c>
      <c r="AB156" s="16" t="str">
        <f t="shared" si="87"/>
        <v>-</v>
      </c>
      <c r="AC156" s="16" t="str">
        <f t="shared" si="88"/>
        <v>-</v>
      </c>
      <c r="AD156" s="16" t="str">
        <f t="shared" si="102"/>
        <v>-</v>
      </c>
      <c r="AE156" s="16"/>
      <c r="AF156" s="31" t="str">
        <f>IFERROR(INDEX(Convenience!$M$11:$M$148,MATCH('Calculations - Convenience'!C156,Convenience!$J$11:$J$148,0)),"")</f>
        <v/>
      </c>
      <c r="AG156" s="23" t="str">
        <f t="shared" si="103"/>
        <v/>
      </c>
      <c r="AH156" s="23" t="str">
        <f t="shared" si="103"/>
        <v/>
      </c>
      <c r="AI156" s="9" t="str">
        <f t="shared" si="89"/>
        <v/>
      </c>
      <c r="AJ156" s="4" t="str">
        <f t="shared" si="90"/>
        <v/>
      </c>
      <c r="AK156" s="4"/>
      <c r="AL156" s="4"/>
      <c r="AM156" s="4"/>
      <c r="AN156" s="4"/>
      <c r="AO156" s="4"/>
      <c r="AP156" s="20" t="str">
        <f t="shared" si="91"/>
        <v>-</v>
      </c>
      <c r="AQ156" s="13" t="str">
        <f t="shared" si="104"/>
        <v>-</v>
      </c>
      <c r="AR156" s="13" t="str">
        <f t="shared" si="105"/>
        <v>-</v>
      </c>
      <c r="AS156" s="13" t="str">
        <f t="shared" si="92"/>
        <v>-</v>
      </c>
      <c r="AT156" s="16" t="str">
        <f t="shared" si="106"/>
        <v>-</v>
      </c>
      <c r="AU156" s="16" t="str">
        <f t="shared" si="93"/>
        <v>-</v>
      </c>
      <c r="AV156" s="16" t="str">
        <f t="shared" si="94"/>
        <v>-</v>
      </c>
      <c r="AW156" s="16" t="str">
        <f t="shared" si="107"/>
        <v>-</v>
      </c>
      <c r="AX156" s="13" t="str">
        <f t="shared" si="108"/>
        <v>-</v>
      </c>
      <c r="AY156" s="10" t="str">
        <f t="shared" si="109"/>
        <v>-</v>
      </c>
      <c r="AZ156" s="9" t="str">
        <f t="shared" si="110"/>
        <v>-</v>
      </c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</row>
    <row r="157" spans="2:68" x14ac:dyDescent="0.3">
      <c r="B157" s="108" t="str">
        <f t="shared" si="95"/>
        <v/>
      </c>
      <c r="C157" s="108" t="str">
        <f t="shared" si="81"/>
        <v/>
      </c>
      <c r="D157" s="3"/>
      <c r="E157" s="3"/>
      <c r="F157" s="3"/>
      <c r="G157" s="20">
        <f>IFERROR(INDEX('Input - Convenience'!F$2:F$200,MATCH('Calculations - Convenience'!$C157,'Input - Convenience'!$B$2:$B$200,0)),"")</f>
        <v>0</v>
      </c>
      <c r="H157" s="20">
        <f>IFERROR(INDEX('Input - Convenience'!G$2:G$200,MATCH('Calculations - Convenience'!$C157,'Input - Convenience'!$B$2:$B$200,0)),"")</f>
        <v>0</v>
      </c>
      <c r="I157" s="21">
        <f>IFERROR(INDEX('Input - Convenience'!H$2:H$200,MATCH('Calculations - Convenience'!$C157,'Input - Convenience'!$B$2:$B$200,0)),"")</f>
        <v>0</v>
      </c>
      <c r="J157" s="21">
        <f>IFERROR(INDEX('Input - Convenience'!I$2:I$200,MATCH('Calculations - Convenience'!$C157,'Input - Convenience'!$B$2:$B$200,0)),"")</f>
        <v>0</v>
      </c>
      <c r="K157" s="20">
        <f>IFERROR(INDEX('Input - Convenience'!J$2:J$200,MATCH('Calculations - Convenience'!$C157,'Input - Convenience'!$B$2:$B$200,0)),"")</f>
        <v>0</v>
      </c>
      <c r="L157" s="20">
        <f>IFERROR(INDEX('Input - Convenience'!K$2:K$200,MATCH('Calculations - Convenience'!$C157,'Input - Convenience'!$B$2:$B$200,0)),"")</f>
        <v>0</v>
      </c>
      <c r="M157" s="21" t="str">
        <f t="shared" si="96"/>
        <v/>
      </c>
      <c r="N157" s="21" t="str">
        <f t="shared" si="82"/>
        <v/>
      </c>
      <c r="O157" s="21">
        <f t="shared" si="97"/>
        <v>0</v>
      </c>
      <c r="P157" s="9">
        <f t="shared" si="111"/>
        <v>0</v>
      </c>
      <c r="Q157" s="9">
        <f t="shared" si="112"/>
        <v>0</v>
      </c>
      <c r="R157" s="22" t="str">
        <f>IFERROR(INDEX(Convenience!$N$11:$N$148,MATCH('Calculations - Convenience'!$C157,Convenience!$J$11:$J$148,0)),"")</f>
        <v/>
      </c>
      <c r="S157" s="22" t="str">
        <f>IFERROR(INDEX(Convenience!$O$11:$O$148,MATCH('Calculations - Convenience'!$C157,Convenience!$J$11:$J$148,0)),"")</f>
        <v/>
      </c>
      <c r="T157" s="16" t="e">
        <f t="shared" si="83"/>
        <v>#VALUE!</v>
      </c>
      <c r="U157" s="16" t="e">
        <f t="shared" si="98"/>
        <v>#VALUE!</v>
      </c>
      <c r="V157" s="16" t="e">
        <f t="shared" si="99"/>
        <v>#VALUE!</v>
      </c>
      <c r="W157" s="10" t="str">
        <f t="shared" si="84"/>
        <v>-</v>
      </c>
      <c r="X157" s="10" t="str">
        <f t="shared" si="85"/>
        <v>-</v>
      </c>
      <c r="Y157" s="13" t="str">
        <f t="shared" si="100"/>
        <v>-</v>
      </c>
      <c r="Z157" s="9" t="str">
        <f t="shared" si="86"/>
        <v>-</v>
      </c>
      <c r="AA157" s="16" t="str">
        <f t="shared" si="101"/>
        <v>-</v>
      </c>
      <c r="AB157" s="16" t="str">
        <f t="shared" si="87"/>
        <v>-</v>
      </c>
      <c r="AC157" s="16" t="str">
        <f t="shared" si="88"/>
        <v>-</v>
      </c>
      <c r="AD157" s="16" t="str">
        <f t="shared" si="102"/>
        <v>-</v>
      </c>
      <c r="AE157" s="16"/>
      <c r="AF157" s="31" t="str">
        <f>IFERROR(INDEX(Convenience!$M$11:$M$148,MATCH('Calculations - Convenience'!C157,Convenience!$J$11:$J$148,0)),"")</f>
        <v/>
      </c>
      <c r="AG157" s="23" t="str">
        <f t="shared" si="103"/>
        <v/>
      </c>
      <c r="AH157" s="23" t="str">
        <f t="shared" si="103"/>
        <v/>
      </c>
      <c r="AI157" s="9" t="str">
        <f t="shared" si="89"/>
        <v/>
      </c>
      <c r="AJ157" s="4" t="str">
        <f t="shared" si="90"/>
        <v/>
      </c>
      <c r="AK157" s="4"/>
      <c r="AL157" s="4"/>
      <c r="AM157" s="4"/>
      <c r="AN157" s="4"/>
      <c r="AO157" s="4"/>
      <c r="AP157" s="20" t="str">
        <f t="shared" si="91"/>
        <v>-</v>
      </c>
      <c r="AQ157" s="13" t="str">
        <f t="shared" si="104"/>
        <v>-</v>
      </c>
      <c r="AR157" s="13" t="str">
        <f t="shared" si="105"/>
        <v>-</v>
      </c>
      <c r="AS157" s="13" t="str">
        <f t="shared" si="92"/>
        <v>-</v>
      </c>
      <c r="AT157" s="16" t="str">
        <f t="shared" si="106"/>
        <v>-</v>
      </c>
      <c r="AU157" s="16" t="str">
        <f t="shared" si="93"/>
        <v>-</v>
      </c>
      <c r="AV157" s="16" t="str">
        <f t="shared" si="94"/>
        <v>-</v>
      </c>
      <c r="AW157" s="16" t="str">
        <f t="shared" si="107"/>
        <v>-</v>
      </c>
      <c r="AX157" s="13" t="str">
        <f t="shared" si="108"/>
        <v>-</v>
      </c>
      <c r="AY157" s="10" t="str">
        <f t="shared" si="109"/>
        <v>-</v>
      </c>
      <c r="AZ157" s="9" t="str">
        <f t="shared" si="110"/>
        <v>-</v>
      </c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</row>
    <row r="158" spans="2:68" x14ac:dyDescent="0.3">
      <c r="B158" s="108" t="str">
        <f t="shared" si="95"/>
        <v/>
      </c>
      <c r="C158" s="108" t="str">
        <f t="shared" si="81"/>
        <v/>
      </c>
      <c r="D158" s="3"/>
      <c r="E158" s="3"/>
      <c r="F158" s="3"/>
      <c r="G158" s="20">
        <f>IFERROR(INDEX('Input - Convenience'!F$2:F$200,MATCH('Calculations - Convenience'!$C158,'Input - Convenience'!$B$2:$B$200,0)),"")</f>
        <v>0</v>
      </c>
      <c r="H158" s="20">
        <f>IFERROR(INDEX('Input - Convenience'!G$2:G$200,MATCH('Calculations - Convenience'!$C158,'Input - Convenience'!$B$2:$B$200,0)),"")</f>
        <v>0</v>
      </c>
      <c r="I158" s="21">
        <f>IFERROR(INDEX('Input - Convenience'!H$2:H$200,MATCH('Calculations - Convenience'!$C158,'Input - Convenience'!$B$2:$B$200,0)),"")</f>
        <v>0</v>
      </c>
      <c r="J158" s="21">
        <f>IFERROR(INDEX('Input - Convenience'!I$2:I$200,MATCH('Calculations - Convenience'!$C158,'Input - Convenience'!$B$2:$B$200,0)),"")</f>
        <v>0</v>
      </c>
      <c r="K158" s="20">
        <f>IFERROR(INDEX('Input - Convenience'!J$2:J$200,MATCH('Calculations - Convenience'!$C158,'Input - Convenience'!$B$2:$B$200,0)),"")</f>
        <v>0</v>
      </c>
      <c r="L158" s="20">
        <f>IFERROR(INDEX('Input - Convenience'!K$2:K$200,MATCH('Calculations - Convenience'!$C158,'Input - Convenience'!$B$2:$B$200,0)),"")</f>
        <v>0</v>
      </c>
      <c r="M158" s="21" t="str">
        <f t="shared" si="96"/>
        <v/>
      </c>
      <c r="N158" s="21" t="str">
        <f t="shared" si="82"/>
        <v/>
      </c>
      <c r="O158" s="21">
        <f t="shared" si="97"/>
        <v>0</v>
      </c>
      <c r="P158" s="9">
        <f t="shared" si="111"/>
        <v>0</v>
      </c>
      <c r="Q158" s="9">
        <f t="shared" si="112"/>
        <v>0</v>
      </c>
      <c r="R158" s="22" t="str">
        <f>IFERROR(INDEX(Convenience!$N$11:$N$148,MATCH('Calculations - Convenience'!$C158,Convenience!$J$11:$J$148,0)),"")</f>
        <v/>
      </c>
      <c r="S158" s="22" t="str">
        <f>IFERROR(INDEX(Convenience!$O$11:$O$148,MATCH('Calculations - Convenience'!$C158,Convenience!$J$11:$J$148,0)),"")</f>
        <v/>
      </c>
      <c r="T158" s="16" t="e">
        <f t="shared" si="83"/>
        <v>#VALUE!</v>
      </c>
      <c r="U158" s="16" t="e">
        <f t="shared" si="98"/>
        <v>#VALUE!</v>
      </c>
      <c r="V158" s="16" t="e">
        <f t="shared" si="99"/>
        <v>#VALUE!</v>
      </c>
      <c r="W158" s="10" t="str">
        <f t="shared" si="84"/>
        <v>-</v>
      </c>
      <c r="X158" s="10" t="str">
        <f t="shared" si="85"/>
        <v>-</v>
      </c>
      <c r="Y158" s="13" t="str">
        <f t="shared" si="100"/>
        <v>-</v>
      </c>
      <c r="Z158" s="9" t="str">
        <f t="shared" si="86"/>
        <v>-</v>
      </c>
      <c r="AA158" s="16" t="str">
        <f t="shared" si="101"/>
        <v>-</v>
      </c>
      <c r="AB158" s="16" t="str">
        <f t="shared" si="87"/>
        <v>-</v>
      </c>
      <c r="AC158" s="16" t="str">
        <f t="shared" si="88"/>
        <v>-</v>
      </c>
      <c r="AD158" s="16" t="str">
        <f t="shared" si="102"/>
        <v>-</v>
      </c>
      <c r="AE158" s="16"/>
      <c r="AF158" s="31" t="str">
        <f>IFERROR(INDEX(Convenience!$M$11:$M$148,MATCH('Calculations - Convenience'!C158,Convenience!$J$11:$J$148,0)),"")</f>
        <v/>
      </c>
      <c r="AG158" s="23" t="str">
        <f t="shared" si="103"/>
        <v/>
      </c>
      <c r="AH158" s="23" t="str">
        <f t="shared" si="103"/>
        <v/>
      </c>
      <c r="AI158" s="9" t="str">
        <f t="shared" si="89"/>
        <v/>
      </c>
      <c r="AJ158" s="4" t="str">
        <f t="shared" si="90"/>
        <v/>
      </c>
      <c r="AK158" s="4"/>
      <c r="AL158" s="4"/>
      <c r="AM158" s="4"/>
      <c r="AN158" s="4"/>
      <c r="AO158" s="4"/>
      <c r="AP158" s="20" t="str">
        <f t="shared" si="91"/>
        <v>-</v>
      </c>
      <c r="AQ158" s="13" t="str">
        <f t="shared" si="104"/>
        <v>-</v>
      </c>
      <c r="AR158" s="13" t="str">
        <f t="shared" si="105"/>
        <v>-</v>
      </c>
      <c r="AS158" s="13" t="str">
        <f t="shared" si="92"/>
        <v>-</v>
      </c>
      <c r="AT158" s="16" t="str">
        <f t="shared" si="106"/>
        <v>-</v>
      </c>
      <c r="AU158" s="16" t="str">
        <f t="shared" si="93"/>
        <v>-</v>
      </c>
      <c r="AV158" s="16" t="str">
        <f t="shared" si="94"/>
        <v>-</v>
      </c>
      <c r="AW158" s="16" t="str">
        <f t="shared" si="107"/>
        <v>-</v>
      </c>
      <c r="AX158" s="13" t="str">
        <f t="shared" si="108"/>
        <v>-</v>
      </c>
      <c r="AY158" s="10" t="str">
        <f t="shared" si="109"/>
        <v>-</v>
      </c>
      <c r="AZ158" s="9" t="str">
        <f t="shared" si="110"/>
        <v>-</v>
      </c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</row>
    <row r="159" spans="2:68" x14ac:dyDescent="0.3">
      <c r="B159" s="108" t="str">
        <f t="shared" si="95"/>
        <v/>
      </c>
      <c r="C159" s="108" t="str">
        <f t="shared" si="81"/>
        <v/>
      </c>
      <c r="D159" s="3"/>
      <c r="E159" s="3"/>
      <c r="F159" s="3"/>
      <c r="G159" s="20">
        <f>IFERROR(INDEX('Input - Convenience'!F$2:F$200,MATCH('Calculations - Convenience'!$C159,'Input - Convenience'!$B$2:$B$200,0)),"")</f>
        <v>0</v>
      </c>
      <c r="H159" s="20">
        <f>IFERROR(INDEX('Input - Convenience'!G$2:G$200,MATCH('Calculations - Convenience'!$C159,'Input - Convenience'!$B$2:$B$200,0)),"")</f>
        <v>0</v>
      </c>
      <c r="I159" s="21">
        <f>IFERROR(INDEX('Input - Convenience'!H$2:H$200,MATCH('Calculations - Convenience'!$C159,'Input - Convenience'!$B$2:$B$200,0)),"")</f>
        <v>0</v>
      </c>
      <c r="J159" s="21">
        <f>IFERROR(INDEX('Input - Convenience'!I$2:I$200,MATCH('Calculations - Convenience'!$C159,'Input - Convenience'!$B$2:$B$200,0)),"")</f>
        <v>0</v>
      </c>
      <c r="K159" s="20">
        <f>IFERROR(INDEX('Input - Convenience'!J$2:J$200,MATCH('Calculations - Convenience'!$C159,'Input - Convenience'!$B$2:$B$200,0)),"")</f>
        <v>0</v>
      </c>
      <c r="L159" s="20">
        <f>IFERROR(INDEX('Input - Convenience'!K$2:K$200,MATCH('Calculations - Convenience'!$C159,'Input - Convenience'!$B$2:$B$200,0)),"")</f>
        <v>0</v>
      </c>
      <c r="M159" s="21" t="str">
        <f t="shared" si="96"/>
        <v/>
      </c>
      <c r="N159" s="21" t="str">
        <f t="shared" si="82"/>
        <v/>
      </c>
      <c r="O159" s="21">
        <f t="shared" si="97"/>
        <v>0</v>
      </c>
      <c r="P159" s="9">
        <f t="shared" si="111"/>
        <v>0</v>
      </c>
      <c r="Q159" s="9">
        <f t="shared" si="112"/>
        <v>0</v>
      </c>
      <c r="R159" s="22" t="str">
        <f>IFERROR(INDEX(Convenience!$N$11:$N$148,MATCH('Calculations - Convenience'!$C159,Convenience!$J$11:$J$148,0)),"")</f>
        <v/>
      </c>
      <c r="S159" s="22" t="str">
        <f>IFERROR(INDEX(Convenience!$O$11:$O$148,MATCH('Calculations - Convenience'!$C159,Convenience!$J$11:$J$148,0)),"")</f>
        <v/>
      </c>
      <c r="T159" s="16" t="e">
        <f t="shared" si="83"/>
        <v>#VALUE!</v>
      </c>
      <c r="U159" s="16" t="e">
        <f t="shared" si="98"/>
        <v>#VALUE!</v>
      </c>
      <c r="V159" s="16" t="e">
        <f t="shared" si="99"/>
        <v>#VALUE!</v>
      </c>
      <c r="W159" s="10" t="str">
        <f t="shared" si="84"/>
        <v>-</v>
      </c>
      <c r="X159" s="10" t="str">
        <f t="shared" si="85"/>
        <v>-</v>
      </c>
      <c r="Y159" s="13" t="str">
        <f t="shared" si="100"/>
        <v>-</v>
      </c>
      <c r="Z159" s="9" t="str">
        <f t="shared" si="86"/>
        <v>-</v>
      </c>
      <c r="AA159" s="16" t="str">
        <f t="shared" si="101"/>
        <v>-</v>
      </c>
      <c r="AB159" s="16" t="str">
        <f t="shared" si="87"/>
        <v>-</v>
      </c>
      <c r="AC159" s="16" t="str">
        <f t="shared" si="88"/>
        <v>-</v>
      </c>
      <c r="AD159" s="16" t="str">
        <f t="shared" si="102"/>
        <v>-</v>
      </c>
      <c r="AE159" s="16"/>
      <c r="AF159" s="31" t="str">
        <f>IFERROR(INDEX(Convenience!$M$11:$M$148,MATCH('Calculations - Convenience'!C159,Convenience!$J$11:$J$148,0)),"")</f>
        <v/>
      </c>
      <c r="AG159" s="23" t="str">
        <f t="shared" si="103"/>
        <v/>
      </c>
      <c r="AH159" s="23" t="str">
        <f t="shared" si="103"/>
        <v/>
      </c>
      <c r="AI159" s="9" t="str">
        <f t="shared" si="89"/>
        <v/>
      </c>
      <c r="AJ159" s="4" t="str">
        <f t="shared" si="90"/>
        <v/>
      </c>
      <c r="AK159" s="4"/>
      <c r="AL159" s="4"/>
      <c r="AM159" s="4"/>
      <c r="AN159" s="4"/>
      <c r="AO159" s="4"/>
      <c r="AP159" s="20" t="str">
        <f t="shared" si="91"/>
        <v>-</v>
      </c>
      <c r="AQ159" s="13" t="str">
        <f t="shared" si="104"/>
        <v>-</v>
      </c>
      <c r="AR159" s="13" t="str">
        <f t="shared" si="105"/>
        <v>-</v>
      </c>
      <c r="AS159" s="13" t="str">
        <f t="shared" si="92"/>
        <v>-</v>
      </c>
      <c r="AT159" s="16" t="str">
        <f t="shared" si="106"/>
        <v>-</v>
      </c>
      <c r="AU159" s="16" t="str">
        <f t="shared" si="93"/>
        <v>-</v>
      </c>
      <c r="AV159" s="16" t="str">
        <f t="shared" si="94"/>
        <v>-</v>
      </c>
      <c r="AW159" s="16" t="str">
        <f t="shared" si="107"/>
        <v>-</v>
      </c>
      <c r="AX159" s="13" t="str">
        <f t="shared" si="108"/>
        <v>-</v>
      </c>
      <c r="AY159" s="10" t="str">
        <f t="shared" si="109"/>
        <v>-</v>
      </c>
      <c r="AZ159" s="9" t="str">
        <f t="shared" si="110"/>
        <v>-</v>
      </c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</row>
    <row r="160" spans="2:68" x14ac:dyDescent="0.3">
      <c r="B160" s="108" t="str">
        <f t="shared" si="95"/>
        <v/>
      </c>
      <c r="C160" s="108" t="str">
        <f t="shared" ref="C160:C223" si="113">IFERROR(D160&amp;E160&amp;F160,"")</f>
        <v/>
      </c>
      <c r="D160" s="3"/>
      <c r="E160" s="3"/>
      <c r="F160" s="3"/>
      <c r="G160" s="20">
        <f>IFERROR(INDEX('Input - Convenience'!F$2:F$200,MATCH('Calculations - Convenience'!$C160,'Input - Convenience'!$B$2:$B$200,0)),"")</f>
        <v>0</v>
      </c>
      <c r="H160" s="20">
        <f>IFERROR(INDEX('Input - Convenience'!G$2:G$200,MATCH('Calculations - Convenience'!$C160,'Input - Convenience'!$B$2:$B$200,0)),"")</f>
        <v>0</v>
      </c>
      <c r="I160" s="21">
        <f>IFERROR(INDEX('Input - Convenience'!H$2:H$200,MATCH('Calculations - Convenience'!$C160,'Input - Convenience'!$B$2:$B$200,0)),"")</f>
        <v>0</v>
      </c>
      <c r="J160" s="21">
        <f>IFERROR(INDEX('Input - Convenience'!I$2:I$200,MATCH('Calculations - Convenience'!$C160,'Input - Convenience'!$B$2:$B$200,0)),"")</f>
        <v>0</v>
      </c>
      <c r="K160" s="20">
        <f>IFERROR(INDEX('Input - Convenience'!J$2:J$200,MATCH('Calculations - Convenience'!$C160,'Input - Convenience'!$B$2:$B$200,0)),"")</f>
        <v>0</v>
      </c>
      <c r="L160" s="20">
        <f>IFERROR(INDEX('Input - Convenience'!K$2:K$200,MATCH('Calculations - Convenience'!$C160,'Input - Convenience'!$B$2:$B$200,0)),"")</f>
        <v>0</v>
      </c>
      <c r="M160" s="21" t="str">
        <f t="shared" si="96"/>
        <v/>
      </c>
      <c r="N160" s="21" t="str">
        <f t="shared" ref="N160:N223" si="114">IFERROR(K160/L160,"")</f>
        <v/>
      </c>
      <c r="O160" s="21">
        <f t="shared" si="97"/>
        <v>0</v>
      </c>
      <c r="P160" s="9">
        <f t="shared" si="111"/>
        <v>0</v>
      </c>
      <c r="Q160" s="9">
        <f t="shared" si="112"/>
        <v>0</v>
      </c>
      <c r="R160" s="22" t="str">
        <f>IFERROR(INDEX(Convenience!$N$11:$N$148,MATCH('Calculations - Convenience'!$C160,Convenience!$J$11:$J$148,0)),"")</f>
        <v/>
      </c>
      <c r="S160" s="22" t="str">
        <f>IFERROR(INDEX(Convenience!$O$11:$O$148,MATCH('Calculations - Convenience'!$C160,Convenience!$J$11:$J$148,0)),"")</f>
        <v/>
      </c>
      <c r="T160" s="16" t="e">
        <f t="shared" ref="T160:T223" si="115">R160*G160</f>
        <v>#VALUE!</v>
      </c>
      <c r="U160" s="16" t="e">
        <f t="shared" si="98"/>
        <v>#VALUE!</v>
      </c>
      <c r="V160" s="16" t="e">
        <f t="shared" si="99"/>
        <v>#VALUE!</v>
      </c>
      <c r="W160" s="10" t="str">
        <f t="shared" ref="W160:W223" si="116">IFERROR(V160/H160,"-")</f>
        <v>-</v>
      </c>
      <c r="X160" s="10" t="str">
        <f t="shared" ref="X160:X223" si="117">IFERROR((J160+M160)*H160*0.5,"-")</f>
        <v>-</v>
      </c>
      <c r="Y160" s="13" t="str">
        <f t="shared" si="100"/>
        <v>-</v>
      </c>
      <c r="Z160" s="9" t="str">
        <f t="shared" ref="Z160:Z223" si="118">IFERROR(Y160-P160,"-")</f>
        <v>-</v>
      </c>
      <c r="AA160" s="16" t="str">
        <f t="shared" si="101"/>
        <v>-</v>
      </c>
      <c r="AB160" s="16" t="str">
        <f t="shared" ref="AB160:AB223" si="119">IFERROR(AA160/M160,"-")</f>
        <v>-</v>
      </c>
      <c r="AC160" s="16" t="str">
        <f t="shared" ref="AC160:AC223" si="120">IFERROR(R160*AA160,"-")</f>
        <v>-</v>
      </c>
      <c r="AD160" s="16" t="str">
        <f t="shared" si="102"/>
        <v>-</v>
      </c>
      <c r="AE160" s="16"/>
      <c r="AF160" s="31" t="str">
        <f>IFERROR(INDEX(Convenience!$M$11:$M$148,MATCH('Calculations - Convenience'!C160,Convenience!$J$11:$J$148,0)),"")</f>
        <v/>
      </c>
      <c r="AG160" s="23" t="str">
        <f t="shared" si="103"/>
        <v/>
      </c>
      <c r="AH160" s="23" t="str">
        <f t="shared" si="103"/>
        <v/>
      </c>
      <c r="AI160" s="9" t="str">
        <f t="shared" ref="AI160:AI223" si="121">IFERROR((AF160-M160)/M160,"")</f>
        <v/>
      </c>
      <c r="AJ160" s="4" t="str">
        <f t="shared" ref="AJ160:AJ223" si="122">IFERROR(MAX((1+AI160*O160/5)*H160,0),"")</f>
        <v/>
      </c>
      <c r="AK160" s="4"/>
      <c r="AL160" s="4"/>
      <c r="AM160" s="4"/>
      <c r="AN160" s="4"/>
      <c r="AO160" s="4"/>
      <c r="AP160" s="20" t="str">
        <f t="shared" ref="AP160:AP223" si="123">IFERROR(0.5*(J160+AF160)*AJ160,"-")</f>
        <v>-</v>
      </c>
      <c r="AQ160" s="13" t="str">
        <f t="shared" si="104"/>
        <v>-</v>
      </c>
      <c r="AR160" s="13" t="str">
        <f t="shared" si="105"/>
        <v>-</v>
      </c>
      <c r="AS160" s="13" t="str">
        <f t="shared" ref="AS160:AS223" si="124">IFERROR(AR160-P160,"-")</f>
        <v>-</v>
      </c>
      <c r="AT160" s="16" t="str">
        <f t="shared" si="106"/>
        <v>-</v>
      </c>
      <c r="AU160" s="16" t="str">
        <f t="shared" ref="AU160:AU223" si="125">IFERROR(AT160/AF160,"-")</f>
        <v>-</v>
      </c>
      <c r="AV160" s="16" t="str">
        <f t="shared" ref="AV160:AV223" si="126">IFERROR(AG160*AT160,"-")</f>
        <v>-</v>
      </c>
      <c r="AW160" s="16" t="str">
        <f t="shared" si="107"/>
        <v>-</v>
      </c>
      <c r="AX160" s="13" t="str">
        <f t="shared" si="108"/>
        <v>-</v>
      </c>
      <c r="AY160" s="10" t="str">
        <f t="shared" si="109"/>
        <v>-</v>
      </c>
      <c r="AZ160" s="9" t="str">
        <f t="shared" si="110"/>
        <v>-</v>
      </c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</row>
    <row r="161" spans="2:68" x14ac:dyDescent="0.3">
      <c r="B161" s="108" t="str">
        <f t="shared" ref="B161:B224" si="127">IFERROR(D161&amp;E161,"")</f>
        <v/>
      </c>
      <c r="C161" s="108" t="str">
        <f t="shared" si="113"/>
        <v/>
      </c>
      <c r="D161" s="3"/>
      <c r="E161" s="3"/>
      <c r="F161" s="3"/>
      <c r="G161" s="20">
        <f>IFERROR(INDEX('Input - Convenience'!F$2:F$200,MATCH('Calculations - Convenience'!$C161,'Input - Convenience'!$B$2:$B$200,0)),"")</f>
        <v>0</v>
      </c>
      <c r="H161" s="20">
        <f>IFERROR(INDEX('Input - Convenience'!G$2:G$200,MATCH('Calculations - Convenience'!$C161,'Input - Convenience'!$B$2:$B$200,0)),"")</f>
        <v>0</v>
      </c>
      <c r="I161" s="21">
        <f>IFERROR(INDEX('Input - Convenience'!H$2:H$200,MATCH('Calculations - Convenience'!$C161,'Input - Convenience'!$B$2:$B$200,0)),"")</f>
        <v>0</v>
      </c>
      <c r="J161" s="21">
        <f>IFERROR(INDEX('Input - Convenience'!I$2:I$200,MATCH('Calculations - Convenience'!$C161,'Input - Convenience'!$B$2:$B$200,0)),"")</f>
        <v>0</v>
      </c>
      <c r="K161" s="20">
        <f>IFERROR(INDEX('Input - Convenience'!J$2:J$200,MATCH('Calculations - Convenience'!$C161,'Input - Convenience'!$B$2:$B$200,0)),"")</f>
        <v>0</v>
      </c>
      <c r="L161" s="20">
        <f>IFERROR(INDEX('Input - Convenience'!K$2:K$200,MATCH('Calculations - Convenience'!$C161,'Input - Convenience'!$B$2:$B$200,0)),"")</f>
        <v>0</v>
      </c>
      <c r="M161" s="21" t="str">
        <f t="shared" ref="M161:M224" si="128">IFERROR(G161/H161,"")</f>
        <v/>
      </c>
      <c r="N161" s="21" t="str">
        <f t="shared" si="114"/>
        <v/>
      </c>
      <c r="O161" s="21">
        <f t="shared" ref="O161:O224" si="129">IFERROR((M161/(M161-J161)*5),0)</f>
        <v>0</v>
      </c>
      <c r="P161" s="9">
        <f t="shared" si="111"/>
        <v>0</v>
      </c>
      <c r="Q161" s="9">
        <f t="shared" si="112"/>
        <v>0</v>
      </c>
      <c r="R161" s="22" t="str">
        <f>IFERROR(INDEX(Convenience!$N$11:$N$148,MATCH('Calculations - Convenience'!$C161,Convenience!$J$11:$J$148,0)),"")</f>
        <v/>
      </c>
      <c r="S161" s="22" t="str">
        <f>IFERROR(INDEX(Convenience!$O$11:$O$148,MATCH('Calculations - Convenience'!$C161,Convenience!$J$11:$J$148,0)),"")</f>
        <v/>
      </c>
      <c r="T161" s="16" t="e">
        <f t="shared" si="115"/>
        <v>#VALUE!</v>
      </c>
      <c r="U161" s="16" t="e">
        <f t="shared" ref="U161:U224" si="130">S161*T161</f>
        <v>#VALUE!</v>
      </c>
      <c r="V161" s="16" t="e">
        <f t="shared" ref="V161:V224" si="131">T161-U161</f>
        <v>#VALUE!</v>
      </c>
      <c r="W161" s="10" t="str">
        <f t="shared" si="116"/>
        <v>-</v>
      </c>
      <c r="X161" s="10" t="str">
        <f t="shared" si="117"/>
        <v>-</v>
      </c>
      <c r="Y161" s="13" t="str">
        <f t="shared" ref="Y161:Y224" si="132">IFERROR(X161/$X$30,"-")</f>
        <v>-</v>
      </c>
      <c r="Z161" s="9" t="str">
        <f t="shared" si="118"/>
        <v>-</v>
      </c>
      <c r="AA161" s="16" t="str">
        <f t="shared" ref="AA161:AA224" si="133">IFERROR(Y161*$G$30,"-")</f>
        <v>-</v>
      </c>
      <c r="AB161" s="16" t="str">
        <f t="shared" si="119"/>
        <v>-</v>
      </c>
      <c r="AC161" s="16" t="str">
        <f t="shared" si="120"/>
        <v>-</v>
      </c>
      <c r="AD161" s="16" t="str">
        <f t="shared" ref="AD161:AD224" si="134">IFERROR(AC161-(W161)*AB161,"-")</f>
        <v>-</v>
      </c>
      <c r="AE161" s="16"/>
      <c r="AF161" s="31" t="str">
        <f>IFERROR(INDEX(Convenience!$M$11:$M$148,MATCH('Calculations - Convenience'!C161,Convenience!$J$11:$J$148,0)),"")</f>
        <v/>
      </c>
      <c r="AG161" s="23" t="str">
        <f t="shared" ref="AG161:AH224" si="135">R161</f>
        <v/>
      </c>
      <c r="AH161" s="23" t="str">
        <f t="shared" si="135"/>
        <v/>
      </c>
      <c r="AI161" s="9" t="str">
        <f t="shared" si="121"/>
        <v/>
      </c>
      <c r="AJ161" s="4" t="str">
        <f t="shared" si="122"/>
        <v/>
      </c>
      <c r="AK161" s="4"/>
      <c r="AL161" s="4"/>
      <c r="AM161" s="4"/>
      <c r="AN161" s="4"/>
      <c r="AO161" s="4"/>
      <c r="AP161" s="20" t="str">
        <f t="shared" si="123"/>
        <v>-</v>
      </c>
      <c r="AQ161" s="13" t="str">
        <f t="shared" ref="AQ161:AQ224" si="136">IFERROR(AP161/AP$30,"-")</f>
        <v>-</v>
      </c>
      <c r="AR161" s="13" t="str">
        <f t="shared" ref="AR161:AR224" si="137">IFERROR(AQ161*$P$30,"-")</f>
        <v>-</v>
      </c>
      <c r="AS161" s="13" t="str">
        <f t="shared" si="124"/>
        <v>-</v>
      </c>
      <c r="AT161" s="16" t="str">
        <f t="shared" ref="AT161:AT224" si="138">IFERROR(AR161*AO$32,"-")</f>
        <v>-</v>
      </c>
      <c r="AU161" s="16" t="str">
        <f t="shared" si="125"/>
        <v>-</v>
      </c>
      <c r="AV161" s="16" t="str">
        <f t="shared" si="126"/>
        <v>-</v>
      </c>
      <c r="AW161" s="16" t="str">
        <f t="shared" ref="AW161:AW224" si="139">IFERROR(AV161-(W161*AU161),"-")</f>
        <v>-</v>
      </c>
      <c r="AX161" s="13" t="str">
        <f t="shared" ref="AX161:AX224" si="140">IFERROR(AU161/SUMIFS($AU$32:$AU$229,$B$32:$B$229,$B161),"-")</f>
        <v>-</v>
      </c>
      <c r="AY161" s="10" t="str">
        <f t="shared" ref="AY161:AY224" si="141">IFERROR(AX161*INDEX($AU$4:$AU$24,MATCH($B161,$D$4:$D$24,0)),"-")</f>
        <v>-</v>
      </c>
      <c r="AZ161" s="9" t="str">
        <f t="shared" ref="AZ161:AZ224" si="142">IFERROR(AY161/SUM($AY$32:$AY$229),"-")</f>
        <v>-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</row>
    <row r="162" spans="2:68" x14ac:dyDescent="0.3">
      <c r="B162" s="108" t="str">
        <f t="shared" si="127"/>
        <v/>
      </c>
      <c r="C162" s="108" t="str">
        <f t="shared" si="113"/>
        <v/>
      </c>
      <c r="D162" s="3"/>
      <c r="E162" s="3"/>
      <c r="F162" s="3"/>
      <c r="G162" s="20">
        <f>IFERROR(INDEX('Input - Convenience'!F$2:F$200,MATCH('Calculations - Convenience'!$C162,'Input - Convenience'!$B$2:$B$200,0)),"")</f>
        <v>0</v>
      </c>
      <c r="H162" s="20">
        <f>IFERROR(INDEX('Input - Convenience'!G$2:G$200,MATCH('Calculations - Convenience'!$C162,'Input - Convenience'!$B$2:$B$200,0)),"")</f>
        <v>0</v>
      </c>
      <c r="I162" s="21">
        <f>IFERROR(INDEX('Input - Convenience'!H$2:H$200,MATCH('Calculations - Convenience'!$C162,'Input - Convenience'!$B$2:$B$200,0)),"")</f>
        <v>0</v>
      </c>
      <c r="J162" s="21">
        <f>IFERROR(INDEX('Input - Convenience'!I$2:I$200,MATCH('Calculations - Convenience'!$C162,'Input - Convenience'!$B$2:$B$200,0)),"")</f>
        <v>0</v>
      </c>
      <c r="K162" s="20">
        <f>IFERROR(INDEX('Input - Convenience'!J$2:J$200,MATCH('Calculations - Convenience'!$C162,'Input - Convenience'!$B$2:$B$200,0)),"")</f>
        <v>0</v>
      </c>
      <c r="L162" s="20">
        <f>IFERROR(INDEX('Input - Convenience'!K$2:K$200,MATCH('Calculations - Convenience'!$C162,'Input - Convenience'!$B$2:$B$200,0)),"")</f>
        <v>0</v>
      </c>
      <c r="M162" s="21" t="str">
        <f t="shared" si="128"/>
        <v/>
      </c>
      <c r="N162" s="21" t="str">
        <f t="shared" si="114"/>
        <v/>
      </c>
      <c r="O162" s="21">
        <f t="shared" si="129"/>
        <v>0</v>
      </c>
      <c r="P162" s="9">
        <f t="shared" si="111"/>
        <v>0</v>
      </c>
      <c r="Q162" s="9">
        <f t="shared" si="112"/>
        <v>0</v>
      </c>
      <c r="R162" s="22" t="str">
        <f>IFERROR(INDEX(Convenience!$N$11:$N$148,MATCH('Calculations - Convenience'!$C162,Convenience!$J$11:$J$148,0)),"")</f>
        <v/>
      </c>
      <c r="S162" s="22" t="str">
        <f>IFERROR(INDEX(Convenience!$O$11:$O$148,MATCH('Calculations - Convenience'!$C162,Convenience!$J$11:$J$148,0)),"")</f>
        <v/>
      </c>
      <c r="T162" s="16" t="e">
        <f t="shared" si="115"/>
        <v>#VALUE!</v>
      </c>
      <c r="U162" s="16" t="e">
        <f t="shared" si="130"/>
        <v>#VALUE!</v>
      </c>
      <c r="V162" s="16" t="e">
        <f t="shared" si="131"/>
        <v>#VALUE!</v>
      </c>
      <c r="W162" s="10" t="str">
        <f t="shared" si="116"/>
        <v>-</v>
      </c>
      <c r="X162" s="10" t="str">
        <f t="shared" si="117"/>
        <v>-</v>
      </c>
      <c r="Y162" s="13" t="str">
        <f t="shared" si="132"/>
        <v>-</v>
      </c>
      <c r="Z162" s="9" t="str">
        <f t="shared" si="118"/>
        <v>-</v>
      </c>
      <c r="AA162" s="16" t="str">
        <f t="shared" si="133"/>
        <v>-</v>
      </c>
      <c r="AB162" s="16" t="str">
        <f t="shared" si="119"/>
        <v>-</v>
      </c>
      <c r="AC162" s="16" t="str">
        <f t="shared" si="120"/>
        <v>-</v>
      </c>
      <c r="AD162" s="16" t="str">
        <f t="shared" si="134"/>
        <v>-</v>
      </c>
      <c r="AE162" s="16"/>
      <c r="AF162" s="31" t="str">
        <f>IFERROR(INDEX(Convenience!$M$11:$M$148,MATCH('Calculations - Convenience'!C162,Convenience!$J$11:$J$148,0)),"")</f>
        <v/>
      </c>
      <c r="AG162" s="23" t="str">
        <f t="shared" si="135"/>
        <v/>
      </c>
      <c r="AH162" s="23" t="str">
        <f t="shared" si="135"/>
        <v/>
      </c>
      <c r="AI162" s="9" t="str">
        <f t="shared" si="121"/>
        <v/>
      </c>
      <c r="AJ162" s="4" t="str">
        <f t="shared" si="122"/>
        <v/>
      </c>
      <c r="AK162" s="4"/>
      <c r="AL162" s="4"/>
      <c r="AM162" s="4"/>
      <c r="AN162" s="4"/>
      <c r="AO162" s="4"/>
      <c r="AP162" s="20" t="str">
        <f t="shared" si="123"/>
        <v>-</v>
      </c>
      <c r="AQ162" s="13" t="str">
        <f t="shared" si="136"/>
        <v>-</v>
      </c>
      <c r="AR162" s="13" t="str">
        <f t="shared" si="137"/>
        <v>-</v>
      </c>
      <c r="AS162" s="13" t="str">
        <f t="shared" si="124"/>
        <v>-</v>
      </c>
      <c r="AT162" s="16" t="str">
        <f t="shared" si="138"/>
        <v>-</v>
      </c>
      <c r="AU162" s="16" t="str">
        <f t="shared" si="125"/>
        <v>-</v>
      </c>
      <c r="AV162" s="16" t="str">
        <f t="shared" si="126"/>
        <v>-</v>
      </c>
      <c r="AW162" s="16" t="str">
        <f t="shared" si="139"/>
        <v>-</v>
      </c>
      <c r="AX162" s="13" t="str">
        <f t="shared" si="140"/>
        <v>-</v>
      </c>
      <c r="AY162" s="10" t="str">
        <f t="shared" si="141"/>
        <v>-</v>
      </c>
      <c r="AZ162" s="9" t="str">
        <f t="shared" si="142"/>
        <v>-</v>
      </c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</row>
    <row r="163" spans="2:68" x14ac:dyDescent="0.3">
      <c r="B163" s="108" t="str">
        <f t="shared" si="127"/>
        <v/>
      </c>
      <c r="C163" s="108" t="str">
        <f t="shared" si="113"/>
        <v/>
      </c>
      <c r="D163" s="3"/>
      <c r="E163" s="3"/>
      <c r="F163" s="3"/>
      <c r="G163" s="20">
        <f>IFERROR(INDEX('Input - Convenience'!F$2:F$200,MATCH('Calculations - Convenience'!$C163,'Input - Convenience'!$B$2:$B$200,0)),"")</f>
        <v>0</v>
      </c>
      <c r="H163" s="20">
        <f>IFERROR(INDEX('Input - Convenience'!G$2:G$200,MATCH('Calculations - Convenience'!$C163,'Input - Convenience'!$B$2:$B$200,0)),"")</f>
        <v>0</v>
      </c>
      <c r="I163" s="21">
        <f>IFERROR(INDEX('Input - Convenience'!H$2:H$200,MATCH('Calculations - Convenience'!$C163,'Input - Convenience'!$B$2:$B$200,0)),"")</f>
        <v>0</v>
      </c>
      <c r="J163" s="21">
        <f>IFERROR(INDEX('Input - Convenience'!I$2:I$200,MATCH('Calculations - Convenience'!$C163,'Input - Convenience'!$B$2:$B$200,0)),"")</f>
        <v>0</v>
      </c>
      <c r="K163" s="20">
        <f>IFERROR(INDEX('Input - Convenience'!J$2:J$200,MATCH('Calculations - Convenience'!$C163,'Input - Convenience'!$B$2:$B$200,0)),"")</f>
        <v>0</v>
      </c>
      <c r="L163" s="20">
        <f>IFERROR(INDEX('Input - Convenience'!K$2:K$200,MATCH('Calculations - Convenience'!$C163,'Input - Convenience'!$B$2:$B$200,0)),"")</f>
        <v>0</v>
      </c>
      <c r="M163" s="21" t="str">
        <f t="shared" si="128"/>
        <v/>
      </c>
      <c r="N163" s="21" t="str">
        <f t="shared" si="114"/>
        <v/>
      </c>
      <c r="O163" s="21">
        <f t="shared" si="129"/>
        <v>0</v>
      </c>
      <c r="P163" s="9">
        <f t="shared" si="111"/>
        <v>0</v>
      </c>
      <c r="Q163" s="9">
        <f t="shared" si="112"/>
        <v>0</v>
      </c>
      <c r="R163" s="22" t="str">
        <f>IFERROR(INDEX(Convenience!$N$11:$N$148,MATCH('Calculations - Convenience'!$C163,Convenience!$J$11:$J$148,0)),"")</f>
        <v/>
      </c>
      <c r="S163" s="22" t="str">
        <f>IFERROR(INDEX(Convenience!$O$11:$O$148,MATCH('Calculations - Convenience'!$C163,Convenience!$J$11:$J$148,0)),"")</f>
        <v/>
      </c>
      <c r="T163" s="16" t="e">
        <f t="shared" si="115"/>
        <v>#VALUE!</v>
      </c>
      <c r="U163" s="16" t="e">
        <f t="shared" si="130"/>
        <v>#VALUE!</v>
      </c>
      <c r="V163" s="16" t="e">
        <f t="shared" si="131"/>
        <v>#VALUE!</v>
      </c>
      <c r="W163" s="10" t="str">
        <f t="shared" si="116"/>
        <v>-</v>
      </c>
      <c r="X163" s="10" t="str">
        <f t="shared" si="117"/>
        <v>-</v>
      </c>
      <c r="Y163" s="13" t="str">
        <f t="shared" si="132"/>
        <v>-</v>
      </c>
      <c r="Z163" s="9" t="str">
        <f t="shared" si="118"/>
        <v>-</v>
      </c>
      <c r="AA163" s="16" t="str">
        <f t="shared" si="133"/>
        <v>-</v>
      </c>
      <c r="AB163" s="16" t="str">
        <f t="shared" si="119"/>
        <v>-</v>
      </c>
      <c r="AC163" s="16" t="str">
        <f t="shared" si="120"/>
        <v>-</v>
      </c>
      <c r="AD163" s="16" t="str">
        <f t="shared" si="134"/>
        <v>-</v>
      </c>
      <c r="AE163" s="16"/>
      <c r="AF163" s="31" t="str">
        <f>IFERROR(INDEX(Convenience!$M$11:$M$148,MATCH('Calculations - Convenience'!C163,Convenience!$J$11:$J$148,0)),"")</f>
        <v/>
      </c>
      <c r="AG163" s="23" t="str">
        <f t="shared" si="135"/>
        <v/>
      </c>
      <c r="AH163" s="23" t="str">
        <f t="shared" si="135"/>
        <v/>
      </c>
      <c r="AI163" s="9" t="str">
        <f t="shared" si="121"/>
        <v/>
      </c>
      <c r="AJ163" s="4" t="str">
        <f t="shared" si="122"/>
        <v/>
      </c>
      <c r="AK163" s="4"/>
      <c r="AL163" s="4"/>
      <c r="AM163" s="4"/>
      <c r="AN163" s="4"/>
      <c r="AO163" s="4"/>
      <c r="AP163" s="20" t="str">
        <f t="shared" si="123"/>
        <v>-</v>
      </c>
      <c r="AQ163" s="13" t="str">
        <f t="shared" si="136"/>
        <v>-</v>
      </c>
      <c r="AR163" s="13" t="str">
        <f t="shared" si="137"/>
        <v>-</v>
      </c>
      <c r="AS163" s="13" t="str">
        <f t="shared" si="124"/>
        <v>-</v>
      </c>
      <c r="AT163" s="16" t="str">
        <f t="shared" si="138"/>
        <v>-</v>
      </c>
      <c r="AU163" s="16" t="str">
        <f t="shared" si="125"/>
        <v>-</v>
      </c>
      <c r="AV163" s="16" t="str">
        <f t="shared" si="126"/>
        <v>-</v>
      </c>
      <c r="AW163" s="16" t="str">
        <f t="shared" si="139"/>
        <v>-</v>
      </c>
      <c r="AX163" s="13" t="str">
        <f t="shared" si="140"/>
        <v>-</v>
      </c>
      <c r="AY163" s="10" t="str">
        <f t="shared" si="141"/>
        <v>-</v>
      </c>
      <c r="AZ163" s="9" t="str">
        <f t="shared" si="142"/>
        <v>-</v>
      </c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</row>
    <row r="164" spans="2:68" x14ac:dyDescent="0.3">
      <c r="B164" s="108" t="str">
        <f t="shared" si="127"/>
        <v/>
      </c>
      <c r="C164" s="108" t="str">
        <f t="shared" si="113"/>
        <v/>
      </c>
      <c r="D164" s="3"/>
      <c r="E164" s="3"/>
      <c r="F164" s="3"/>
      <c r="G164" s="20">
        <f>IFERROR(INDEX('Input - Convenience'!F$2:F$200,MATCH('Calculations - Convenience'!$C164,'Input - Convenience'!$B$2:$B$200,0)),"")</f>
        <v>0</v>
      </c>
      <c r="H164" s="20">
        <f>IFERROR(INDEX('Input - Convenience'!G$2:G$200,MATCH('Calculations - Convenience'!$C164,'Input - Convenience'!$B$2:$B$200,0)),"")</f>
        <v>0</v>
      </c>
      <c r="I164" s="21">
        <f>IFERROR(INDEX('Input - Convenience'!H$2:H$200,MATCH('Calculations - Convenience'!$C164,'Input - Convenience'!$B$2:$B$200,0)),"")</f>
        <v>0</v>
      </c>
      <c r="J164" s="21">
        <f>IFERROR(INDEX('Input - Convenience'!I$2:I$200,MATCH('Calculations - Convenience'!$C164,'Input - Convenience'!$B$2:$B$200,0)),"")</f>
        <v>0</v>
      </c>
      <c r="K164" s="20">
        <f>IFERROR(INDEX('Input - Convenience'!J$2:J$200,MATCH('Calculations - Convenience'!$C164,'Input - Convenience'!$B$2:$B$200,0)),"")</f>
        <v>0</v>
      </c>
      <c r="L164" s="20">
        <f>IFERROR(INDEX('Input - Convenience'!K$2:K$200,MATCH('Calculations - Convenience'!$C164,'Input - Convenience'!$B$2:$B$200,0)),"")</f>
        <v>0</v>
      </c>
      <c r="M164" s="21" t="str">
        <f t="shared" si="128"/>
        <v/>
      </c>
      <c r="N164" s="21" t="str">
        <f t="shared" si="114"/>
        <v/>
      </c>
      <c r="O164" s="21">
        <f t="shared" si="129"/>
        <v>0</v>
      </c>
      <c r="P164" s="9">
        <f t="shared" si="111"/>
        <v>0</v>
      </c>
      <c r="Q164" s="9">
        <f t="shared" si="112"/>
        <v>0</v>
      </c>
      <c r="R164" s="22" t="str">
        <f>IFERROR(INDEX(Convenience!$N$11:$N$148,MATCH('Calculations - Convenience'!$C164,Convenience!$J$11:$J$148,0)),"")</f>
        <v/>
      </c>
      <c r="S164" s="22" t="str">
        <f>IFERROR(INDEX(Convenience!$O$11:$O$148,MATCH('Calculations - Convenience'!$C164,Convenience!$J$11:$J$148,0)),"")</f>
        <v/>
      </c>
      <c r="T164" s="16" t="e">
        <f t="shared" si="115"/>
        <v>#VALUE!</v>
      </c>
      <c r="U164" s="16" t="e">
        <f t="shared" si="130"/>
        <v>#VALUE!</v>
      </c>
      <c r="V164" s="16" t="e">
        <f t="shared" si="131"/>
        <v>#VALUE!</v>
      </c>
      <c r="W164" s="10" t="str">
        <f t="shared" si="116"/>
        <v>-</v>
      </c>
      <c r="X164" s="10" t="str">
        <f t="shared" si="117"/>
        <v>-</v>
      </c>
      <c r="Y164" s="13" t="str">
        <f t="shared" si="132"/>
        <v>-</v>
      </c>
      <c r="Z164" s="9" t="str">
        <f t="shared" si="118"/>
        <v>-</v>
      </c>
      <c r="AA164" s="16" t="str">
        <f t="shared" si="133"/>
        <v>-</v>
      </c>
      <c r="AB164" s="16" t="str">
        <f t="shared" si="119"/>
        <v>-</v>
      </c>
      <c r="AC164" s="16" t="str">
        <f t="shared" si="120"/>
        <v>-</v>
      </c>
      <c r="AD164" s="16" t="str">
        <f t="shared" si="134"/>
        <v>-</v>
      </c>
      <c r="AE164" s="16"/>
      <c r="AF164" s="31" t="str">
        <f>IFERROR(INDEX(Convenience!$M$11:$M$148,MATCH('Calculations - Convenience'!C164,Convenience!$J$11:$J$148,0)),"")</f>
        <v/>
      </c>
      <c r="AG164" s="23" t="str">
        <f t="shared" si="135"/>
        <v/>
      </c>
      <c r="AH164" s="23" t="str">
        <f t="shared" si="135"/>
        <v/>
      </c>
      <c r="AI164" s="9" t="str">
        <f t="shared" si="121"/>
        <v/>
      </c>
      <c r="AJ164" s="4" t="str">
        <f t="shared" si="122"/>
        <v/>
      </c>
      <c r="AK164" s="4"/>
      <c r="AL164" s="4"/>
      <c r="AM164" s="4"/>
      <c r="AN164" s="4"/>
      <c r="AO164" s="4"/>
      <c r="AP164" s="20" t="str">
        <f t="shared" si="123"/>
        <v>-</v>
      </c>
      <c r="AQ164" s="13" t="str">
        <f t="shared" si="136"/>
        <v>-</v>
      </c>
      <c r="AR164" s="13" t="str">
        <f t="shared" si="137"/>
        <v>-</v>
      </c>
      <c r="AS164" s="13" t="str">
        <f t="shared" si="124"/>
        <v>-</v>
      </c>
      <c r="AT164" s="16" t="str">
        <f t="shared" si="138"/>
        <v>-</v>
      </c>
      <c r="AU164" s="16" t="str">
        <f t="shared" si="125"/>
        <v>-</v>
      </c>
      <c r="AV164" s="16" t="str">
        <f t="shared" si="126"/>
        <v>-</v>
      </c>
      <c r="AW164" s="16" t="str">
        <f t="shared" si="139"/>
        <v>-</v>
      </c>
      <c r="AX164" s="13" t="str">
        <f t="shared" si="140"/>
        <v>-</v>
      </c>
      <c r="AY164" s="10" t="str">
        <f t="shared" si="141"/>
        <v>-</v>
      </c>
      <c r="AZ164" s="9" t="str">
        <f t="shared" si="142"/>
        <v>-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</row>
    <row r="165" spans="2:68" x14ac:dyDescent="0.3">
      <c r="B165" s="108" t="str">
        <f t="shared" si="127"/>
        <v/>
      </c>
      <c r="C165" s="108" t="str">
        <f t="shared" si="113"/>
        <v/>
      </c>
      <c r="D165" s="3"/>
      <c r="E165" s="3"/>
      <c r="F165" s="3"/>
      <c r="G165" s="20">
        <f>IFERROR(INDEX('Input - Convenience'!F$2:F$200,MATCH('Calculations - Convenience'!$C165,'Input - Convenience'!$B$2:$B$200,0)),"")</f>
        <v>0</v>
      </c>
      <c r="H165" s="20">
        <f>IFERROR(INDEX('Input - Convenience'!G$2:G$200,MATCH('Calculations - Convenience'!$C165,'Input - Convenience'!$B$2:$B$200,0)),"")</f>
        <v>0</v>
      </c>
      <c r="I165" s="21">
        <f>IFERROR(INDEX('Input - Convenience'!H$2:H$200,MATCH('Calculations - Convenience'!$C165,'Input - Convenience'!$B$2:$B$200,0)),"")</f>
        <v>0</v>
      </c>
      <c r="J165" s="21">
        <f>IFERROR(INDEX('Input - Convenience'!I$2:I$200,MATCH('Calculations - Convenience'!$C165,'Input - Convenience'!$B$2:$B$200,0)),"")</f>
        <v>0</v>
      </c>
      <c r="K165" s="20">
        <f>IFERROR(INDEX('Input - Convenience'!J$2:J$200,MATCH('Calculations - Convenience'!$C165,'Input - Convenience'!$B$2:$B$200,0)),"")</f>
        <v>0</v>
      </c>
      <c r="L165" s="20">
        <f>IFERROR(INDEX('Input - Convenience'!K$2:K$200,MATCH('Calculations - Convenience'!$C165,'Input - Convenience'!$B$2:$B$200,0)),"")</f>
        <v>0</v>
      </c>
      <c r="M165" s="21" t="str">
        <f t="shared" si="128"/>
        <v/>
      </c>
      <c r="N165" s="21" t="str">
        <f t="shared" si="114"/>
        <v/>
      </c>
      <c r="O165" s="21">
        <f t="shared" si="129"/>
        <v>0</v>
      </c>
      <c r="P165" s="9">
        <f t="shared" si="111"/>
        <v>0</v>
      </c>
      <c r="Q165" s="9">
        <f t="shared" si="112"/>
        <v>0</v>
      </c>
      <c r="R165" s="22" t="str">
        <f>IFERROR(INDEX(Convenience!$N$11:$N$148,MATCH('Calculations - Convenience'!$C165,Convenience!$J$11:$J$148,0)),"")</f>
        <v/>
      </c>
      <c r="S165" s="22" t="str">
        <f>IFERROR(INDEX(Convenience!$O$11:$O$148,MATCH('Calculations - Convenience'!$C165,Convenience!$J$11:$J$148,0)),"")</f>
        <v/>
      </c>
      <c r="T165" s="16" t="e">
        <f t="shared" si="115"/>
        <v>#VALUE!</v>
      </c>
      <c r="U165" s="16" t="e">
        <f t="shared" si="130"/>
        <v>#VALUE!</v>
      </c>
      <c r="V165" s="16" t="e">
        <f t="shared" si="131"/>
        <v>#VALUE!</v>
      </c>
      <c r="W165" s="10" t="str">
        <f t="shared" si="116"/>
        <v>-</v>
      </c>
      <c r="X165" s="10" t="str">
        <f t="shared" si="117"/>
        <v>-</v>
      </c>
      <c r="Y165" s="13" t="str">
        <f t="shared" si="132"/>
        <v>-</v>
      </c>
      <c r="Z165" s="9" t="str">
        <f t="shared" si="118"/>
        <v>-</v>
      </c>
      <c r="AA165" s="16" t="str">
        <f t="shared" si="133"/>
        <v>-</v>
      </c>
      <c r="AB165" s="16" t="str">
        <f t="shared" si="119"/>
        <v>-</v>
      </c>
      <c r="AC165" s="16" t="str">
        <f t="shared" si="120"/>
        <v>-</v>
      </c>
      <c r="AD165" s="16" t="str">
        <f t="shared" si="134"/>
        <v>-</v>
      </c>
      <c r="AE165" s="16"/>
      <c r="AF165" s="31" t="str">
        <f>IFERROR(INDEX(Convenience!$M$11:$M$148,MATCH('Calculations - Convenience'!C165,Convenience!$J$11:$J$148,0)),"")</f>
        <v/>
      </c>
      <c r="AG165" s="23" t="str">
        <f t="shared" si="135"/>
        <v/>
      </c>
      <c r="AH165" s="23" t="str">
        <f t="shared" si="135"/>
        <v/>
      </c>
      <c r="AI165" s="9" t="str">
        <f t="shared" si="121"/>
        <v/>
      </c>
      <c r="AJ165" s="4" t="str">
        <f t="shared" si="122"/>
        <v/>
      </c>
      <c r="AK165" s="4"/>
      <c r="AL165" s="4"/>
      <c r="AM165" s="4"/>
      <c r="AN165" s="4"/>
      <c r="AO165" s="4"/>
      <c r="AP165" s="20" t="str">
        <f t="shared" si="123"/>
        <v>-</v>
      </c>
      <c r="AQ165" s="13" t="str">
        <f t="shared" si="136"/>
        <v>-</v>
      </c>
      <c r="AR165" s="13" t="str">
        <f t="shared" si="137"/>
        <v>-</v>
      </c>
      <c r="AS165" s="13" t="str">
        <f t="shared" si="124"/>
        <v>-</v>
      </c>
      <c r="AT165" s="16" t="str">
        <f t="shared" si="138"/>
        <v>-</v>
      </c>
      <c r="AU165" s="16" t="str">
        <f t="shared" si="125"/>
        <v>-</v>
      </c>
      <c r="AV165" s="16" t="str">
        <f t="shared" si="126"/>
        <v>-</v>
      </c>
      <c r="AW165" s="16" t="str">
        <f t="shared" si="139"/>
        <v>-</v>
      </c>
      <c r="AX165" s="13" t="str">
        <f t="shared" si="140"/>
        <v>-</v>
      </c>
      <c r="AY165" s="10" t="str">
        <f t="shared" si="141"/>
        <v>-</v>
      </c>
      <c r="AZ165" s="9" t="str">
        <f t="shared" si="142"/>
        <v>-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</row>
    <row r="166" spans="2:68" x14ac:dyDescent="0.3">
      <c r="B166" s="108" t="str">
        <f t="shared" si="127"/>
        <v/>
      </c>
      <c r="C166" s="108" t="str">
        <f t="shared" si="113"/>
        <v/>
      </c>
      <c r="D166" s="3"/>
      <c r="E166" s="3"/>
      <c r="F166" s="3"/>
      <c r="G166" s="20">
        <f>IFERROR(INDEX('Input - Convenience'!F$2:F$200,MATCH('Calculations - Convenience'!$C166,'Input - Convenience'!$B$2:$B$200,0)),"")</f>
        <v>0</v>
      </c>
      <c r="H166" s="20">
        <f>IFERROR(INDEX('Input - Convenience'!G$2:G$200,MATCH('Calculations - Convenience'!$C166,'Input - Convenience'!$B$2:$B$200,0)),"")</f>
        <v>0</v>
      </c>
      <c r="I166" s="21">
        <f>IFERROR(INDEX('Input - Convenience'!H$2:H$200,MATCH('Calculations - Convenience'!$C166,'Input - Convenience'!$B$2:$B$200,0)),"")</f>
        <v>0</v>
      </c>
      <c r="J166" s="21">
        <f>IFERROR(INDEX('Input - Convenience'!I$2:I$200,MATCH('Calculations - Convenience'!$C166,'Input - Convenience'!$B$2:$B$200,0)),"")</f>
        <v>0</v>
      </c>
      <c r="K166" s="20">
        <f>IFERROR(INDEX('Input - Convenience'!J$2:J$200,MATCH('Calculations - Convenience'!$C166,'Input - Convenience'!$B$2:$B$200,0)),"")</f>
        <v>0</v>
      </c>
      <c r="L166" s="20">
        <f>IFERROR(INDEX('Input - Convenience'!K$2:K$200,MATCH('Calculations - Convenience'!$C166,'Input - Convenience'!$B$2:$B$200,0)),"")</f>
        <v>0</v>
      </c>
      <c r="M166" s="21" t="str">
        <f t="shared" si="128"/>
        <v/>
      </c>
      <c r="N166" s="21" t="str">
        <f t="shared" si="114"/>
        <v/>
      </c>
      <c r="O166" s="21">
        <f t="shared" si="129"/>
        <v>0</v>
      </c>
      <c r="P166" s="9">
        <f t="shared" si="111"/>
        <v>0</v>
      </c>
      <c r="Q166" s="9">
        <f t="shared" si="112"/>
        <v>0</v>
      </c>
      <c r="R166" s="22" t="str">
        <f>IFERROR(INDEX(Convenience!$N$11:$N$148,MATCH('Calculations - Convenience'!$C166,Convenience!$J$11:$J$148,0)),"")</f>
        <v/>
      </c>
      <c r="S166" s="22" t="str">
        <f>IFERROR(INDEX(Convenience!$O$11:$O$148,MATCH('Calculations - Convenience'!$C166,Convenience!$J$11:$J$148,0)),"")</f>
        <v/>
      </c>
      <c r="T166" s="16" t="e">
        <f t="shared" si="115"/>
        <v>#VALUE!</v>
      </c>
      <c r="U166" s="16" t="e">
        <f t="shared" si="130"/>
        <v>#VALUE!</v>
      </c>
      <c r="V166" s="16" t="e">
        <f t="shared" si="131"/>
        <v>#VALUE!</v>
      </c>
      <c r="W166" s="10" t="str">
        <f t="shared" si="116"/>
        <v>-</v>
      </c>
      <c r="X166" s="10" t="str">
        <f t="shared" si="117"/>
        <v>-</v>
      </c>
      <c r="Y166" s="13" t="str">
        <f t="shared" si="132"/>
        <v>-</v>
      </c>
      <c r="Z166" s="9" t="str">
        <f t="shared" si="118"/>
        <v>-</v>
      </c>
      <c r="AA166" s="16" t="str">
        <f t="shared" si="133"/>
        <v>-</v>
      </c>
      <c r="AB166" s="16" t="str">
        <f t="shared" si="119"/>
        <v>-</v>
      </c>
      <c r="AC166" s="16" t="str">
        <f t="shared" si="120"/>
        <v>-</v>
      </c>
      <c r="AD166" s="16" t="str">
        <f t="shared" si="134"/>
        <v>-</v>
      </c>
      <c r="AE166" s="16"/>
      <c r="AF166" s="31" t="str">
        <f>IFERROR(INDEX(Convenience!$M$11:$M$148,MATCH('Calculations - Convenience'!C166,Convenience!$J$11:$J$148,0)),"")</f>
        <v/>
      </c>
      <c r="AG166" s="23" t="str">
        <f t="shared" si="135"/>
        <v/>
      </c>
      <c r="AH166" s="23" t="str">
        <f t="shared" si="135"/>
        <v/>
      </c>
      <c r="AI166" s="9" t="str">
        <f t="shared" si="121"/>
        <v/>
      </c>
      <c r="AJ166" s="4" t="str">
        <f t="shared" si="122"/>
        <v/>
      </c>
      <c r="AK166" s="4"/>
      <c r="AL166" s="4"/>
      <c r="AM166" s="4"/>
      <c r="AN166" s="4"/>
      <c r="AO166" s="4"/>
      <c r="AP166" s="20" t="str">
        <f t="shared" si="123"/>
        <v>-</v>
      </c>
      <c r="AQ166" s="13" t="str">
        <f t="shared" si="136"/>
        <v>-</v>
      </c>
      <c r="AR166" s="13" t="str">
        <f t="shared" si="137"/>
        <v>-</v>
      </c>
      <c r="AS166" s="13" t="str">
        <f t="shared" si="124"/>
        <v>-</v>
      </c>
      <c r="AT166" s="16" t="str">
        <f t="shared" si="138"/>
        <v>-</v>
      </c>
      <c r="AU166" s="16" t="str">
        <f t="shared" si="125"/>
        <v>-</v>
      </c>
      <c r="AV166" s="16" t="str">
        <f t="shared" si="126"/>
        <v>-</v>
      </c>
      <c r="AW166" s="16" t="str">
        <f t="shared" si="139"/>
        <v>-</v>
      </c>
      <c r="AX166" s="13" t="str">
        <f t="shared" si="140"/>
        <v>-</v>
      </c>
      <c r="AY166" s="10" t="str">
        <f t="shared" si="141"/>
        <v>-</v>
      </c>
      <c r="AZ166" s="9" t="str">
        <f t="shared" si="142"/>
        <v>-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</row>
    <row r="167" spans="2:68" x14ac:dyDescent="0.3">
      <c r="B167" s="108" t="str">
        <f t="shared" si="127"/>
        <v/>
      </c>
      <c r="C167" s="108" t="str">
        <f t="shared" si="113"/>
        <v/>
      </c>
      <c r="D167" s="3"/>
      <c r="E167" s="3"/>
      <c r="F167" s="3"/>
      <c r="G167" s="20">
        <f>IFERROR(INDEX('Input - Convenience'!F$2:F$200,MATCH('Calculations - Convenience'!$C167,'Input - Convenience'!$B$2:$B$200,0)),"")</f>
        <v>0</v>
      </c>
      <c r="H167" s="20">
        <f>IFERROR(INDEX('Input - Convenience'!G$2:G$200,MATCH('Calculations - Convenience'!$C167,'Input - Convenience'!$B$2:$B$200,0)),"")</f>
        <v>0</v>
      </c>
      <c r="I167" s="21">
        <f>IFERROR(INDEX('Input - Convenience'!H$2:H$200,MATCH('Calculations - Convenience'!$C167,'Input - Convenience'!$B$2:$B$200,0)),"")</f>
        <v>0</v>
      </c>
      <c r="J167" s="21">
        <f>IFERROR(INDEX('Input - Convenience'!I$2:I$200,MATCH('Calculations - Convenience'!$C167,'Input - Convenience'!$B$2:$B$200,0)),"")</f>
        <v>0</v>
      </c>
      <c r="K167" s="20">
        <f>IFERROR(INDEX('Input - Convenience'!J$2:J$200,MATCH('Calculations - Convenience'!$C167,'Input - Convenience'!$B$2:$B$200,0)),"")</f>
        <v>0</v>
      </c>
      <c r="L167" s="20">
        <f>IFERROR(INDEX('Input - Convenience'!K$2:K$200,MATCH('Calculations - Convenience'!$C167,'Input - Convenience'!$B$2:$B$200,0)),"")</f>
        <v>0</v>
      </c>
      <c r="M167" s="21" t="str">
        <f t="shared" si="128"/>
        <v/>
      </c>
      <c r="N167" s="21" t="str">
        <f t="shared" si="114"/>
        <v/>
      </c>
      <c r="O167" s="21">
        <f t="shared" si="129"/>
        <v>0</v>
      </c>
      <c r="P167" s="9">
        <f t="shared" si="111"/>
        <v>0</v>
      </c>
      <c r="Q167" s="9">
        <f t="shared" si="112"/>
        <v>0</v>
      </c>
      <c r="R167" s="22" t="str">
        <f>IFERROR(INDEX(Convenience!$N$11:$N$148,MATCH('Calculations - Convenience'!$C167,Convenience!$J$11:$J$148,0)),"")</f>
        <v/>
      </c>
      <c r="S167" s="22" t="str">
        <f>IFERROR(INDEX(Convenience!$O$11:$O$148,MATCH('Calculations - Convenience'!$C167,Convenience!$J$11:$J$148,0)),"")</f>
        <v/>
      </c>
      <c r="T167" s="16" t="e">
        <f t="shared" si="115"/>
        <v>#VALUE!</v>
      </c>
      <c r="U167" s="16" t="e">
        <f t="shared" si="130"/>
        <v>#VALUE!</v>
      </c>
      <c r="V167" s="16" t="e">
        <f t="shared" si="131"/>
        <v>#VALUE!</v>
      </c>
      <c r="W167" s="10" t="str">
        <f t="shared" si="116"/>
        <v>-</v>
      </c>
      <c r="X167" s="10" t="str">
        <f t="shared" si="117"/>
        <v>-</v>
      </c>
      <c r="Y167" s="13" t="str">
        <f t="shared" si="132"/>
        <v>-</v>
      </c>
      <c r="Z167" s="9" t="str">
        <f t="shared" si="118"/>
        <v>-</v>
      </c>
      <c r="AA167" s="16" t="str">
        <f t="shared" si="133"/>
        <v>-</v>
      </c>
      <c r="AB167" s="16" t="str">
        <f t="shared" si="119"/>
        <v>-</v>
      </c>
      <c r="AC167" s="16" t="str">
        <f t="shared" si="120"/>
        <v>-</v>
      </c>
      <c r="AD167" s="16" t="str">
        <f t="shared" si="134"/>
        <v>-</v>
      </c>
      <c r="AE167" s="16"/>
      <c r="AF167" s="31" t="str">
        <f>IFERROR(INDEX(Convenience!$M$11:$M$148,MATCH('Calculations - Convenience'!C167,Convenience!$J$11:$J$148,0)),"")</f>
        <v/>
      </c>
      <c r="AG167" s="23" t="str">
        <f t="shared" si="135"/>
        <v/>
      </c>
      <c r="AH167" s="23" t="str">
        <f t="shared" si="135"/>
        <v/>
      </c>
      <c r="AI167" s="9" t="str">
        <f t="shared" si="121"/>
        <v/>
      </c>
      <c r="AJ167" s="4" t="str">
        <f t="shared" si="122"/>
        <v/>
      </c>
      <c r="AK167" s="4"/>
      <c r="AL167" s="4"/>
      <c r="AM167" s="4"/>
      <c r="AN167" s="4"/>
      <c r="AO167" s="4"/>
      <c r="AP167" s="20" t="str">
        <f t="shared" si="123"/>
        <v>-</v>
      </c>
      <c r="AQ167" s="13" t="str">
        <f t="shared" si="136"/>
        <v>-</v>
      </c>
      <c r="AR167" s="13" t="str">
        <f t="shared" si="137"/>
        <v>-</v>
      </c>
      <c r="AS167" s="13" t="str">
        <f t="shared" si="124"/>
        <v>-</v>
      </c>
      <c r="AT167" s="16" t="str">
        <f t="shared" si="138"/>
        <v>-</v>
      </c>
      <c r="AU167" s="16" t="str">
        <f t="shared" si="125"/>
        <v>-</v>
      </c>
      <c r="AV167" s="16" t="str">
        <f t="shared" si="126"/>
        <v>-</v>
      </c>
      <c r="AW167" s="16" t="str">
        <f t="shared" si="139"/>
        <v>-</v>
      </c>
      <c r="AX167" s="13" t="str">
        <f t="shared" si="140"/>
        <v>-</v>
      </c>
      <c r="AY167" s="10" t="str">
        <f t="shared" si="141"/>
        <v>-</v>
      </c>
      <c r="AZ167" s="9" t="str">
        <f t="shared" si="142"/>
        <v>-</v>
      </c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</row>
    <row r="168" spans="2:68" x14ac:dyDescent="0.3">
      <c r="B168" s="108" t="str">
        <f t="shared" si="127"/>
        <v/>
      </c>
      <c r="C168" s="108" t="str">
        <f t="shared" si="113"/>
        <v/>
      </c>
      <c r="D168" s="3"/>
      <c r="E168" s="3"/>
      <c r="F168" s="3"/>
      <c r="G168" s="20">
        <f>IFERROR(INDEX('Input - Convenience'!F$2:F$200,MATCH('Calculations - Convenience'!$C168,'Input - Convenience'!$B$2:$B$200,0)),"")</f>
        <v>0</v>
      </c>
      <c r="H168" s="20">
        <f>IFERROR(INDEX('Input - Convenience'!G$2:G$200,MATCH('Calculations - Convenience'!$C168,'Input - Convenience'!$B$2:$B$200,0)),"")</f>
        <v>0</v>
      </c>
      <c r="I168" s="21">
        <f>IFERROR(INDEX('Input - Convenience'!H$2:H$200,MATCH('Calculations - Convenience'!$C168,'Input - Convenience'!$B$2:$B$200,0)),"")</f>
        <v>0</v>
      </c>
      <c r="J168" s="21">
        <f>IFERROR(INDEX('Input - Convenience'!I$2:I$200,MATCH('Calculations - Convenience'!$C168,'Input - Convenience'!$B$2:$B$200,0)),"")</f>
        <v>0</v>
      </c>
      <c r="K168" s="20">
        <f>IFERROR(INDEX('Input - Convenience'!J$2:J$200,MATCH('Calculations - Convenience'!$C168,'Input - Convenience'!$B$2:$B$200,0)),"")</f>
        <v>0</v>
      </c>
      <c r="L168" s="20">
        <f>IFERROR(INDEX('Input - Convenience'!K$2:K$200,MATCH('Calculations - Convenience'!$C168,'Input - Convenience'!$B$2:$B$200,0)),"")</f>
        <v>0</v>
      </c>
      <c r="M168" s="21" t="str">
        <f t="shared" si="128"/>
        <v/>
      </c>
      <c r="N168" s="21" t="str">
        <f t="shared" si="114"/>
        <v/>
      </c>
      <c r="O168" s="21">
        <f t="shared" si="129"/>
        <v>0</v>
      </c>
      <c r="P168" s="9">
        <f t="shared" si="111"/>
        <v>0</v>
      </c>
      <c r="Q168" s="9">
        <f t="shared" si="112"/>
        <v>0</v>
      </c>
      <c r="R168" s="22" t="str">
        <f>IFERROR(INDEX(Convenience!$N$11:$N$148,MATCH('Calculations - Convenience'!$C168,Convenience!$J$11:$J$148,0)),"")</f>
        <v/>
      </c>
      <c r="S168" s="22" t="str">
        <f>IFERROR(INDEX(Convenience!$O$11:$O$148,MATCH('Calculations - Convenience'!$C168,Convenience!$J$11:$J$148,0)),"")</f>
        <v/>
      </c>
      <c r="T168" s="16" t="e">
        <f t="shared" si="115"/>
        <v>#VALUE!</v>
      </c>
      <c r="U168" s="16" t="e">
        <f t="shared" si="130"/>
        <v>#VALUE!</v>
      </c>
      <c r="V168" s="16" t="e">
        <f t="shared" si="131"/>
        <v>#VALUE!</v>
      </c>
      <c r="W168" s="10" t="str">
        <f t="shared" si="116"/>
        <v>-</v>
      </c>
      <c r="X168" s="10" t="str">
        <f t="shared" si="117"/>
        <v>-</v>
      </c>
      <c r="Y168" s="13" t="str">
        <f t="shared" si="132"/>
        <v>-</v>
      </c>
      <c r="Z168" s="9" t="str">
        <f t="shared" si="118"/>
        <v>-</v>
      </c>
      <c r="AA168" s="16" t="str">
        <f t="shared" si="133"/>
        <v>-</v>
      </c>
      <c r="AB168" s="16" t="str">
        <f t="shared" si="119"/>
        <v>-</v>
      </c>
      <c r="AC168" s="16" t="str">
        <f t="shared" si="120"/>
        <v>-</v>
      </c>
      <c r="AD168" s="16" t="str">
        <f t="shared" si="134"/>
        <v>-</v>
      </c>
      <c r="AE168" s="16"/>
      <c r="AF168" s="31" t="str">
        <f>IFERROR(INDEX(Convenience!$M$11:$M$148,MATCH('Calculations - Convenience'!C168,Convenience!$J$11:$J$148,0)),"")</f>
        <v/>
      </c>
      <c r="AG168" s="23" t="str">
        <f t="shared" si="135"/>
        <v/>
      </c>
      <c r="AH168" s="23" t="str">
        <f t="shared" si="135"/>
        <v/>
      </c>
      <c r="AI168" s="9" t="str">
        <f t="shared" si="121"/>
        <v/>
      </c>
      <c r="AJ168" s="4" t="str">
        <f t="shared" si="122"/>
        <v/>
      </c>
      <c r="AK168" s="4"/>
      <c r="AL168" s="4"/>
      <c r="AM168" s="4"/>
      <c r="AN168" s="4"/>
      <c r="AO168" s="4"/>
      <c r="AP168" s="20" t="str">
        <f t="shared" si="123"/>
        <v>-</v>
      </c>
      <c r="AQ168" s="13" t="str">
        <f t="shared" si="136"/>
        <v>-</v>
      </c>
      <c r="AR168" s="13" t="str">
        <f t="shared" si="137"/>
        <v>-</v>
      </c>
      <c r="AS168" s="13" t="str">
        <f t="shared" si="124"/>
        <v>-</v>
      </c>
      <c r="AT168" s="16" t="str">
        <f t="shared" si="138"/>
        <v>-</v>
      </c>
      <c r="AU168" s="16" t="str">
        <f t="shared" si="125"/>
        <v>-</v>
      </c>
      <c r="AV168" s="16" t="str">
        <f t="shared" si="126"/>
        <v>-</v>
      </c>
      <c r="AW168" s="16" t="str">
        <f t="shared" si="139"/>
        <v>-</v>
      </c>
      <c r="AX168" s="13" t="str">
        <f t="shared" si="140"/>
        <v>-</v>
      </c>
      <c r="AY168" s="10" t="str">
        <f t="shared" si="141"/>
        <v>-</v>
      </c>
      <c r="AZ168" s="9" t="str">
        <f t="shared" si="142"/>
        <v>-</v>
      </c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</row>
    <row r="169" spans="2:68" x14ac:dyDescent="0.3">
      <c r="B169" s="108" t="str">
        <f t="shared" si="127"/>
        <v/>
      </c>
      <c r="C169" s="108" t="str">
        <f t="shared" si="113"/>
        <v/>
      </c>
      <c r="D169" s="3"/>
      <c r="E169" s="3"/>
      <c r="F169" s="3"/>
      <c r="G169" s="20">
        <f>IFERROR(INDEX('Input - Convenience'!F$2:F$200,MATCH('Calculations - Convenience'!$C169,'Input - Convenience'!$B$2:$B$200,0)),"")</f>
        <v>0</v>
      </c>
      <c r="H169" s="20">
        <f>IFERROR(INDEX('Input - Convenience'!G$2:G$200,MATCH('Calculations - Convenience'!$C169,'Input - Convenience'!$B$2:$B$200,0)),"")</f>
        <v>0</v>
      </c>
      <c r="I169" s="21">
        <f>IFERROR(INDEX('Input - Convenience'!H$2:H$200,MATCH('Calculations - Convenience'!$C169,'Input - Convenience'!$B$2:$B$200,0)),"")</f>
        <v>0</v>
      </c>
      <c r="J169" s="21">
        <f>IFERROR(INDEX('Input - Convenience'!I$2:I$200,MATCH('Calculations - Convenience'!$C169,'Input - Convenience'!$B$2:$B$200,0)),"")</f>
        <v>0</v>
      </c>
      <c r="K169" s="20">
        <f>IFERROR(INDEX('Input - Convenience'!J$2:J$200,MATCH('Calculations - Convenience'!$C169,'Input - Convenience'!$B$2:$B$200,0)),"")</f>
        <v>0</v>
      </c>
      <c r="L169" s="20">
        <f>IFERROR(INDEX('Input - Convenience'!K$2:K$200,MATCH('Calculations - Convenience'!$C169,'Input - Convenience'!$B$2:$B$200,0)),"")</f>
        <v>0</v>
      </c>
      <c r="M169" s="21" t="str">
        <f t="shared" si="128"/>
        <v/>
      </c>
      <c r="N169" s="21" t="str">
        <f t="shared" si="114"/>
        <v/>
      </c>
      <c r="O169" s="21">
        <f t="shared" si="129"/>
        <v>0</v>
      </c>
      <c r="P169" s="9">
        <f t="shared" si="111"/>
        <v>0</v>
      </c>
      <c r="Q169" s="9">
        <f t="shared" si="112"/>
        <v>0</v>
      </c>
      <c r="R169" s="22" t="str">
        <f>IFERROR(INDEX(Convenience!$N$11:$N$148,MATCH('Calculations - Convenience'!$C169,Convenience!$J$11:$J$148,0)),"")</f>
        <v/>
      </c>
      <c r="S169" s="22" t="str">
        <f>IFERROR(INDEX(Convenience!$O$11:$O$148,MATCH('Calculations - Convenience'!$C169,Convenience!$J$11:$J$148,0)),"")</f>
        <v/>
      </c>
      <c r="T169" s="16" t="e">
        <f t="shared" si="115"/>
        <v>#VALUE!</v>
      </c>
      <c r="U169" s="16" t="e">
        <f t="shared" si="130"/>
        <v>#VALUE!</v>
      </c>
      <c r="V169" s="16" t="e">
        <f t="shared" si="131"/>
        <v>#VALUE!</v>
      </c>
      <c r="W169" s="10" t="str">
        <f t="shared" si="116"/>
        <v>-</v>
      </c>
      <c r="X169" s="10" t="str">
        <f t="shared" si="117"/>
        <v>-</v>
      </c>
      <c r="Y169" s="13" t="str">
        <f t="shared" si="132"/>
        <v>-</v>
      </c>
      <c r="Z169" s="9" t="str">
        <f t="shared" si="118"/>
        <v>-</v>
      </c>
      <c r="AA169" s="16" t="str">
        <f t="shared" si="133"/>
        <v>-</v>
      </c>
      <c r="AB169" s="16" t="str">
        <f t="shared" si="119"/>
        <v>-</v>
      </c>
      <c r="AC169" s="16" t="str">
        <f t="shared" si="120"/>
        <v>-</v>
      </c>
      <c r="AD169" s="16" t="str">
        <f t="shared" si="134"/>
        <v>-</v>
      </c>
      <c r="AE169" s="16"/>
      <c r="AF169" s="31" t="str">
        <f>IFERROR(INDEX(Convenience!$M$11:$M$148,MATCH('Calculations - Convenience'!C169,Convenience!$J$11:$J$148,0)),"")</f>
        <v/>
      </c>
      <c r="AG169" s="23" t="str">
        <f t="shared" si="135"/>
        <v/>
      </c>
      <c r="AH169" s="23" t="str">
        <f t="shared" si="135"/>
        <v/>
      </c>
      <c r="AI169" s="9" t="str">
        <f t="shared" si="121"/>
        <v/>
      </c>
      <c r="AJ169" s="4" t="str">
        <f t="shared" si="122"/>
        <v/>
      </c>
      <c r="AK169" s="4"/>
      <c r="AL169" s="4"/>
      <c r="AM169" s="4"/>
      <c r="AN169" s="4"/>
      <c r="AO169" s="4"/>
      <c r="AP169" s="20" t="str">
        <f t="shared" si="123"/>
        <v>-</v>
      </c>
      <c r="AQ169" s="13" t="str">
        <f t="shared" si="136"/>
        <v>-</v>
      </c>
      <c r="AR169" s="13" t="str">
        <f t="shared" si="137"/>
        <v>-</v>
      </c>
      <c r="AS169" s="13" t="str">
        <f t="shared" si="124"/>
        <v>-</v>
      </c>
      <c r="AT169" s="16" t="str">
        <f t="shared" si="138"/>
        <v>-</v>
      </c>
      <c r="AU169" s="16" t="str">
        <f t="shared" si="125"/>
        <v>-</v>
      </c>
      <c r="AV169" s="16" t="str">
        <f t="shared" si="126"/>
        <v>-</v>
      </c>
      <c r="AW169" s="16" t="str">
        <f t="shared" si="139"/>
        <v>-</v>
      </c>
      <c r="AX169" s="13" t="str">
        <f t="shared" si="140"/>
        <v>-</v>
      </c>
      <c r="AY169" s="10" t="str">
        <f t="shared" si="141"/>
        <v>-</v>
      </c>
      <c r="AZ169" s="9" t="str">
        <f t="shared" si="142"/>
        <v>-</v>
      </c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</row>
    <row r="170" spans="2:68" x14ac:dyDescent="0.3">
      <c r="B170" s="108" t="str">
        <f t="shared" si="127"/>
        <v/>
      </c>
      <c r="C170" s="108" t="str">
        <f t="shared" si="113"/>
        <v/>
      </c>
      <c r="D170" s="3"/>
      <c r="E170" s="3"/>
      <c r="F170" s="3"/>
      <c r="G170" s="20">
        <f>IFERROR(INDEX('Input - Convenience'!F$2:F$200,MATCH('Calculations - Convenience'!$C170,'Input - Convenience'!$B$2:$B$200,0)),"")</f>
        <v>0</v>
      </c>
      <c r="H170" s="20">
        <f>IFERROR(INDEX('Input - Convenience'!G$2:G$200,MATCH('Calculations - Convenience'!$C170,'Input - Convenience'!$B$2:$B$200,0)),"")</f>
        <v>0</v>
      </c>
      <c r="I170" s="21">
        <f>IFERROR(INDEX('Input - Convenience'!H$2:H$200,MATCH('Calculations - Convenience'!$C170,'Input - Convenience'!$B$2:$B$200,0)),"")</f>
        <v>0</v>
      </c>
      <c r="J170" s="21">
        <f>IFERROR(INDEX('Input - Convenience'!I$2:I$200,MATCH('Calculations - Convenience'!$C170,'Input - Convenience'!$B$2:$B$200,0)),"")</f>
        <v>0</v>
      </c>
      <c r="K170" s="20">
        <f>IFERROR(INDEX('Input - Convenience'!J$2:J$200,MATCH('Calculations - Convenience'!$C170,'Input - Convenience'!$B$2:$B$200,0)),"")</f>
        <v>0</v>
      </c>
      <c r="L170" s="20">
        <f>IFERROR(INDEX('Input - Convenience'!K$2:K$200,MATCH('Calculations - Convenience'!$C170,'Input - Convenience'!$B$2:$B$200,0)),"")</f>
        <v>0</v>
      </c>
      <c r="M170" s="21" t="str">
        <f t="shared" si="128"/>
        <v/>
      </c>
      <c r="N170" s="21" t="str">
        <f t="shared" si="114"/>
        <v/>
      </c>
      <c r="O170" s="21">
        <f t="shared" si="129"/>
        <v>0</v>
      </c>
      <c r="P170" s="9">
        <f t="shared" si="111"/>
        <v>0</v>
      </c>
      <c r="Q170" s="9">
        <f t="shared" si="112"/>
        <v>0</v>
      </c>
      <c r="R170" s="22" t="str">
        <f>IFERROR(INDEX(Convenience!$N$11:$N$148,MATCH('Calculations - Convenience'!$C170,Convenience!$J$11:$J$148,0)),"")</f>
        <v/>
      </c>
      <c r="S170" s="22" t="str">
        <f>IFERROR(INDEX(Convenience!$O$11:$O$148,MATCH('Calculations - Convenience'!$C170,Convenience!$J$11:$J$148,0)),"")</f>
        <v/>
      </c>
      <c r="T170" s="16" t="e">
        <f t="shared" si="115"/>
        <v>#VALUE!</v>
      </c>
      <c r="U170" s="16" t="e">
        <f t="shared" si="130"/>
        <v>#VALUE!</v>
      </c>
      <c r="V170" s="16" t="e">
        <f t="shared" si="131"/>
        <v>#VALUE!</v>
      </c>
      <c r="W170" s="10" t="str">
        <f t="shared" si="116"/>
        <v>-</v>
      </c>
      <c r="X170" s="10" t="str">
        <f t="shared" si="117"/>
        <v>-</v>
      </c>
      <c r="Y170" s="13" t="str">
        <f t="shared" si="132"/>
        <v>-</v>
      </c>
      <c r="Z170" s="9" t="str">
        <f t="shared" si="118"/>
        <v>-</v>
      </c>
      <c r="AA170" s="16" t="str">
        <f t="shared" si="133"/>
        <v>-</v>
      </c>
      <c r="AB170" s="16" t="str">
        <f t="shared" si="119"/>
        <v>-</v>
      </c>
      <c r="AC170" s="16" t="str">
        <f t="shared" si="120"/>
        <v>-</v>
      </c>
      <c r="AD170" s="16" t="str">
        <f t="shared" si="134"/>
        <v>-</v>
      </c>
      <c r="AE170" s="16"/>
      <c r="AF170" s="31" t="str">
        <f>IFERROR(INDEX(Convenience!$M$11:$M$148,MATCH('Calculations - Convenience'!C170,Convenience!$J$11:$J$148,0)),"")</f>
        <v/>
      </c>
      <c r="AG170" s="23" t="str">
        <f t="shared" si="135"/>
        <v/>
      </c>
      <c r="AH170" s="23" t="str">
        <f t="shared" si="135"/>
        <v/>
      </c>
      <c r="AI170" s="9" t="str">
        <f t="shared" si="121"/>
        <v/>
      </c>
      <c r="AJ170" s="4" t="str">
        <f t="shared" si="122"/>
        <v/>
      </c>
      <c r="AK170" s="4"/>
      <c r="AL170" s="4"/>
      <c r="AM170" s="4"/>
      <c r="AN170" s="4"/>
      <c r="AO170" s="4"/>
      <c r="AP170" s="20" t="str">
        <f t="shared" si="123"/>
        <v>-</v>
      </c>
      <c r="AQ170" s="13" t="str">
        <f t="shared" si="136"/>
        <v>-</v>
      </c>
      <c r="AR170" s="13" t="str">
        <f t="shared" si="137"/>
        <v>-</v>
      </c>
      <c r="AS170" s="13" t="str">
        <f t="shared" si="124"/>
        <v>-</v>
      </c>
      <c r="AT170" s="16" t="str">
        <f t="shared" si="138"/>
        <v>-</v>
      </c>
      <c r="AU170" s="16" t="str">
        <f t="shared" si="125"/>
        <v>-</v>
      </c>
      <c r="AV170" s="16" t="str">
        <f t="shared" si="126"/>
        <v>-</v>
      </c>
      <c r="AW170" s="16" t="str">
        <f t="shared" si="139"/>
        <v>-</v>
      </c>
      <c r="AX170" s="13" t="str">
        <f t="shared" si="140"/>
        <v>-</v>
      </c>
      <c r="AY170" s="10" t="str">
        <f t="shared" si="141"/>
        <v>-</v>
      </c>
      <c r="AZ170" s="9" t="str">
        <f t="shared" si="142"/>
        <v>-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</row>
    <row r="171" spans="2:68" x14ac:dyDescent="0.3">
      <c r="B171" s="108" t="str">
        <f t="shared" si="127"/>
        <v/>
      </c>
      <c r="C171" s="108" t="str">
        <f t="shared" si="113"/>
        <v/>
      </c>
      <c r="D171" s="3"/>
      <c r="E171" s="3"/>
      <c r="F171" s="3"/>
      <c r="G171" s="20">
        <f>IFERROR(INDEX('Input - Convenience'!F$2:F$200,MATCH('Calculations - Convenience'!$C171,'Input - Convenience'!$B$2:$B$200,0)),"")</f>
        <v>0</v>
      </c>
      <c r="H171" s="20">
        <f>IFERROR(INDEX('Input - Convenience'!G$2:G$200,MATCH('Calculations - Convenience'!$C171,'Input - Convenience'!$B$2:$B$200,0)),"")</f>
        <v>0</v>
      </c>
      <c r="I171" s="21">
        <f>IFERROR(INDEX('Input - Convenience'!H$2:H$200,MATCH('Calculations - Convenience'!$C171,'Input - Convenience'!$B$2:$B$200,0)),"")</f>
        <v>0</v>
      </c>
      <c r="J171" s="21">
        <f>IFERROR(INDEX('Input - Convenience'!I$2:I$200,MATCH('Calculations - Convenience'!$C171,'Input - Convenience'!$B$2:$B$200,0)),"")</f>
        <v>0</v>
      </c>
      <c r="K171" s="20">
        <f>IFERROR(INDEX('Input - Convenience'!J$2:J$200,MATCH('Calculations - Convenience'!$C171,'Input - Convenience'!$B$2:$B$200,0)),"")</f>
        <v>0</v>
      </c>
      <c r="L171" s="20">
        <f>IFERROR(INDEX('Input - Convenience'!K$2:K$200,MATCH('Calculations - Convenience'!$C171,'Input - Convenience'!$B$2:$B$200,0)),"")</f>
        <v>0</v>
      </c>
      <c r="M171" s="21" t="str">
        <f t="shared" si="128"/>
        <v/>
      </c>
      <c r="N171" s="21" t="str">
        <f t="shared" si="114"/>
        <v/>
      </c>
      <c r="O171" s="21">
        <f t="shared" si="129"/>
        <v>0</v>
      </c>
      <c r="P171" s="9">
        <f t="shared" si="111"/>
        <v>0</v>
      </c>
      <c r="Q171" s="9">
        <f t="shared" si="112"/>
        <v>0</v>
      </c>
      <c r="R171" s="22" t="str">
        <f>IFERROR(INDEX(Convenience!$N$11:$N$148,MATCH('Calculations - Convenience'!$C171,Convenience!$J$11:$J$148,0)),"")</f>
        <v/>
      </c>
      <c r="S171" s="22" t="str">
        <f>IFERROR(INDEX(Convenience!$O$11:$O$148,MATCH('Calculations - Convenience'!$C171,Convenience!$J$11:$J$148,0)),"")</f>
        <v/>
      </c>
      <c r="T171" s="16" t="e">
        <f t="shared" si="115"/>
        <v>#VALUE!</v>
      </c>
      <c r="U171" s="16" t="e">
        <f t="shared" si="130"/>
        <v>#VALUE!</v>
      </c>
      <c r="V171" s="16" t="e">
        <f t="shared" si="131"/>
        <v>#VALUE!</v>
      </c>
      <c r="W171" s="10" t="str">
        <f t="shared" si="116"/>
        <v>-</v>
      </c>
      <c r="X171" s="10" t="str">
        <f t="shared" si="117"/>
        <v>-</v>
      </c>
      <c r="Y171" s="13" t="str">
        <f t="shared" si="132"/>
        <v>-</v>
      </c>
      <c r="Z171" s="9" t="str">
        <f t="shared" si="118"/>
        <v>-</v>
      </c>
      <c r="AA171" s="16" t="str">
        <f t="shared" si="133"/>
        <v>-</v>
      </c>
      <c r="AB171" s="16" t="str">
        <f t="shared" si="119"/>
        <v>-</v>
      </c>
      <c r="AC171" s="16" t="str">
        <f t="shared" si="120"/>
        <v>-</v>
      </c>
      <c r="AD171" s="16" t="str">
        <f t="shared" si="134"/>
        <v>-</v>
      </c>
      <c r="AE171" s="16"/>
      <c r="AF171" s="31" t="str">
        <f>IFERROR(INDEX(Convenience!$M$11:$M$148,MATCH('Calculations - Convenience'!C171,Convenience!$J$11:$J$148,0)),"")</f>
        <v/>
      </c>
      <c r="AG171" s="23" t="str">
        <f t="shared" si="135"/>
        <v/>
      </c>
      <c r="AH171" s="23" t="str">
        <f t="shared" si="135"/>
        <v/>
      </c>
      <c r="AI171" s="9" t="str">
        <f t="shared" si="121"/>
        <v/>
      </c>
      <c r="AJ171" s="4" t="str">
        <f t="shared" si="122"/>
        <v/>
      </c>
      <c r="AK171" s="4"/>
      <c r="AL171" s="4"/>
      <c r="AM171" s="4"/>
      <c r="AN171" s="4"/>
      <c r="AO171" s="4"/>
      <c r="AP171" s="20" t="str">
        <f t="shared" si="123"/>
        <v>-</v>
      </c>
      <c r="AQ171" s="13" t="str">
        <f t="shared" si="136"/>
        <v>-</v>
      </c>
      <c r="AR171" s="13" t="str">
        <f t="shared" si="137"/>
        <v>-</v>
      </c>
      <c r="AS171" s="13" t="str">
        <f t="shared" si="124"/>
        <v>-</v>
      </c>
      <c r="AT171" s="16" t="str">
        <f t="shared" si="138"/>
        <v>-</v>
      </c>
      <c r="AU171" s="16" t="str">
        <f t="shared" si="125"/>
        <v>-</v>
      </c>
      <c r="AV171" s="16" t="str">
        <f t="shared" si="126"/>
        <v>-</v>
      </c>
      <c r="AW171" s="16" t="str">
        <f t="shared" si="139"/>
        <v>-</v>
      </c>
      <c r="AX171" s="13" t="str">
        <f t="shared" si="140"/>
        <v>-</v>
      </c>
      <c r="AY171" s="10" t="str">
        <f t="shared" si="141"/>
        <v>-</v>
      </c>
      <c r="AZ171" s="9" t="str">
        <f t="shared" si="142"/>
        <v>-</v>
      </c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</row>
    <row r="172" spans="2:68" x14ac:dyDescent="0.3">
      <c r="B172" s="108" t="str">
        <f t="shared" si="127"/>
        <v/>
      </c>
      <c r="C172" s="108" t="str">
        <f t="shared" si="113"/>
        <v/>
      </c>
      <c r="D172" s="3"/>
      <c r="E172" s="3"/>
      <c r="F172" s="3"/>
      <c r="G172" s="20">
        <f>IFERROR(INDEX('Input - Convenience'!F$2:F$200,MATCH('Calculations - Convenience'!$C172,'Input - Convenience'!$B$2:$B$200,0)),"")</f>
        <v>0</v>
      </c>
      <c r="H172" s="20">
        <f>IFERROR(INDEX('Input - Convenience'!G$2:G$200,MATCH('Calculations - Convenience'!$C172,'Input - Convenience'!$B$2:$B$200,0)),"")</f>
        <v>0</v>
      </c>
      <c r="I172" s="21">
        <f>IFERROR(INDEX('Input - Convenience'!H$2:H$200,MATCH('Calculations - Convenience'!$C172,'Input - Convenience'!$B$2:$B$200,0)),"")</f>
        <v>0</v>
      </c>
      <c r="J172" s="21">
        <f>IFERROR(INDEX('Input - Convenience'!I$2:I$200,MATCH('Calculations - Convenience'!$C172,'Input - Convenience'!$B$2:$B$200,0)),"")</f>
        <v>0</v>
      </c>
      <c r="K172" s="20">
        <f>IFERROR(INDEX('Input - Convenience'!J$2:J$200,MATCH('Calculations - Convenience'!$C172,'Input - Convenience'!$B$2:$B$200,0)),"")</f>
        <v>0</v>
      </c>
      <c r="L172" s="20">
        <f>IFERROR(INDEX('Input - Convenience'!K$2:K$200,MATCH('Calculations - Convenience'!$C172,'Input - Convenience'!$B$2:$B$200,0)),"")</f>
        <v>0</v>
      </c>
      <c r="M172" s="21" t="str">
        <f t="shared" si="128"/>
        <v/>
      </c>
      <c r="N172" s="21" t="str">
        <f t="shared" si="114"/>
        <v/>
      </c>
      <c r="O172" s="21">
        <f t="shared" si="129"/>
        <v>0</v>
      </c>
      <c r="P172" s="9">
        <f t="shared" si="111"/>
        <v>0</v>
      </c>
      <c r="Q172" s="9">
        <f t="shared" si="112"/>
        <v>0</v>
      </c>
      <c r="R172" s="22" t="str">
        <f>IFERROR(INDEX(Convenience!$N$11:$N$148,MATCH('Calculations - Convenience'!$C172,Convenience!$J$11:$J$148,0)),"")</f>
        <v/>
      </c>
      <c r="S172" s="22" t="str">
        <f>IFERROR(INDEX(Convenience!$O$11:$O$148,MATCH('Calculations - Convenience'!$C172,Convenience!$J$11:$J$148,0)),"")</f>
        <v/>
      </c>
      <c r="T172" s="16" t="e">
        <f t="shared" si="115"/>
        <v>#VALUE!</v>
      </c>
      <c r="U172" s="16" t="e">
        <f t="shared" si="130"/>
        <v>#VALUE!</v>
      </c>
      <c r="V172" s="16" t="e">
        <f t="shared" si="131"/>
        <v>#VALUE!</v>
      </c>
      <c r="W172" s="10" t="str">
        <f t="shared" si="116"/>
        <v>-</v>
      </c>
      <c r="X172" s="10" t="str">
        <f t="shared" si="117"/>
        <v>-</v>
      </c>
      <c r="Y172" s="13" t="str">
        <f t="shared" si="132"/>
        <v>-</v>
      </c>
      <c r="Z172" s="9" t="str">
        <f t="shared" si="118"/>
        <v>-</v>
      </c>
      <c r="AA172" s="16" t="str">
        <f t="shared" si="133"/>
        <v>-</v>
      </c>
      <c r="AB172" s="16" t="str">
        <f t="shared" si="119"/>
        <v>-</v>
      </c>
      <c r="AC172" s="16" t="str">
        <f t="shared" si="120"/>
        <v>-</v>
      </c>
      <c r="AD172" s="16" t="str">
        <f t="shared" si="134"/>
        <v>-</v>
      </c>
      <c r="AE172" s="16"/>
      <c r="AF172" s="31" t="str">
        <f>IFERROR(INDEX(Convenience!$M$11:$M$148,MATCH('Calculations - Convenience'!C172,Convenience!$J$11:$J$148,0)),"")</f>
        <v/>
      </c>
      <c r="AG172" s="23" t="str">
        <f t="shared" si="135"/>
        <v/>
      </c>
      <c r="AH172" s="23" t="str">
        <f t="shared" si="135"/>
        <v/>
      </c>
      <c r="AI172" s="9" t="str">
        <f t="shared" si="121"/>
        <v/>
      </c>
      <c r="AJ172" s="4" t="str">
        <f t="shared" si="122"/>
        <v/>
      </c>
      <c r="AK172" s="4"/>
      <c r="AL172" s="4"/>
      <c r="AM172" s="4"/>
      <c r="AN172" s="4"/>
      <c r="AO172" s="4"/>
      <c r="AP172" s="20" t="str">
        <f t="shared" si="123"/>
        <v>-</v>
      </c>
      <c r="AQ172" s="13" t="str">
        <f t="shared" si="136"/>
        <v>-</v>
      </c>
      <c r="AR172" s="13" t="str">
        <f t="shared" si="137"/>
        <v>-</v>
      </c>
      <c r="AS172" s="13" t="str">
        <f t="shared" si="124"/>
        <v>-</v>
      </c>
      <c r="AT172" s="16" t="str">
        <f t="shared" si="138"/>
        <v>-</v>
      </c>
      <c r="AU172" s="16" t="str">
        <f t="shared" si="125"/>
        <v>-</v>
      </c>
      <c r="AV172" s="16" t="str">
        <f t="shared" si="126"/>
        <v>-</v>
      </c>
      <c r="AW172" s="16" t="str">
        <f t="shared" si="139"/>
        <v>-</v>
      </c>
      <c r="AX172" s="13" t="str">
        <f t="shared" si="140"/>
        <v>-</v>
      </c>
      <c r="AY172" s="10" t="str">
        <f t="shared" si="141"/>
        <v>-</v>
      </c>
      <c r="AZ172" s="9" t="str">
        <f t="shared" si="142"/>
        <v>-</v>
      </c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</row>
    <row r="173" spans="2:68" x14ac:dyDescent="0.3">
      <c r="B173" s="108" t="str">
        <f t="shared" si="127"/>
        <v/>
      </c>
      <c r="C173" s="108" t="str">
        <f t="shared" si="113"/>
        <v/>
      </c>
      <c r="D173" s="3"/>
      <c r="E173" s="3"/>
      <c r="F173" s="3"/>
      <c r="G173" s="20">
        <f>IFERROR(INDEX('Input - Convenience'!F$2:F$200,MATCH('Calculations - Convenience'!$C173,'Input - Convenience'!$B$2:$B$200,0)),"")</f>
        <v>0</v>
      </c>
      <c r="H173" s="20">
        <f>IFERROR(INDEX('Input - Convenience'!G$2:G$200,MATCH('Calculations - Convenience'!$C173,'Input - Convenience'!$B$2:$B$200,0)),"")</f>
        <v>0</v>
      </c>
      <c r="I173" s="21">
        <f>IFERROR(INDEX('Input - Convenience'!H$2:H$200,MATCH('Calculations - Convenience'!$C173,'Input - Convenience'!$B$2:$B$200,0)),"")</f>
        <v>0</v>
      </c>
      <c r="J173" s="21">
        <f>IFERROR(INDEX('Input - Convenience'!I$2:I$200,MATCH('Calculations - Convenience'!$C173,'Input - Convenience'!$B$2:$B$200,0)),"")</f>
        <v>0</v>
      </c>
      <c r="K173" s="20">
        <f>IFERROR(INDEX('Input - Convenience'!J$2:J$200,MATCH('Calculations - Convenience'!$C173,'Input - Convenience'!$B$2:$B$200,0)),"")</f>
        <v>0</v>
      </c>
      <c r="L173" s="20">
        <f>IFERROR(INDEX('Input - Convenience'!K$2:K$200,MATCH('Calculations - Convenience'!$C173,'Input - Convenience'!$B$2:$B$200,0)),"")</f>
        <v>0</v>
      </c>
      <c r="M173" s="21" t="str">
        <f t="shared" si="128"/>
        <v/>
      </c>
      <c r="N173" s="21" t="str">
        <f t="shared" si="114"/>
        <v/>
      </c>
      <c r="O173" s="21">
        <f t="shared" si="129"/>
        <v>0</v>
      </c>
      <c r="P173" s="9">
        <f t="shared" si="111"/>
        <v>0</v>
      </c>
      <c r="Q173" s="9">
        <f t="shared" si="112"/>
        <v>0</v>
      </c>
      <c r="R173" s="22" t="str">
        <f>IFERROR(INDEX(Convenience!$N$11:$N$148,MATCH('Calculations - Convenience'!$C173,Convenience!$J$11:$J$148,0)),"")</f>
        <v/>
      </c>
      <c r="S173" s="22" t="str">
        <f>IFERROR(INDEX(Convenience!$O$11:$O$148,MATCH('Calculations - Convenience'!$C173,Convenience!$J$11:$J$148,0)),"")</f>
        <v/>
      </c>
      <c r="T173" s="16" t="e">
        <f t="shared" si="115"/>
        <v>#VALUE!</v>
      </c>
      <c r="U173" s="16" t="e">
        <f t="shared" si="130"/>
        <v>#VALUE!</v>
      </c>
      <c r="V173" s="16" t="e">
        <f t="shared" si="131"/>
        <v>#VALUE!</v>
      </c>
      <c r="W173" s="10" t="str">
        <f t="shared" si="116"/>
        <v>-</v>
      </c>
      <c r="X173" s="10" t="str">
        <f t="shared" si="117"/>
        <v>-</v>
      </c>
      <c r="Y173" s="13" t="str">
        <f t="shared" si="132"/>
        <v>-</v>
      </c>
      <c r="Z173" s="9" t="str">
        <f t="shared" si="118"/>
        <v>-</v>
      </c>
      <c r="AA173" s="16" t="str">
        <f t="shared" si="133"/>
        <v>-</v>
      </c>
      <c r="AB173" s="16" t="str">
        <f t="shared" si="119"/>
        <v>-</v>
      </c>
      <c r="AC173" s="16" t="str">
        <f t="shared" si="120"/>
        <v>-</v>
      </c>
      <c r="AD173" s="16" t="str">
        <f t="shared" si="134"/>
        <v>-</v>
      </c>
      <c r="AE173" s="16"/>
      <c r="AF173" s="31" t="str">
        <f>IFERROR(INDEX(Convenience!$M$11:$M$148,MATCH('Calculations - Convenience'!C173,Convenience!$J$11:$J$148,0)),"")</f>
        <v/>
      </c>
      <c r="AG173" s="23" t="str">
        <f t="shared" si="135"/>
        <v/>
      </c>
      <c r="AH173" s="23" t="str">
        <f t="shared" si="135"/>
        <v/>
      </c>
      <c r="AI173" s="9" t="str">
        <f t="shared" si="121"/>
        <v/>
      </c>
      <c r="AJ173" s="4" t="str">
        <f t="shared" si="122"/>
        <v/>
      </c>
      <c r="AK173" s="4"/>
      <c r="AL173" s="4"/>
      <c r="AM173" s="4"/>
      <c r="AN173" s="4"/>
      <c r="AO173" s="4"/>
      <c r="AP173" s="20" t="str">
        <f t="shared" si="123"/>
        <v>-</v>
      </c>
      <c r="AQ173" s="13" t="str">
        <f t="shared" si="136"/>
        <v>-</v>
      </c>
      <c r="AR173" s="13" t="str">
        <f t="shared" si="137"/>
        <v>-</v>
      </c>
      <c r="AS173" s="13" t="str">
        <f t="shared" si="124"/>
        <v>-</v>
      </c>
      <c r="AT173" s="16" t="str">
        <f t="shared" si="138"/>
        <v>-</v>
      </c>
      <c r="AU173" s="16" t="str">
        <f t="shared" si="125"/>
        <v>-</v>
      </c>
      <c r="AV173" s="16" t="str">
        <f t="shared" si="126"/>
        <v>-</v>
      </c>
      <c r="AW173" s="16" t="str">
        <f t="shared" si="139"/>
        <v>-</v>
      </c>
      <c r="AX173" s="13" t="str">
        <f t="shared" si="140"/>
        <v>-</v>
      </c>
      <c r="AY173" s="10" t="str">
        <f t="shared" si="141"/>
        <v>-</v>
      </c>
      <c r="AZ173" s="9" t="str">
        <f t="shared" si="142"/>
        <v>-</v>
      </c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</row>
    <row r="174" spans="2:68" x14ac:dyDescent="0.3">
      <c r="B174" s="108" t="str">
        <f t="shared" si="127"/>
        <v/>
      </c>
      <c r="C174" s="108" t="str">
        <f t="shared" si="113"/>
        <v/>
      </c>
      <c r="D174" s="3"/>
      <c r="E174" s="3"/>
      <c r="F174" s="3"/>
      <c r="G174" s="20">
        <f>IFERROR(INDEX('Input - Convenience'!F$2:F$200,MATCH('Calculations - Convenience'!$C174,'Input - Convenience'!$B$2:$B$200,0)),"")</f>
        <v>0</v>
      </c>
      <c r="H174" s="20">
        <f>IFERROR(INDEX('Input - Convenience'!G$2:G$200,MATCH('Calculations - Convenience'!$C174,'Input - Convenience'!$B$2:$B$200,0)),"")</f>
        <v>0</v>
      </c>
      <c r="I174" s="21">
        <f>IFERROR(INDEX('Input - Convenience'!H$2:H$200,MATCH('Calculations - Convenience'!$C174,'Input - Convenience'!$B$2:$B$200,0)),"")</f>
        <v>0</v>
      </c>
      <c r="J174" s="21">
        <f>IFERROR(INDEX('Input - Convenience'!I$2:I$200,MATCH('Calculations - Convenience'!$C174,'Input - Convenience'!$B$2:$B$200,0)),"")</f>
        <v>0</v>
      </c>
      <c r="K174" s="20">
        <f>IFERROR(INDEX('Input - Convenience'!J$2:J$200,MATCH('Calculations - Convenience'!$C174,'Input - Convenience'!$B$2:$B$200,0)),"")</f>
        <v>0</v>
      </c>
      <c r="L174" s="20">
        <f>IFERROR(INDEX('Input - Convenience'!K$2:K$200,MATCH('Calculations - Convenience'!$C174,'Input - Convenience'!$B$2:$B$200,0)),"")</f>
        <v>0</v>
      </c>
      <c r="M174" s="21" t="str">
        <f t="shared" si="128"/>
        <v/>
      </c>
      <c r="N174" s="21" t="str">
        <f t="shared" si="114"/>
        <v/>
      </c>
      <c r="O174" s="21">
        <f t="shared" si="129"/>
        <v>0</v>
      </c>
      <c r="P174" s="9">
        <f t="shared" si="111"/>
        <v>0</v>
      </c>
      <c r="Q174" s="9">
        <f t="shared" si="112"/>
        <v>0</v>
      </c>
      <c r="R174" s="22" t="str">
        <f>IFERROR(INDEX(Convenience!$N$11:$N$148,MATCH('Calculations - Convenience'!$C174,Convenience!$J$11:$J$148,0)),"")</f>
        <v/>
      </c>
      <c r="S174" s="22" t="str">
        <f>IFERROR(INDEX(Convenience!$O$11:$O$148,MATCH('Calculations - Convenience'!$C174,Convenience!$J$11:$J$148,0)),"")</f>
        <v/>
      </c>
      <c r="T174" s="16" t="e">
        <f t="shared" si="115"/>
        <v>#VALUE!</v>
      </c>
      <c r="U174" s="16" t="e">
        <f t="shared" si="130"/>
        <v>#VALUE!</v>
      </c>
      <c r="V174" s="16" t="e">
        <f t="shared" si="131"/>
        <v>#VALUE!</v>
      </c>
      <c r="W174" s="10" t="str">
        <f t="shared" si="116"/>
        <v>-</v>
      </c>
      <c r="X174" s="10" t="str">
        <f t="shared" si="117"/>
        <v>-</v>
      </c>
      <c r="Y174" s="13" t="str">
        <f t="shared" si="132"/>
        <v>-</v>
      </c>
      <c r="Z174" s="9" t="str">
        <f t="shared" si="118"/>
        <v>-</v>
      </c>
      <c r="AA174" s="16" t="str">
        <f t="shared" si="133"/>
        <v>-</v>
      </c>
      <c r="AB174" s="16" t="str">
        <f t="shared" si="119"/>
        <v>-</v>
      </c>
      <c r="AC174" s="16" t="str">
        <f t="shared" si="120"/>
        <v>-</v>
      </c>
      <c r="AD174" s="16" t="str">
        <f t="shared" si="134"/>
        <v>-</v>
      </c>
      <c r="AE174" s="16"/>
      <c r="AF174" s="31" t="str">
        <f>IFERROR(INDEX(Convenience!$M$11:$M$148,MATCH('Calculations - Convenience'!C174,Convenience!$J$11:$J$148,0)),"")</f>
        <v/>
      </c>
      <c r="AG174" s="23" t="str">
        <f t="shared" si="135"/>
        <v/>
      </c>
      <c r="AH174" s="23" t="str">
        <f t="shared" si="135"/>
        <v/>
      </c>
      <c r="AI174" s="9" t="str">
        <f t="shared" si="121"/>
        <v/>
      </c>
      <c r="AJ174" s="4" t="str">
        <f t="shared" si="122"/>
        <v/>
      </c>
      <c r="AK174" s="4"/>
      <c r="AL174" s="4"/>
      <c r="AM174" s="4"/>
      <c r="AN174" s="4"/>
      <c r="AO174" s="4"/>
      <c r="AP174" s="20" t="str">
        <f t="shared" si="123"/>
        <v>-</v>
      </c>
      <c r="AQ174" s="13" t="str">
        <f t="shared" si="136"/>
        <v>-</v>
      </c>
      <c r="AR174" s="13" t="str">
        <f t="shared" si="137"/>
        <v>-</v>
      </c>
      <c r="AS174" s="13" t="str">
        <f t="shared" si="124"/>
        <v>-</v>
      </c>
      <c r="AT174" s="16" t="str">
        <f t="shared" si="138"/>
        <v>-</v>
      </c>
      <c r="AU174" s="16" t="str">
        <f t="shared" si="125"/>
        <v>-</v>
      </c>
      <c r="AV174" s="16" t="str">
        <f t="shared" si="126"/>
        <v>-</v>
      </c>
      <c r="AW174" s="16" t="str">
        <f t="shared" si="139"/>
        <v>-</v>
      </c>
      <c r="AX174" s="13" t="str">
        <f t="shared" si="140"/>
        <v>-</v>
      </c>
      <c r="AY174" s="10" t="str">
        <f t="shared" si="141"/>
        <v>-</v>
      </c>
      <c r="AZ174" s="9" t="str">
        <f t="shared" si="142"/>
        <v>-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</row>
    <row r="175" spans="2:68" x14ac:dyDescent="0.3">
      <c r="B175" s="108" t="str">
        <f t="shared" si="127"/>
        <v/>
      </c>
      <c r="C175" s="108" t="str">
        <f t="shared" si="113"/>
        <v/>
      </c>
      <c r="D175" s="3"/>
      <c r="E175" s="3"/>
      <c r="F175" s="3"/>
      <c r="G175" s="20">
        <f>IFERROR(INDEX('Input - Convenience'!F$2:F$200,MATCH('Calculations - Convenience'!$C175,'Input - Convenience'!$B$2:$B$200,0)),"")</f>
        <v>0</v>
      </c>
      <c r="H175" s="20">
        <f>IFERROR(INDEX('Input - Convenience'!G$2:G$200,MATCH('Calculations - Convenience'!$C175,'Input - Convenience'!$B$2:$B$200,0)),"")</f>
        <v>0</v>
      </c>
      <c r="I175" s="21">
        <f>IFERROR(INDEX('Input - Convenience'!H$2:H$200,MATCH('Calculations - Convenience'!$C175,'Input - Convenience'!$B$2:$B$200,0)),"")</f>
        <v>0</v>
      </c>
      <c r="J175" s="21">
        <f>IFERROR(INDEX('Input - Convenience'!I$2:I$200,MATCH('Calculations - Convenience'!$C175,'Input - Convenience'!$B$2:$B$200,0)),"")</f>
        <v>0</v>
      </c>
      <c r="K175" s="20">
        <f>IFERROR(INDEX('Input - Convenience'!J$2:J$200,MATCH('Calculations - Convenience'!$C175,'Input - Convenience'!$B$2:$B$200,0)),"")</f>
        <v>0</v>
      </c>
      <c r="L175" s="20">
        <f>IFERROR(INDEX('Input - Convenience'!K$2:K$200,MATCH('Calculations - Convenience'!$C175,'Input - Convenience'!$B$2:$B$200,0)),"")</f>
        <v>0</v>
      </c>
      <c r="M175" s="21" t="str">
        <f t="shared" si="128"/>
        <v/>
      </c>
      <c r="N175" s="21" t="str">
        <f t="shared" si="114"/>
        <v/>
      </c>
      <c r="O175" s="21">
        <f t="shared" si="129"/>
        <v>0</v>
      </c>
      <c r="P175" s="9">
        <f t="shared" si="111"/>
        <v>0</v>
      </c>
      <c r="Q175" s="9">
        <f t="shared" si="112"/>
        <v>0</v>
      </c>
      <c r="R175" s="22" t="str">
        <f>IFERROR(INDEX(Convenience!$N$11:$N$148,MATCH('Calculations - Convenience'!$C175,Convenience!$J$11:$J$148,0)),"")</f>
        <v/>
      </c>
      <c r="S175" s="22" t="str">
        <f>IFERROR(INDEX(Convenience!$O$11:$O$148,MATCH('Calculations - Convenience'!$C175,Convenience!$J$11:$J$148,0)),"")</f>
        <v/>
      </c>
      <c r="T175" s="16" t="e">
        <f t="shared" si="115"/>
        <v>#VALUE!</v>
      </c>
      <c r="U175" s="16" t="e">
        <f t="shared" si="130"/>
        <v>#VALUE!</v>
      </c>
      <c r="V175" s="16" t="e">
        <f t="shared" si="131"/>
        <v>#VALUE!</v>
      </c>
      <c r="W175" s="10" t="str">
        <f t="shared" si="116"/>
        <v>-</v>
      </c>
      <c r="X175" s="10" t="str">
        <f t="shared" si="117"/>
        <v>-</v>
      </c>
      <c r="Y175" s="13" t="str">
        <f t="shared" si="132"/>
        <v>-</v>
      </c>
      <c r="Z175" s="9" t="str">
        <f t="shared" si="118"/>
        <v>-</v>
      </c>
      <c r="AA175" s="16" t="str">
        <f t="shared" si="133"/>
        <v>-</v>
      </c>
      <c r="AB175" s="16" t="str">
        <f t="shared" si="119"/>
        <v>-</v>
      </c>
      <c r="AC175" s="16" t="str">
        <f t="shared" si="120"/>
        <v>-</v>
      </c>
      <c r="AD175" s="16" t="str">
        <f t="shared" si="134"/>
        <v>-</v>
      </c>
      <c r="AE175" s="16"/>
      <c r="AF175" s="31" t="str">
        <f>IFERROR(INDEX(Convenience!$M$11:$M$148,MATCH('Calculations - Convenience'!C175,Convenience!$J$11:$J$148,0)),"")</f>
        <v/>
      </c>
      <c r="AG175" s="23" t="str">
        <f t="shared" si="135"/>
        <v/>
      </c>
      <c r="AH175" s="23" t="str">
        <f t="shared" si="135"/>
        <v/>
      </c>
      <c r="AI175" s="9" t="str">
        <f t="shared" si="121"/>
        <v/>
      </c>
      <c r="AJ175" s="4" t="str">
        <f t="shared" si="122"/>
        <v/>
      </c>
      <c r="AK175" s="4"/>
      <c r="AL175" s="4"/>
      <c r="AM175" s="4"/>
      <c r="AN175" s="4"/>
      <c r="AO175" s="4"/>
      <c r="AP175" s="20" t="str">
        <f t="shared" si="123"/>
        <v>-</v>
      </c>
      <c r="AQ175" s="13" t="str">
        <f t="shared" si="136"/>
        <v>-</v>
      </c>
      <c r="AR175" s="13" t="str">
        <f t="shared" si="137"/>
        <v>-</v>
      </c>
      <c r="AS175" s="13" t="str">
        <f t="shared" si="124"/>
        <v>-</v>
      </c>
      <c r="AT175" s="16" t="str">
        <f t="shared" si="138"/>
        <v>-</v>
      </c>
      <c r="AU175" s="16" t="str">
        <f t="shared" si="125"/>
        <v>-</v>
      </c>
      <c r="AV175" s="16" t="str">
        <f t="shared" si="126"/>
        <v>-</v>
      </c>
      <c r="AW175" s="16" t="str">
        <f t="shared" si="139"/>
        <v>-</v>
      </c>
      <c r="AX175" s="13" t="str">
        <f t="shared" si="140"/>
        <v>-</v>
      </c>
      <c r="AY175" s="10" t="str">
        <f t="shared" si="141"/>
        <v>-</v>
      </c>
      <c r="AZ175" s="9" t="str">
        <f t="shared" si="142"/>
        <v>-</v>
      </c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</row>
    <row r="176" spans="2:68" x14ac:dyDescent="0.3">
      <c r="B176" s="108" t="str">
        <f t="shared" si="127"/>
        <v/>
      </c>
      <c r="C176" s="108" t="str">
        <f t="shared" si="113"/>
        <v/>
      </c>
      <c r="D176" s="3"/>
      <c r="E176" s="3"/>
      <c r="F176" s="3"/>
      <c r="G176" s="20">
        <f>IFERROR(INDEX('Input - Convenience'!F$2:F$200,MATCH('Calculations - Convenience'!$C176,'Input - Convenience'!$B$2:$B$200,0)),"")</f>
        <v>0</v>
      </c>
      <c r="H176" s="20">
        <f>IFERROR(INDEX('Input - Convenience'!G$2:G$200,MATCH('Calculations - Convenience'!$C176,'Input - Convenience'!$B$2:$B$200,0)),"")</f>
        <v>0</v>
      </c>
      <c r="I176" s="21">
        <f>IFERROR(INDEX('Input - Convenience'!H$2:H$200,MATCH('Calculations - Convenience'!$C176,'Input - Convenience'!$B$2:$B$200,0)),"")</f>
        <v>0</v>
      </c>
      <c r="J176" s="21">
        <f>IFERROR(INDEX('Input - Convenience'!I$2:I$200,MATCH('Calculations - Convenience'!$C176,'Input - Convenience'!$B$2:$B$200,0)),"")</f>
        <v>0</v>
      </c>
      <c r="K176" s="20">
        <f>IFERROR(INDEX('Input - Convenience'!J$2:J$200,MATCH('Calculations - Convenience'!$C176,'Input - Convenience'!$B$2:$B$200,0)),"")</f>
        <v>0</v>
      </c>
      <c r="L176" s="20">
        <f>IFERROR(INDEX('Input - Convenience'!K$2:K$200,MATCH('Calculations - Convenience'!$C176,'Input - Convenience'!$B$2:$B$200,0)),"")</f>
        <v>0</v>
      </c>
      <c r="M176" s="21" t="str">
        <f t="shared" si="128"/>
        <v/>
      </c>
      <c r="N176" s="21" t="str">
        <f t="shared" si="114"/>
        <v/>
      </c>
      <c r="O176" s="21">
        <f t="shared" si="129"/>
        <v>0</v>
      </c>
      <c r="P176" s="9">
        <f t="shared" si="111"/>
        <v>0</v>
      </c>
      <c r="Q176" s="9">
        <f t="shared" si="112"/>
        <v>0</v>
      </c>
      <c r="R176" s="22" t="str">
        <f>IFERROR(INDEX(Convenience!$N$11:$N$148,MATCH('Calculations - Convenience'!$C176,Convenience!$J$11:$J$148,0)),"")</f>
        <v/>
      </c>
      <c r="S176" s="22" t="str">
        <f>IFERROR(INDEX(Convenience!$O$11:$O$148,MATCH('Calculations - Convenience'!$C176,Convenience!$J$11:$J$148,0)),"")</f>
        <v/>
      </c>
      <c r="T176" s="16" t="e">
        <f t="shared" si="115"/>
        <v>#VALUE!</v>
      </c>
      <c r="U176" s="16" t="e">
        <f t="shared" si="130"/>
        <v>#VALUE!</v>
      </c>
      <c r="V176" s="16" t="e">
        <f t="shared" si="131"/>
        <v>#VALUE!</v>
      </c>
      <c r="W176" s="10" t="str">
        <f t="shared" si="116"/>
        <v>-</v>
      </c>
      <c r="X176" s="10" t="str">
        <f t="shared" si="117"/>
        <v>-</v>
      </c>
      <c r="Y176" s="13" t="str">
        <f t="shared" si="132"/>
        <v>-</v>
      </c>
      <c r="Z176" s="9" t="str">
        <f t="shared" si="118"/>
        <v>-</v>
      </c>
      <c r="AA176" s="16" t="str">
        <f t="shared" si="133"/>
        <v>-</v>
      </c>
      <c r="AB176" s="16" t="str">
        <f t="shared" si="119"/>
        <v>-</v>
      </c>
      <c r="AC176" s="16" t="str">
        <f t="shared" si="120"/>
        <v>-</v>
      </c>
      <c r="AD176" s="16" t="str">
        <f t="shared" si="134"/>
        <v>-</v>
      </c>
      <c r="AE176" s="16"/>
      <c r="AF176" s="31" t="str">
        <f>IFERROR(INDEX(Convenience!$M$11:$M$148,MATCH('Calculations - Convenience'!C176,Convenience!$J$11:$J$148,0)),"")</f>
        <v/>
      </c>
      <c r="AG176" s="23" t="str">
        <f t="shared" si="135"/>
        <v/>
      </c>
      <c r="AH176" s="23" t="str">
        <f t="shared" si="135"/>
        <v/>
      </c>
      <c r="AI176" s="9" t="str">
        <f t="shared" si="121"/>
        <v/>
      </c>
      <c r="AJ176" s="4" t="str">
        <f t="shared" si="122"/>
        <v/>
      </c>
      <c r="AK176" s="4"/>
      <c r="AL176" s="4"/>
      <c r="AM176" s="4"/>
      <c r="AN176" s="4"/>
      <c r="AO176" s="4"/>
      <c r="AP176" s="20" t="str">
        <f t="shared" si="123"/>
        <v>-</v>
      </c>
      <c r="AQ176" s="13" t="str">
        <f t="shared" si="136"/>
        <v>-</v>
      </c>
      <c r="AR176" s="13" t="str">
        <f t="shared" si="137"/>
        <v>-</v>
      </c>
      <c r="AS176" s="13" t="str">
        <f t="shared" si="124"/>
        <v>-</v>
      </c>
      <c r="AT176" s="16" t="str">
        <f t="shared" si="138"/>
        <v>-</v>
      </c>
      <c r="AU176" s="16" t="str">
        <f t="shared" si="125"/>
        <v>-</v>
      </c>
      <c r="AV176" s="16" t="str">
        <f t="shared" si="126"/>
        <v>-</v>
      </c>
      <c r="AW176" s="16" t="str">
        <f t="shared" si="139"/>
        <v>-</v>
      </c>
      <c r="AX176" s="13" t="str">
        <f t="shared" si="140"/>
        <v>-</v>
      </c>
      <c r="AY176" s="10" t="str">
        <f t="shared" si="141"/>
        <v>-</v>
      </c>
      <c r="AZ176" s="9" t="str">
        <f t="shared" si="142"/>
        <v>-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</row>
    <row r="177" spans="2:68" x14ac:dyDescent="0.3">
      <c r="B177" s="108" t="str">
        <f t="shared" si="127"/>
        <v/>
      </c>
      <c r="C177" s="108" t="str">
        <f t="shared" si="113"/>
        <v/>
      </c>
      <c r="D177" s="3"/>
      <c r="E177" s="3"/>
      <c r="F177" s="3"/>
      <c r="G177" s="20">
        <f>IFERROR(INDEX('Input - Convenience'!F$2:F$200,MATCH('Calculations - Convenience'!$C177,'Input - Convenience'!$B$2:$B$200,0)),"")</f>
        <v>0</v>
      </c>
      <c r="H177" s="20">
        <f>IFERROR(INDEX('Input - Convenience'!G$2:G$200,MATCH('Calculations - Convenience'!$C177,'Input - Convenience'!$B$2:$B$200,0)),"")</f>
        <v>0</v>
      </c>
      <c r="I177" s="21">
        <f>IFERROR(INDEX('Input - Convenience'!H$2:H$200,MATCH('Calculations - Convenience'!$C177,'Input - Convenience'!$B$2:$B$200,0)),"")</f>
        <v>0</v>
      </c>
      <c r="J177" s="21">
        <f>IFERROR(INDEX('Input - Convenience'!I$2:I$200,MATCH('Calculations - Convenience'!$C177,'Input - Convenience'!$B$2:$B$200,0)),"")</f>
        <v>0</v>
      </c>
      <c r="K177" s="20">
        <f>IFERROR(INDEX('Input - Convenience'!J$2:J$200,MATCH('Calculations - Convenience'!$C177,'Input - Convenience'!$B$2:$B$200,0)),"")</f>
        <v>0</v>
      </c>
      <c r="L177" s="20">
        <f>IFERROR(INDEX('Input - Convenience'!K$2:K$200,MATCH('Calculations - Convenience'!$C177,'Input - Convenience'!$B$2:$B$200,0)),"")</f>
        <v>0</v>
      </c>
      <c r="M177" s="21" t="str">
        <f t="shared" si="128"/>
        <v/>
      </c>
      <c r="N177" s="21" t="str">
        <f t="shared" si="114"/>
        <v/>
      </c>
      <c r="O177" s="21">
        <f t="shared" si="129"/>
        <v>0</v>
      </c>
      <c r="P177" s="9">
        <f t="shared" si="111"/>
        <v>0</v>
      </c>
      <c r="Q177" s="9">
        <f t="shared" si="112"/>
        <v>0</v>
      </c>
      <c r="R177" s="22" t="str">
        <f>IFERROR(INDEX(Convenience!$N$11:$N$148,MATCH('Calculations - Convenience'!$C177,Convenience!$J$11:$J$148,0)),"")</f>
        <v/>
      </c>
      <c r="S177" s="22" t="str">
        <f>IFERROR(INDEX(Convenience!$O$11:$O$148,MATCH('Calculations - Convenience'!$C177,Convenience!$J$11:$J$148,0)),"")</f>
        <v/>
      </c>
      <c r="T177" s="16" t="e">
        <f t="shared" si="115"/>
        <v>#VALUE!</v>
      </c>
      <c r="U177" s="16" t="e">
        <f t="shared" si="130"/>
        <v>#VALUE!</v>
      </c>
      <c r="V177" s="16" t="e">
        <f t="shared" si="131"/>
        <v>#VALUE!</v>
      </c>
      <c r="W177" s="10" t="str">
        <f t="shared" si="116"/>
        <v>-</v>
      </c>
      <c r="X177" s="10" t="str">
        <f t="shared" si="117"/>
        <v>-</v>
      </c>
      <c r="Y177" s="13" t="str">
        <f t="shared" si="132"/>
        <v>-</v>
      </c>
      <c r="Z177" s="9" t="str">
        <f t="shared" si="118"/>
        <v>-</v>
      </c>
      <c r="AA177" s="16" t="str">
        <f t="shared" si="133"/>
        <v>-</v>
      </c>
      <c r="AB177" s="16" t="str">
        <f t="shared" si="119"/>
        <v>-</v>
      </c>
      <c r="AC177" s="16" t="str">
        <f t="shared" si="120"/>
        <v>-</v>
      </c>
      <c r="AD177" s="16" t="str">
        <f t="shared" si="134"/>
        <v>-</v>
      </c>
      <c r="AE177" s="16"/>
      <c r="AF177" s="31" t="str">
        <f>IFERROR(INDEX(Convenience!$M$11:$M$148,MATCH('Calculations - Convenience'!C177,Convenience!$J$11:$J$148,0)),"")</f>
        <v/>
      </c>
      <c r="AG177" s="23" t="str">
        <f t="shared" si="135"/>
        <v/>
      </c>
      <c r="AH177" s="23" t="str">
        <f t="shared" si="135"/>
        <v/>
      </c>
      <c r="AI177" s="9" t="str">
        <f t="shared" si="121"/>
        <v/>
      </c>
      <c r="AJ177" s="4" t="str">
        <f t="shared" si="122"/>
        <v/>
      </c>
      <c r="AK177" s="4"/>
      <c r="AL177" s="4"/>
      <c r="AM177" s="4"/>
      <c r="AN177" s="4"/>
      <c r="AO177" s="4"/>
      <c r="AP177" s="20" t="str">
        <f t="shared" si="123"/>
        <v>-</v>
      </c>
      <c r="AQ177" s="13" t="str">
        <f t="shared" si="136"/>
        <v>-</v>
      </c>
      <c r="AR177" s="13" t="str">
        <f t="shared" si="137"/>
        <v>-</v>
      </c>
      <c r="AS177" s="13" t="str">
        <f t="shared" si="124"/>
        <v>-</v>
      </c>
      <c r="AT177" s="16" t="str">
        <f t="shared" si="138"/>
        <v>-</v>
      </c>
      <c r="AU177" s="16" t="str">
        <f t="shared" si="125"/>
        <v>-</v>
      </c>
      <c r="AV177" s="16" t="str">
        <f t="shared" si="126"/>
        <v>-</v>
      </c>
      <c r="AW177" s="16" t="str">
        <f t="shared" si="139"/>
        <v>-</v>
      </c>
      <c r="AX177" s="13" t="str">
        <f t="shared" si="140"/>
        <v>-</v>
      </c>
      <c r="AY177" s="10" t="str">
        <f t="shared" si="141"/>
        <v>-</v>
      </c>
      <c r="AZ177" s="9" t="str">
        <f t="shared" si="142"/>
        <v>-</v>
      </c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</row>
    <row r="178" spans="2:68" x14ac:dyDescent="0.3">
      <c r="B178" s="108" t="str">
        <f t="shared" si="127"/>
        <v/>
      </c>
      <c r="C178" s="108" t="str">
        <f t="shared" si="113"/>
        <v/>
      </c>
      <c r="D178" s="3"/>
      <c r="E178" s="3"/>
      <c r="F178" s="3"/>
      <c r="G178" s="20">
        <f>IFERROR(INDEX('Input - Convenience'!F$2:F$200,MATCH('Calculations - Convenience'!$C178,'Input - Convenience'!$B$2:$B$200,0)),"")</f>
        <v>0</v>
      </c>
      <c r="H178" s="20">
        <f>IFERROR(INDEX('Input - Convenience'!G$2:G$200,MATCH('Calculations - Convenience'!$C178,'Input - Convenience'!$B$2:$B$200,0)),"")</f>
        <v>0</v>
      </c>
      <c r="I178" s="21">
        <f>IFERROR(INDEX('Input - Convenience'!H$2:H$200,MATCH('Calculations - Convenience'!$C178,'Input - Convenience'!$B$2:$B$200,0)),"")</f>
        <v>0</v>
      </c>
      <c r="J178" s="21">
        <f>IFERROR(INDEX('Input - Convenience'!I$2:I$200,MATCH('Calculations - Convenience'!$C178,'Input - Convenience'!$B$2:$B$200,0)),"")</f>
        <v>0</v>
      </c>
      <c r="K178" s="20">
        <f>IFERROR(INDEX('Input - Convenience'!J$2:J$200,MATCH('Calculations - Convenience'!$C178,'Input - Convenience'!$B$2:$B$200,0)),"")</f>
        <v>0</v>
      </c>
      <c r="L178" s="20">
        <f>IFERROR(INDEX('Input - Convenience'!K$2:K$200,MATCH('Calculations - Convenience'!$C178,'Input - Convenience'!$B$2:$B$200,0)),"")</f>
        <v>0</v>
      </c>
      <c r="M178" s="21" t="str">
        <f t="shared" si="128"/>
        <v/>
      </c>
      <c r="N178" s="21" t="str">
        <f t="shared" si="114"/>
        <v/>
      </c>
      <c r="O178" s="21">
        <f t="shared" si="129"/>
        <v>0</v>
      </c>
      <c r="P178" s="9">
        <f t="shared" si="111"/>
        <v>0</v>
      </c>
      <c r="Q178" s="9">
        <f t="shared" si="112"/>
        <v>0</v>
      </c>
      <c r="R178" s="22" t="str">
        <f>IFERROR(INDEX(Convenience!$N$11:$N$148,MATCH('Calculations - Convenience'!$C178,Convenience!$J$11:$J$148,0)),"")</f>
        <v/>
      </c>
      <c r="S178" s="22" t="str">
        <f>IFERROR(INDEX(Convenience!$O$11:$O$148,MATCH('Calculations - Convenience'!$C178,Convenience!$J$11:$J$148,0)),"")</f>
        <v/>
      </c>
      <c r="T178" s="16" t="e">
        <f t="shared" si="115"/>
        <v>#VALUE!</v>
      </c>
      <c r="U178" s="16" t="e">
        <f t="shared" si="130"/>
        <v>#VALUE!</v>
      </c>
      <c r="V178" s="16" t="e">
        <f t="shared" si="131"/>
        <v>#VALUE!</v>
      </c>
      <c r="W178" s="10" t="str">
        <f t="shared" si="116"/>
        <v>-</v>
      </c>
      <c r="X178" s="10" t="str">
        <f t="shared" si="117"/>
        <v>-</v>
      </c>
      <c r="Y178" s="13" t="str">
        <f t="shared" si="132"/>
        <v>-</v>
      </c>
      <c r="Z178" s="9" t="str">
        <f t="shared" si="118"/>
        <v>-</v>
      </c>
      <c r="AA178" s="16" t="str">
        <f t="shared" si="133"/>
        <v>-</v>
      </c>
      <c r="AB178" s="16" t="str">
        <f t="shared" si="119"/>
        <v>-</v>
      </c>
      <c r="AC178" s="16" t="str">
        <f t="shared" si="120"/>
        <v>-</v>
      </c>
      <c r="AD178" s="16" t="str">
        <f t="shared" si="134"/>
        <v>-</v>
      </c>
      <c r="AE178" s="16"/>
      <c r="AF178" s="31" t="str">
        <f>IFERROR(INDEX(Convenience!$M$11:$M$148,MATCH('Calculations - Convenience'!C178,Convenience!$J$11:$J$148,0)),"")</f>
        <v/>
      </c>
      <c r="AG178" s="23" t="str">
        <f t="shared" si="135"/>
        <v/>
      </c>
      <c r="AH178" s="23" t="str">
        <f t="shared" si="135"/>
        <v/>
      </c>
      <c r="AI178" s="9" t="str">
        <f t="shared" si="121"/>
        <v/>
      </c>
      <c r="AJ178" s="4" t="str">
        <f t="shared" si="122"/>
        <v/>
      </c>
      <c r="AK178" s="4"/>
      <c r="AL178" s="4"/>
      <c r="AM178" s="4"/>
      <c r="AN178" s="4"/>
      <c r="AO178" s="4"/>
      <c r="AP178" s="20" t="str">
        <f t="shared" si="123"/>
        <v>-</v>
      </c>
      <c r="AQ178" s="13" t="str">
        <f t="shared" si="136"/>
        <v>-</v>
      </c>
      <c r="AR178" s="13" t="str">
        <f t="shared" si="137"/>
        <v>-</v>
      </c>
      <c r="AS178" s="13" t="str">
        <f t="shared" si="124"/>
        <v>-</v>
      </c>
      <c r="AT178" s="16" t="str">
        <f t="shared" si="138"/>
        <v>-</v>
      </c>
      <c r="AU178" s="16" t="str">
        <f t="shared" si="125"/>
        <v>-</v>
      </c>
      <c r="AV178" s="16" t="str">
        <f t="shared" si="126"/>
        <v>-</v>
      </c>
      <c r="AW178" s="16" t="str">
        <f t="shared" si="139"/>
        <v>-</v>
      </c>
      <c r="AX178" s="13" t="str">
        <f t="shared" si="140"/>
        <v>-</v>
      </c>
      <c r="AY178" s="10" t="str">
        <f t="shared" si="141"/>
        <v>-</v>
      </c>
      <c r="AZ178" s="9" t="str">
        <f t="shared" si="142"/>
        <v>-</v>
      </c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</row>
    <row r="179" spans="2:68" x14ac:dyDescent="0.3">
      <c r="B179" s="108" t="str">
        <f t="shared" si="127"/>
        <v/>
      </c>
      <c r="C179" s="108" t="str">
        <f t="shared" si="113"/>
        <v/>
      </c>
      <c r="D179" s="3"/>
      <c r="E179" s="3"/>
      <c r="F179" s="3"/>
      <c r="G179" s="20">
        <f>IFERROR(INDEX('Input - Convenience'!F$2:F$200,MATCH('Calculations - Convenience'!$C179,'Input - Convenience'!$B$2:$B$200,0)),"")</f>
        <v>0</v>
      </c>
      <c r="H179" s="20">
        <f>IFERROR(INDEX('Input - Convenience'!G$2:G$200,MATCH('Calculations - Convenience'!$C179,'Input - Convenience'!$B$2:$B$200,0)),"")</f>
        <v>0</v>
      </c>
      <c r="I179" s="21">
        <f>IFERROR(INDEX('Input - Convenience'!H$2:H$200,MATCH('Calculations - Convenience'!$C179,'Input - Convenience'!$B$2:$B$200,0)),"")</f>
        <v>0</v>
      </c>
      <c r="J179" s="21">
        <f>IFERROR(INDEX('Input - Convenience'!I$2:I$200,MATCH('Calculations - Convenience'!$C179,'Input - Convenience'!$B$2:$B$200,0)),"")</f>
        <v>0</v>
      </c>
      <c r="K179" s="20">
        <f>IFERROR(INDEX('Input - Convenience'!J$2:J$200,MATCH('Calculations - Convenience'!$C179,'Input - Convenience'!$B$2:$B$200,0)),"")</f>
        <v>0</v>
      </c>
      <c r="L179" s="20">
        <f>IFERROR(INDEX('Input - Convenience'!K$2:K$200,MATCH('Calculations - Convenience'!$C179,'Input - Convenience'!$B$2:$B$200,0)),"")</f>
        <v>0</v>
      </c>
      <c r="M179" s="21" t="str">
        <f t="shared" si="128"/>
        <v/>
      </c>
      <c r="N179" s="21" t="str">
        <f t="shared" si="114"/>
        <v/>
      </c>
      <c r="O179" s="21">
        <f t="shared" si="129"/>
        <v>0</v>
      </c>
      <c r="P179" s="9">
        <f t="shared" si="111"/>
        <v>0</v>
      </c>
      <c r="Q179" s="9">
        <f t="shared" si="112"/>
        <v>0</v>
      </c>
      <c r="R179" s="22" t="str">
        <f>IFERROR(INDEX(Convenience!$N$11:$N$148,MATCH('Calculations - Convenience'!$C179,Convenience!$J$11:$J$148,0)),"")</f>
        <v/>
      </c>
      <c r="S179" s="22" t="str">
        <f>IFERROR(INDEX(Convenience!$O$11:$O$148,MATCH('Calculations - Convenience'!$C179,Convenience!$J$11:$J$148,0)),"")</f>
        <v/>
      </c>
      <c r="T179" s="16" t="e">
        <f t="shared" si="115"/>
        <v>#VALUE!</v>
      </c>
      <c r="U179" s="16" t="e">
        <f t="shared" si="130"/>
        <v>#VALUE!</v>
      </c>
      <c r="V179" s="16" t="e">
        <f t="shared" si="131"/>
        <v>#VALUE!</v>
      </c>
      <c r="W179" s="10" t="str">
        <f t="shared" si="116"/>
        <v>-</v>
      </c>
      <c r="X179" s="10" t="str">
        <f t="shared" si="117"/>
        <v>-</v>
      </c>
      <c r="Y179" s="13" t="str">
        <f t="shared" si="132"/>
        <v>-</v>
      </c>
      <c r="Z179" s="9" t="str">
        <f t="shared" si="118"/>
        <v>-</v>
      </c>
      <c r="AA179" s="16" t="str">
        <f t="shared" si="133"/>
        <v>-</v>
      </c>
      <c r="AB179" s="16" t="str">
        <f t="shared" si="119"/>
        <v>-</v>
      </c>
      <c r="AC179" s="16" t="str">
        <f t="shared" si="120"/>
        <v>-</v>
      </c>
      <c r="AD179" s="16" t="str">
        <f t="shared" si="134"/>
        <v>-</v>
      </c>
      <c r="AE179" s="16"/>
      <c r="AF179" s="31" t="str">
        <f>IFERROR(INDEX(Convenience!$M$11:$M$148,MATCH('Calculations - Convenience'!C179,Convenience!$J$11:$J$148,0)),"")</f>
        <v/>
      </c>
      <c r="AG179" s="23" t="str">
        <f t="shared" si="135"/>
        <v/>
      </c>
      <c r="AH179" s="23" t="str">
        <f t="shared" si="135"/>
        <v/>
      </c>
      <c r="AI179" s="9" t="str">
        <f t="shared" si="121"/>
        <v/>
      </c>
      <c r="AJ179" s="4" t="str">
        <f t="shared" si="122"/>
        <v/>
      </c>
      <c r="AK179" s="4"/>
      <c r="AL179" s="4"/>
      <c r="AM179" s="4"/>
      <c r="AN179" s="4"/>
      <c r="AO179" s="4"/>
      <c r="AP179" s="20" t="str">
        <f t="shared" si="123"/>
        <v>-</v>
      </c>
      <c r="AQ179" s="13" t="str">
        <f t="shared" si="136"/>
        <v>-</v>
      </c>
      <c r="AR179" s="13" t="str">
        <f t="shared" si="137"/>
        <v>-</v>
      </c>
      <c r="AS179" s="13" t="str">
        <f t="shared" si="124"/>
        <v>-</v>
      </c>
      <c r="AT179" s="16" t="str">
        <f t="shared" si="138"/>
        <v>-</v>
      </c>
      <c r="AU179" s="16" t="str">
        <f t="shared" si="125"/>
        <v>-</v>
      </c>
      <c r="AV179" s="16" t="str">
        <f t="shared" si="126"/>
        <v>-</v>
      </c>
      <c r="AW179" s="16" t="str">
        <f t="shared" si="139"/>
        <v>-</v>
      </c>
      <c r="AX179" s="13" t="str">
        <f t="shared" si="140"/>
        <v>-</v>
      </c>
      <c r="AY179" s="10" t="str">
        <f t="shared" si="141"/>
        <v>-</v>
      </c>
      <c r="AZ179" s="9" t="str">
        <f t="shared" si="142"/>
        <v>-</v>
      </c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</row>
    <row r="180" spans="2:68" x14ac:dyDescent="0.3">
      <c r="B180" s="108" t="str">
        <f t="shared" si="127"/>
        <v/>
      </c>
      <c r="C180" s="108" t="str">
        <f t="shared" si="113"/>
        <v/>
      </c>
      <c r="D180" s="3"/>
      <c r="E180" s="3"/>
      <c r="F180" s="3"/>
      <c r="G180" s="20">
        <f>IFERROR(INDEX('Input - Convenience'!F$2:F$200,MATCH('Calculations - Convenience'!$C180,'Input - Convenience'!$B$2:$B$200,0)),"")</f>
        <v>0</v>
      </c>
      <c r="H180" s="20">
        <f>IFERROR(INDEX('Input - Convenience'!G$2:G$200,MATCH('Calculations - Convenience'!$C180,'Input - Convenience'!$B$2:$B$200,0)),"")</f>
        <v>0</v>
      </c>
      <c r="I180" s="21">
        <f>IFERROR(INDEX('Input - Convenience'!H$2:H$200,MATCH('Calculations - Convenience'!$C180,'Input - Convenience'!$B$2:$B$200,0)),"")</f>
        <v>0</v>
      </c>
      <c r="J180" s="21">
        <f>IFERROR(INDEX('Input - Convenience'!I$2:I$200,MATCH('Calculations - Convenience'!$C180,'Input - Convenience'!$B$2:$B$200,0)),"")</f>
        <v>0</v>
      </c>
      <c r="K180" s="20">
        <f>IFERROR(INDEX('Input - Convenience'!J$2:J$200,MATCH('Calculations - Convenience'!$C180,'Input - Convenience'!$B$2:$B$200,0)),"")</f>
        <v>0</v>
      </c>
      <c r="L180" s="20">
        <f>IFERROR(INDEX('Input - Convenience'!K$2:K$200,MATCH('Calculations - Convenience'!$C180,'Input - Convenience'!$B$2:$B$200,0)),"")</f>
        <v>0</v>
      </c>
      <c r="M180" s="21" t="str">
        <f t="shared" si="128"/>
        <v/>
      </c>
      <c r="N180" s="21" t="str">
        <f t="shared" si="114"/>
        <v/>
      </c>
      <c r="O180" s="21">
        <f t="shared" si="129"/>
        <v>0</v>
      </c>
      <c r="P180" s="9">
        <f t="shared" si="111"/>
        <v>0</v>
      </c>
      <c r="Q180" s="9">
        <f t="shared" si="112"/>
        <v>0</v>
      </c>
      <c r="R180" s="22" t="str">
        <f>IFERROR(INDEX(Convenience!$N$11:$N$148,MATCH('Calculations - Convenience'!$C180,Convenience!$J$11:$J$148,0)),"")</f>
        <v/>
      </c>
      <c r="S180" s="22" t="str">
        <f>IFERROR(INDEX(Convenience!$O$11:$O$148,MATCH('Calculations - Convenience'!$C180,Convenience!$J$11:$J$148,0)),"")</f>
        <v/>
      </c>
      <c r="T180" s="16" t="e">
        <f t="shared" si="115"/>
        <v>#VALUE!</v>
      </c>
      <c r="U180" s="16" t="e">
        <f t="shared" si="130"/>
        <v>#VALUE!</v>
      </c>
      <c r="V180" s="16" t="e">
        <f t="shared" si="131"/>
        <v>#VALUE!</v>
      </c>
      <c r="W180" s="10" t="str">
        <f t="shared" si="116"/>
        <v>-</v>
      </c>
      <c r="X180" s="10" t="str">
        <f t="shared" si="117"/>
        <v>-</v>
      </c>
      <c r="Y180" s="13" t="str">
        <f t="shared" si="132"/>
        <v>-</v>
      </c>
      <c r="Z180" s="9" t="str">
        <f t="shared" si="118"/>
        <v>-</v>
      </c>
      <c r="AA180" s="16" t="str">
        <f t="shared" si="133"/>
        <v>-</v>
      </c>
      <c r="AB180" s="16" t="str">
        <f t="shared" si="119"/>
        <v>-</v>
      </c>
      <c r="AC180" s="16" t="str">
        <f t="shared" si="120"/>
        <v>-</v>
      </c>
      <c r="AD180" s="16" t="str">
        <f t="shared" si="134"/>
        <v>-</v>
      </c>
      <c r="AE180" s="16"/>
      <c r="AF180" s="31" t="str">
        <f>IFERROR(INDEX(Convenience!$M$11:$M$148,MATCH('Calculations - Convenience'!C180,Convenience!$J$11:$J$148,0)),"")</f>
        <v/>
      </c>
      <c r="AG180" s="23" t="str">
        <f t="shared" si="135"/>
        <v/>
      </c>
      <c r="AH180" s="23" t="str">
        <f t="shared" si="135"/>
        <v/>
      </c>
      <c r="AI180" s="9" t="str">
        <f t="shared" si="121"/>
        <v/>
      </c>
      <c r="AJ180" s="4" t="str">
        <f t="shared" si="122"/>
        <v/>
      </c>
      <c r="AK180" s="4"/>
      <c r="AL180" s="4"/>
      <c r="AM180" s="4"/>
      <c r="AN180" s="4"/>
      <c r="AO180" s="4"/>
      <c r="AP180" s="20" t="str">
        <f t="shared" si="123"/>
        <v>-</v>
      </c>
      <c r="AQ180" s="13" t="str">
        <f t="shared" si="136"/>
        <v>-</v>
      </c>
      <c r="AR180" s="13" t="str">
        <f t="shared" si="137"/>
        <v>-</v>
      </c>
      <c r="AS180" s="13" t="str">
        <f t="shared" si="124"/>
        <v>-</v>
      </c>
      <c r="AT180" s="16" t="str">
        <f t="shared" si="138"/>
        <v>-</v>
      </c>
      <c r="AU180" s="16" t="str">
        <f t="shared" si="125"/>
        <v>-</v>
      </c>
      <c r="AV180" s="16" t="str">
        <f t="shared" si="126"/>
        <v>-</v>
      </c>
      <c r="AW180" s="16" t="str">
        <f t="shared" si="139"/>
        <v>-</v>
      </c>
      <c r="AX180" s="13" t="str">
        <f t="shared" si="140"/>
        <v>-</v>
      </c>
      <c r="AY180" s="10" t="str">
        <f t="shared" si="141"/>
        <v>-</v>
      </c>
      <c r="AZ180" s="9" t="str">
        <f t="shared" si="142"/>
        <v>-</v>
      </c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</row>
    <row r="181" spans="2:68" x14ac:dyDescent="0.3">
      <c r="B181" s="108" t="str">
        <f t="shared" si="127"/>
        <v/>
      </c>
      <c r="C181" s="108" t="str">
        <f t="shared" si="113"/>
        <v/>
      </c>
      <c r="D181" s="3"/>
      <c r="E181" s="3"/>
      <c r="F181" s="3"/>
      <c r="G181" s="20">
        <f>IFERROR(INDEX('Input - Convenience'!F$2:F$200,MATCH('Calculations - Convenience'!$C181,'Input - Convenience'!$B$2:$B$200,0)),"")</f>
        <v>0</v>
      </c>
      <c r="H181" s="20">
        <f>IFERROR(INDEX('Input - Convenience'!G$2:G$200,MATCH('Calculations - Convenience'!$C181,'Input - Convenience'!$B$2:$B$200,0)),"")</f>
        <v>0</v>
      </c>
      <c r="I181" s="21">
        <f>IFERROR(INDEX('Input - Convenience'!H$2:H$200,MATCH('Calculations - Convenience'!$C181,'Input - Convenience'!$B$2:$B$200,0)),"")</f>
        <v>0</v>
      </c>
      <c r="J181" s="21">
        <f>IFERROR(INDEX('Input - Convenience'!I$2:I$200,MATCH('Calculations - Convenience'!$C181,'Input - Convenience'!$B$2:$B$200,0)),"")</f>
        <v>0</v>
      </c>
      <c r="K181" s="20">
        <f>IFERROR(INDEX('Input - Convenience'!J$2:J$200,MATCH('Calculations - Convenience'!$C181,'Input - Convenience'!$B$2:$B$200,0)),"")</f>
        <v>0</v>
      </c>
      <c r="L181" s="20">
        <f>IFERROR(INDEX('Input - Convenience'!K$2:K$200,MATCH('Calculations - Convenience'!$C181,'Input - Convenience'!$B$2:$B$200,0)),"")</f>
        <v>0</v>
      </c>
      <c r="M181" s="21" t="str">
        <f t="shared" si="128"/>
        <v/>
      </c>
      <c r="N181" s="21" t="str">
        <f t="shared" si="114"/>
        <v/>
      </c>
      <c r="O181" s="21">
        <f t="shared" si="129"/>
        <v>0</v>
      </c>
      <c r="P181" s="9">
        <f t="shared" si="111"/>
        <v>0</v>
      </c>
      <c r="Q181" s="9">
        <f t="shared" si="112"/>
        <v>0</v>
      </c>
      <c r="R181" s="22" t="str">
        <f>IFERROR(INDEX(Convenience!$N$11:$N$148,MATCH('Calculations - Convenience'!$C181,Convenience!$J$11:$J$148,0)),"")</f>
        <v/>
      </c>
      <c r="S181" s="22" t="str">
        <f>IFERROR(INDEX(Convenience!$O$11:$O$148,MATCH('Calculations - Convenience'!$C181,Convenience!$J$11:$J$148,0)),"")</f>
        <v/>
      </c>
      <c r="T181" s="16" t="e">
        <f t="shared" si="115"/>
        <v>#VALUE!</v>
      </c>
      <c r="U181" s="16" t="e">
        <f t="shared" si="130"/>
        <v>#VALUE!</v>
      </c>
      <c r="V181" s="16" t="e">
        <f t="shared" si="131"/>
        <v>#VALUE!</v>
      </c>
      <c r="W181" s="10" t="str">
        <f t="shared" si="116"/>
        <v>-</v>
      </c>
      <c r="X181" s="10" t="str">
        <f t="shared" si="117"/>
        <v>-</v>
      </c>
      <c r="Y181" s="13" t="str">
        <f t="shared" si="132"/>
        <v>-</v>
      </c>
      <c r="Z181" s="9" t="str">
        <f t="shared" si="118"/>
        <v>-</v>
      </c>
      <c r="AA181" s="16" t="str">
        <f t="shared" si="133"/>
        <v>-</v>
      </c>
      <c r="AB181" s="16" t="str">
        <f t="shared" si="119"/>
        <v>-</v>
      </c>
      <c r="AC181" s="16" t="str">
        <f t="shared" si="120"/>
        <v>-</v>
      </c>
      <c r="AD181" s="16" t="str">
        <f t="shared" si="134"/>
        <v>-</v>
      </c>
      <c r="AE181" s="16"/>
      <c r="AF181" s="31" t="str">
        <f>IFERROR(INDEX(Convenience!$M$11:$M$148,MATCH('Calculations - Convenience'!C181,Convenience!$J$11:$J$148,0)),"")</f>
        <v/>
      </c>
      <c r="AG181" s="23" t="str">
        <f t="shared" si="135"/>
        <v/>
      </c>
      <c r="AH181" s="23" t="str">
        <f t="shared" si="135"/>
        <v/>
      </c>
      <c r="AI181" s="9" t="str">
        <f t="shared" si="121"/>
        <v/>
      </c>
      <c r="AJ181" s="4" t="str">
        <f t="shared" si="122"/>
        <v/>
      </c>
      <c r="AK181" s="4"/>
      <c r="AL181" s="4"/>
      <c r="AM181" s="4"/>
      <c r="AN181" s="4"/>
      <c r="AO181" s="4"/>
      <c r="AP181" s="20" t="str">
        <f t="shared" si="123"/>
        <v>-</v>
      </c>
      <c r="AQ181" s="13" t="str">
        <f t="shared" si="136"/>
        <v>-</v>
      </c>
      <c r="AR181" s="13" t="str">
        <f t="shared" si="137"/>
        <v>-</v>
      </c>
      <c r="AS181" s="13" t="str">
        <f t="shared" si="124"/>
        <v>-</v>
      </c>
      <c r="AT181" s="16" t="str">
        <f t="shared" si="138"/>
        <v>-</v>
      </c>
      <c r="AU181" s="16" t="str">
        <f t="shared" si="125"/>
        <v>-</v>
      </c>
      <c r="AV181" s="16" t="str">
        <f t="shared" si="126"/>
        <v>-</v>
      </c>
      <c r="AW181" s="16" t="str">
        <f t="shared" si="139"/>
        <v>-</v>
      </c>
      <c r="AX181" s="13" t="str">
        <f t="shared" si="140"/>
        <v>-</v>
      </c>
      <c r="AY181" s="10" t="str">
        <f t="shared" si="141"/>
        <v>-</v>
      </c>
      <c r="AZ181" s="9" t="str">
        <f t="shared" si="142"/>
        <v>-</v>
      </c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</row>
    <row r="182" spans="2:68" x14ac:dyDescent="0.3">
      <c r="B182" s="108" t="str">
        <f t="shared" si="127"/>
        <v/>
      </c>
      <c r="C182" s="108" t="str">
        <f t="shared" si="113"/>
        <v/>
      </c>
      <c r="D182" s="3"/>
      <c r="E182" s="3"/>
      <c r="F182" s="3"/>
      <c r="G182" s="20">
        <f>IFERROR(INDEX('Input - Convenience'!F$2:F$200,MATCH('Calculations - Convenience'!$C182,'Input - Convenience'!$B$2:$B$200,0)),"")</f>
        <v>0</v>
      </c>
      <c r="H182" s="20">
        <f>IFERROR(INDEX('Input - Convenience'!G$2:G$200,MATCH('Calculations - Convenience'!$C182,'Input - Convenience'!$B$2:$B$200,0)),"")</f>
        <v>0</v>
      </c>
      <c r="I182" s="21">
        <f>IFERROR(INDEX('Input - Convenience'!H$2:H$200,MATCH('Calculations - Convenience'!$C182,'Input - Convenience'!$B$2:$B$200,0)),"")</f>
        <v>0</v>
      </c>
      <c r="J182" s="21">
        <f>IFERROR(INDEX('Input - Convenience'!I$2:I$200,MATCH('Calculations - Convenience'!$C182,'Input - Convenience'!$B$2:$B$200,0)),"")</f>
        <v>0</v>
      </c>
      <c r="K182" s="20">
        <f>IFERROR(INDEX('Input - Convenience'!J$2:J$200,MATCH('Calculations - Convenience'!$C182,'Input - Convenience'!$B$2:$B$200,0)),"")</f>
        <v>0</v>
      </c>
      <c r="L182" s="20">
        <f>IFERROR(INDEX('Input - Convenience'!K$2:K$200,MATCH('Calculations - Convenience'!$C182,'Input - Convenience'!$B$2:$B$200,0)),"")</f>
        <v>0</v>
      </c>
      <c r="M182" s="21" t="str">
        <f t="shared" si="128"/>
        <v/>
      </c>
      <c r="N182" s="21" t="str">
        <f t="shared" si="114"/>
        <v/>
      </c>
      <c r="O182" s="21">
        <f t="shared" si="129"/>
        <v>0</v>
      </c>
      <c r="P182" s="9">
        <f t="shared" si="111"/>
        <v>0</v>
      </c>
      <c r="Q182" s="9">
        <f t="shared" si="112"/>
        <v>0</v>
      </c>
      <c r="R182" s="22" t="str">
        <f>IFERROR(INDEX(Convenience!$N$11:$N$148,MATCH('Calculations - Convenience'!$C182,Convenience!$J$11:$J$148,0)),"")</f>
        <v/>
      </c>
      <c r="S182" s="22" t="str">
        <f>IFERROR(INDEX(Convenience!$O$11:$O$148,MATCH('Calculations - Convenience'!$C182,Convenience!$J$11:$J$148,0)),"")</f>
        <v/>
      </c>
      <c r="T182" s="16" t="e">
        <f t="shared" si="115"/>
        <v>#VALUE!</v>
      </c>
      <c r="U182" s="16" t="e">
        <f t="shared" si="130"/>
        <v>#VALUE!</v>
      </c>
      <c r="V182" s="16" t="e">
        <f t="shared" si="131"/>
        <v>#VALUE!</v>
      </c>
      <c r="W182" s="10" t="str">
        <f t="shared" si="116"/>
        <v>-</v>
      </c>
      <c r="X182" s="10" t="str">
        <f t="shared" si="117"/>
        <v>-</v>
      </c>
      <c r="Y182" s="13" t="str">
        <f t="shared" si="132"/>
        <v>-</v>
      </c>
      <c r="Z182" s="9" t="str">
        <f t="shared" si="118"/>
        <v>-</v>
      </c>
      <c r="AA182" s="16" t="str">
        <f t="shared" si="133"/>
        <v>-</v>
      </c>
      <c r="AB182" s="16" t="str">
        <f t="shared" si="119"/>
        <v>-</v>
      </c>
      <c r="AC182" s="16" t="str">
        <f t="shared" si="120"/>
        <v>-</v>
      </c>
      <c r="AD182" s="16" t="str">
        <f t="shared" si="134"/>
        <v>-</v>
      </c>
      <c r="AE182" s="16"/>
      <c r="AF182" s="31" t="str">
        <f>IFERROR(INDEX(Convenience!$M$11:$M$148,MATCH('Calculations - Convenience'!C182,Convenience!$J$11:$J$148,0)),"")</f>
        <v/>
      </c>
      <c r="AG182" s="23" t="str">
        <f t="shared" si="135"/>
        <v/>
      </c>
      <c r="AH182" s="23" t="str">
        <f t="shared" si="135"/>
        <v/>
      </c>
      <c r="AI182" s="9" t="str">
        <f t="shared" si="121"/>
        <v/>
      </c>
      <c r="AJ182" s="4" t="str">
        <f t="shared" si="122"/>
        <v/>
      </c>
      <c r="AK182" s="4"/>
      <c r="AL182" s="4"/>
      <c r="AM182" s="4"/>
      <c r="AN182" s="4"/>
      <c r="AO182" s="4"/>
      <c r="AP182" s="20" t="str">
        <f t="shared" si="123"/>
        <v>-</v>
      </c>
      <c r="AQ182" s="13" t="str">
        <f t="shared" si="136"/>
        <v>-</v>
      </c>
      <c r="AR182" s="13" t="str">
        <f t="shared" si="137"/>
        <v>-</v>
      </c>
      <c r="AS182" s="13" t="str">
        <f t="shared" si="124"/>
        <v>-</v>
      </c>
      <c r="AT182" s="16" t="str">
        <f t="shared" si="138"/>
        <v>-</v>
      </c>
      <c r="AU182" s="16" t="str">
        <f t="shared" si="125"/>
        <v>-</v>
      </c>
      <c r="AV182" s="16" t="str">
        <f t="shared" si="126"/>
        <v>-</v>
      </c>
      <c r="AW182" s="16" t="str">
        <f t="shared" si="139"/>
        <v>-</v>
      </c>
      <c r="AX182" s="13" t="str">
        <f t="shared" si="140"/>
        <v>-</v>
      </c>
      <c r="AY182" s="10" t="str">
        <f t="shared" si="141"/>
        <v>-</v>
      </c>
      <c r="AZ182" s="9" t="str">
        <f t="shared" si="142"/>
        <v>-</v>
      </c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</row>
    <row r="183" spans="2:68" x14ac:dyDescent="0.3">
      <c r="B183" s="108" t="str">
        <f t="shared" si="127"/>
        <v/>
      </c>
      <c r="C183" s="108" t="str">
        <f t="shared" si="113"/>
        <v/>
      </c>
      <c r="D183" s="3"/>
      <c r="E183" s="3"/>
      <c r="F183" s="3"/>
      <c r="G183" s="20">
        <f>IFERROR(INDEX('Input - Convenience'!F$2:F$200,MATCH('Calculations - Convenience'!$C183,'Input - Convenience'!$B$2:$B$200,0)),"")</f>
        <v>0</v>
      </c>
      <c r="H183" s="20">
        <f>IFERROR(INDEX('Input - Convenience'!G$2:G$200,MATCH('Calculations - Convenience'!$C183,'Input - Convenience'!$B$2:$B$200,0)),"")</f>
        <v>0</v>
      </c>
      <c r="I183" s="21">
        <f>IFERROR(INDEX('Input - Convenience'!H$2:H$200,MATCH('Calculations - Convenience'!$C183,'Input - Convenience'!$B$2:$B$200,0)),"")</f>
        <v>0</v>
      </c>
      <c r="J183" s="21">
        <f>IFERROR(INDEX('Input - Convenience'!I$2:I$200,MATCH('Calculations - Convenience'!$C183,'Input - Convenience'!$B$2:$B$200,0)),"")</f>
        <v>0</v>
      </c>
      <c r="K183" s="20">
        <f>IFERROR(INDEX('Input - Convenience'!J$2:J$200,MATCH('Calculations - Convenience'!$C183,'Input - Convenience'!$B$2:$B$200,0)),"")</f>
        <v>0</v>
      </c>
      <c r="L183" s="20">
        <f>IFERROR(INDEX('Input - Convenience'!K$2:K$200,MATCH('Calculations - Convenience'!$C183,'Input - Convenience'!$B$2:$B$200,0)),"")</f>
        <v>0</v>
      </c>
      <c r="M183" s="21" t="str">
        <f t="shared" si="128"/>
        <v/>
      </c>
      <c r="N183" s="21" t="str">
        <f t="shared" si="114"/>
        <v/>
      </c>
      <c r="O183" s="21">
        <f t="shared" si="129"/>
        <v>0</v>
      </c>
      <c r="P183" s="9">
        <f t="shared" si="111"/>
        <v>0</v>
      </c>
      <c r="Q183" s="9">
        <f t="shared" si="112"/>
        <v>0</v>
      </c>
      <c r="R183" s="22" t="str">
        <f>IFERROR(INDEX(Convenience!$N$11:$N$148,MATCH('Calculations - Convenience'!$C183,Convenience!$J$11:$J$148,0)),"")</f>
        <v/>
      </c>
      <c r="S183" s="22" t="str">
        <f>IFERROR(INDEX(Convenience!$O$11:$O$148,MATCH('Calculations - Convenience'!$C183,Convenience!$J$11:$J$148,0)),"")</f>
        <v/>
      </c>
      <c r="T183" s="16" t="e">
        <f t="shared" si="115"/>
        <v>#VALUE!</v>
      </c>
      <c r="U183" s="16" t="e">
        <f t="shared" si="130"/>
        <v>#VALUE!</v>
      </c>
      <c r="V183" s="16" t="e">
        <f t="shared" si="131"/>
        <v>#VALUE!</v>
      </c>
      <c r="W183" s="10" t="str">
        <f t="shared" si="116"/>
        <v>-</v>
      </c>
      <c r="X183" s="10" t="str">
        <f t="shared" si="117"/>
        <v>-</v>
      </c>
      <c r="Y183" s="13" t="str">
        <f t="shared" si="132"/>
        <v>-</v>
      </c>
      <c r="Z183" s="9" t="str">
        <f t="shared" si="118"/>
        <v>-</v>
      </c>
      <c r="AA183" s="16" t="str">
        <f t="shared" si="133"/>
        <v>-</v>
      </c>
      <c r="AB183" s="16" t="str">
        <f t="shared" si="119"/>
        <v>-</v>
      </c>
      <c r="AC183" s="16" t="str">
        <f t="shared" si="120"/>
        <v>-</v>
      </c>
      <c r="AD183" s="16" t="str">
        <f t="shared" si="134"/>
        <v>-</v>
      </c>
      <c r="AE183" s="16"/>
      <c r="AF183" s="31" t="str">
        <f>IFERROR(INDEX(Convenience!$M$11:$M$148,MATCH('Calculations - Convenience'!C183,Convenience!$J$11:$J$148,0)),"")</f>
        <v/>
      </c>
      <c r="AG183" s="23" t="str">
        <f t="shared" si="135"/>
        <v/>
      </c>
      <c r="AH183" s="23" t="str">
        <f t="shared" si="135"/>
        <v/>
      </c>
      <c r="AI183" s="9" t="str">
        <f t="shared" si="121"/>
        <v/>
      </c>
      <c r="AJ183" s="4" t="str">
        <f t="shared" si="122"/>
        <v/>
      </c>
      <c r="AK183" s="4"/>
      <c r="AL183" s="4"/>
      <c r="AM183" s="4"/>
      <c r="AN183" s="4"/>
      <c r="AO183" s="4"/>
      <c r="AP183" s="20" t="str">
        <f t="shared" si="123"/>
        <v>-</v>
      </c>
      <c r="AQ183" s="13" t="str">
        <f t="shared" si="136"/>
        <v>-</v>
      </c>
      <c r="AR183" s="13" t="str">
        <f t="shared" si="137"/>
        <v>-</v>
      </c>
      <c r="AS183" s="13" t="str">
        <f t="shared" si="124"/>
        <v>-</v>
      </c>
      <c r="AT183" s="16" t="str">
        <f t="shared" si="138"/>
        <v>-</v>
      </c>
      <c r="AU183" s="16" t="str">
        <f t="shared" si="125"/>
        <v>-</v>
      </c>
      <c r="AV183" s="16" t="str">
        <f t="shared" si="126"/>
        <v>-</v>
      </c>
      <c r="AW183" s="16" t="str">
        <f t="shared" si="139"/>
        <v>-</v>
      </c>
      <c r="AX183" s="13" t="str">
        <f t="shared" si="140"/>
        <v>-</v>
      </c>
      <c r="AY183" s="10" t="str">
        <f t="shared" si="141"/>
        <v>-</v>
      </c>
      <c r="AZ183" s="9" t="str">
        <f t="shared" si="142"/>
        <v>-</v>
      </c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</row>
    <row r="184" spans="2:68" x14ac:dyDescent="0.3">
      <c r="B184" s="108" t="str">
        <f t="shared" si="127"/>
        <v/>
      </c>
      <c r="C184" s="108" t="str">
        <f t="shared" si="113"/>
        <v/>
      </c>
      <c r="D184" s="3"/>
      <c r="E184" s="3"/>
      <c r="F184" s="3"/>
      <c r="G184" s="20">
        <f>IFERROR(INDEX('Input - Convenience'!F$2:F$200,MATCH('Calculations - Convenience'!$C184,'Input - Convenience'!$B$2:$B$200,0)),"")</f>
        <v>0</v>
      </c>
      <c r="H184" s="20">
        <f>IFERROR(INDEX('Input - Convenience'!G$2:G$200,MATCH('Calculations - Convenience'!$C184,'Input - Convenience'!$B$2:$B$200,0)),"")</f>
        <v>0</v>
      </c>
      <c r="I184" s="21">
        <f>IFERROR(INDEX('Input - Convenience'!H$2:H$200,MATCH('Calculations - Convenience'!$C184,'Input - Convenience'!$B$2:$B$200,0)),"")</f>
        <v>0</v>
      </c>
      <c r="J184" s="21">
        <f>IFERROR(INDEX('Input - Convenience'!I$2:I$200,MATCH('Calculations - Convenience'!$C184,'Input - Convenience'!$B$2:$B$200,0)),"")</f>
        <v>0</v>
      </c>
      <c r="K184" s="20">
        <f>IFERROR(INDEX('Input - Convenience'!J$2:J$200,MATCH('Calculations - Convenience'!$C184,'Input - Convenience'!$B$2:$B$200,0)),"")</f>
        <v>0</v>
      </c>
      <c r="L184" s="20">
        <f>IFERROR(INDEX('Input - Convenience'!K$2:K$200,MATCH('Calculations - Convenience'!$C184,'Input - Convenience'!$B$2:$B$200,0)),"")</f>
        <v>0</v>
      </c>
      <c r="M184" s="21" t="str">
        <f t="shared" si="128"/>
        <v/>
      </c>
      <c r="N184" s="21" t="str">
        <f t="shared" si="114"/>
        <v/>
      </c>
      <c r="O184" s="21">
        <f t="shared" si="129"/>
        <v>0</v>
      </c>
      <c r="P184" s="9">
        <f t="shared" si="111"/>
        <v>0</v>
      </c>
      <c r="Q184" s="9">
        <f t="shared" si="112"/>
        <v>0</v>
      </c>
      <c r="R184" s="22" t="str">
        <f>IFERROR(INDEX(Convenience!$N$11:$N$148,MATCH('Calculations - Convenience'!$C184,Convenience!$J$11:$J$148,0)),"")</f>
        <v/>
      </c>
      <c r="S184" s="22" t="str">
        <f>IFERROR(INDEX(Convenience!$O$11:$O$148,MATCH('Calculations - Convenience'!$C184,Convenience!$J$11:$J$148,0)),"")</f>
        <v/>
      </c>
      <c r="T184" s="16" t="e">
        <f t="shared" si="115"/>
        <v>#VALUE!</v>
      </c>
      <c r="U184" s="16" t="e">
        <f t="shared" si="130"/>
        <v>#VALUE!</v>
      </c>
      <c r="V184" s="16" t="e">
        <f t="shared" si="131"/>
        <v>#VALUE!</v>
      </c>
      <c r="W184" s="10" t="str">
        <f t="shared" si="116"/>
        <v>-</v>
      </c>
      <c r="X184" s="10" t="str">
        <f t="shared" si="117"/>
        <v>-</v>
      </c>
      <c r="Y184" s="13" t="str">
        <f t="shared" si="132"/>
        <v>-</v>
      </c>
      <c r="Z184" s="9" t="str">
        <f t="shared" si="118"/>
        <v>-</v>
      </c>
      <c r="AA184" s="16" t="str">
        <f t="shared" si="133"/>
        <v>-</v>
      </c>
      <c r="AB184" s="16" t="str">
        <f t="shared" si="119"/>
        <v>-</v>
      </c>
      <c r="AC184" s="16" t="str">
        <f t="shared" si="120"/>
        <v>-</v>
      </c>
      <c r="AD184" s="16" t="str">
        <f t="shared" si="134"/>
        <v>-</v>
      </c>
      <c r="AE184" s="16"/>
      <c r="AF184" s="31" t="str">
        <f>IFERROR(INDEX(Convenience!$M$11:$M$148,MATCH('Calculations - Convenience'!C184,Convenience!$J$11:$J$148,0)),"")</f>
        <v/>
      </c>
      <c r="AG184" s="23" t="str">
        <f t="shared" si="135"/>
        <v/>
      </c>
      <c r="AH184" s="23" t="str">
        <f t="shared" si="135"/>
        <v/>
      </c>
      <c r="AI184" s="9" t="str">
        <f t="shared" si="121"/>
        <v/>
      </c>
      <c r="AJ184" s="4" t="str">
        <f t="shared" si="122"/>
        <v/>
      </c>
      <c r="AK184" s="4"/>
      <c r="AL184" s="4"/>
      <c r="AM184" s="4"/>
      <c r="AN184" s="4"/>
      <c r="AO184" s="4"/>
      <c r="AP184" s="20" t="str">
        <f t="shared" si="123"/>
        <v>-</v>
      </c>
      <c r="AQ184" s="13" t="str">
        <f t="shared" si="136"/>
        <v>-</v>
      </c>
      <c r="AR184" s="13" t="str">
        <f t="shared" si="137"/>
        <v>-</v>
      </c>
      <c r="AS184" s="13" t="str">
        <f t="shared" si="124"/>
        <v>-</v>
      </c>
      <c r="AT184" s="16" t="str">
        <f t="shared" si="138"/>
        <v>-</v>
      </c>
      <c r="AU184" s="16" t="str">
        <f t="shared" si="125"/>
        <v>-</v>
      </c>
      <c r="AV184" s="16" t="str">
        <f t="shared" si="126"/>
        <v>-</v>
      </c>
      <c r="AW184" s="16" t="str">
        <f t="shared" si="139"/>
        <v>-</v>
      </c>
      <c r="AX184" s="13" t="str">
        <f t="shared" si="140"/>
        <v>-</v>
      </c>
      <c r="AY184" s="10" t="str">
        <f t="shared" si="141"/>
        <v>-</v>
      </c>
      <c r="AZ184" s="9" t="str">
        <f t="shared" si="142"/>
        <v>-</v>
      </c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</row>
    <row r="185" spans="2:68" x14ac:dyDescent="0.3">
      <c r="B185" s="108" t="str">
        <f t="shared" si="127"/>
        <v/>
      </c>
      <c r="C185" s="108" t="str">
        <f t="shared" si="113"/>
        <v/>
      </c>
      <c r="D185" s="3"/>
      <c r="E185" s="3"/>
      <c r="F185" s="3"/>
      <c r="G185" s="20">
        <f>IFERROR(INDEX('Input - Convenience'!F$2:F$200,MATCH('Calculations - Convenience'!$C185,'Input - Convenience'!$B$2:$B$200,0)),"")</f>
        <v>0</v>
      </c>
      <c r="H185" s="20">
        <f>IFERROR(INDEX('Input - Convenience'!G$2:G$200,MATCH('Calculations - Convenience'!$C185,'Input - Convenience'!$B$2:$B$200,0)),"")</f>
        <v>0</v>
      </c>
      <c r="I185" s="21">
        <f>IFERROR(INDEX('Input - Convenience'!H$2:H$200,MATCH('Calculations - Convenience'!$C185,'Input - Convenience'!$B$2:$B$200,0)),"")</f>
        <v>0</v>
      </c>
      <c r="J185" s="21">
        <f>IFERROR(INDEX('Input - Convenience'!I$2:I$200,MATCH('Calculations - Convenience'!$C185,'Input - Convenience'!$B$2:$B$200,0)),"")</f>
        <v>0</v>
      </c>
      <c r="K185" s="20">
        <f>IFERROR(INDEX('Input - Convenience'!J$2:J$200,MATCH('Calculations - Convenience'!$C185,'Input - Convenience'!$B$2:$B$200,0)),"")</f>
        <v>0</v>
      </c>
      <c r="L185" s="20">
        <f>IFERROR(INDEX('Input - Convenience'!K$2:K$200,MATCH('Calculations - Convenience'!$C185,'Input - Convenience'!$B$2:$B$200,0)),"")</f>
        <v>0</v>
      </c>
      <c r="M185" s="21" t="str">
        <f t="shared" si="128"/>
        <v/>
      </c>
      <c r="N185" s="21" t="str">
        <f t="shared" si="114"/>
        <v/>
      </c>
      <c r="O185" s="21">
        <f t="shared" si="129"/>
        <v>0</v>
      </c>
      <c r="P185" s="9">
        <f t="shared" si="111"/>
        <v>0</v>
      </c>
      <c r="Q185" s="9">
        <f t="shared" si="112"/>
        <v>0</v>
      </c>
      <c r="R185" s="22" t="str">
        <f>IFERROR(INDEX(Convenience!$N$11:$N$148,MATCH('Calculations - Convenience'!$C185,Convenience!$J$11:$J$148,0)),"")</f>
        <v/>
      </c>
      <c r="S185" s="22" t="str">
        <f>IFERROR(INDEX(Convenience!$O$11:$O$148,MATCH('Calculations - Convenience'!$C185,Convenience!$J$11:$J$148,0)),"")</f>
        <v/>
      </c>
      <c r="T185" s="16" t="e">
        <f t="shared" si="115"/>
        <v>#VALUE!</v>
      </c>
      <c r="U185" s="16" t="e">
        <f t="shared" si="130"/>
        <v>#VALUE!</v>
      </c>
      <c r="V185" s="16" t="e">
        <f t="shared" si="131"/>
        <v>#VALUE!</v>
      </c>
      <c r="W185" s="10" t="str">
        <f t="shared" si="116"/>
        <v>-</v>
      </c>
      <c r="X185" s="10" t="str">
        <f t="shared" si="117"/>
        <v>-</v>
      </c>
      <c r="Y185" s="13" t="str">
        <f t="shared" si="132"/>
        <v>-</v>
      </c>
      <c r="Z185" s="9" t="str">
        <f t="shared" si="118"/>
        <v>-</v>
      </c>
      <c r="AA185" s="16" t="str">
        <f t="shared" si="133"/>
        <v>-</v>
      </c>
      <c r="AB185" s="16" t="str">
        <f t="shared" si="119"/>
        <v>-</v>
      </c>
      <c r="AC185" s="16" t="str">
        <f t="shared" si="120"/>
        <v>-</v>
      </c>
      <c r="AD185" s="16" t="str">
        <f t="shared" si="134"/>
        <v>-</v>
      </c>
      <c r="AE185" s="16"/>
      <c r="AF185" s="31" t="str">
        <f>IFERROR(INDEX(Convenience!$M$11:$M$148,MATCH('Calculations - Convenience'!C185,Convenience!$J$11:$J$148,0)),"")</f>
        <v/>
      </c>
      <c r="AG185" s="23" t="str">
        <f t="shared" si="135"/>
        <v/>
      </c>
      <c r="AH185" s="23" t="str">
        <f t="shared" si="135"/>
        <v/>
      </c>
      <c r="AI185" s="9" t="str">
        <f t="shared" si="121"/>
        <v/>
      </c>
      <c r="AJ185" s="4" t="str">
        <f t="shared" si="122"/>
        <v/>
      </c>
      <c r="AK185" s="4"/>
      <c r="AL185" s="4"/>
      <c r="AM185" s="4"/>
      <c r="AN185" s="4"/>
      <c r="AO185" s="4"/>
      <c r="AP185" s="20" t="str">
        <f t="shared" si="123"/>
        <v>-</v>
      </c>
      <c r="AQ185" s="13" t="str">
        <f t="shared" si="136"/>
        <v>-</v>
      </c>
      <c r="AR185" s="13" t="str">
        <f t="shared" si="137"/>
        <v>-</v>
      </c>
      <c r="AS185" s="13" t="str">
        <f t="shared" si="124"/>
        <v>-</v>
      </c>
      <c r="AT185" s="16" t="str">
        <f t="shared" si="138"/>
        <v>-</v>
      </c>
      <c r="AU185" s="16" t="str">
        <f t="shared" si="125"/>
        <v>-</v>
      </c>
      <c r="AV185" s="16" t="str">
        <f t="shared" si="126"/>
        <v>-</v>
      </c>
      <c r="AW185" s="16" t="str">
        <f t="shared" si="139"/>
        <v>-</v>
      </c>
      <c r="AX185" s="13" t="str">
        <f t="shared" si="140"/>
        <v>-</v>
      </c>
      <c r="AY185" s="10" t="str">
        <f t="shared" si="141"/>
        <v>-</v>
      </c>
      <c r="AZ185" s="9" t="str">
        <f t="shared" si="142"/>
        <v>-</v>
      </c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</row>
    <row r="186" spans="2:68" x14ac:dyDescent="0.3">
      <c r="B186" s="108" t="str">
        <f t="shared" si="127"/>
        <v/>
      </c>
      <c r="C186" s="108" t="str">
        <f t="shared" si="113"/>
        <v/>
      </c>
      <c r="D186" s="3"/>
      <c r="E186" s="3"/>
      <c r="F186" s="3"/>
      <c r="G186" s="20">
        <f>IFERROR(INDEX('Input - Convenience'!F$2:F$200,MATCH('Calculations - Convenience'!$C186,'Input - Convenience'!$B$2:$B$200,0)),"")</f>
        <v>0</v>
      </c>
      <c r="H186" s="20">
        <f>IFERROR(INDEX('Input - Convenience'!G$2:G$200,MATCH('Calculations - Convenience'!$C186,'Input - Convenience'!$B$2:$B$200,0)),"")</f>
        <v>0</v>
      </c>
      <c r="I186" s="21">
        <f>IFERROR(INDEX('Input - Convenience'!H$2:H$200,MATCH('Calculations - Convenience'!$C186,'Input - Convenience'!$B$2:$B$200,0)),"")</f>
        <v>0</v>
      </c>
      <c r="J186" s="21">
        <f>IFERROR(INDEX('Input - Convenience'!I$2:I$200,MATCH('Calculations - Convenience'!$C186,'Input - Convenience'!$B$2:$B$200,0)),"")</f>
        <v>0</v>
      </c>
      <c r="K186" s="20">
        <f>IFERROR(INDEX('Input - Convenience'!J$2:J$200,MATCH('Calculations - Convenience'!$C186,'Input - Convenience'!$B$2:$B$200,0)),"")</f>
        <v>0</v>
      </c>
      <c r="L186" s="20">
        <f>IFERROR(INDEX('Input - Convenience'!K$2:K$200,MATCH('Calculations - Convenience'!$C186,'Input - Convenience'!$B$2:$B$200,0)),"")</f>
        <v>0</v>
      </c>
      <c r="M186" s="21" t="str">
        <f t="shared" si="128"/>
        <v/>
      </c>
      <c r="N186" s="21" t="str">
        <f t="shared" si="114"/>
        <v/>
      </c>
      <c r="O186" s="21">
        <f t="shared" si="129"/>
        <v>0</v>
      </c>
      <c r="P186" s="9">
        <f t="shared" si="111"/>
        <v>0</v>
      </c>
      <c r="Q186" s="9">
        <f t="shared" si="112"/>
        <v>0</v>
      </c>
      <c r="R186" s="22" t="str">
        <f>IFERROR(INDEX(Convenience!$N$11:$N$148,MATCH('Calculations - Convenience'!$C186,Convenience!$J$11:$J$148,0)),"")</f>
        <v/>
      </c>
      <c r="S186" s="22" t="str">
        <f>IFERROR(INDEX(Convenience!$O$11:$O$148,MATCH('Calculations - Convenience'!$C186,Convenience!$J$11:$J$148,0)),"")</f>
        <v/>
      </c>
      <c r="T186" s="16" t="e">
        <f t="shared" si="115"/>
        <v>#VALUE!</v>
      </c>
      <c r="U186" s="16" t="e">
        <f t="shared" si="130"/>
        <v>#VALUE!</v>
      </c>
      <c r="V186" s="16" t="e">
        <f t="shared" si="131"/>
        <v>#VALUE!</v>
      </c>
      <c r="W186" s="10" t="str">
        <f t="shared" si="116"/>
        <v>-</v>
      </c>
      <c r="X186" s="10" t="str">
        <f t="shared" si="117"/>
        <v>-</v>
      </c>
      <c r="Y186" s="13" t="str">
        <f t="shared" si="132"/>
        <v>-</v>
      </c>
      <c r="Z186" s="9" t="str">
        <f t="shared" si="118"/>
        <v>-</v>
      </c>
      <c r="AA186" s="16" t="str">
        <f t="shared" si="133"/>
        <v>-</v>
      </c>
      <c r="AB186" s="16" t="str">
        <f t="shared" si="119"/>
        <v>-</v>
      </c>
      <c r="AC186" s="16" t="str">
        <f t="shared" si="120"/>
        <v>-</v>
      </c>
      <c r="AD186" s="16" t="str">
        <f t="shared" si="134"/>
        <v>-</v>
      </c>
      <c r="AE186" s="16"/>
      <c r="AF186" s="31" t="str">
        <f>IFERROR(INDEX(Convenience!$M$11:$M$148,MATCH('Calculations - Convenience'!C186,Convenience!$J$11:$J$148,0)),"")</f>
        <v/>
      </c>
      <c r="AG186" s="23" t="str">
        <f t="shared" si="135"/>
        <v/>
      </c>
      <c r="AH186" s="23" t="str">
        <f t="shared" si="135"/>
        <v/>
      </c>
      <c r="AI186" s="9" t="str">
        <f t="shared" si="121"/>
        <v/>
      </c>
      <c r="AJ186" s="4" t="str">
        <f t="shared" si="122"/>
        <v/>
      </c>
      <c r="AK186" s="4"/>
      <c r="AL186" s="4"/>
      <c r="AM186" s="4"/>
      <c r="AN186" s="4"/>
      <c r="AO186" s="4"/>
      <c r="AP186" s="20" t="str">
        <f t="shared" si="123"/>
        <v>-</v>
      </c>
      <c r="AQ186" s="13" t="str">
        <f t="shared" si="136"/>
        <v>-</v>
      </c>
      <c r="AR186" s="13" t="str">
        <f t="shared" si="137"/>
        <v>-</v>
      </c>
      <c r="AS186" s="13" t="str">
        <f t="shared" si="124"/>
        <v>-</v>
      </c>
      <c r="AT186" s="16" t="str">
        <f t="shared" si="138"/>
        <v>-</v>
      </c>
      <c r="AU186" s="16" t="str">
        <f t="shared" si="125"/>
        <v>-</v>
      </c>
      <c r="AV186" s="16" t="str">
        <f t="shared" si="126"/>
        <v>-</v>
      </c>
      <c r="AW186" s="16" t="str">
        <f t="shared" si="139"/>
        <v>-</v>
      </c>
      <c r="AX186" s="13" t="str">
        <f t="shared" si="140"/>
        <v>-</v>
      </c>
      <c r="AY186" s="10" t="str">
        <f t="shared" si="141"/>
        <v>-</v>
      </c>
      <c r="AZ186" s="9" t="str">
        <f t="shared" si="142"/>
        <v>-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</row>
    <row r="187" spans="2:68" x14ac:dyDescent="0.3">
      <c r="B187" s="108" t="str">
        <f t="shared" si="127"/>
        <v/>
      </c>
      <c r="C187" s="108" t="str">
        <f t="shared" si="113"/>
        <v/>
      </c>
      <c r="D187" s="3"/>
      <c r="E187" s="3"/>
      <c r="F187" s="3"/>
      <c r="G187" s="20">
        <f>IFERROR(INDEX('Input - Convenience'!F$2:F$200,MATCH('Calculations - Convenience'!$C187,'Input - Convenience'!$B$2:$B$200,0)),"")</f>
        <v>0</v>
      </c>
      <c r="H187" s="20">
        <f>IFERROR(INDEX('Input - Convenience'!G$2:G$200,MATCH('Calculations - Convenience'!$C187,'Input - Convenience'!$B$2:$B$200,0)),"")</f>
        <v>0</v>
      </c>
      <c r="I187" s="21">
        <f>IFERROR(INDEX('Input - Convenience'!H$2:H$200,MATCH('Calculations - Convenience'!$C187,'Input - Convenience'!$B$2:$B$200,0)),"")</f>
        <v>0</v>
      </c>
      <c r="J187" s="21">
        <f>IFERROR(INDEX('Input - Convenience'!I$2:I$200,MATCH('Calculations - Convenience'!$C187,'Input - Convenience'!$B$2:$B$200,0)),"")</f>
        <v>0</v>
      </c>
      <c r="K187" s="20">
        <f>IFERROR(INDEX('Input - Convenience'!J$2:J$200,MATCH('Calculations - Convenience'!$C187,'Input - Convenience'!$B$2:$B$200,0)),"")</f>
        <v>0</v>
      </c>
      <c r="L187" s="20">
        <f>IFERROR(INDEX('Input - Convenience'!K$2:K$200,MATCH('Calculations - Convenience'!$C187,'Input - Convenience'!$B$2:$B$200,0)),"")</f>
        <v>0</v>
      </c>
      <c r="M187" s="21" t="str">
        <f t="shared" si="128"/>
        <v/>
      </c>
      <c r="N187" s="21" t="str">
        <f t="shared" si="114"/>
        <v/>
      </c>
      <c r="O187" s="21">
        <f t="shared" si="129"/>
        <v>0</v>
      </c>
      <c r="P187" s="9">
        <f t="shared" si="111"/>
        <v>0</v>
      </c>
      <c r="Q187" s="9">
        <f t="shared" si="112"/>
        <v>0</v>
      </c>
      <c r="R187" s="22" t="str">
        <f>IFERROR(INDEX(Convenience!$N$11:$N$148,MATCH('Calculations - Convenience'!$C187,Convenience!$J$11:$J$148,0)),"")</f>
        <v/>
      </c>
      <c r="S187" s="22" t="str">
        <f>IFERROR(INDEX(Convenience!$O$11:$O$148,MATCH('Calculations - Convenience'!$C187,Convenience!$J$11:$J$148,0)),"")</f>
        <v/>
      </c>
      <c r="T187" s="16" t="e">
        <f t="shared" si="115"/>
        <v>#VALUE!</v>
      </c>
      <c r="U187" s="16" t="e">
        <f t="shared" si="130"/>
        <v>#VALUE!</v>
      </c>
      <c r="V187" s="16" t="e">
        <f t="shared" si="131"/>
        <v>#VALUE!</v>
      </c>
      <c r="W187" s="10" t="str">
        <f t="shared" si="116"/>
        <v>-</v>
      </c>
      <c r="X187" s="10" t="str">
        <f t="shared" si="117"/>
        <v>-</v>
      </c>
      <c r="Y187" s="13" t="str">
        <f t="shared" si="132"/>
        <v>-</v>
      </c>
      <c r="Z187" s="9" t="str">
        <f t="shared" si="118"/>
        <v>-</v>
      </c>
      <c r="AA187" s="16" t="str">
        <f t="shared" si="133"/>
        <v>-</v>
      </c>
      <c r="AB187" s="16" t="str">
        <f t="shared" si="119"/>
        <v>-</v>
      </c>
      <c r="AC187" s="16" t="str">
        <f t="shared" si="120"/>
        <v>-</v>
      </c>
      <c r="AD187" s="16" t="str">
        <f t="shared" si="134"/>
        <v>-</v>
      </c>
      <c r="AE187" s="16"/>
      <c r="AF187" s="31" t="str">
        <f>IFERROR(INDEX(Convenience!$M$11:$M$148,MATCH('Calculations - Convenience'!C187,Convenience!$J$11:$J$148,0)),"")</f>
        <v/>
      </c>
      <c r="AG187" s="23" t="str">
        <f t="shared" si="135"/>
        <v/>
      </c>
      <c r="AH187" s="23" t="str">
        <f t="shared" si="135"/>
        <v/>
      </c>
      <c r="AI187" s="9" t="str">
        <f t="shared" si="121"/>
        <v/>
      </c>
      <c r="AJ187" s="4" t="str">
        <f t="shared" si="122"/>
        <v/>
      </c>
      <c r="AK187" s="4"/>
      <c r="AL187" s="4"/>
      <c r="AM187" s="4"/>
      <c r="AN187" s="4"/>
      <c r="AO187" s="4"/>
      <c r="AP187" s="20" t="str">
        <f t="shared" si="123"/>
        <v>-</v>
      </c>
      <c r="AQ187" s="13" t="str">
        <f t="shared" si="136"/>
        <v>-</v>
      </c>
      <c r="AR187" s="13" t="str">
        <f t="shared" si="137"/>
        <v>-</v>
      </c>
      <c r="AS187" s="13" t="str">
        <f t="shared" si="124"/>
        <v>-</v>
      </c>
      <c r="AT187" s="16" t="str">
        <f t="shared" si="138"/>
        <v>-</v>
      </c>
      <c r="AU187" s="16" t="str">
        <f t="shared" si="125"/>
        <v>-</v>
      </c>
      <c r="AV187" s="16" t="str">
        <f t="shared" si="126"/>
        <v>-</v>
      </c>
      <c r="AW187" s="16" t="str">
        <f t="shared" si="139"/>
        <v>-</v>
      </c>
      <c r="AX187" s="13" t="str">
        <f t="shared" si="140"/>
        <v>-</v>
      </c>
      <c r="AY187" s="10" t="str">
        <f t="shared" si="141"/>
        <v>-</v>
      </c>
      <c r="AZ187" s="9" t="str">
        <f t="shared" si="142"/>
        <v>-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</row>
    <row r="188" spans="2:68" x14ac:dyDescent="0.3">
      <c r="B188" s="108" t="str">
        <f t="shared" si="127"/>
        <v/>
      </c>
      <c r="C188" s="108" t="str">
        <f t="shared" si="113"/>
        <v/>
      </c>
      <c r="D188" s="3"/>
      <c r="E188" s="3"/>
      <c r="F188" s="3"/>
      <c r="G188" s="20">
        <f>IFERROR(INDEX('Input - Convenience'!F$2:F$200,MATCH('Calculations - Convenience'!$C188,'Input - Convenience'!$B$2:$B$200,0)),"")</f>
        <v>0</v>
      </c>
      <c r="H188" s="20">
        <f>IFERROR(INDEX('Input - Convenience'!G$2:G$200,MATCH('Calculations - Convenience'!$C188,'Input - Convenience'!$B$2:$B$200,0)),"")</f>
        <v>0</v>
      </c>
      <c r="I188" s="21">
        <f>IFERROR(INDEX('Input - Convenience'!H$2:H$200,MATCH('Calculations - Convenience'!$C188,'Input - Convenience'!$B$2:$B$200,0)),"")</f>
        <v>0</v>
      </c>
      <c r="J188" s="21">
        <f>IFERROR(INDEX('Input - Convenience'!I$2:I$200,MATCH('Calculations - Convenience'!$C188,'Input - Convenience'!$B$2:$B$200,0)),"")</f>
        <v>0</v>
      </c>
      <c r="K188" s="20">
        <f>IFERROR(INDEX('Input - Convenience'!J$2:J$200,MATCH('Calculations - Convenience'!$C188,'Input - Convenience'!$B$2:$B$200,0)),"")</f>
        <v>0</v>
      </c>
      <c r="L188" s="20">
        <f>IFERROR(INDEX('Input - Convenience'!K$2:K$200,MATCH('Calculations - Convenience'!$C188,'Input - Convenience'!$B$2:$B$200,0)),"")</f>
        <v>0</v>
      </c>
      <c r="M188" s="21" t="str">
        <f t="shared" si="128"/>
        <v/>
      </c>
      <c r="N188" s="21" t="str">
        <f t="shared" si="114"/>
        <v/>
      </c>
      <c r="O188" s="21">
        <f t="shared" si="129"/>
        <v>0</v>
      </c>
      <c r="P188" s="9">
        <f t="shared" si="111"/>
        <v>0</v>
      </c>
      <c r="Q188" s="9">
        <f t="shared" si="112"/>
        <v>0</v>
      </c>
      <c r="R188" s="22" t="str">
        <f>IFERROR(INDEX(Convenience!$N$11:$N$148,MATCH('Calculations - Convenience'!$C188,Convenience!$J$11:$J$148,0)),"")</f>
        <v/>
      </c>
      <c r="S188" s="22" t="str">
        <f>IFERROR(INDEX(Convenience!$O$11:$O$148,MATCH('Calculations - Convenience'!$C188,Convenience!$J$11:$J$148,0)),"")</f>
        <v/>
      </c>
      <c r="T188" s="16" t="e">
        <f t="shared" si="115"/>
        <v>#VALUE!</v>
      </c>
      <c r="U188" s="16" t="e">
        <f t="shared" si="130"/>
        <v>#VALUE!</v>
      </c>
      <c r="V188" s="16" t="e">
        <f t="shared" si="131"/>
        <v>#VALUE!</v>
      </c>
      <c r="W188" s="10" t="str">
        <f t="shared" si="116"/>
        <v>-</v>
      </c>
      <c r="X188" s="10" t="str">
        <f t="shared" si="117"/>
        <v>-</v>
      </c>
      <c r="Y188" s="13" t="str">
        <f t="shared" si="132"/>
        <v>-</v>
      </c>
      <c r="Z188" s="9" t="str">
        <f t="shared" si="118"/>
        <v>-</v>
      </c>
      <c r="AA188" s="16" t="str">
        <f t="shared" si="133"/>
        <v>-</v>
      </c>
      <c r="AB188" s="16" t="str">
        <f t="shared" si="119"/>
        <v>-</v>
      </c>
      <c r="AC188" s="16" t="str">
        <f t="shared" si="120"/>
        <v>-</v>
      </c>
      <c r="AD188" s="16" t="str">
        <f t="shared" si="134"/>
        <v>-</v>
      </c>
      <c r="AE188" s="16"/>
      <c r="AF188" s="31" t="str">
        <f>IFERROR(INDEX(Convenience!$M$11:$M$148,MATCH('Calculations - Convenience'!C188,Convenience!$J$11:$J$148,0)),"")</f>
        <v/>
      </c>
      <c r="AG188" s="23" t="str">
        <f t="shared" si="135"/>
        <v/>
      </c>
      <c r="AH188" s="23" t="str">
        <f t="shared" si="135"/>
        <v/>
      </c>
      <c r="AI188" s="9" t="str">
        <f t="shared" si="121"/>
        <v/>
      </c>
      <c r="AJ188" s="4" t="str">
        <f t="shared" si="122"/>
        <v/>
      </c>
      <c r="AK188" s="4"/>
      <c r="AL188" s="4"/>
      <c r="AM188" s="4"/>
      <c r="AN188" s="4"/>
      <c r="AO188" s="4"/>
      <c r="AP188" s="20" t="str">
        <f t="shared" si="123"/>
        <v>-</v>
      </c>
      <c r="AQ188" s="13" t="str">
        <f t="shared" si="136"/>
        <v>-</v>
      </c>
      <c r="AR188" s="13" t="str">
        <f t="shared" si="137"/>
        <v>-</v>
      </c>
      <c r="AS188" s="13" t="str">
        <f t="shared" si="124"/>
        <v>-</v>
      </c>
      <c r="AT188" s="16" t="str">
        <f t="shared" si="138"/>
        <v>-</v>
      </c>
      <c r="AU188" s="16" t="str">
        <f t="shared" si="125"/>
        <v>-</v>
      </c>
      <c r="AV188" s="16" t="str">
        <f t="shared" si="126"/>
        <v>-</v>
      </c>
      <c r="AW188" s="16" t="str">
        <f t="shared" si="139"/>
        <v>-</v>
      </c>
      <c r="AX188" s="13" t="str">
        <f t="shared" si="140"/>
        <v>-</v>
      </c>
      <c r="AY188" s="10" t="str">
        <f t="shared" si="141"/>
        <v>-</v>
      </c>
      <c r="AZ188" s="9" t="str">
        <f t="shared" si="142"/>
        <v>-</v>
      </c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</row>
    <row r="189" spans="2:68" x14ac:dyDescent="0.3">
      <c r="B189" s="108" t="str">
        <f t="shared" si="127"/>
        <v/>
      </c>
      <c r="C189" s="108" t="str">
        <f t="shared" si="113"/>
        <v/>
      </c>
      <c r="D189" s="3"/>
      <c r="E189" s="3"/>
      <c r="F189" s="3"/>
      <c r="G189" s="20">
        <f>IFERROR(INDEX('Input - Convenience'!F$2:F$200,MATCH('Calculations - Convenience'!$C189,'Input - Convenience'!$B$2:$B$200,0)),"")</f>
        <v>0</v>
      </c>
      <c r="H189" s="20">
        <f>IFERROR(INDEX('Input - Convenience'!G$2:G$200,MATCH('Calculations - Convenience'!$C189,'Input - Convenience'!$B$2:$B$200,0)),"")</f>
        <v>0</v>
      </c>
      <c r="I189" s="21">
        <f>IFERROR(INDEX('Input - Convenience'!H$2:H$200,MATCH('Calculations - Convenience'!$C189,'Input - Convenience'!$B$2:$B$200,0)),"")</f>
        <v>0</v>
      </c>
      <c r="J189" s="21">
        <f>IFERROR(INDEX('Input - Convenience'!I$2:I$200,MATCH('Calculations - Convenience'!$C189,'Input - Convenience'!$B$2:$B$200,0)),"")</f>
        <v>0</v>
      </c>
      <c r="K189" s="20">
        <f>IFERROR(INDEX('Input - Convenience'!J$2:J$200,MATCH('Calculations - Convenience'!$C189,'Input - Convenience'!$B$2:$B$200,0)),"")</f>
        <v>0</v>
      </c>
      <c r="L189" s="20">
        <f>IFERROR(INDEX('Input - Convenience'!K$2:K$200,MATCH('Calculations - Convenience'!$C189,'Input - Convenience'!$B$2:$B$200,0)),"")</f>
        <v>0</v>
      </c>
      <c r="M189" s="21" t="str">
        <f t="shared" si="128"/>
        <v/>
      </c>
      <c r="N189" s="21" t="str">
        <f t="shared" si="114"/>
        <v/>
      </c>
      <c r="O189" s="21">
        <f t="shared" si="129"/>
        <v>0</v>
      </c>
      <c r="P189" s="9">
        <f t="shared" si="111"/>
        <v>0</v>
      </c>
      <c r="Q189" s="9">
        <f t="shared" si="112"/>
        <v>0</v>
      </c>
      <c r="R189" s="22" t="str">
        <f>IFERROR(INDEX(Convenience!$N$11:$N$148,MATCH('Calculations - Convenience'!$C189,Convenience!$J$11:$J$148,0)),"")</f>
        <v/>
      </c>
      <c r="S189" s="22" t="str">
        <f>IFERROR(INDEX(Convenience!$O$11:$O$148,MATCH('Calculations - Convenience'!$C189,Convenience!$J$11:$J$148,0)),"")</f>
        <v/>
      </c>
      <c r="T189" s="16" t="e">
        <f t="shared" si="115"/>
        <v>#VALUE!</v>
      </c>
      <c r="U189" s="16" t="e">
        <f t="shared" si="130"/>
        <v>#VALUE!</v>
      </c>
      <c r="V189" s="16" t="e">
        <f t="shared" si="131"/>
        <v>#VALUE!</v>
      </c>
      <c r="W189" s="10" t="str">
        <f t="shared" si="116"/>
        <v>-</v>
      </c>
      <c r="X189" s="10" t="str">
        <f t="shared" si="117"/>
        <v>-</v>
      </c>
      <c r="Y189" s="13" t="str">
        <f t="shared" si="132"/>
        <v>-</v>
      </c>
      <c r="Z189" s="9" t="str">
        <f t="shared" si="118"/>
        <v>-</v>
      </c>
      <c r="AA189" s="16" t="str">
        <f t="shared" si="133"/>
        <v>-</v>
      </c>
      <c r="AB189" s="16" t="str">
        <f t="shared" si="119"/>
        <v>-</v>
      </c>
      <c r="AC189" s="16" t="str">
        <f t="shared" si="120"/>
        <v>-</v>
      </c>
      <c r="AD189" s="16" t="str">
        <f t="shared" si="134"/>
        <v>-</v>
      </c>
      <c r="AE189" s="16"/>
      <c r="AF189" s="31" t="str">
        <f>IFERROR(INDEX(Convenience!$M$11:$M$148,MATCH('Calculations - Convenience'!C189,Convenience!$J$11:$J$148,0)),"")</f>
        <v/>
      </c>
      <c r="AG189" s="23" t="str">
        <f t="shared" si="135"/>
        <v/>
      </c>
      <c r="AH189" s="23" t="str">
        <f t="shared" si="135"/>
        <v/>
      </c>
      <c r="AI189" s="9" t="str">
        <f t="shared" si="121"/>
        <v/>
      </c>
      <c r="AJ189" s="4" t="str">
        <f t="shared" si="122"/>
        <v/>
      </c>
      <c r="AK189" s="4"/>
      <c r="AL189" s="4"/>
      <c r="AM189" s="4"/>
      <c r="AN189" s="4"/>
      <c r="AO189" s="4"/>
      <c r="AP189" s="20" t="str">
        <f t="shared" si="123"/>
        <v>-</v>
      </c>
      <c r="AQ189" s="13" t="str">
        <f t="shared" si="136"/>
        <v>-</v>
      </c>
      <c r="AR189" s="13" t="str">
        <f t="shared" si="137"/>
        <v>-</v>
      </c>
      <c r="AS189" s="13" t="str">
        <f t="shared" si="124"/>
        <v>-</v>
      </c>
      <c r="AT189" s="16" t="str">
        <f t="shared" si="138"/>
        <v>-</v>
      </c>
      <c r="AU189" s="16" t="str">
        <f t="shared" si="125"/>
        <v>-</v>
      </c>
      <c r="AV189" s="16" t="str">
        <f t="shared" si="126"/>
        <v>-</v>
      </c>
      <c r="AW189" s="16" t="str">
        <f t="shared" si="139"/>
        <v>-</v>
      </c>
      <c r="AX189" s="13" t="str">
        <f t="shared" si="140"/>
        <v>-</v>
      </c>
      <c r="AY189" s="10" t="str">
        <f t="shared" si="141"/>
        <v>-</v>
      </c>
      <c r="AZ189" s="9" t="str">
        <f t="shared" si="142"/>
        <v>-</v>
      </c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</row>
    <row r="190" spans="2:68" x14ac:dyDescent="0.3">
      <c r="B190" s="108" t="str">
        <f t="shared" si="127"/>
        <v/>
      </c>
      <c r="C190" s="108" t="str">
        <f t="shared" si="113"/>
        <v/>
      </c>
      <c r="D190" s="3"/>
      <c r="E190" s="3"/>
      <c r="F190" s="3"/>
      <c r="G190" s="20">
        <f>IFERROR(INDEX('Input - Convenience'!F$2:F$200,MATCH('Calculations - Convenience'!$C190,'Input - Convenience'!$B$2:$B$200,0)),"")</f>
        <v>0</v>
      </c>
      <c r="H190" s="20">
        <f>IFERROR(INDEX('Input - Convenience'!G$2:G$200,MATCH('Calculations - Convenience'!$C190,'Input - Convenience'!$B$2:$B$200,0)),"")</f>
        <v>0</v>
      </c>
      <c r="I190" s="21">
        <f>IFERROR(INDEX('Input - Convenience'!H$2:H$200,MATCH('Calculations - Convenience'!$C190,'Input - Convenience'!$B$2:$B$200,0)),"")</f>
        <v>0</v>
      </c>
      <c r="J190" s="21">
        <f>IFERROR(INDEX('Input - Convenience'!I$2:I$200,MATCH('Calculations - Convenience'!$C190,'Input - Convenience'!$B$2:$B$200,0)),"")</f>
        <v>0</v>
      </c>
      <c r="K190" s="20">
        <f>IFERROR(INDEX('Input - Convenience'!J$2:J$200,MATCH('Calculations - Convenience'!$C190,'Input - Convenience'!$B$2:$B$200,0)),"")</f>
        <v>0</v>
      </c>
      <c r="L190" s="20">
        <f>IFERROR(INDEX('Input - Convenience'!K$2:K$200,MATCH('Calculations - Convenience'!$C190,'Input - Convenience'!$B$2:$B$200,0)),"")</f>
        <v>0</v>
      </c>
      <c r="M190" s="21" t="str">
        <f t="shared" si="128"/>
        <v/>
      </c>
      <c r="N190" s="21" t="str">
        <f t="shared" si="114"/>
        <v/>
      </c>
      <c r="O190" s="21">
        <f t="shared" si="129"/>
        <v>0</v>
      </c>
      <c r="P190" s="9">
        <f t="shared" si="111"/>
        <v>0</v>
      </c>
      <c r="Q190" s="9">
        <f t="shared" si="112"/>
        <v>0</v>
      </c>
      <c r="R190" s="22" t="str">
        <f>IFERROR(INDEX(Convenience!$N$11:$N$148,MATCH('Calculations - Convenience'!$C190,Convenience!$J$11:$J$148,0)),"")</f>
        <v/>
      </c>
      <c r="S190" s="22" t="str">
        <f>IFERROR(INDEX(Convenience!$O$11:$O$148,MATCH('Calculations - Convenience'!$C190,Convenience!$J$11:$J$148,0)),"")</f>
        <v/>
      </c>
      <c r="T190" s="16" t="e">
        <f t="shared" si="115"/>
        <v>#VALUE!</v>
      </c>
      <c r="U190" s="16" t="e">
        <f t="shared" si="130"/>
        <v>#VALUE!</v>
      </c>
      <c r="V190" s="16" t="e">
        <f t="shared" si="131"/>
        <v>#VALUE!</v>
      </c>
      <c r="W190" s="10" t="str">
        <f t="shared" si="116"/>
        <v>-</v>
      </c>
      <c r="X190" s="10" t="str">
        <f t="shared" si="117"/>
        <v>-</v>
      </c>
      <c r="Y190" s="13" t="str">
        <f t="shared" si="132"/>
        <v>-</v>
      </c>
      <c r="Z190" s="9" t="str">
        <f t="shared" si="118"/>
        <v>-</v>
      </c>
      <c r="AA190" s="16" t="str">
        <f t="shared" si="133"/>
        <v>-</v>
      </c>
      <c r="AB190" s="16" t="str">
        <f t="shared" si="119"/>
        <v>-</v>
      </c>
      <c r="AC190" s="16" t="str">
        <f t="shared" si="120"/>
        <v>-</v>
      </c>
      <c r="AD190" s="16" t="str">
        <f t="shared" si="134"/>
        <v>-</v>
      </c>
      <c r="AE190" s="16"/>
      <c r="AF190" s="31" t="str">
        <f>IFERROR(INDEX(Convenience!$M$11:$M$148,MATCH('Calculations - Convenience'!C190,Convenience!$J$11:$J$148,0)),"")</f>
        <v/>
      </c>
      <c r="AG190" s="23" t="str">
        <f t="shared" si="135"/>
        <v/>
      </c>
      <c r="AH190" s="23" t="str">
        <f t="shared" si="135"/>
        <v/>
      </c>
      <c r="AI190" s="9" t="str">
        <f t="shared" si="121"/>
        <v/>
      </c>
      <c r="AJ190" s="4" t="str">
        <f t="shared" si="122"/>
        <v/>
      </c>
      <c r="AK190" s="4"/>
      <c r="AL190" s="4"/>
      <c r="AM190" s="4"/>
      <c r="AN190" s="4"/>
      <c r="AO190" s="4"/>
      <c r="AP190" s="20" t="str">
        <f t="shared" si="123"/>
        <v>-</v>
      </c>
      <c r="AQ190" s="13" t="str">
        <f t="shared" si="136"/>
        <v>-</v>
      </c>
      <c r="AR190" s="13" t="str">
        <f t="shared" si="137"/>
        <v>-</v>
      </c>
      <c r="AS190" s="13" t="str">
        <f t="shared" si="124"/>
        <v>-</v>
      </c>
      <c r="AT190" s="16" t="str">
        <f t="shared" si="138"/>
        <v>-</v>
      </c>
      <c r="AU190" s="16" t="str">
        <f t="shared" si="125"/>
        <v>-</v>
      </c>
      <c r="AV190" s="16" t="str">
        <f t="shared" si="126"/>
        <v>-</v>
      </c>
      <c r="AW190" s="16" t="str">
        <f t="shared" si="139"/>
        <v>-</v>
      </c>
      <c r="AX190" s="13" t="str">
        <f t="shared" si="140"/>
        <v>-</v>
      </c>
      <c r="AY190" s="10" t="str">
        <f t="shared" si="141"/>
        <v>-</v>
      </c>
      <c r="AZ190" s="9" t="str">
        <f t="shared" si="142"/>
        <v>-</v>
      </c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</row>
    <row r="191" spans="2:68" x14ac:dyDescent="0.3">
      <c r="B191" s="108" t="str">
        <f t="shared" si="127"/>
        <v/>
      </c>
      <c r="C191" s="108" t="str">
        <f t="shared" si="113"/>
        <v/>
      </c>
      <c r="D191" s="3"/>
      <c r="E191" s="3"/>
      <c r="F191" s="3"/>
      <c r="G191" s="20">
        <f>IFERROR(INDEX('Input - Convenience'!F$2:F$200,MATCH('Calculations - Convenience'!$C191,'Input - Convenience'!$B$2:$B$200,0)),"")</f>
        <v>0</v>
      </c>
      <c r="H191" s="20">
        <f>IFERROR(INDEX('Input - Convenience'!G$2:G$200,MATCH('Calculations - Convenience'!$C191,'Input - Convenience'!$B$2:$B$200,0)),"")</f>
        <v>0</v>
      </c>
      <c r="I191" s="21">
        <f>IFERROR(INDEX('Input - Convenience'!H$2:H$200,MATCH('Calculations - Convenience'!$C191,'Input - Convenience'!$B$2:$B$200,0)),"")</f>
        <v>0</v>
      </c>
      <c r="J191" s="21">
        <f>IFERROR(INDEX('Input - Convenience'!I$2:I$200,MATCH('Calculations - Convenience'!$C191,'Input - Convenience'!$B$2:$B$200,0)),"")</f>
        <v>0</v>
      </c>
      <c r="K191" s="20">
        <f>IFERROR(INDEX('Input - Convenience'!J$2:J$200,MATCH('Calculations - Convenience'!$C191,'Input - Convenience'!$B$2:$B$200,0)),"")</f>
        <v>0</v>
      </c>
      <c r="L191" s="20">
        <f>IFERROR(INDEX('Input - Convenience'!K$2:K$200,MATCH('Calculations - Convenience'!$C191,'Input - Convenience'!$B$2:$B$200,0)),"")</f>
        <v>0</v>
      </c>
      <c r="M191" s="21" t="str">
        <f t="shared" si="128"/>
        <v/>
      </c>
      <c r="N191" s="21" t="str">
        <f t="shared" si="114"/>
        <v/>
      </c>
      <c r="O191" s="21">
        <f t="shared" si="129"/>
        <v>0</v>
      </c>
      <c r="P191" s="9">
        <f t="shared" si="111"/>
        <v>0</v>
      </c>
      <c r="Q191" s="9">
        <f t="shared" si="112"/>
        <v>0</v>
      </c>
      <c r="R191" s="22" t="str">
        <f>IFERROR(INDEX(Convenience!$N$11:$N$148,MATCH('Calculations - Convenience'!$C191,Convenience!$J$11:$J$148,0)),"")</f>
        <v/>
      </c>
      <c r="S191" s="22" t="str">
        <f>IFERROR(INDEX(Convenience!$O$11:$O$148,MATCH('Calculations - Convenience'!$C191,Convenience!$J$11:$J$148,0)),"")</f>
        <v/>
      </c>
      <c r="T191" s="16" t="e">
        <f t="shared" si="115"/>
        <v>#VALUE!</v>
      </c>
      <c r="U191" s="16" t="e">
        <f t="shared" si="130"/>
        <v>#VALUE!</v>
      </c>
      <c r="V191" s="16" t="e">
        <f t="shared" si="131"/>
        <v>#VALUE!</v>
      </c>
      <c r="W191" s="10" t="str">
        <f t="shared" si="116"/>
        <v>-</v>
      </c>
      <c r="X191" s="10" t="str">
        <f t="shared" si="117"/>
        <v>-</v>
      </c>
      <c r="Y191" s="13" t="str">
        <f t="shared" si="132"/>
        <v>-</v>
      </c>
      <c r="Z191" s="9" t="str">
        <f t="shared" si="118"/>
        <v>-</v>
      </c>
      <c r="AA191" s="16" t="str">
        <f t="shared" si="133"/>
        <v>-</v>
      </c>
      <c r="AB191" s="16" t="str">
        <f t="shared" si="119"/>
        <v>-</v>
      </c>
      <c r="AC191" s="16" t="str">
        <f t="shared" si="120"/>
        <v>-</v>
      </c>
      <c r="AD191" s="16" t="str">
        <f t="shared" si="134"/>
        <v>-</v>
      </c>
      <c r="AE191" s="16"/>
      <c r="AF191" s="31" t="str">
        <f>IFERROR(INDEX(Convenience!$M$11:$M$148,MATCH('Calculations - Convenience'!C191,Convenience!$J$11:$J$148,0)),"")</f>
        <v/>
      </c>
      <c r="AG191" s="23" t="str">
        <f t="shared" si="135"/>
        <v/>
      </c>
      <c r="AH191" s="23" t="str">
        <f t="shared" si="135"/>
        <v/>
      </c>
      <c r="AI191" s="9" t="str">
        <f t="shared" si="121"/>
        <v/>
      </c>
      <c r="AJ191" s="4" t="str">
        <f t="shared" si="122"/>
        <v/>
      </c>
      <c r="AK191" s="4"/>
      <c r="AL191" s="4"/>
      <c r="AM191" s="4"/>
      <c r="AN191" s="4"/>
      <c r="AO191" s="4"/>
      <c r="AP191" s="20" t="str">
        <f t="shared" si="123"/>
        <v>-</v>
      </c>
      <c r="AQ191" s="13" t="str">
        <f t="shared" si="136"/>
        <v>-</v>
      </c>
      <c r="AR191" s="13" t="str">
        <f t="shared" si="137"/>
        <v>-</v>
      </c>
      <c r="AS191" s="13" t="str">
        <f t="shared" si="124"/>
        <v>-</v>
      </c>
      <c r="AT191" s="16" t="str">
        <f t="shared" si="138"/>
        <v>-</v>
      </c>
      <c r="AU191" s="16" t="str">
        <f t="shared" si="125"/>
        <v>-</v>
      </c>
      <c r="AV191" s="16" t="str">
        <f t="shared" si="126"/>
        <v>-</v>
      </c>
      <c r="AW191" s="16" t="str">
        <f t="shared" si="139"/>
        <v>-</v>
      </c>
      <c r="AX191" s="13" t="str">
        <f t="shared" si="140"/>
        <v>-</v>
      </c>
      <c r="AY191" s="10" t="str">
        <f t="shared" si="141"/>
        <v>-</v>
      </c>
      <c r="AZ191" s="9" t="str">
        <f t="shared" si="142"/>
        <v>-</v>
      </c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</row>
    <row r="192" spans="2:68" x14ac:dyDescent="0.3">
      <c r="B192" s="108" t="str">
        <f t="shared" si="127"/>
        <v/>
      </c>
      <c r="C192" s="108" t="str">
        <f t="shared" si="113"/>
        <v/>
      </c>
      <c r="D192" s="3"/>
      <c r="E192" s="3"/>
      <c r="F192" s="3"/>
      <c r="G192" s="20">
        <f>IFERROR(INDEX('Input - Convenience'!F$2:F$200,MATCH('Calculations - Convenience'!$C192,'Input - Convenience'!$B$2:$B$200,0)),"")</f>
        <v>0</v>
      </c>
      <c r="H192" s="20">
        <f>IFERROR(INDEX('Input - Convenience'!G$2:G$200,MATCH('Calculations - Convenience'!$C192,'Input - Convenience'!$B$2:$B$200,0)),"")</f>
        <v>0</v>
      </c>
      <c r="I192" s="21">
        <f>IFERROR(INDEX('Input - Convenience'!H$2:H$200,MATCH('Calculations - Convenience'!$C192,'Input - Convenience'!$B$2:$B$200,0)),"")</f>
        <v>0</v>
      </c>
      <c r="J192" s="21">
        <f>IFERROR(INDEX('Input - Convenience'!I$2:I$200,MATCH('Calculations - Convenience'!$C192,'Input - Convenience'!$B$2:$B$200,0)),"")</f>
        <v>0</v>
      </c>
      <c r="K192" s="20">
        <f>IFERROR(INDEX('Input - Convenience'!J$2:J$200,MATCH('Calculations - Convenience'!$C192,'Input - Convenience'!$B$2:$B$200,0)),"")</f>
        <v>0</v>
      </c>
      <c r="L192" s="20">
        <f>IFERROR(INDEX('Input - Convenience'!K$2:K$200,MATCH('Calculations - Convenience'!$C192,'Input - Convenience'!$B$2:$B$200,0)),"")</f>
        <v>0</v>
      </c>
      <c r="M192" s="21" t="str">
        <f t="shared" si="128"/>
        <v/>
      </c>
      <c r="N192" s="21" t="str">
        <f t="shared" si="114"/>
        <v/>
      </c>
      <c r="O192" s="21">
        <f t="shared" si="129"/>
        <v>0</v>
      </c>
      <c r="P192" s="9">
        <f t="shared" ref="P192:P229" si="143">G192/SUM(G$32:G$229)</f>
        <v>0</v>
      </c>
      <c r="Q192" s="9">
        <f t="shared" ref="Q192:Q229" si="144">H192/SUM(H$32:H$229)</f>
        <v>0</v>
      </c>
      <c r="R192" s="22" t="str">
        <f>IFERROR(INDEX(Convenience!$N$11:$N$148,MATCH('Calculations - Convenience'!$C192,Convenience!$J$11:$J$148,0)),"")</f>
        <v/>
      </c>
      <c r="S192" s="22" t="str">
        <f>IFERROR(INDEX(Convenience!$O$11:$O$148,MATCH('Calculations - Convenience'!$C192,Convenience!$J$11:$J$148,0)),"")</f>
        <v/>
      </c>
      <c r="T192" s="16" t="e">
        <f t="shared" si="115"/>
        <v>#VALUE!</v>
      </c>
      <c r="U192" s="16" t="e">
        <f t="shared" si="130"/>
        <v>#VALUE!</v>
      </c>
      <c r="V192" s="16" t="e">
        <f t="shared" si="131"/>
        <v>#VALUE!</v>
      </c>
      <c r="W192" s="10" t="str">
        <f t="shared" si="116"/>
        <v>-</v>
      </c>
      <c r="X192" s="10" t="str">
        <f t="shared" si="117"/>
        <v>-</v>
      </c>
      <c r="Y192" s="13" t="str">
        <f t="shared" si="132"/>
        <v>-</v>
      </c>
      <c r="Z192" s="9" t="str">
        <f t="shared" si="118"/>
        <v>-</v>
      </c>
      <c r="AA192" s="16" t="str">
        <f t="shared" si="133"/>
        <v>-</v>
      </c>
      <c r="AB192" s="16" t="str">
        <f t="shared" si="119"/>
        <v>-</v>
      </c>
      <c r="AC192" s="16" t="str">
        <f t="shared" si="120"/>
        <v>-</v>
      </c>
      <c r="AD192" s="16" t="str">
        <f t="shared" si="134"/>
        <v>-</v>
      </c>
      <c r="AE192" s="16"/>
      <c r="AF192" s="31" t="str">
        <f>IFERROR(INDEX(Convenience!$M$11:$M$148,MATCH('Calculations - Convenience'!C192,Convenience!$J$11:$J$148,0)),"")</f>
        <v/>
      </c>
      <c r="AG192" s="23" t="str">
        <f t="shared" si="135"/>
        <v/>
      </c>
      <c r="AH192" s="23" t="str">
        <f t="shared" si="135"/>
        <v/>
      </c>
      <c r="AI192" s="9" t="str">
        <f t="shared" si="121"/>
        <v/>
      </c>
      <c r="AJ192" s="4" t="str">
        <f t="shared" si="122"/>
        <v/>
      </c>
      <c r="AK192" s="4"/>
      <c r="AL192" s="4"/>
      <c r="AM192" s="4"/>
      <c r="AN192" s="4"/>
      <c r="AO192" s="4"/>
      <c r="AP192" s="20" t="str">
        <f t="shared" si="123"/>
        <v>-</v>
      </c>
      <c r="AQ192" s="13" t="str">
        <f t="shared" si="136"/>
        <v>-</v>
      </c>
      <c r="AR192" s="13" t="str">
        <f t="shared" si="137"/>
        <v>-</v>
      </c>
      <c r="AS192" s="13" t="str">
        <f t="shared" si="124"/>
        <v>-</v>
      </c>
      <c r="AT192" s="16" t="str">
        <f t="shared" si="138"/>
        <v>-</v>
      </c>
      <c r="AU192" s="16" t="str">
        <f t="shared" si="125"/>
        <v>-</v>
      </c>
      <c r="AV192" s="16" t="str">
        <f t="shared" si="126"/>
        <v>-</v>
      </c>
      <c r="AW192" s="16" t="str">
        <f t="shared" si="139"/>
        <v>-</v>
      </c>
      <c r="AX192" s="13" t="str">
        <f t="shared" si="140"/>
        <v>-</v>
      </c>
      <c r="AY192" s="10" t="str">
        <f t="shared" si="141"/>
        <v>-</v>
      </c>
      <c r="AZ192" s="9" t="str">
        <f t="shared" si="142"/>
        <v>-</v>
      </c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</row>
    <row r="193" spans="2:68" x14ac:dyDescent="0.3">
      <c r="B193" s="108" t="str">
        <f t="shared" si="127"/>
        <v/>
      </c>
      <c r="C193" s="108" t="str">
        <f t="shared" si="113"/>
        <v/>
      </c>
      <c r="D193" s="3"/>
      <c r="E193" s="3"/>
      <c r="F193" s="3"/>
      <c r="G193" s="20">
        <f>IFERROR(INDEX('Input - Convenience'!F$2:F$200,MATCH('Calculations - Convenience'!$C193,'Input - Convenience'!$B$2:$B$200,0)),"")</f>
        <v>0</v>
      </c>
      <c r="H193" s="20">
        <f>IFERROR(INDEX('Input - Convenience'!G$2:G$200,MATCH('Calculations - Convenience'!$C193,'Input - Convenience'!$B$2:$B$200,0)),"")</f>
        <v>0</v>
      </c>
      <c r="I193" s="21">
        <f>IFERROR(INDEX('Input - Convenience'!H$2:H$200,MATCH('Calculations - Convenience'!$C193,'Input - Convenience'!$B$2:$B$200,0)),"")</f>
        <v>0</v>
      </c>
      <c r="J193" s="21">
        <f>IFERROR(INDEX('Input - Convenience'!I$2:I$200,MATCH('Calculations - Convenience'!$C193,'Input - Convenience'!$B$2:$B$200,0)),"")</f>
        <v>0</v>
      </c>
      <c r="K193" s="20">
        <f>IFERROR(INDEX('Input - Convenience'!J$2:J$200,MATCH('Calculations - Convenience'!$C193,'Input - Convenience'!$B$2:$B$200,0)),"")</f>
        <v>0</v>
      </c>
      <c r="L193" s="20">
        <f>IFERROR(INDEX('Input - Convenience'!K$2:K$200,MATCH('Calculations - Convenience'!$C193,'Input - Convenience'!$B$2:$B$200,0)),"")</f>
        <v>0</v>
      </c>
      <c r="M193" s="21" t="str">
        <f t="shared" si="128"/>
        <v/>
      </c>
      <c r="N193" s="21" t="str">
        <f t="shared" si="114"/>
        <v/>
      </c>
      <c r="O193" s="21">
        <f t="shared" si="129"/>
        <v>0</v>
      </c>
      <c r="P193" s="9">
        <f t="shared" si="143"/>
        <v>0</v>
      </c>
      <c r="Q193" s="9">
        <f t="shared" si="144"/>
        <v>0</v>
      </c>
      <c r="R193" s="22" t="str">
        <f>IFERROR(INDEX(Convenience!$N$11:$N$148,MATCH('Calculations - Convenience'!$C193,Convenience!$J$11:$J$148,0)),"")</f>
        <v/>
      </c>
      <c r="S193" s="22" t="str">
        <f>IFERROR(INDEX(Convenience!$O$11:$O$148,MATCH('Calculations - Convenience'!$C193,Convenience!$J$11:$J$148,0)),"")</f>
        <v/>
      </c>
      <c r="T193" s="16" t="e">
        <f t="shared" si="115"/>
        <v>#VALUE!</v>
      </c>
      <c r="U193" s="16" t="e">
        <f t="shared" si="130"/>
        <v>#VALUE!</v>
      </c>
      <c r="V193" s="16" t="e">
        <f t="shared" si="131"/>
        <v>#VALUE!</v>
      </c>
      <c r="W193" s="10" t="str">
        <f t="shared" si="116"/>
        <v>-</v>
      </c>
      <c r="X193" s="10" t="str">
        <f t="shared" si="117"/>
        <v>-</v>
      </c>
      <c r="Y193" s="13" t="str">
        <f t="shared" si="132"/>
        <v>-</v>
      </c>
      <c r="Z193" s="9" t="str">
        <f t="shared" si="118"/>
        <v>-</v>
      </c>
      <c r="AA193" s="16" t="str">
        <f t="shared" si="133"/>
        <v>-</v>
      </c>
      <c r="AB193" s="16" t="str">
        <f t="shared" si="119"/>
        <v>-</v>
      </c>
      <c r="AC193" s="16" t="str">
        <f t="shared" si="120"/>
        <v>-</v>
      </c>
      <c r="AD193" s="16" t="str">
        <f t="shared" si="134"/>
        <v>-</v>
      </c>
      <c r="AE193" s="16"/>
      <c r="AF193" s="31" t="str">
        <f>IFERROR(INDEX(Convenience!$M$11:$M$148,MATCH('Calculations - Convenience'!C193,Convenience!$J$11:$J$148,0)),"")</f>
        <v/>
      </c>
      <c r="AG193" s="23" t="str">
        <f t="shared" si="135"/>
        <v/>
      </c>
      <c r="AH193" s="23" t="str">
        <f t="shared" si="135"/>
        <v/>
      </c>
      <c r="AI193" s="9" t="str">
        <f t="shared" si="121"/>
        <v/>
      </c>
      <c r="AJ193" s="4" t="str">
        <f t="shared" si="122"/>
        <v/>
      </c>
      <c r="AK193" s="4"/>
      <c r="AL193" s="4"/>
      <c r="AM193" s="4"/>
      <c r="AN193" s="4"/>
      <c r="AO193" s="4"/>
      <c r="AP193" s="20" t="str">
        <f t="shared" si="123"/>
        <v>-</v>
      </c>
      <c r="AQ193" s="13" t="str">
        <f t="shared" si="136"/>
        <v>-</v>
      </c>
      <c r="AR193" s="13" t="str">
        <f t="shared" si="137"/>
        <v>-</v>
      </c>
      <c r="AS193" s="13" t="str">
        <f t="shared" si="124"/>
        <v>-</v>
      </c>
      <c r="AT193" s="16" t="str">
        <f t="shared" si="138"/>
        <v>-</v>
      </c>
      <c r="AU193" s="16" t="str">
        <f t="shared" si="125"/>
        <v>-</v>
      </c>
      <c r="AV193" s="16" t="str">
        <f t="shared" si="126"/>
        <v>-</v>
      </c>
      <c r="AW193" s="16" t="str">
        <f t="shared" si="139"/>
        <v>-</v>
      </c>
      <c r="AX193" s="13" t="str">
        <f t="shared" si="140"/>
        <v>-</v>
      </c>
      <c r="AY193" s="10" t="str">
        <f t="shared" si="141"/>
        <v>-</v>
      </c>
      <c r="AZ193" s="9" t="str">
        <f t="shared" si="142"/>
        <v>-</v>
      </c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</row>
    <row r="194" spans="2:68" x14ac:dyDescent="0.3">
      <c r="B194" s="108" t="str">
        <f t="shared" si="127"/>
        <v/>
      </c>
      <c r="C194" s="108" t="str">
        <f t="shared" si="113"/>
        <v/>
      </c>
      <c r="D194" s="3"/>
      <c r="E194" s="3"/>
      <c r="F194" s="3"/>
      <c r="G194" s="20">
        <f>IFERROR(INDEX('Input - Convenience'!F$2:F$200,MATCH('Calculations - Convenience'!$C194,'Input - Convenience'!$B$2:$B$200,0)),"")</f>
        <v>0</v>
      </c>
      <c r="H194" s="20">
        <f>IFERROR(INDEX('Input - Convenience'!G$2:G$200,MATCH('Calculations - Convenience'!$C194,'Input - Convenience'!$B$2:$B$200,0)),"")</f>
        <v>0</v>
      </c>
      <c r="I194" s="21">
        <f>IFERROR(INDEX('Input - Convenience'!H$2:H$200,MATCH('Calculations - Convenience'!$C194,'Input - Convenience'!$B$2:$B$200,0)),"")</f>
        <v>0</v>
      </c>
      <c r="J194" s="21">
        <f>IFERROR(INDEX('Input - Convenience'!I$2:I$200,MATCH('Calculations - Convenience'!$C194,'Input - Convenience'!$B$2:$B$200,0)),"")</f>
        <v>0</v>
      </c>
      <c r="K194" s="20">
        <f>IFERROR(INDEX('Input - Convenience'!J$2:J$200,MATCH('Calculations - Convenience'!$C194,'Input - Convenience'!$B$2:$B$200,0)),"")</f>
        <v>0</v>
      </c>
      <c r="L194" s="20">
        <f>IFERROR(INDEX('Input - Convenience'!K$2:K$200,MATCH('Calculations - Convenience'!$C194,'Input - Convenience'!$B$2:$B$200,0)),"")</f>
        <v>0</v>
      </c>
      <c r="M194" s="21" t="str">
        <f t="shared" si="128"/>
        <v/>
      </c>
      <c r="N194" s="21" t="str">
        <f t="shared" si="114"/>
        <v/>
      </c>
      <c r="O194" s="21">
        <f t="shared" si="129"/>
        <v>0</v>
      </c>
      <c r="P194" s="9">
        <f t="shared" si="143"/>
        <v>0</v>
      </c>
      <c r="Q194" s="9">
        <f t="shared" si="144"/>
        <v>0</v>
      </c>
      <c r="R194" s="22" t="str">
        <f>IFERROR(INDEX(Convenience!$N$11:$N$148,MATCH('Calculations - Convenience'!$C194,Convenience!$J$11:$J$148,0)),"")</f>
        <v/>
      </c>
      <c r="S194" s="22" t="str">
        <f>IFERROR(INDEX(Convenience!$O$11:$O$148,MATCH('Calculations - Convenience'!$C194,Convenience!$J$11:$J$148,0)),"")</f>
        <v/>
      </c>
      <c r="T194" s="16" t="e">
        <f t="shared" si="115"/>
        <v>#VALUE!</v>
      </c>
      <c r="U194" s="16" t="e">
        <f t="shared" si="130"/>
        <v>#VALUE!</v>
      </c>
      <c r="V194" s="16" t="e">
        <f t="shared" si="131"/>
        <v>#VALUE!</v>
      </c>
      <c r="W194" s="10" t="str">
        <f t="shared" si="116"/>
        <v>-</v>
      </c>
      <c r="X194" s="10" t="str">
        <f t="shared" si="117"/>
        <v>-</v>
      </c>
      <c r="Y194" s="13" t="str">
        <f t="shared" si="132"/>
        <v>-</v>
      </c>
      <c r="Z194" s="9" t="str">
        <f t="shared" si="118"/>
        <v>-</v>
      </c>
      <c r="AA194" s="16" t="str">
        <f t="shared" si="133"/>
        <v>-</v>
      </c>
      <c r="AB194" s="16" t="str">
        <f t="shared" si="119"/>
        <v>-</v>
      </c>
      <c r="AC194" s="16" t="str">
        <f t="shared" si="120"/>
        <v>-</v>
      </c>
      <c r="AD194" s="16" t="str">
        <f t="shared" si="134"/>
        <v>-</v>
      </c>
      <c r="AE194" s="16"/>
      <c r="AF194" s="31" t="str">
        <f>IFERROR(INDEX(Convenience!$M$11:$M$148,MATCH('Calculations - Convenience'!C194,Convenience!$J$11:$J$148,0)),"")</f>
        <v/>
      </c>
      <c r="AG194" s="23" t="str">
        <f t="shared" si="135"/>
        <v/>
      </c>
      <c r="AH194" s="23" t="str">
        <f t="shared" si="135"/>
        <v/>
      </c>
      <c r="AI194" s="9" t="str">
        <f t="shared" si="121"/>
        <v/>
      </c>
      <c r="AJ194" s="4" t="str">
        <f t="shared" si="122"/>
        <v/>
      </c>
      <c r="AK194" s="4"/>
      <c r="AL194" s="4"/>
      <c r="AM194" s="4"/>
      <c r="AN194" s="4"/>
      <c r="AO194" s="4"/>
      <c r="AP194" s="20" t="str">
        <f t="shared" si="123"/>
        <v>-</v>
      </c>
      <c r="AQ194" s="13" t="str">
        <f t="shared" si="136"/>
        <v>-</v>
      </c>
      <c r="AR194" s="13" t="str">
        <f t="shared" si="137"/>
        <v>-</v>
      </c>
      <c r="AS194" s="13" t="str">
        <f t="shared" si="124"/>
        <v>-</v>
      </c>
      <c r="AT194" s="16" t="str">
        <f t="shared" si="138"/>
        <v>-</v>
      </c>
      <c r="AU194" s="16" t="str">
        <f t="shared" si="125"/>
        <v>-</v>
      </c>
      <c r="AV194" s="16" t="str">
        <f t="shared" si="126"/>
        <v>-</v>
      </c>
      <c r="AW194" s="16" t="str">
        <f t="shared" si="139"/>
        <v>-</v>
      </c>
      <c r="AX194" s="13" t="str">
        <f t="shared" si="140"/>
        <v>-</v>
      </c>
      <c r="AY194" s="10" t="str">
        <f t="shared" si="141"/>
        <v>-</v>
      </c>
      <c r="AZ194" s="9" t="str">
        <f t="shared" si="142"/>
        <v>-</v>
      </c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</row>
    <row r="195" spans="2:68" x14ac:dyDescent="0.3">
      <c r="B195" s="108" t="str">
        <f t="shared" si="127"/>
        <v/>
      </c>
      <c r="C195" s="108" t="str">
        <f t="shared" si="113"/>
        <v/>
      </c>
      <c r="D195" s="3"/>
      <c r="E195" s="3"/>
      <c r="F195" s="3"/>
      <c r="G195" s="20">
        <f>IFERROR(INDEX('Input - Convenience'!F$2:F$200,MATCH('Calculations - Convenience'!$C195,'Input - Convenience'!$B$2:$B$200,0)),"")</f>
        <v>0</v>
      </c>
      <c r="H195" s="20">
        <f>IFERROR(INDEX('Input - Convenience'!G$2:G$200,MATCH('Calculations - Convenience'!$C195,'Input - Convenience'!$B$2:$B$200,0)),"")</f>
        <v>0</v>
      </c>
      <c r="I195" s="21">
        <f>IFERROR(INDEX('Input - Convenience'!H$2:H$200,MATCH('Calculations - Convenience'!$C195,'Input - Convenience'!$B$2:$B$200,0)),"")</f>
        <v>0</v>
      </c>
      <c r="J195" s="21">
        <f>IFERROR(INDEX('Input - Convenience'!I$2:I$200,MATCH('Calculations - Convenience'!$C195,'Input - Convenience'!$B$2:$B$200,0)),"")</f>
        <v>0</v>
      </c>
      <c r="K195" s="20">
        <f>IFERROR(INDEX('Input - Convenience'!J$2:J$200,MATCH('Calculations - Convenience'!$C195,'Input - Convenience'!$B$2:$B$200,0)),"")</f>
        <v>0</v>
      </c>
      <c r="L195" s="20">
        <f>IFERROR(INDEX('Input - Convenience'!K$2:K$200,MATCH('Calculations - Convenience'!$C195,'Input - Convenience'!$B$2:$B$200,0)),"")</f>
        <v>0</v>
      </c>
      <c r="M195" s="21" t="str">
        <f t="shared" si="128"/>
        <v/>
      </c>
      <c r="N195" s="21" t="str">
        <f t="shared" si="114"/>
        <v/>
      </c>
      <c r="O195" s="21">
        <f t="shared" si="129"/>
        <v>0</v>
      </c>
      <c r="P195" s="9">
        <f t="shared" si="143"/>
        <v>0</v>
      </c>
      <c r="Q195" s="9">
        <f t="shared" si="144"/>
        <v>0</v>
      </c>
      <c r="R195" s="22" t="str">
        <f>IFERROR(INDEX(Convenience!$N$11:$N$148,MATCH('Calculations - Convenience'!$C195,Convenience!$J$11:$J$148,0)),"")</f>
        <v/>
      </c>
      <c r="S195" s="22" t="str">
        <f>IFERROR(INDEX(Convenience!$O$11:$O$148,MATCH('Calculations - Convenience'!$C195,Convenience!$J$11:$J$148,0)),"")</f>
        <v/>
      </c>
      <c r="T195" s="16" t="e">
        <f t="shared" si="115"/>
        <v>#VALUE!</v>
      </c>
      <c r="U195" s="16" t="e">
        <f t="shared" si="130"/>
        <v>#VALUE!</v>
      </c>
      <c r="V195" s="16" t="e">
        <f t="shared" si="131"/>
        <v>#VALUE!</v>
      </c>
      <c r="W195" s="10" t="str">
        <f t="shared" si="116"/>
        <v>-</v>
      </c>
      <c r="X195" s="10" t="str">
        <f t="shared" si="117"/>
        <v>-</v>
      </c>
      <c r="Y195" s="13" t="str">
        <f t="shared" si="132"/>
        <v>-</v>
      </c>
      <c r="Z195" s="9" t="str">
        <f t="shared" si="118"/>
        <v>-</v>
      </c>
      <c r="AA195" s="16" t="str">
        <f t="shared" si="133"/>
        <v>-</v>
      </c>
      <c r="AB195" s="16" t="str">
        <f t="shared" si="119"/>
        <v>-</v>
      </c>
      <c r="AC195" s="16" t="str">
        <f t="shared" si="120"/>
        <v>-</v>
      </c>
      <c r="AD195" s="16" t="str">
        <f t="shared" si="134"/>
        <v>-</v>
      </c>
      <c r="AE195" s="16"/>
      <c r="AF195" s="31" t="str">
        <f>IFERROR(INDEX(Convenience!$M$11:$M$148,MATCH('Calculations - Convenience'!C195,Convenience!$J$11:$J$148,0)),"")</f>
        <v/>
      </c>
      <c r="AG195" s="23" t="str">
        <f t="shared" si="135"/>
        <v/>
      </c>
      <c r="AH195" s="23" t="str">
        <f t="shared" si="135"/>
        <v/>
      </c>
      <c r="AI195" s="9" t="str">
        <f t="shared" si="121"/>
        <v/>
      </c>
      <c r="AJ195" s="4" t="str">
        <f t="shared" si="122"/>
        <v/>
      </c>
      <c r="AK195" s="4"/>
      <c r="AL195" s="4"/>
      <c r="AM195" s="4"/>
      <c r="AN195" s="4"/>
      <c r="AO195" s="4"/>
      <c r="AP195" s="20" t="str">
        <f t="shared" si="123"/>
        <v>-</v>
      </c>
      <c r="AQ195" s="13" t="str">
        <f t="shared" si="136"/>
        <v>-</v>
      </c>
      <c r="AR195" s="13" t="str">
        <f t="shared" si="137"/>
        <v>-</v>
      </c>
      <c r="AS195" s="13" t="str">
        <f t="shared" si="124"/>
        <v>-</v>
      </c>
      <c r="AT195" s="16" t="str">
        <f t="shared" si="138"/>
        <v>-</v>
      </c>
      <c r="AU195" s="16" t="str">
        <f t="shared" si="125"/>
        <v>-</v>
      </c>
      <c r="AV195" s="16" t="str">
        <f t="shared" si="126"/>
        <v>-</v>
      </c>
      <c r="AW195" s="16" t="str">
        <f t="shared" si="139"/>
        <v>-</v>
      </c>
      <c r="AX195" s="13" t="str">
        <f t="shared" si="140"/>
        <v>-</v>
      </c>
      <c r="AY195" s="10" t="str">
        <f t="shared" si="141"/>
        <v>-</v>
      </c>
      <c r="AZ195" s="9" t="str">
        <f t="shared" si="142"/>
        <v>-</v>
      </c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</row>
    <row r="196" spans="2:68" x14ac:dyDescent="0.3">
      <c r="B196" s="108" t="str">
        <f t="shared" si="127"/>
        <v/>
      </c>
      <c r="C196" s="108" t="str">
        <f t="shared" si="113"/>
        <v/>
      </c>
      <c r="D196" s="3"/>
      <c r="E196" s="3"/>
      <c r="F196" s="3"/>
      <c r="G196" s="20">
        <f>IFERROR(INDEX('Input - Convenience'!F$2:F$200,MATCH('Calculations - Convenience'!$C196,'Input - Convenience'!$B$2:$B$200,0)),"")</f>
        <v>0</v>
      </c>
      <c r="H196" s="20">
        <f>IFERROR(INDEX('Input - Convenience'!G$2:G$200,MATCH('Calculations - Convenience'!$C196,'Input - Convenience'!$B$2:$B$200,0)),"")</f>
        <v>0</v>
      </c>
      <c r="I196" s="21">
        <f>IFERROR(INDEX('Input - Convenience'!H$2:H$200,MATCH('Calculations - Convenience'!$C196,'Input - Convenience'!$B$2:$B$200,0)),"")</f>
        <v>0</v>
      </c>
      <c r="J196" s="21">
        <f>IFERROR(INDEX('Input - Convenience'!I$2:I$200,MATCH('Calculations - Convenience'!$C196,'Input - Convenience'!$B$2:$B$200,0)),"")</f>
        <v>0</v>
      </c>
      <c r="K196" s="20">
        <f>IFERROR(INDEX('Input - Convenience'!J$2:J$200,MATCH('Calculations - Convenience'!$C196,'Input - Convenience'!$B$2:$B$200,0)),"")</f>
        <v>0</v>
      </c>
      <c r="L196" s="20">
        <f>IFERROR(INDEX('Input - Convenience'!K$2:K$200,MATCH('Calculations - Convenience'!$C196,'Input - Convenience'!$B$2:$B$200,0)),"")</f>
        <v>0</v>
      </c>
      <c r="M196" s="21" t="str">
        <f t="shared" si="128"/>
        <v/>
      </c>
      <c r="N196" s="21" t="str">
        <f t="shared" si="114"/>
        <v/>
      </c>
      <c r="O196" s="21">
        <f t="shared" si="129"/>
        <v>0</v>
      </c>
      <c r="P196" s="9">
        <f t="shared" si="143"/>
        <v>0</v>
      </c>
      <c r="Q196" s="9">
        <f t="shared" si="144"/>
        <v>0</v>
      </c>
      <c r="R196" s="22" t="str">
        <f>IFERROR(INDEX(Convenience!$N$11:$N$148,MATCH('Calculations - Convenience'!$C196,Convenience!$J$11:$J$148,0)),"")</f>
        <v/>
      </c>
      <c r="S196" s="22" t="str">
        <f>IFERROR(INDEX(Convenience!$O$11:$O$148,MATCH('Calculations - Convenience'!$C196,Convenience!$J$11:$J$148,0)),"")</f>
        <v/>
      </c>
      <c r="T196" s="16" t="e">
        <f t="shared" si="115"/>
        <v>#VALUE!</v>
      </c>
      <c r="U196" s="16" t="e">
        <f t="shared" si="130"/>
        <v>#VALUE!</v>
      </c>
      <c r="V196" s="16" t="e">
        <f t="shared" si="131"/>
        <v>#VALUE!</v>
      </c>
      <c r="W196" s="10" t="str">
        <f t="shared" si="116"/>
        <v>-</v>
      </c>
      <c r="X196" s="10" t="str">
        <f t="shared" si="117"/>
        <v>-</v>
      </c>
      <c r="Y196" s="13" t="str">
        <f t="shared" si="132"/>
        <v>-</v>
      </c>
      <c r="Z196" s="9" t="str">
        <f t="shared" si="118"/>
        <v>-</v>
      </c>
      <c r="AA196" s="16" t="str">
        <f t="shared" si="133"/>
        <v>-</v>
      </c>
      <c r="AB196" s="16" t="str">
        <f t="shared" si="119"/>
        <v>-</v>
      </c>
      <c r="AC196" s="16" t="str">
        <f t="shared" si="120"/>
        <v>-</v>
      </c>
      <c r="AD196" s="16" t="str">
        <f t="shared" si="134"/>
        <v>-</v>
      </c>
      <c r="AE196" s="16"/>
      <c r="AF196" s="31" t="str">
        <f>IFERROR(INDEX(Convenience!$M$11:$M$148,MATCH('Calculations - Convenience'!C196,Convenience!$J$11:$J$148,0)),"")</f>
        <v/>
      </c>
      <c r="AG196" s="23" t="str">
        <f t="shared" si="135"/>
        <v/>
      </c>
      <c r="AH196" s="23" t="str">
        <f t="shared" si="135"/>
        <v/>
      </c>
      <c r="AI196" s="9" t="str">
        <f t="shared" si="121"/>
        <v/>
      </c>
      <c r="AJ196" s="4" t="str">
        <f t="shared" si="122"/>
        <v/>
      </c>
      <c r="AK196" s="4"/>
      <c r="AL196" s="4"/>
      <c r="AM196" s="4"/>
      <c r="AN196" s="4"/>
      <c r="AO196" s="4"/>
      <c r="AP196" s="20" t="str">
        <f t="shared" si="123"/>
        <v>-</v>
      </c>
      <c r="AQ196" s="13" t="str">
        <f t="shared" si="136"/>
        <v>-</v>
      </c>
      <c r="AR196" s="13" t="str">
        <f t="shared" si="137"/>
        <v>-</v>
      </c>
      <c r="AS196" s="13" t="str">
        <f t="shared" si="124"/>
        <v>-</v>
      </c>
      <c r="AT196" s="16" t="str">
        <f t="shared" si="138"/>
        <v>-</v>
      </c>
      <c r="AU196" s="16" t="str">
        <f t="shared" si="125"/>
        <v>-</v>
      </c>
      <c r="AV196" s="16" t="str">
        <f t="shared" si="126"/>
        <v>-</v>
      </c>
      <c r="AW196" s="16" t="str">
        <f t="shared" si="139"/>
        <v>-</v>
      </c>
      <c r="AX196" s="13" t="str">
        <f t="shared" si="140"/>
        <v>-</v>
      </c>
      <c r="AY196" s="10" t="str">
        <f t="shared" si="141"/>
        <v>-</v>
      </c>
      <c r="AZ196" s="9" t="str">
        <f t="shared" si="142"/>
        <v>-</v>
      </c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</row>
    <row r="197" spans="2:68" x14ac:dyDescent="0.3">
      <c r="B197" s="108" t="str">
        <f t="shared" si="127"/>
        <v/>
      </c>
      <c r="C197" s="108" t="str">
        <f t="shared" si="113"/>
        <v/>
      </c>
      <c r="D197" s="3"/>
      <c r="E197" s="3"/>
      <c r="F197" s="3"/>
      <c r="G197" s="20">
        <f>IFERROR(INDEX('Input - Convenience'!F$2:F$200,MATCH('Calculations - Convenience'!$C197,'Input - Convenience'!$B$2:$B$200,0)),"")</f>
        <v>0</v>
      </c>
      <c r="H197" s="20">
        <f>IFERROR(INDEX('Input - Convenience'!G$2:G$200,MATCH('Calculations - Convenience'!$C197,'Input - Convenience'!$B$2:$B$200,0)),"")</f>
        <v>0</v>
      </c>
      <c r="I197" s="21">
        <f>IFERROR(INDEX('Input - Convenience'!H$2:H$200,MATCH('Calculations - Convenience'!$C197,'Input - Convenience'!$B$2:$B$200,0)),"")</f>
        <v>0</v>
      </c>
      <c r="J197" s="21">
        <f>IFERROR(INDEX('Input - Convenience'!I$2:I$200,MATCH('Calculations - Convenience'!$C197,'Input - Convenience'!$B$2:$B$200,0)),"")</f>
        <v>0</v>
      </c>
      <c r="K197" s="20">
        <f>IFERROR(INDEX('Input - Convenience'!J$2:J$200,MATCH('Calculations - Convenience'!$C197,'Input - Convenience'!$B$2:$B$200,0)),"")</f>
        <v>0</v>
      </c>
      <c r="L197" s="20">
        <f>IFERROR(INDEX('Input - Convenience'!K$2:K$200,MATCH('Calculations - Convenience'!$C197,'Input - Convenience'!$B$2:$B$200,0)),"")</f>
        <v>0</v>
      </c>
      <c r="M197" s="21" t="str">
        <f t="shared" si="128"/>
        <v/>
      </c>
      <c r="N197" s="21" t="str">
        <f t="shared" si="114"/>
        <v/>
      </c>
      <c r="O197" s="21">
        <f t="shared" si="129"/>
        <v>0</v>
      </c>
      <c r="P197" s="9">
        <f t="shared" si="143"/>
        <v>0</v>
      </c>
      <c r="Q197" s="9">
        <f t="shared" si="144"/>
        <v>0</v>
      </c>
      <c r="R197" s="22" t="str">
        <f>IFERROR(INDEX(Convenience!$N$11:$N$148,MATCH('Calculations - Convenience'!$C197,Convenience!$J$11:$J$148,0)),"")</f>
        <v/>
      </c>
      <c r="S197" s="22" t="str">
        <f>IFERROR(INDEX(Convenience!$O$11:$O$148,MATCH('Calculations - Convenience'!$C197,Convenience!$J$11:$J$148,0)),"")</f>
        <v/>
      </c>
      <c r="T197" s="16" t="e">
        <f t="shared" si="115"/>
        <v>#VALUE!</v>
      </c>
      <c r="U197" s="16" t="e">
        <f t="shared" si="130"/>
        <v>#VALUE!</v>
      </c>
      <c r="V197" s="16" t="e">
        <f t="shared" si="131"/>
        <v>#VALUE!</v>
      </c>
      <c r="W197" s="10" t="str">
        <f t="shared" si="116"/>
        <v>-</v>
      </c>
      <c r="X197" s="10" t="str">
        <f t="shared" si="117"/>
        <v>-</v>
      </c>
      <c r="Y197" s="13" t="str">
        <f t="shared" si="132"/>
        <v>-</v>
      </c>
      <c r="Z197" s="9" t="str">
        <f t="shared" si="118"/>
        <v>-</v>
      </c>
      <c r="AA197" s="16" t="str">
        <f t="shared" si="133"/>
        <v>-</v>
      </c>
      <c r="AB197" s="16" t="str">
        <f t="shared" si="119"/>
        <v>-</v>
      </c>
      <c r="AC197" s="16" t="str">
        <f t="shared" si="120"/>
        <v>-</v>
      </c>
      <c r="AD197" s="16" t="str">
        <f t="shared" si="134"/>
        <v>-</v>
      </c>
      <c r="AE197" s="16"/>
      <c r="AF197" s="31" t="str">
        <f>IFERROR(INDEX(Convenience!$M$11:$M$148,MATCH('Calculations - Convenience'!C197,Convenience!$J$11:$J$148,0)),"")</f>
        <v/>
      </c>
      <c r="AG197" s="23" t="str">
        <f t="shared" si="135"/>
        <v/>
      </c>
      <c r="AH197" s="23" t="str">
        <f t="shared" si="135"/>
        <v/>
      </c>
      <c r="AI197" s="9" t="str">
        <f t="shared" si="121"/>
        <v/>
      </c>
      <c r="AJ197" s="4" t="str">
        <f t="shared" si="122"/>
        <v/>
      </c>
      <c r="AK197" s="4"/>
      <c r="AL197" s="4"/>
      <c r="AM197" s="4"/>
      <c r="AN197" s="4"/>
      <c r="AO197" s="4"/>
      <c r="AP197" s="20" t="str">
        <f t="shared" si="123"/>
        <v>-</v>
      </c>
      <c r="AQ197" s="13" t="str">
        <f t="shared" si="136"/>
        <v>-</v>
      </c>
      <c r="AR197" s="13" t="str">
        <f t="shared" si="137"/>
        <v>-</v>
      </c>
      <c r="AS197" s="13" t="str">
        <f t="shared" si="124"/>
        <v>-</v>
      </c>
      <c r="AT197" s="16" t="str">
        <f t="shared" si="138"/>
        <v>-</v>
      </c>
      <c r="AU197" s="16" t="str">
        <f t="shared" si="125"/>
        <v>-</v>
      </c>
      <c r="AV197" s="16" t="str">
        <f t="shared" si="126"/>
        <v>-</v>
      </c>
      <c r="AW197" s="16" t="str">
        <f t="shared" si="139"/>
        <v>-</v>
      </c>
      <c r="AX197" s="13" t="str">
        <f t="shared" si="140"/>
        <v>-</v>
      </c>
      <c r="AY197" s="10" t="str">
        <f t="shared" si="141"/>
        <v>-</v>
      </c>
      <c r="AZ197" s="9" t="str">
        <f t="shared" si="142"/>
        <v>-</v>
      </c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</row>
    <row r="198" spans="2:68" x14ac:dyDescent="0.3">
      <c r="B198" s="108" t="str">
        <f t="shared" si="127"/>
        <v/>
      </c>
      <c r="C198" s="108" t="str">
        <f t="shared" si="113"/>
        <v/>
      </c>
      <c r="D198" s="3"/>
      <c r="E198" s="3"/>
      <c r="F198" s="3"/>
      <c r="G198" s="20">
        <f>IFERROR(INDEX('Input - Convenience'!F$2:F$200,MATCH('Calculations - Convenience'!$C198,'Input - Convenience'!$B$2:$B$200,0)),"")</f>
        <v>0</v>
      </c>
      <c r="H198" s="20">
        <f>IFERROR(INDEX('Input - Convenience'!G$2:G$200,MATCH('Calculations - Convenience'!$C198,'Input - Convenience'!$B$2:$B$200,0)),"")</f>
        <v>0</v>
      </c>
      <c r="I198" s="21">
        <f>IFERROR(INDEX('Input - Convenience'!H$2:H$200,MATCH('Calculations - Convenience'!$C198,'Input - Convenience'!$B$2:$B$200,0)),"")</f>
        <v>0</v>
      </c>
      <c r="J198" s="21">
        <f>IFERROR(INDEX('Input - Convenience'!I$2:I$200,MATCH('Calculations - Convenience'!$C198,'Input - Convenience'!$B$2:$B$200,0)),"")</f>
        <v>0</v>
      </c>
      <c r="K198" s="20">
        <f>IFERROR(INDEX('Input - Convenience'!J$2:J$200,MATCH('Calculations - Convenience'!$C198,'Input - Convenience'!$B$2:$B$200,0)),"")</f>
        <v>0</v>
      </c>
      <c r="L198" s="20">
        <f>IFERROR(INDEX('Input - Convenience'!K$2:K$200,MATCH('Calculations - Convenience'!$C198,'Input - Convenience'!$B$2:$B$200,0)),"")</f>
        <v>0</v>
      </c>
      <c r="M198" s="21" t="str">
        <f t="shared" si="128"/>
        <v/>
      </c>
      <c r="N198" s="21" t="str">
        <f t="shared" si="114"/>
        <v/>
      </c>
      <c r="O198" s="21">
        <f t="shared" si="129"/>
        <v>0</v>
      </c>
      <c r="P198" s="9">
        <f t="shared" si="143"/>
        <v>0</v>
      </c>
      <c r="Q198" s="9">
        <f t="shared" si="144"/>
        <v>0</v>
      </c>
      <c r="R198" s="22" t="str">
        <f>IFERROR(INDEX(Convenience!$N$11:$N$148,MATCH('Calculations - Convenience'!$C198,Convenience!$J$11:$J$148,0)),"")</f>
        <v/>
      </c>
      <c r="S198" s="22" t="str">
        <f>IFERROR(INDEX(Convenience!$O$11:$O$148,MATCH('Calculations - Convenience'!$C198,Convenience!$J$11:$J$148,0)),"")</f>
        <v/>
      </c>
      <c r="T198" s="16" t="e">
        <f t="shared" si="115"/>
        <v>#VALUE!</v>
      </c>
      <c r="U198" s="16" t="e">
        <f t="shared" si="130"/>
        <v>#VALUE!</v>
      </c>
      <c r="V198" s="16" t="e">
        <f t="shared" si="131"/>
        <v>#VALUE!</v>
      </c>
      <c r="W198" s="10" t="str">
        <f t="shared" si="116"/>
        <v>-</v>
      </c>
      <c r="X198" s="10" t="str">
        <f t="shared" si="117"/>
        <v>-</v>
      </c>
      <c r="Y198" s="13" t="str">
        <f t="shared" si="132"/>
        <v>-</v>
      </c>
      <c r="Z198" s="9" t="str">
        <f t="shared" si="118"/>
        <v>-</v>
      </c>
      <c r="AA198" s="16" t="str">
        <f t="shared" si="133"/>
        <v>-</v>
      </c>
      <c r="AB198" s="16" t="str">
        <f t="shared" si="119"/>
        <v>-</v>
      </c>
      <c r="AC198" s="16" t="str">
        <f t="shared" si="120"/>
        <v>-</v>
      </c>
      <c r="AD198" s="16" t="str">
        <f t="shared" si="134"/>
        <v>-</v>
      </c>
      <c r="AE198" s="16"/>
      <c r="AF198" s="31" t="str">
        <f>IFERROR(INDEX(Convenience!$M$11:$M$148,MATCH('Calculations - Convenience'!C198,Convenience!$J$11:$J$148,0)),"")</f>
        <v/>
      </c>
      <c r="AG198" s="23" t="str">
        <f t="shared" si="135"/>
        <v/>
      </c>
      <c r="AH198" s="23" t="str">
        <f t="shared" si="135"/>
        <v/>
      </c>
      <c r="AI198" s="9" t="str">
        <f t="shared" si="121"/>
        <v/>
      </c>
      <c r="AJ198" s="4" t="str">
        <f t="shared" si="122"/>
        <v/>
      </c>
      <c r="AK198" s="4"/>
      <c r="AL198" s="4"/>
      <c r="AM198" s="4"/>
      <c r="AN198" s="4"/>
      <c r="AO198" s="4"/>
      <c r="AP198" s="20" t="str">
        <f t="shared" si="123"/>
        <v>-</v>
      </c>
      <c r="AQ198" s="13" t="str">
        <f t="shared" si="136"/>
        <v>-</v>
      </c>
      <c r="AR198" s="13" t="str">
        <f t="shared" si="137"/>
        <v>-</v>
      </c>
      <c r="AS198" s="13" t="str">
        <f t="shared" si="124"/>
        <v>-</v>
      </c>
      <c r="AT198" s="16" t="str">
        <f t="shared" si="138"/>
        <v>-</v>
      </c>
      <c r="AU198" s="16" t="str">
        <f t="shared" si="125"/>
        <v>-</v>
      </c>
      <c r="AV198" s="16" t="str">
        <f t="shared" si="126"/>
        <v>-</v>
      </c>
      <c r="AW198" s="16" t="str">
        <f t="shared" si="139"/>
        <v>-</v>
      </c>
      <c r="AX198" s="13" t="str">
        <f t="shared" si="140"/>
        <v>-</v>
      </c>
      <c r="AY198" s="10" t="str">
        <f t="shared" si="141"/>
        <v>-</v>
      </c>
      <c r="AZ198" s="9" t="str">
        <f t="shared" si="142"/>
        <v>-</v>
      </c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</row>
    <row r="199" spans="2:68" x14ac:dyDescent="0.3">
      <c r="B199" s="108" t="str">
        <f t="shared" si="127"/>
        <v/>
      </c>
      <c r="C199" s="108" t="str">
        <f t="shared" si="113"/>
        <v/>
      </c>
      <c r="D199" s="3"/>
      <c r="E199" s="3"/>
      <c r="F199" s="3"/>
      <c r="G199" s="20">
        <f>IFERROR(INDEX('Input - Convenience'!F$2:F$200,MATCH('Calculations - Convenience'!$C199,'Input - Convenience'!$B$2:$B$200,0)),"")</f>
        <v>0</v>
      </c>
      <c r="H199" s="20">
        <f>IFERROR(INDEX('Input - Convenience'!G$2:G$200,MATCH('Calculations - Convenience'!$C199,'Input - Convenience'!$B$2:$B$200,0)),"")</f>
        <v>0</v>
      </c>
      <c r="I199" s="21">
        <f>IFERROR(INDEX('Input - Convenience'!H$2:H$200,MATCH('Calculations - Convenience'!$C199,'Input - Convenience'!$B$2:$B$200,0)),"")</f>
        <v>0</v>
      </c>
      <c r="J199" s="21">
        <f>IFERROR(INDEX('Input - Convenience'!I$2:I$200,MATCH('Calculations - Convenience'!$C199,'Input - Convenience'!$B$2:$B$200,0)),"")</f>
        <v>0</v>
      </c>
      <c r="K199" s="20">
        <f>IFERROR(INDEX('Input - Convenience'!J$2:J$200,MATCH('Calculations - Convenience'!$C199,'Input - Convenience'!$B$2:$B$200,0)),"")</f>
        <v>0</v>
      </c>
      <c r="L199" s="20">
        <f>IFERROR(INDEX('Input - Convenience'!K$2:K$200,MATCH('Calculations - Convenience'!$C199,'Input - Convenience'!$B$2:$B$200,0)),"")</f>
        <v>0</v>
      </c>
      <c r="M199" s="21" t="str">
        <f t="shared" si="128"/>
        <v/>
      </c>
      <c r="N199" s="21" t="str">
        <f t="shared" si="114"/>
        <v/>
      </c>
      <c r="O199" s="21">
        <f t="shared" si="129"/>
        <v>0</v>
      </c>
      <c r="P199" s="9">
        <f t="shared" si="143"/>
        <v>0</v>
      </c>
      <c r="Q199" s="9">
        <f t="shared" si="144"/>
        <v>0</v>
      </c>
      <c r="R199" s="22" t="str">
        <f>IFERROR(INDEX(Convenience!$N$11:$N$148,MATCH('Calculations - Convenience'!$C199,Convenience!$J$11:$J$148,0)),"")</f>
        <v/>
      </c>
      <c r="S199" s="22" t="str">
        <f>IFERROR(INDEX(Convenience!$O$11:$O$148,MATCH('Calculations - Convenience'!$C199,Convenience!$J$11:$J$148,0)),"")</f>
        <v/>
      </c>
      <c r="T199" s="16" t="e">
        <f t="shared" si="115"/>
        <v>#VALUE!</v>
      </c>
      <c r="U199" s="16" t="e">
        <f t="shared" si="130"/>
        <v>#VALUE!</v>
      </c>
      <c r="V199" s="16" t="e">
        <f t="shared" si="131"/>
        <v>#VALUE!</v>
      </c>
      <c r="W199" s="10" t="str">
        <f t="shared" si="116"/>
        <v>-</v>
      </c>
      <c r="X199" s="10" t="str">
        <f t="shared" si="117"/>
        <v>-</v>
      </c>
      <c r="Y199" s="13" t="str">
        <f t="shared" si="132"/>
        <v>-</v>
      </c>
      <c r="Z199" s="9" t="str">
        <f t="shared" si="118"/>
        <v>-</v>
      </c>
      <c r="AA199" s="16" t="str">
        <f t="shared" si="133"/>
        <v>-</v>
      </c>
      <c r="AB199" s="16" t="str">
        <f t="shared" si="119"/>
        <v>-</v>
      </c>
      <c r="AC199" s="16" t="str">
        <f t="shared" si="120"/>
        <v>-</v>
      </c>
      <c r="AD199" s="16" t="str">
        <f t="shared" si="134"/>
        <v>-</v>
      </c>
      <c r="AE199" s="16"/>
      <c r="AF199" s="31" t="str">
        <f>IFERROR(INDEX(Convenience!$M$11:$M$148,MATCH('Calculations - Convenience'!C199,Convenience!$J$11:$J$148,0)),"")</f>
        <v/>
      </c>
      <c r="AG199" s="23" t="str">
        <f t="shared" si="135"/>
        <v/>
      </c>
      <c r="AH199" s="23" t="str">
        <f t="shared" si="135"/>
        <v/>
      </c>
      <c r="AI199" s="9" t="str">
        <f t="shared" si="121"/>
        <v/>
      </c>
      <c r="AJ199" s="4" t="str">
        <f t="shared" si="122"/>
        <v/>
      </c>
      <c r="AK199" s="4"/>
      <c r="AL199" s="4"/>
      <c r="AM199" s="4"/>
      <c r="AN199" s="4"/>
      <c r="AO199" s="4"/>
      <c r="AP199" s="20" t="str">
        <f t="shared" si="123"/>
        <v>-</v>
      </c>
      <c r="AQ199" s="13" t="str">
        <f t="shared" si="136"/>
        <v>-</v>
      </c>
      <c r="AR199" s="13" t="str">
        <f t="shared" si="137"/>
        <v>-</v>
      </c>
      <c r="AS199" s="13" t="str">
        <f t="shared" si="124"/>
        <v>-</v>
      </c>
      <c r="AT199" s="16" t="str">
        <f t="shared" si="138"/>
        <v>-</v>
      </c>
      <c r="AU199" s="16" t="str">
        <f t="shared" si="125"/>
        <v>-</v>
      </c>
      <c r="AV199" s="16" t="str">
        <f t="shared" si="126"/>
        <v>-</v>
      </c>
      <c r="AW199" s="16" t="str">
        <f t="shared" si="139"/>
        <v>-</v>
      </c>
      <c r="AX199" s="13" t="str">
        <f t="shared" si="140"/>
        <v>-</v>
      </c>
      <c r="AY199" s="10" t="str">
        <f t="shared" si="141"/>
        <v>-</v>
      </c>
      <c r="AZ199" s="9" t="str">
        <f t="shared" si="142"/>
        <v>-</v>
      </c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</row>
    <row r="200" spans="2:68" x14ac:dyDescent="0.3">
      <c r="B200" s="108" t="str">
        <f t="shared" si="127"/>
        <v/>
      </c>
      <c r="C200" s="108" t="str">
        <f t="shared" si="113"/>
        <v/>
      </c>
      <c r="D200" s="3"/>
      <c r="E200" s="3"/>
      <c r="F200" s="3"/>
      <c r="G200" s="20">
        <f>IFERROR(INDEX('Input - Convenience'!F$2:F$200,MATCH('Calculations - Convenience'!$C200,'Input - Convenience'!$B$2:$B$200,0)),"")</f>
        <v>0</v>
      </c>
      <c r="H200" s="20">
        <f>IFERROR(INDEX('Input - Convenience'!G$2:G$200,MATCH('Calculations - Convenience'!$C200,'Input - Convenience'!$B$2:$B$200,0)),"")</f>
        <v>0</v>
      </c>
      <c r="I200" s="21">
        <f>IFERROR(INDEX('Input - Convenience'!H$2:H$200,MATCH('Calculations - Convenience'!$C200,'Input - Convenience'!$B$2:$B$200,0)),"")</f>
        <v>0</v>
      </c>
      <c r="J200" s="21">
        <f>IFERROR(INDEX('Input - Convenience'!I$2:I$200,MATCH('Calculations - Convenience'!$C200,'Input - Convenience'!$B$2:$B$200,0)),"")</f>
        <v>0</v>
      </c>
      <c r="K200" s="20">
        <f>IFERROR(INDEX('Input - Convenience'!J$2:J$200,MATCH('Calculations - Convenience'!$C200,'Input - Convenience'!$B$2:$B$200,0)),"")</f>
        <v>0</v>
      </c>
      <c r="L200" s="20">
        <f>IFERROR(INDEX('Input - Convenience'!K$2:K$200,MATCH('Calculations - Convenience'!$C200,'Input - Convenience'!$B$2:$B$200,0)),"")</f>
        <v>0</v>
      </c>
      <c r="M200" s="21" t="str">
        <f t="shared" si="128"/>
        <v/>
      </c>
      <c r="N200" s="21" t="str">
        <f t="shared" si="114"/>
        <v/>
      </c>
      <c r="O200" s="21">
        <f t="shared" si="129"/>
        <v>0</v>
      </c>
      <c r="P200" s="9">
        <f t="shared" si="143"/>
        <v>0</v>
      </c>
      <c r="Q200" s="9">
        <f t="shared" si="144"/>
        <v>0</v>
      </c>
      <c r="R200" s="22" t="str">
        <f>IFERROR(INDEX(Convenience!$N$11:$N$148,MATCH('Calculations - Convenience'!$C200,Convenience!$J$11:$J$148,0)),"")</f>
        <v/>
      </c>
      <c r="S200" s="22" t="str">
        <f>IFERROR(INDEX(Convenience!$O$11:$O$148,MATCH('Calculations - Convenience'!$C200,Convenience!$J$11:$J$148,0)),"")</f>
        <v/>
      </c>
      <c r="T200" s="16" t="e">
        <f t="shared" si="115"/>
        <v>#VALUE!</v>
      </c>
      <c r="U200" s="16" t="e">
        <f t="shared" si="130"/>
        <v>#VALUE!</v>
      </c>
      <c r="V200" s="16" t="e">
        <f t="shared" si="131"/>
        <v>#VALUE!</v>
      </c>
      <c r="W200" s="10" t="str">
        <f t="shared" si="116"/>
        <v>-</v>
      </c>
      <c r="X200" s="10" t="str">
        <f t="shared" si="117"/>
        <v>-</v>
      </c>
      <c r="Y200" s="13" t="str">
        <f t="shared" si="132"/>
        <v>-</v>
      </c>
      <c r="Z200" s="9" t="str">
        <f t="shared" si="118"/>
        <v>-</v>
      </c>
      <c r="AA200" s="16" t="str">
        <f t="shared" si="133"/>
        <v>-</v>
      </c>
      <c r="AB200" s="16" t="str">
        <f t="shared" si="119"/>
        <v>-</v>
      </c>
      <c r="AC200" s="16" t="str">
        <f t="shared" si="120"/>
        <v>-</v>
      </c>
      <c r="AD200" s="16" t="str">
        <f t="shared" si="134"/>
        <v>-</v>
      </c>
      <c r="AE200" s="16"/>
      <c r="AF200" s="31" t="str">
        <f>IFERROR(INDEX(Convenience!$M$11:$M$148,MATCH('Calculations - Convenience'!C200,Convenience!$J$11:$J$148,0)),"")</f>
        <v/>
      </c>
      <c r="AG200" s="23" t="str">
        <f t="shared" si="135"/>
        <v/>
      </c>
      <c r="AH200" s="23" t="str">
        <f t="shared" si="135"/>
        <v/>
      </c>
      <c r="AI200" s="9" t="str">
        <f t="shared" si="121"/>
        <v/>
      </c>
      <c r="AJ200" s="4" t="str">
        <f t="shared" si="122"/>
        <v/>
      </c>
      <c r="AK200" s="4"/>
      <c r="AL200" s="4"/>
      <c r="AM200" s="4"/>
      <c r="AN200" s="4"/>
      <c r="AO200" s="4"/>
      <c r="AP200" s="20" t="str">
        <f t="shared" si="123"/>
        <v>-</v>
      </c>
      <c r="AQ200" s="13" t="str">
        <f t="shared" si="136"/>
        <v>-</v>
      </c>
      <c r="AR200" s="13" t="str">
        <f t="shared" si="137"/>
        <v>-</v>
      </c>
      <c r="AS200" s="13" t="str">
        <f t="shared" si="124"/>
        <v>-</v>
      </c>
      <c r="AT200" s="16" t="str">
        <f t="shared" si="138"/>
        <v>-</v>
      </c>
      <c r="AU200" s="16" t="str">
        <f t="shared" si="125"/>
        <v>-</v>
      </c>
      <c r="AV200" s="16" t="str">
        <f t="shared" si="126"/>
        <v>-</v>
      </c>
      <c r="AW200" s="16" t="str">
        <f t="shared" si="139"/>
        <v>-</v>
      </c>
      <c r="AX200" s="13" t="str">
        <f t="shared" si="140"/>
        <v>-</v>
      </c>
      <c r="AY200" s="10" t="str">
        <f t="shared" si="141"/>
        <v>-</v>
      </c>
      <c r="AZ200" s="9" t="str">
        <f t="shared" si="142"/>
        <v>-</v>
      </c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</row>
    <row r="201" spans="2:68" x14ac:dyDescent="0.3">
      <c r="B201" s="108" t="str">
        <f t="shared" si="127"/>
        <v/>
      </c>
      <c r="C201" s="108" t="str">
        <f t="shared" si="113"/>
        <v/>
      </c>
      <c r="D201" s="3"/>
      <c r="E201" s="3"/>
      <c r="F201" s="3"/>
      <c r="G201" s="20">
        <f>IFERROR(INDEX('Input - Convenience'!F$2:F$200,MATCH('Calculations - Convenience'!$C201,'Input - Convenience'!$B$2:$B$200,0)),"")</f>
        <v>0</v>
      </c>
      <c r="H201" s="20">
        <f>IFERROR(INDEX('Input - Convenience'!G$2:G$200,MATCH('Calculations - Convenience'!$C201,'Input - Convenience'!$B$2:$B$200,0)),"")</f>
        <v>0</v>
      </c>
      <c r="I201" s="21">
        <f>IFERROR(INDEX('Input - Convenience'!H$2:H$200,MATCH('Calculations - Convenience'!$C201,'Input - Convenience'!$B$2:$B$200,0)),"")</f>
        <v>0</v>
      </c>
      <c r="J201" s="21">
        <f>IFERROR(INDEX('Input - Convenience'!I$2:I$200,MATCH('Calculations - Convenience'!$C201,'Input - Convenience'!$B$2:$B$200,0)),"")</f>
        <v>0</v>
      </c>
      <c r="K201" s="20">
        <f>IFERROR(INDEX('Input - Convenience'!J$2:J$200,MATCH('Calculations - Convenience'!$C201,'Input - Convenience'!$B$2:$B$200,0)),"")</f>
        <v>0</v>
      </c>
      <c r="L201" s="20">
        <f>IFERROR(INDEX('Input - Convenience'!K$2:K$200,MATCH('Calculations - Convenience'!$C201,'Input - Convenience'!$B$2:$B$200,0)),"")</f>
        <v>0</v>
      </c>
      <c r="M201" s="21" t="str">
        <f t="shared" si="128"/>
        <v/>
      </c>
      <c r="N201" s="21" t="str">
        <f t="shared" si="114"/>
        <v/>
      </c>
      <c r="O201" s="21">
        <f t="shared" si="129"/>
        <v>0</v>
      </c>
      <c r="P201" s="9">
        <f t="shared" si="143"/>
        <v>0</v>
      </c>
      <c r="Q201" s="9">
        <f t="shared" si="144"/>
        <v>0</v>
      </c>
      <c r="R201" s="22" t="str">
        <f>IFERROR(INDEX(Convenience!$N$11:$N$148,MATCH('Calculations - Convenience'!$C201,Convenience!$J$11:$J$148,0)),"")</f>
        <v/>
      </c>
      <c r="S201" s="22" t="str">
        <f>IFERROR(INDEX(Convenience!$O$11:$O$148,MATCH('Calculations - Convenience'!$C201,Convenience!$J$11:$J$148,0)),"")</f>
        <v/>
      </c>
      <c r="T201" s="16" t="e">
        <f t="shared" si="115"/>
        <v>#VALUE!</v>
      </c>
      <c r="U201" s="16" t="e">
        <f t="shared" si="130"/>
        <v>#VALUE!</v>
      </c>
      <c r="V201" s="16" t="e">
        <f t="shared" si="131"/>
        <v>#VALUE!</v>
      </c>
      <c r="W201" s="10" t="str">
        <f t="shared" si="116"/>
        <v>-</v>
      </c>
      <c r="X201" s="10" t="str">
        <f t="shared" si="117"/>
        <v>-</v>
      </c>
      <c r="Y201" s="13" t="str">
        <f t="shared" si="132"/>
        <v>-</v>
      </c>
      <c r="Z201" s="9" t="str">
        <f t="shared" si="118"/>
        <v>-</v>
      </c>
      <c r="AA201" s="16" t="str">
        <f t="shared" si="133"/>
        <v>-</v>
      </c>
      <c r="AB201" s="16" t="str">
        <f t="shared" si="119"/>
        <v>-</v>
      </c>
      <c r="AC201" s="16" t="str">
        <f t="shared" si="120"/>
        <v>-</v>
      </c>
      <c r="AD201" s="16" t="str">
        <f t="shared" si="134"/>
        <v>-</v>
      </c>
      <c r="AE201" s="16"/>
      <c r="AF201" s="31" t="str">
        <f>IFERROR(INDEX(Convenience!$M$11:$M$148,MATCH('Calculations - Convenience'!C201,Convenience!$J$11:$J$148,0)),"")</f>
        <v/>
      </c>
      <c r="AG201" s="23" t="str">
        <f t="shared" si="135"/>
        <v/>
      </c>
      <c r="AH201" s="23" t="str">
        <f t="shared" si="135"/>
        <v/>
      </c>
      <c r="AI201" s="9" t="str">
        <f t="shared" si="121"/>
        <v/>
      </c>
      <c r="AJ201" s="4" t="str">
        <f t="shared" si="122"/>
        <v/>
      </c>
      <c r="AK201" s="4"/>
      <c r="AL201" s="4"/>
      <c r="AM201" s="4"/>
      <c r="AN201" s="4"/>
      <c r="AO201" s="4"/>
      <c r="AP201" s="20" t="str">
        <f t="shared" si="123"/>
        <v>-</v>
      </c>
      <c r="AQ201" s="13" t="str">
        <f t="shared" si="136"/>
        <v>-</v>
      </c>
      <c r="AR201" s="13" t="str">
        <f t="shared" si="137"/>
        <v>-</v>
      </c>
      <c r="AS201" s="13" t="str">
        <f t="shared" si="124"/>
        <v>-</v>
      </c>
      <c r="AT201" s="16" t="str">
        <f t="shared" si="138"/>
        <v>-</v>
      </c>
      <c r="AU201" s="16" t="str">
        <f t="shared" si="125"/>
        <v>-</v>
      </c>
      <c r="AV201" s="16" t="str">
        <f t="shared" si="126"/>
        <v>-</v>
      </c>
      <c r="AW201" s="16" t="str">
        <f t="shared" si="139"/>
        <v>-</v>
      </c>
      <c r="AX201" s="13" t="str">
        <f t="shared" si="140"/>
        <v>-</v>
      </c>
      <c r="AY201" s="10" t="str">
        <f t="shared" si="141"/>
        <v>-</v>
      </c>
      <c r="AZ201" s="9" t="str">
        <f t="shared" si="142"/>
        <v>-</v>
      </c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</row>
    <row r="202" spans="2:68" x14ac:dyDescent="0.3">
      <c r="B202" s="108" t="str">
        <f t="shared" si="127"/>
        <v/>
      </c>
      <c r="C202" s="108" t="str">
        <f t="shared" si="113"/>
        <v/>
      </c>
      <c r="D202" s="3"/>
      <c r="E202" s="3"/>
      <c r="F202" s="3"/>
      <c r="G202" s="20">
        <f>IFERROR(INDEX('Input - Convenience'!F$2:F$200,MATCH('Calculations - Convenience'!$C202,'Input - Convenience'!$B$2:$B$200,0)),"")</f>
        <v>0</v>
      </c>
      <c r="H202" s="20">
        <f>IFERROR(INDEX('Input - Convenience'!G$2:G$200,MATCH('Calculations - Convenience'!$C202,'Input - Convenience'!$B$2:$B$200,0)),"")</f>
        <v>0</v>
      </c>
      <c r="I202" s="21">
        <f>IFERROR(INDEX('Input - Convenience'!H$2:H$200,MATCH('Calculations - Convenience'!$C202,'Input - Convenience'!$B$2:$B$200,0)),"")</f>
        <v>0</v>
      </c>
      <c r="J202" s="21">
        <f>IFERROR(INDEX('Input - Convenience'!I$2:I$200,MATCH('Calculations - Convenience'!$C202,'Input - Convenience'!$B$2:$B$200,0)),"")</f>
        <v>0</v>
      </c>
      <c r="K202" s="20">
        <f>IFERROR(INDEX('Input - Convenience'!J$2:J$200,MATCH('Calculations - Convenience'!$C202,'Input - Convenience'!$B$2:$B$200,0)),"")</f>
        <v>0</v>
      </c>
      <c r="L202" s="20">
        <f>IFERROR(INDEX('Input - Convenience'!K$2:K$200,MATCH('Calculations - Convenience'!$C202,'Input - Convenience'!$B$2:$B$200,0)),"")</f>
        <v>0</v>
      </c>
      <c r="M202" s="21" t="str">
        <f t="shared" si="128"/>
        <v/>
      </c>
      <c r="N202" s="21" t="str">
        <f t="shared" si="114"/>
        <v/>
      </c>
      <c r="O202" s="21">
        <f t="shared" si="129"/>
        <v>0</v>
      </c>
      <c r="P202" s="9">
        <f t="shared" si="143"/>
        <v>0</v>
      </c>
      <c r="Q202" s="9">
        <f t="shared" si="144"/>
        <v>0</v>
      </c>
      <c r="R202" s="22" t="str">
        <f>IFERROR(INDEX(Convenience!$N$11:$N$148,MATCH('Calculations - Convenience'!$C202,Convenience!$J$11:$J$148,0)),"")</f>
        <v/>
      </c>
      <c r="S202" s="22" t="str">
        <f>IFERROR(INDEX(Convenience!$O$11:$O$148,MATCH('Calculations - Convenience'!$C202,Convenience!$J$11:$J$148,0)),"")</f>
        <v/>
      </c>
      <c r="T202" s="16" t="e">
        <f t="shared" si="115"/>
        <v>#VALUE!</v>
      </c>
      <c r="U202" s="16" t="e">
        <f t="shared" si="130"/>
        <v>#VALUE!</v>
      </c>
      <c r="V202" s="16" t="e">
        <f t="shared" si="131"/>
        <v>#VALUE!</v>
      </c>
      <c r="W202" s="10" t="str">
        <f t="shared" si="116"/>
        <v>-</v>
      </c>
      <c r="X202" s="10" t="str">
        <f t="shared" si="117"/>
        <v>-</v>
      </c>
      <c r="Y202" s="13" t="str">
        <f t="shared" si="132"/>
        <v>-</v>
      </c>
      <c r="Z202" s="9" t="str">
        <f t="shared" si="118"/>
        <v>-</v>
      </c>
      <c r="AA202" s="16" t="str">
        <f t="shared" si="133"/>
        <v>-</v>
      </c>
      <c r="AB202" s="16" t="str">
        <f t="shared" si="119"/>
        <v>-</v>
      </c>
      <c r="AC202" s="16" t="str">
        <f t="shared" si="120"/>
        <v>-</v>
      </c>
      <c r="AD202" s="16" t="str">
        <f t="shared" si="134"/>
        <v>-</v>
      </c>
      <c r="AE202" s="16"/>
      <c r="AF202" s="31" t="str">
        <f>IFERROR(INDEX(Convenience!$M$11:$M$148,MATCH('Calculations - Convenience'!C202,Convenience!$J$11:$J$148,0)),"")</f>
        <v/>
      </c>
      <c r="AG202" s="23" t="str">
        <f t="shared" si="135"/>
        <v/>
      </c>
      <c r="AH202" s="23" t="str">
        <f t="shared" si="135"/>
        <v/>
      </c>
      <c r="AI202" s="9" t="str">
        <f t="shared" si="121"/>
        <v/>
      </c>
      <c r="AJ202" s="4" t="str">
        <f t="shared" si="122"/>
        <v/>
      </c>
      <c r="AK202" s="4"/>
      <c r="AL202" s="4"/>
      <c r="AM202" s="4"/>
      <c r="AN202" s="4"/>
      <c r="AO202" s="4"/>
      <c r="AP202" s="20" t="str">
        <f t="shared" si="123"/>
        <v>-</v>
      </c>
      <c r="AQ202" s="13" t="str">
        <f t="shared" si="136"/>
        <v>-</v>
      </c>
      <c r="AR202" s="13" t="str">
        <f t="shared" si="137"/>
        <v>-</v>
      </c>
      <c r="AS202" s="13" t="str">
        <f t="shared" si="124"/>
        <v>-</v>
      </c>
      <c r="AT202" s="16" t="str">
        <f t="shared" si="138"/>
        <v>-</v>
      </c>
      <c r="AU202" s="16" t="str">
        <f t="shared" si="125"/>
        <v>-</v>
      </c>
      <c r="AV202" s="16" t="str">
        <f t="shared" si="126"/>
        <v>-</v>
      </c>
      <c r="AW202" s="16" t="str">
        <f t="shared" si="139"/>
        <v>-</v>
      </c>
      <c r="AX202" s="13" t="str">
        <f t="shared" si="140"/>
        <v>-</v>
      </c>
      <c r="AY202" s="10" t="str">
        <f t="shared" si="141"/>
        <v>-</v>
      </c>
      <c r="AZ202" s="9" t="str">
        <f t="shared" si="142"/>
        <v>-</v>
      </c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</row>
    <row r="203" spans="2:68" x14ac:dyDescent="0.3">
      <c r="B203" s="108" t="str">
        <f t="shared" si="127"/>
        <v/>
      </c>
      <c r="C203" s="108" t="str">
        <f t="shared" si="113"/>
        <v/>
      </c>
      <c r="D203" s="3"/>
      <c r="E203" s="3"/>
      <c r="F203" s="3"/>
      <c r="G203" s="20">
        <f>IFERROR(INDEX('Input - Convenience'!F$2:F$200,MATCH('Calculations - Convenience'!$C203,'Input - Convenience'!$B$2:$B$200,0)),"")</f>
        <v>0</v>
      </c>
      <c r="H203" s="20">
        <f>IFERROR(INDEX('Input - Convenience'!G$2:G$200,MATCH('Calculations - Convenience'!$C203,'Input - Convenience'!$B$2:$B$200,0)),"")</f>
        <v>0</v>
      </c>
      <c r="I203" s="21">
        <f>IFERROR(INDEX('Input - Convenience'!H$2:H$200,MATCH('Calculations - Convenience'!$C203,'Input - Convenience'!$B$2:$B$200,0)),"")</f>
        <v>0</v>
      </c>
      <c r="J203" s="21">
        <f>IFERROR(INDEX('Input - Convenience'!I$2:I$200,MATCH('Calculations - Convenience'!$C203,'Input - Convenience'!$B$2:$B$200,0)),"")</f>
        <v>0</v>
      </c>
      <c r="K203" s="20">
        <f>IFERROR(INDEX('Input - Convenience'!J$2:J$200,MATCH('Calculations - Convenience'!$C203,'Input - Convenience'!$B$2:$B$200,0)),"")</f>
        <v>0</v>
      </c>
      <c r="L203" s="20">
        <f>IFERROR(INDEX('Input - Convenience'!K$2:K$200,MATCH('Calculations - Convenience'!$C203,'Input - Convenience'!$B$2:$B$200,0)),"")</f>
        <v>0</v>
      </c>
      <c r="M203" s="21" t="str">
        <f t="shared" si="128"/>
        <v/>
      </c>
      <c r="N203" s="21" t="str">
        <f t="shared" si="114"/>
        <v/>
      </c>
      <c r="O203" s="21">
        <f t="shared" si="129"/>
        <v>0</v>
      </c>
      <c r="P203" s="9">
        <f t="shared" si="143"/>
        <v>0</v>
      </c>
      <c r="Q203" s="9">
        <f t="shared" si="144"/>
        <v>0</v>
      </c>
      <c r="R203" s="22" t="str">
        <f>IFERROR(INDEX(Convenience!$N$11:$N$148,MATCH('Calculations - Convenience'!$C203,Convenience!$J$11:$J$148,0)),"")</f>
        <v/>
      </c>
      <c r="S203" s="22" t="str">
        <f>IFERROR(INDEX(Convenience!$O$11:$O$148,MATCH('Calculations - Convenience'!$C203,Convenience!$J$11:$J$148,0)),"")</f>
        <v/>
      </c>
      <c r="T203" s="16" t="e">
        <f t="shared" si="115"/>
        <v>#VALUE!</v>
      </c>
      <c r="U203" s="16" t="e">
        <f t="shared" si="130"/>
        <v>#VALUE!</v>
      </c>
      <c r="V203" s="16" t="e">
        <f t="shared" si="131"/>
        <v>#VALUE!</v>
      </c>
      <c r="W203" s="10" t="str">
        <f t="shared" si="116"/>
        <v>-</v>
      </c>
      <c r="X203" s="10" t="str">
        <f t="shared" si="117"/>
        <v>-</v>
      </c>
      <c r="Y203" s="13" t="str">
        <f t="shared" si="132"/>
        <v>-</v>
      </c>
      <c r="Z203" s="9" t="str">
        <f t="shared" si="118"/>
        <v>-</v>
      </c>
      <c r="AA203" s="16" t="str">
        <f t="shared" si="133"/>
        <v>-</v>
      </c>
      <c r="AB203" s="16" t="str">
        <f t="shared" si="119"/>
        <v>-</v>
      </c>
      <c r="AC203" s="16" t="str">
        <f t="shared" si="120"/>
        <v>-</v>
      </c>
      <c r="AD203" s="16" t="str">
        <f t="shared" si="134"/>
        <v>-</v>
      </c>
      <c r="AE203" s="16"/>
      <c r="AF203" s="31" t="str">
        <f>IFERROR(INDEX(Convenience!$M$11:$M$148,MATCH('Calculations - Convenience'!C203,Convenience!$J$11:$J$148,0)),"")</f>
        <v/>
      </c>
      <c r="AG203" s="23" t="str">
        <f t="shared" si="135"/>
        <v/>
      </c>
      <c r="AH203" s="23" t="str">
        <f t="shared" si="135"/>
        <v/>
      </c>
      <c r="AI203" s="9" t="str">
        <f t="shared" si="121"/>
        <v/>
      </c>
      <c r="AJ203" s="4" t="str">
        <f t="shared" si="122"/>
        <v/>
      </c>
      <c r="AK203" s="4"/>
      <c r="AL203" s="4"/>
      <c r="AM203" s="4"/>
      <c r="AN203" s="4"/>
      <c r="AO203" s="4"/>
      <c r="AP203" s="20" t="str">
        <f t="shared" si="123"/>
        <v>-</v>
      </c>
      <c r="AQ203" s="13" t="str">
        <f t="shared" si="136"/>
        <v>-</v>
      </c>
      <c r="AR203" s="13" t="str">
        <f t="shared" si="137"/>
        <v>-</v>
      </c>
      <c r="AS203" s="13" t="str">
        <f t="shared" si="124"/>
        <v>-</v>
      </c>
      <c r="AT203" s="16" t="str">
        <f t="shared" si="138"/>
        <v>-</v>
      </c>
      <c r="AU203" s="16" t="str">
        <f t="shared" si="125"/>
        <v>-</v>
      </c>
      <c r="AV203" s="16" t="str">
        <f t="shared" si="126"/>
        <v>-</v>
      </c>
      <c r="AW203" s="16" t="str">
        <f t="shared" si="139"/>
        <v>-</v>
      </c>
      <c r="AX203" s="13" t="str">
        <f t="shared" si="140"/>
        <v>-</v>
      </c>
      <c r="AY203" s="10" t="str">
        <f t="shared" si="141"/>
        <v>-</v>
      </c>
      <c r="AZ203" s="9" t="str">
        <f t="shared" si="142"/>
        <v>-</v>
      </c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</row>
    <row r="204" spans="2:68" x14ac:dyDescent="0.3">
      <c r="B204" s="108" t="str">
        <f t="shared" si="127"/>
        <v/>
      </c>
      <c r="C204" s="108" t="str">
        <f t="shared" si="113"/>
        <v/>
      </c>
      <c r="D204" s="3"/>
      <c r="E204" s="3"/>
      <c r="F204" s="3"/>
      <c r="G204" s="20">
        <f>IFERROR(INDEX('Input - Convenience'!F$2:F$200,MATCH('Calculations - Convenience'!$C204,'Input - Convenience'!$B$2:$B$200,0)),"")</f>
        <v>0</v>
      </c>
      <c r="H204" s="20">
        <f>IFERROR(INDEX('Input - Convenience'!G$2:G$200,MATCH('Calculations - Convenience'!$C204,'Input - Convenience'!$B$2:$B$200,0)),"")</f>
        <v>0</v>
      </c>
      <c r="I204" s="21">
        <f>IFERROR(INDEX('Input - Convenience'!H$2:H$200,MATCH('Calculations - Convenience'!$C204,'Input - Convenience'!$B$2:$B$200,0)),"")</f>
        <v>0</v>
      </c>
      <c r="J204" s="21">
        <f>IFERROR(INDEX('Input - Convenience'!I$2:I$200,MATCH('Calculations - Convenience'!$C204,'Input - Convenience'!$B$2:$B$200,0)),"")</f>
        <v>0</v>
      </c>
      <c r="K204" s="20">
        <f>IFERROR(INDEX('Input - Convenience'!J$2:J$200,MATCH('Calculations - Convenience'!$C204,'Input - Convenience'!$B$2:$B$200,0)),"")</f>
        <v>0</v>
      </c>
      <c r="L204" s="20">
        <f>IFERROR(INDEX('Input - Convenience'!K$2:K$200,MATCH('Calculations - Convenience'!$C204,'Input - Convenience'!$B$2:$B$200,0)),"")</f>
        <v>0</v>
      </c>
      <c r="M204" s="21" t="str">
        <f t="shared" si="128"/>
        <v/>
      </c>
      <c r="N204" s="21" t="str">
        <f t="shared" si="114"/>
        <v/>
      </c>
      <c r="O204" s="21">
        <f t="shared" si="129"/>
        <v>0</v>
      </c>
      <c r="P204" s="9">
        <f t="shared" si="143"/>
        <v>0</v>
      </c>
      <c r="Q204" s="9">
        <f t="shared" si="144"/>
        <v>0</v>
      </c>
      <c r="R204" s="22" t="str">
        <f>IFERROR(INDEX(Convenience!$N$11:$N$148,MATCH('Calculations - Convenience'!$C204,Convenience!$J$11:$J$148,0)),"")</f>
        <v/>
      </c>
      <c r="S204" s="22" t="str">
        <f>IFERROR(INDEX(Convenience!$O$11:$O$148,MATCH('Calculations - Convenience'!$C204,Convenience!$J$11:$J$148,0)),"")</f>
        <v/>
      </c>
      <c r="T204" s="16" t="e">
        <f t="shared" si="115"/>
        <v>#VALUE!</v>
      </c>
      <c r="U204" s="16" t="e">
        <f t="shared" si="130"/>
        <v>#VALUE!</v>
      </c>
      <c r="V204" s="16" t="e">
        <f t="shared" si="131"/>
        <v>#VALUE!</v>
      </c>
      <c r="W204" s="10" t="str">
        <f t="shared" si="116"/>
        <v>-</v>
      </c>
      <c r="X204" s="10" t="str">
        <f t="shared" si="117"/>
        <v>-</v>
      </c>
      <c r="Y204" s="13" t="str">
        <f t="shared" si="132"/>
        <v>-</v>
      </c>
      <c r="Z204" s="9" t="str">
        <f t="shared" si="118"/>
        <v>-</v>
      </c>
      <c r="AA204" s="16" t="str">
        <f t="shared" si="133"/>
        <v>-</v>
      </c>
      <c r="AB204" s="16" t="str">
        <f t="shared" si="119"/>
        <v>-</v>
      </c>
      <c r="AC204" s="16" t="str">
        <f t="shared" si="120"/>
        <v>-</v>
      </c>
      <c r="AD204" s="16" t="str">
        <f t="shared" si="134"/>
        <v>-</v>
      </c>
      <c r="AE204" s="16"/>
      <c r="AF204" s="31" t="str">
        <f>IFERROR(INDEX(Convenience!$M$11:$M$148,MATCH('Calculations - Convenience'!C204,Convenience!$J$11:$J$148,0)),"")</f>
        <v/>
      </c>
      <c r="AG204" s="23" t="str">
        <f t="shared" si="135"/>
        <v/>
      </c>
      <c r="AH204" s="23" t="str">
        <f t="shared" si="135"/>
        <v/>
      </c>
      <c r="AI204" s="9" t="str">
        <f t="shared" si="121"/>
        <v/>
      </c>
      <c r="AJ204" s="4" t="str">
        <f t="shared" si="122"/>
        <v/>
      </c>
      <c r="AK204" s="4"/>
      <c r="AL204" s="4"/>
      <c r="AM204" s="4"/>
      <c r="AN204" s="4"/>
      <c r="AO204" s="4"/>
      <c r="AP204" s="20" t="str">
        <f t="shared" si="123"/>
        <v>-</v>
      </c>
      <c r="AQ204" s="13" t="str">
        <f t="shared" si="136"/>
        <v>-</v>
      </c>
      <c r="AR204" s="13" t="str">
        <f t="shared" si="137"/>
        <v>-</v>
      </c>
      <c r="AS204" s="13" t="str">
        <f t="shared" si="124"/>
        <v>-</v>
      </c>
      <c r="AT204" s="16" t="str">
        <f t="shared" si="138"/>
        <v>-</v>
      </c>
      <c r="AU204" s="16" t="str">
        <f t="shared" si="125"/>
        <v>-</v>
      </c>
      <c r="AV204" s="16" t="str">
        <f t="shared" si="126"/>
        <v>-</v>
      </c>
      <c r="AW204" s="16" t="str">
        <f t="shared" si="139"/>
        <v>-</v>
      </c>
      <c r="AX204" s="13" t="str">
        <f t="shared" si="140"/>
        <v>-</v>
      </c>
      <c r="AY204" s="10" t="str">
        <f t="shared" si="141"/>
        <v>-</v>
      </c>
      <c r="AZ204" s="9" t="str">
        <f t="shared" si="142"/>
        <v>-</v>
      </c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</row>
    <row r="205" spans="2:68" x14ac:dyDescent="0.3">
      <c r="B205" s="108" t="str">
        <f t="shared" si="127"/>
        <v/>
      </c>
      <c r="C205" s="108" t="str">
        <f t="shared" si="113"/>
        <v/>
      </c>
      <c r="D205" s="3"/>
      <c r="E205" s="3"/>
      <c r="F205" s="3"/>
      <c r="G205" s="20">
        <f>IFERROR(INDEX('Input - Convenience'!F$2:F$200,MATCH('Calculations - Convenience'!$C205,'Input - Convenience'!$B$2:$B$200,0)),"")</f>
        <v>0</v>
      </c>
      <c r="H205" s="20">
        <f>IFERROR(INDEX('Input - Convenience'!G$2:G$200,MATCH('Calculations - Convenience'!$C205,'Input - Convenience'!$B$2:$B$200,0)),"")</f>
        <v>0</v>
      </c>
      <c r="I205" s="21">
        <f>IFERROR(INDEX('Input - Convenience'!H$2:H$200,MATCH('Calculations - Convenience'!$C205,'Input - Convenience'!$B$2:$B$200,0)),"")</f>
        <v>0</v>
      </c>
      <c r="J205" s="21">
        <f>IFERROR(INDEX('Input - Convenience'!I$2:I$200,MATCH('Calculations - Convenience'!$C205,'Input - Convenience'!$B$2:$B$200,0)),"")</f>
        <v>0</v>
      </c>
      <c r="K205" s="20">
        <f>IFERROR(INDEX('Input - Convenience'!J$2:J$200,MATCH('Calculations - Convenience'!$C205,'Input - Convenience'!$B$2:$B$200,0)),"")</f>
        <v>0</v>
      </c>
      <c r="L205" s="20">
        <f>IFERROR(INDEX('Input - Convenience'!K$2:K$200,MATCH('Calculations - Convenience'!$C205,'Input - Convenience'!$B$2:$B$200,0)),"")</f>
        <v>0</v>
      </c>
      <c r="M205" s="21" t="str">
        <f t="shared" si="128"/>
        <v/>
      </c>
      <c r="N205" s="21" t="str">
        <f t="shared" si="114"/>
        <v/>
      </c>
      <c r="O205" s="21">
        <f t="shared" si="129"/>
        <v>0</v>
      </c>
      <c r="P205" s="9">
        <f t="shared" si="143"/>
        <v>0</v>
      </c>
      <c r="Q205" s="9">
        <f t="shared" si="144"/>
        <v>0</v>
      </c>
      <c r="R205" s="22" t="str">
        <f>IFERROR(INDEX(Convenience!$N$11:$N$148,MATCH('Calculations - Convenience'!$C205,Convenience!$J$11:$J$148,0)),"")</f>
        <v/>
      </c>
      <c r="S205" s="22" t="str">
        <f>IFERROR(INDEX(Convenience!$O$11:$O$148,MATCH('Calculations - Convenience'!$C205,Convenience!$J$11:$J$148,0)),"")</f>
        <v/>
      </c>
      <c r="T205" s="16" t="e">
        <f t="shared" si="115"/>
        <v>#VALUE!</v>
      </c>
      <c r="U205" s="16" t="e">
        <f t="shared" si="130"/>
        <v>#VALUE!</v>
      </c>
      <c r="V205" s="16" t="e">
        <f t="shared" si="131"/>
        <v>#VALUE!</v>
      </c>
      <c r="W205" s="10" t="str">
        <f t="shared" si="116"/>
        <v>-</v>
      </c>
      <c r="X205" s="10" t="str">
        <f t="shared" si="117"/>
        <v>-</v>
      </c>
      <c r="Y205" s="13" t="str">
        <f t="shared" si="132"/>
        <v>-</v>
      </c>
      <c r="Z205" s="9" t="str">
        <f t="shared" si="118"/>
        <v>-</v>
      </c>
      <c r="AA205" s="16" t="str">
        <f t="shared" si="133"/>
        <v>-</v>
      </c>
      <c r="AB205" s="16" t="str">
        <f t="shared" si="119"/>
        <v>-</v>
      </c>
      <c r="AC205" s="16" t="str">
        <f t="shared" si="120"/>
        <v>-</v>
      </c>
      <c r="AD205" s="16" t="str">
        <f t="shared" si="134"/>
        <v>-</v>
      </c>
      <c r="AE205" s="16"/>
      <c r="AF205" s="31" t="str">
        <f>IFERROR(INDEX(Convenience!$M$11:$M$148,MATCH('Calculations - Convenience'!C205,Convenience!$J$11:$J$148,0)),"")</f>
        <v/>
      </c>
      <c r="AG205" s="23" t="str">
        <f t="shared" si="135"/>
        <v/>
      </c>
      <c r="AH205" s="23" t="str">
        <f t="shared" si="135"/>
        <v/>
      </c>
      <c r="AI205" s="9" t="str">
        <f t="shared" si="121"/>
        <v/>
      </c>
      <c r="AJ205" s="4" t="str">
        <f t="shared" si="122"/>
        <v/>
      </c>
      <c r="AK205" s="4"/>
      <c r="AL205" s="4"/>
      <c r="AM205" s="4"/>
      <c r="AN205" s="4"/>
      <c r="AO205" s="4"/>
      <c r="AP205" s="20" t="str">
        <f t="shared" si="123"/>
        <v>-</v>
      </c>
      <c r="AQ205" s="13" t="str">
        <f t="shared" si="136"/>
        <v>-</v>
      </c>
      <c r="AR205" s="13" t="str">
        <f t="shared" si="137"/>
        <v>-</v>
      </c>
      <c r="AS205" s="13" t="str">
        <f t="shared" si="124"/>
        <v>-</v>
      </c>
      <c r="AT205" s="16" t="str">
        <f t="shared" si="138"/>
        <v>-</v>
      </c>
      <c r="AU205" s="16" t="str">
        <f t="shared" si="125"/>
        <v>-</v>
      </c>
      <c r="AV205" s="16" t="str">
        <f t="shared" si="126"/>
        <v>-</v>
      </c>
      <c r="AW205" s="16" t="str">
        <f t="shared" si="139"/>
        <v>-</v>
      </c>
      <c r="AX205" s="13" t="str">
        <f t="shared" si="140"/>
        <v>-</v>
      </c>
      <c r="AY205" s="10" t="str">
        <f t="shared" si="141"/>
        <v>-</v>
      </c>
      <c r="AZ205" s="9" t="str">
        <f t="shared" si="142"/>
        <v>-</v>
      </c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</row>
    <row r="206" spans="2:68" x14ac:dyDescent="0.3">
      <c r="B206" s="108" t="str">
        <f t="shared" si="127"/>
        <v/>
      </c>
      <c r="C206" s="108" t="str">
        <f t="shared" si="113"/>
        <v/>
      </c>
      <c r="D206" s="3"/>
      <c r="E206" s="3"/>
      <c r="F206" s="3"/>
      <c r="G206" s="20">
        <f>IFERROR(INDEX('Input - Convenience'!F$2:F$200,MATCH('Calculations - Convenience'!$C206,'Input - Convenience'!$B$2:$B$200,0)),"")</f>
        <v>0</v>
      </c>
      <c r="H206" s="20">
        <f>IFERROR(INDEX('Input - Convenience'!G$2:G$200,MATCH('Calculations - Convenience'!$C206,'Input - Convenience'!$B$2:$B$200,0)),"")</f>
        <v>0</v>
      </c>
      <c r="I206" s="21">
        <f>IFERROR(INDEX('Input - Convenience'!H$2:H$200,MATCH('Calculations - Convenience'!$C206,'Input - Convenience'!$B$2:$B$200,0)),"")</f>
        <v>0</v>
      </c>
      <c r="J206" s="21">
        <f>IFERROR(INDEX('Input - Convenience'!I$2:I$200,MATCH('Calculations - Convenience'!$C206,'Input - Convenience'!$B$2:$B$200,0)),"")</f>
        <v>0</v>
      </c>
      <c r="K206" s="20">
        <f>IFERROR(INDEX('Input - Convenience'!J$2:J$200,MATCH('Calculations - Convenience'!$C206,'Input - Convenience'!$B$2:$B$200,0)),"")</f>
        <v>0</v>
      </c>
      <c r="L206" s="20">
        <f>IFERROR(INDEX('Input - Convenience'!K$2:K$200,MATCH('Calculations - Convenience'!$C206,'Input - Convenience'!$B$2:$B$200,0)),"")</f>
        <v>0</v>
      </c>
      <c r="M206" s="21" t="str">
        <f t="shared" si="128"/>
        <v/>
      </c>
      <c r="N206" s="21" t="str">
        <f t="shared" si="114"/>
        <v/>
      </c>
      <c r="O206" s="21">
        <f t="shared" si="129"/>
        <v>0</v>
      </c>
      <c r="P206" s="9">
        <f t="shared" si="143"/>
        <v>0</v>
      </c>
      <c r="Q206" s="9">
        <f t="shared" si="144"/>
        <v>0</v>
      </c>
      <c r="R206" s="22" t="str">
        <f>IFERROR(INDEX(Convenience!$N$11:$N$148,MATCH('Calculations - Convenience'!$C206,Convenience!$J$11:$J$148,0)),"")</f>
        <v/>
      </c>
      <c r="S206" s="22" t="str">
        <f>IFERROR(INDEX(Convenience!$O$11:$O$148,MATCH('Calculations - Convenience'!$C206,Convenience!$J$11:$J$148,0)),"")</f>
        <v/>
      </c>
      <c r="T206" s="16" t="e">
        <f t="shared" si="115"/>
        <v>#VALUE!</v>
      </c>
      <c r="U206" s="16" t="e">
        <f t="shared" si="130"/>
        <v>#VALUE!</v>
      </c>
      <c r="V206" s="16" t="e">
        <f t="shared" si="131"/>
        <v>#VALUE!</v>
      </c>
      <c r="W206" s="10" t="str">
        <f t="shared" si="116"/>
        <v>-</v>
      </c>
      <c r="X206" s="10" t="str">
        <f t="shared" si="117"/>
        <v>-</v>
      </c>
      <c r="Y206" s="13" t="str">
        <f t="shared" si="132"/>
        <v>-</v>
      </c>
      <c r="Z206" s="9" t="str">
        <f t="shared" si="118"/>
        <v>-</v>
      </c>
      <c r="AA206" s="16" t="str">
        <f t="shared" si="133"/>
        <v>-</v>
      </c>
      <c r="AB206" s="16" t="str">
        <f t="shared" si="119"/>
        <v>-</v>
      </c>
      <c r="AC206" s="16" t="str">
        <f t="shared" si="120"/>
        <v>-</v>
      </c>
      <c r="AD206" s="16" t="str">
        <f t="shared" si="134"/>
        <v>-</v>
      </c>
      <c r="AE206" s="16"/>
      <c r="AF206" s="31" t="str">
        <f>IFERROR(INDEX(Convenience!$M$11:$M$148,MATCH('Calculations - Convenience'!C206,Convenience!$J$11:$J$148,0)),"")</f>
        <v/>
      </c>
      <c r="AG206" s="23" t="str">
        <f t="shared" si="135"/>
        <v/>
      </c>
      <c r="AH206" s="23" t="str">
        <f t="shared" si="135"/>
        <v/>
      </c>
      <c r="AI206" s="9" t="str">
        <f t="shared" si="121"/>
        <v/>
      </c>
      <c r="AJ206" s="4" t="str">
        <f t="shared" si="122"/>
        <v/>
      </c>
      <c r="AK206" s="4"/>
      <c r="AL206" s="4"/>
      <c r="AM206" s="4"/>
      <c r="AN206" s="4"/>
      <c r="AO206" s="4"/>
      <c r="AP206" s="20" t="str">
        <f t="shared" si="123"/>
        <v>-</v>
      </c>
      <c r="AQ206" s="13" t="str">
        <f t="shared" si="136"/>
        <v>-</v>
      </c>
      <c r="AR206" s="13" t="str">
        <f t="shared" si="137"/>
        <v>-</v>
      </c>
      <c r="AS206" s="13" t="str">
        <f t="shared" si="124"/>
        <v>-</v>
      </c>
      <c r="AT206" s="16" t="str">
        <f t="shared" si="138"/>
        <v>-</v>
      </c>
      <c r="AU206" s="16" t="str">
        <f t="shared" si="125"/>
        <v>-</v>
      </c>
      <c r="AV206" s="16" t="str">
        <f t="shared" si="126"/>
        <v>-</v>
      </c>
      <c r="AW206" s="16" t="str">
        <f t="shared" si="139"/>
        <v>-</v>
      </c>
      <c r="AX206" s="13" t="str">
        <f t="shared" si="140"/>
        <v>-</v>
      </c>
      <c r="AY206" s="10" t="str">
        <f t="shared" si="141"/>
        <v>-</v>
      </c>
      <c r="AZ206" s="9" t="str">
        <f t="shared" si="142"/>
        <v>-</v>
      </c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</row>
    <row r="207" spans="2:68" x14ac:dyDescent="0.3">
      <c r="B207" s="108" t="str">
        <f t="shared" si="127"/>
        <v/>
      </c>
      <c r="C207" s="108" t="str">
        <f t="shared" si="113"/>
        <v/>
      </c>
      <c r="D207" s="3"/>
      <c r="E207" s="3"/>
      <c r="F207" s="3"/>
      <c r="G207" s="20">
        <f>IFERROR(INDEX('Input - Convenience'!F$2:F$200,MATCH('Calculations - Convenience'!$C207,'Input - Convenience'!$B$2:$B$200,0)),"")</f>
        <v>0</v>
      </c>
      <c r="H207" s="20">
        <f>IFERROR(INDEX('Input - Convenience'!G$2:G$200,MATCH('Calculations - Convenience'!$C207,'Input - Convenience'!$B$2:$B$200,0)),"")</f>
        <v>0</v>
      </c>
      <c r="I207" s="21">
        <f>IFERROR(INDEX('Input - Convenience'!H$2:H$200,MATCH('Calculations - Convenience'!$C207,'Input - Convenience'!$B$2:$B$200,0)),"")</f>
        <v>0</v>
      </c>
      <c r="J207" s="21">
        <f>IFERROR(INDEX('Input - Convenience'!I$2:I$200,MATCH('Calculations - Convenience'!$C207,'Input - Convenience'!$B$2:$B$200,0)),"")</f>
        <v>0</v>
      </c>
      <c r="K207" s="20">
        <f>IFERROR(INDEX('Input - Convenience'!J$2:J$200,MATCH('Calculations - Convenience'!$C207,'Input - Convenience'!$B$2:$B$200,0)),"")</f>
        <v>0</v>
      </c>
      <c r="L207" s="20">
        <f>IFERROR(INDEX('Input - Convenience'!K$2:K$200,MATCH('Calculations - Convenience'!$C207,'Input - Convenience'!$B$2:$B$200,0)),"")</f>
        <v>0</v>
      </c>
      <c r="M207" s="21" t="str">
        <f t="shared" si="128"/>
        <v/>
      </c>
      <c r="N207" s="21" t="str">
        <f t="shared" si="114"/>
        <v/>
      </c>
      <c r="O207" s="21">
        <f t="shared" si="129"/>
        <v>0</v>
      </c>
      <c r="P207" s="9">
        <f t="shared" si="143"/>
        <v>0</v>
      </c>
      <c r="Q207" s="9">
        <f t="shared" si="144"/>
        <v>0</v>
      </c>
      <c r="R207" s="22" t="str">
        <f>IFERROR(INDEX(Convenience!$N$11:$N$148,MATCH('Calculations - Convenience'!$C207,Convenience!$J$11:$J$148,0)),"")</f>
        <v/>
      </c>
      <c r="S207" s="22" t="str">
        <f>IFERROR(INDEX(Convenience!$O$11:$O$148,MATCH('Calculations - Convenience'!$C207,Convenience!$J$11:$J$148,0)),"")</f>
        <v/>
      </c>
      <c r="T207" s="16" t="e">
        <f t="shared" si="115"/>
        <v>#VALUE!</v>
      </c>
      <c r="U207" s="16" t="e">
        <f t="shared" si="130"/>
        <v>#VALUE!</v>
      </c>
      <c r="V207" s="16" t="e">
        <f t="shared" si="131"/>
        <v>#VALUE!</v>
      </c>
      <c r="W207" s="10" t="str">
        <f t="shared" si="116"/>
        <v>-</v>
      </c>
      <c r="X207" s="10" t="str">
        <f t="shared" si="117"/>
        <v>-</v>
      </c>
      <c r="Y207" s="13" t="str">
        <f t="shared" si="132"/>
        <v>-</v>
      </c>
      <c r="Z207" s="9" t="str">
        <f t="shared" si="118"/>
        <v>-</v>
      </c>
      <c r="AA207" s="16" t="str">
        <f t="shared" si="133"/>
        <v>-</v>
      </c>
      <c r="AB207" s="16" t="str">
        <f t="shared" si="119"/>
        <v>-</v>
      </c>
      <c r="AC207" s="16" t="str">
        <f t="shared" si="120"/>
        <v>-</v>
      </c>
      <c r="AD207" s="16" t="str">
        <f t="shared" si="134"/>
        <v>-</v>
      </c>
      <c r="AE207" s="16"/>
      <c r="AF207" s="31" t="str">
        <f>IFERROR(INDEX(Convenience!$M$11:$M$148,MATCH('Calculations - Convenience'!C207,Convenience!$J$11:$J$148,0)),"")</f>
        <v/>
      </c>
      <c r="AG207" s="23" t="str">
        <f t="shared" si="135"/>
        <v/>
      </c>
      <c r="AH207" s="23" t="str">
        <f t="shared" si="135"/>
        <v/>
      </c>
      <c r="AI207" s="9" t="str">
        <f t="shared" si="121"/>
        <v/>
      </c>
      <c r="AJ207" s="4" t="str">
        <f t="shared" si="122"/>
        <v/>
      </c>
      <c r="AK207" s="4"/>
      <c r="AL207" s="4"/>
      <c r="AM207" s="4"/>
      <c r="AN207" s="4"/>
      <c r="AO207" s="4"/>
      <c r="AP207" s="20" t="str">
        <f t="shared" si="123"/>
        <v>-</v>
      </c>
      <c r="AQ207" s="13" t="str">
        <f t="shared" si="136"/>
        <v>-</v>
      </c>
      <c r="AR207" s="13" t="str">
        <f t="shared" si="137"/>
        <v>-</v>
      </c>
      <c r="AS207" s="13" t="str">
        <f t="shared" si="124"/>
        <v>-</v>
      </c>
      <c r="AT207" s="16" t="str">
        <f t="shared" si="138"/>
        <v>-</v>
      </c>
      <c r="AU207" s="16" t="str">
        <f t="shared" si="125"/>
        <v>-</v>
      </c>
      <c r="AV207" s="16" t="str">
        <f t="shared" si="126"/>
        <v>-</v>
      </c>
      <c r="AW207" s="16" t="str">
        <f t="shared" si="139"/>
        <v>-</v>
      </c>
      <c r="AX207" s="13" t="str">
        <f t="shared" si="140"/>
        <v>-</v>
      </c>
      <c r="AY207" s="10" t="str">
        <f t="shared" si="141"/>
        <v>-</v>
      </c>
      <c r="AZ207" s="9" t="str">
        <f t="shared" si="142"/>
        <v>-</v>
      </c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</row>
    <row r="208" spans="2:68" x14ac:dyDescent="0.3">
      <c r="B208" s="108" t="str">
        <f t="shared" si="127"/>
        <v/>
      </c>
      <c r="C208" s="108" t="str">
        <f t="shared" si="113"/>
        <v/>
      </c>
      <c r="D208" s="3"/>
      <c r="E208" s="3"/>
      <c r="F208" s="3"/>
      <c r="G208" s="20">
        <f>IFERROR(INDEX('Input - Convenience'!F$2:F$200,MATCH('Calculations - Convenience'!$C208,'Input - Convenience'!$B$2:$B$200,0)),"")</f>
        <v>0</v>
      </c>
      <c r="H208" s="20">
        <f>IFERROR(INDEX('Input - Convenience'!G$2:G$200,MATCH('Calculations - Convenience'!$C208,'Input - Convenience'!$B$2:$B$200,0)),"")</f>
        <v>0</v>
      </c>
      <c r="I208" s="21">
        <f>IFERROR(INDEX('Input - Convenience'!H$2:H$200,MATCH('Calculations - Convenience'!$C208,'Input - Convenience'!$B$2:$B$200,0)),"")</f>
        <v>0</v>
      </c>
      <c r="J208" s="21">
        <f>IFERROR(INDEX('Input - Convenience'!I$2:I$200,MATCH('Calculations - Convenience'!$C208,'Input - Convenience'!$B$2:$B$200,0)),"")</f>
        <v>0</v>
      </c>
      <c r="K208" s="20">
        <f>IFERROR(INDEX('Input - Convenience'!J$2:J$200,MATCH('Calculations - Convenience'!$C208,'Input - Convenience'!$B$2:$B$200,0)),"")</f>
        <v>0</v>
      </c>
      <c r="L208" s="20">
        <f>IFERROR(INDEX('Input - Convenience'!K$2:K$200,MATCH('Calculations - Convenience'!$C208,'Input - Convenience'!$B$2:$B$200,0)),"")</f>
        <v>0</v>
      </c>
      <c r="M208" s="21" t="str">
        <f t="shared" si="128"/>
        <v/>
      </c>
      <c r="N208" s="21" t="str">
        <f t="shared" si="114"/>
        <v/>
      </c>
      <c r="O208" s="21">
        <f t="shared" si="129"/>
        <v>0</v>
      </c>
      <c r="P208" s="9">
        <f t="shared" si="143"/>
        <v>0</v>
      </c>
      <c r="Q208" s="9">
        <f t="shared" si="144"/>
        <v>0</v>
      </c>
      <c r="R208" s="22" t="str">
        <f>IFERROR(INDEX(Convenience!$N$11:$N$148,MATCH('Calculations - Convenience'!$C208,Convenience!$J$11:$J$148,0)),"")</f>
        <v/>
      </c>
      <c r="S208" s="22" t="str">
        <f>IFERROR(INDEX(Convenience!$O$11:$O$148,MATCH('Calculations - Convenience'!$C208,Convenience!$J$11:$J$148,0)),"")</f>
        <v/>
      </c>
      <c r="T208" s="16" t="e">
        <f t="shared" si="115"/>
        <v>#VALUE!</v>
      </c>
      <c r="U208" s="16" t="e">
        <f t="shared" si="130"/>
        <v>#VALUE!</v>
      </c>
      <c r="V208" s="16" t="e">
        <f t="shared" si="131"/>
        <v>#VALUE!</v>
      </c>
      <c r="W208" s="10" t="str">
        <f t="shared" si="116"/>
        <v>-</v>
      </c>
      <c r="X208" s="10" t="str">
        <f t="shared" si="117"/>
        <v>-</v>
      </c>
      <c r="Y208" s="13" t="str">
        <f t="shared" si="132"/>
        <v>-</v>
      </c>
      <c r="Z208" s="9" t="str">
        <f t="shared" si="118"/>
        <v>-</v>
      </c>
      <c r="AA208" s="16" t="str">
        <f t="shared" si="133"/>
        <v>-</v>
      </c>
      <c r="AB208" s="16" t="str">
        <f t="shared" si="119"/>
        <v>-</v>
      </c>
      <c r="AC208" s="16" t="str">
        <f t="shared" si="120"/>
        <v>-</v>
      </c>
      <c r="AD208" s="16" t="str">
        <f t="shared" si="134"/>
        <v>-</v>
      </c>
      <c r="AE208" s="16"/>
      <c r="AF208" s="31" t="str">
        <f>IFERROR(INDEX(Convenience!$M$11:$M$148,MATCH('Calculations - Convenience'!C208,Convenience!$J$11:$J$148,0)),"")</f>
        <v/>
      </c>
      <c r="AG208" s="23" t="str">
        <f t="shared" si="135"/>
        <v/>
      </c>
      <c r="AH208" s="23" t="str">
        <f t="shared" si="135"/>
        <v/>
      </c>
      <c r="AI208" s="9" t="str">
        <f t="shared" si="121"/>
        <v/>
      </c>
      <c r="AJ208" s="4" t="str">
        <f t="shared" si="122"/>
        <v/>
      </c>
      <c r="AK208" s="4"/>
      <c r="AL208" s="4"/>
      <c r="AM208" s="4"/>
      <c r="AN208" s="4"/>
      <c r="AO208" s="4"/>
      <c r="AP208" s="20" t="str">
        <f t="shared" si="123"/>
        <v>-</v>
      </c>
      <c r="AQ208" s="13" t="str">
        <f t="shared" si="136"/>
        <v>-</v>
      </c>
      <c r="AR208" s="13" t="str">
        <f t="shared" si="137"/>
        <v>-</v>
      </c>
      <c r="AS208" s="13" t="str">
        <f t="shared" si="124"/>
        <v>-</v>
      </c>
      <c r="AT208" s="16" t="str">
        <f t="shared" si="138"/>
        <v>-</v>
      </c>
      <c r="AU208" s="16" t="str">
        <f t="shared" si="125"/>
        <v>-</v>
      </c>
      <c r="AV208" s="16" t="str">
        <f t="shared" si="126"/>
        <v>-</v>
      </c>
      <c r="AW208" s="16" t="str">
        <f t="shared" si="139"/>
        <v>-</v>
      </c>
      <c r="AX208" s="13" t="str">
        <f t="shared" si="140"/>
        <v>-</v>
      </c>
      <c r="AY208" s="10" t="str">
        <f t="shared" si="141"/>
        <v>-</v>
      </c>
      <c r="AZ208" s="9" t="str">
        <f t="shared" si="142"/>
        <v>-</v>
      </c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</row>
    <row r="209" spans="2:68" x14ac:dyDescent="0.3">
      <c r="B209" s="108" t="str">
        <f t="shared" si="127"/>
        <v/>
      </c>
      <c r="C209" s="108" t="str">
        <f t="shared" si="113"/>
        <v/>
      </c>
      <c r="D209" s="3"/>
      <c r="E209" s="3"/>
      <c r="F209" s="3"/>
      <c r="G209" s="20">
        <f>IFERROR(INDEX('Input - Convenience'!F$2:F$200,MATCH('Calculations - Convenience'!$C209,'Input - Convenience'!$B$2:$B$200,0)),"")</f>
        <v>0</v>
      </c>
      <c r="H209" s="20">
        <f>IFERROR(INDEX('Input - Convenience'!G$2:G$200,MATCH('Calculations - Convenience'!$C209,'Input - Convenience'!$B$2:$B$200,0)),"")</f>
        <v>0</v>
      </c>
      <c r="I209" s="21">
        <f>IFERROR(INDEX('Input - Convenience'!H$2:H$200,MATCH('Calculations - Convenience'!$C209,'Input - Convenience'!$B$2:$B$200,0)),"")</f>
        <v>0</v>
      </c>
      <c r="J209" s="21">
        <f>IFERROR(INDEX('Input - Convenience'!I$2:I$200,MATCH('Calculations - Convenience'!$C209,'Input - Convenience'!$B$2:$B$200,0)),"")</f>
        <v>0</v>
      </c>
      <c r="K209" s="20">
        <f>IFERROR(INDEX('Input - Convenience'!J$2:J$200,MATCH('Calculations - Convenience'!$C209,'Input - Convenience'!$B$2:$B$200,0)),"")</f>
        <v>0</v>
      </c>
      <c r="L209" s="20">
        <f>IFERROR(INDEX('Input - Convenience'!K$2:K$200,MATCH('Calculations - Convenience'!$C209,'Input - Convenience'!$B$2:$B$200,0)),"")</f>
        <v>0</v>
      </c>
      <c r="M209" s="21" t="str">
        <f t="shared" si="128"/>
        <v/>
      </c>
      <c r="N209" s="21" t="str">
        <f t="shared" si="114"/>
        <v/>
      </c>
      <c r="O209" s="21">
        <f t="shared" si="129"/>
        <v>0</v>
      </c>
      <c r="P209" s="9">
        <f t="shared" si="143"/>
        <v>0</v>
      </c>
      <c r="Q209" s="9">
        <f t="shared" si="144"/>
        <v>0</v>
      </c>
      <c r="R209" s="22" t="str">
        <f>IFERROR(INDEX(Convenience!$N$11:$N$148,MATCH('Calculations - Convenience'!$C209,Convenience!$J$11:$J$148,0)),"")</f>
        <v/>
      </c>
      <c r="S209" s="22" t="str">
        <f>IFERROR(INDEX(Convenience!$O$11:$O$148,MATCH('Calculations - Convenience'!$C209,Convenience!$J$11:$J$148,0)),"")</f>
        <v/>
      </c>
      <c r="T209" s="16" t="e">
        <f t="shared" si="115"/>
        <v>#VALUE!</v>
      </c>
      <c r="U209" s="16" t="e">
        <f t="shared" si="130"/>
        <v>#VALUE!</v>
      </c>
      <c r="V209" s="16" t="e">
        <f t="shared" si="131"/>
        <v>#VALUE!</v>
      </c>
      <c r="W209" s="10" t="str">
        <f t="shared" si="116"/>
        <v>-</v>
      </c>
      <c r="X209" s="10" t="str">
        <f t="shared" si="117"/>
        <v>-</v>
      </c>
      <c r="Y209" s="13" t="str">
        <f t="shared" si="132"/>
        <v>-</v>
      </c>
      <c r="Z209" s="9" t="str">
        <f t="shared" si="118"/>
        <v>-</v>
      </c>
      <c r="AA209" s="16" t="str">
        <f t="shared" si="133"/>
        <v>-</v>
      </c>
      <c r="AB209" s="16" t="str">
        <f t="shared" si="119"/>
        <v>-</v>
      </c>
      <c r="AC209" s="16" t="str">
        <f t="shared" si="120"/>
        <v>-</v>
      </c>
      <c r="AD209" s="16" t="str">
        <f t="shared" si="134"/>
        <v>-</v>
      </c>
      <c r="AE209" s="16"/>
      <c r="AF209" s="31" t="str">
        <f>IFERROR(INDEX(Convenience!$M$11:$M$148,MATCH('Calculations - Convenience'!C209,Convenience!$J$11:$J$148,0)),"")</f>
        <v/>
      </c>
      <c r="AG209" s="23" t="str">
        <f t="shared" si="135"/>
        <v/>
      </c>
      <c r="AH209" s="23" t="str">
        <f t="shared" si="135"/>
        <v/>
      </c>
      <c r="AI209" s="9" t="str">
        <f t="shared" si="121"/>
        <v/>
      </c>
      <c r="AJ209" s="4" t="str">
        <f t="shared" si="122"/>
        <v/>
      </c>
      <c r="AK209" s="4"/>
      <c r="AL209" s="4"/>
      <c r="AM209" s="4"/>
      <c r="AN209" s="4"/>
      <c r="AO209" s="4"/>
      <c r="AP209" s="20" t="str">
        <f t="shared" si="123"/>
        <v>-</v>
      </c>
      <c r="AQ209" s="13" t="str">
        <f t="shared" si="136"/>
        <v>-</v>
      </c>
      <c r="AR209" s="13" t="str">
        <f t="shared" si="137"/>
        <v>-</v>
      </c>
      <c r="AS209" s="13" t="str">
        <f t="shared" si="124"/>
        <v>-</v>
      </c>
      <c r="AT209" s="16" t="str">
        <f t="shared" si="138"/>
        <v>-</v>
      </c>
      <c r="AU209" s="16" t="str">
        <f t="shared" si="125"/>
        <v>-</v>
      </c>
      <c r="AV209" s="16" t="str">
        <f t="shared" si="126"/>
        <v>-</v>
      </c>
      <c r="AW209" s="16" t="str">
        <f t="shared" si="139"/>
        <v>-</v>
      </c>
      <c r="AX209" s="13" t="str">
        <f t="shared" si="140"/>
        <v>-</v>
      </c>
      <c r="AY209" s="10" t="str">
        <f t="shared" si="141"/>
        <v>-</v>
      </c>
      <c r="AZ209" s="9" t="str">
        <f t="shared" si="142"/>
        <v>-</v>
      </c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</row>
    <row r="210" spans="2:68" x14ac:dyDescent="0.3">
      <c r="B210" s="108" t="str">
        <f t="shared" si="127"/>
        <v/>
      </c>
      <c r="C210" s="108" t="str">
        <f t="shared" si="113"/>
        <v/>
      </c>
      <c r="D210" s="3"/>
      <c r="E210" s="3"/>
      <c r="F210" s="3"/>
      <c r="G210" s="20">
        <f>IFERROR(INDEX('Input - Convenience'!F$2:F$200,MATCH('Calculations - Convenience'!$C210,'Input - Convenience'!$B$2:$B$200,0)),"")</f>
        <v>0</v>
      </c>
      <c r="H210" s="20">
        <f>IFERROR(INDEX('Input - Convenience'!G$2:G$200,MATCH('Calculations - Convenience'!$C210,'Input - Convenience'!$B$2:$B$200,0)),"")</f>
        <v>0</v>
      </c>
      <c r="I210" s="21">
        <f>IFERROR(INDEX('Input - Convenience'!H$2:H$200,MATCH('Calculations - Convenience'!$C210,'Input - Convenience'!$B$2:$B$200,0)),"")</f>
        <v>0</v>
      </c>
      <c r="J210" s="21">
        <f>IFERROR(INDEX('Input - Convenience'!I$2:I$200,MATCH('Calculations - Convenience'!$C210,'Input - Convenience'!$B$2:$B$200,0)),"")</f>
        <v>0</v>
      </c>
      <c r="K210" s="20">
        <f>IFERROR(INDEX('Input - Convenience'!J$2:J$200,MATCH('Calculations - Convenience'!$C210,'Input - Convenience'!$B$2:$B$200,0)),"")</f>
        <v>0</v>
      </c>
      <c r="L210" s="20">
        <f>IFERROR(INDEX('Input - Convenience'!K$2:K$200,MATCH('Calculations - Convenience'!$C210,'Input - Convenience'!$B$2:$B$200,0)),"")</f>
        <v>0</v>
      </c>
      <c r="M210" s="21" t="str">
        <f t="shared" si="128"/>
        <v/>
      </c>
      <c r="N210" s="21" t="str">
        <f t="shared" si="114"/>
        <v/>
      </c>
      <c r="O210" s="21">
        <f t="shared" si="129"/>
        <v>0</v>
      </c>
      <c r="P210" s="9">
        <f t="shared" si="143"/>
        <v>0</v>
      </c>
      <c r="Q210" s="9">
        <f t="shared" si="144"/>
        <v>0</v>
      </c>
      <c r="R210" s="22" t="str">
        <f>IFERROR(INDEX(Convenience!$N$11:$N$148,MATCH('Calculations - Convenience'!$C210,Convenience!$J$11:$J$148,0)),"")</f>
        <v/>
      </c>
      <c r="S210" s="22" t="str">
        <f>IFERROR(INDEX(Convenience!$O$11:$O$148,MATCH('Calculations - Convenience'!$C210,Convenience!$J$11:$J$148,0)),"")</f>
        <v/>
      </c>
      <c r="T210" s="16" t="e">
        <f t="shared" si="115"/>
        <v>#VALUE!</v>
      </c>
      <c r="U210" s="16" t="e">
        <f t="shared" si="130"/>
        <v>#VALUE!</v>
      </c>
      <c r="V210" s="16" t="e">
        <f t="shared" si="131"/>
        <v>#VALUE!</v>
      </c>
      <c r="W210" s="10" t="str">
        <f t="shared" si="116"/>
        <v>-</v>
      </c>
      <c r="X210" s="10" t="str">
        <f t="shared" si="117"/>
        <v>-</v>
      </c>
      <c r="Y210" s="13" t="str">
        <f t="shared" si="132"/>
        <v>-</v>
      </c>
      <c r="Z210" s="9" t="str">
        <f t="shared" si="118"/>
        <v>-</v>
      </c>
      <c r="AA210" s="16" t="str">
        <f t="shared" si="133"/>
        <v>-</v>
      </c>
      <c r="AB210" s="16" t="str">
        <f t="shared" si="119"/>
        <v>-</v>
      </c>
      <c r="AC210" s="16" t="str">
        <f t="shared" si="120"/>
        <v>-</v>
      </c>
      <c r="AD210" s="16" t="str">
        <f t="shared" si="134"/>
        <v>-</v>
      </c>
      <c r="AE210" s="16"/>
      <c r="AF210" s="31" t="str">
        <f>IFERROR(INDEX(Convenience!$M$11:$M$148,MATCH('Calculations - Convenience'!C210,Convenience!$J$11:$J$148,0)),"")</f>
        <v/>
      </c>
      <c r="AG210" s="23" t="str">
        <f t="shared" si="135"/>
        <v/>
      </c>
      <c r="AH210" s="23" t="str">
        <f t="shared" si="135"/>
        <v/>
      </c>
      <c r="AI210" s="9" t="str">
        <f t="shared" si="121"/>
        <v/>
      </c>
      <c r="AJ210" s="4" t="str">
        <f t="shared" si="122"/>
        <v/>
      </c>
      <c r="AK210" s="4"/>
      <c r="AL210" s="4"/>
      <c r="AM210" s="4"/>
      <c r="AN210" s="4"/>
      <c r="AO210" s="4"/>
      <c r="AP210" s="20" t="str">
        <f t="shared" si="123"/>
        <v>-</v>
      </c>
      <c r="AQ210" s="13" t="str">
        <f t="shared" si="136"/>
        <v>-</v>
      </c>
      <c r="AR210" s="13" t="str">
        <f t="shared" si="137"/>
        <v>-</v>
      </c>
      <c r="AS210" s="13" t="str">
        <f t="shared" si="124"/>
        <v>-</v>
      </c>
      <c r="AT210" s="16" t="str">
        <f t="shared" si="138"/>
        <v>-</v>
      </c>
      <c r="AU210" s="16" t="str">
        <f t="shared" si="125"/>
        <v>-</v>
      </c>
      <c r="AV210" s="16" t="str">
        <f t="shared" si="126"/>
        <v>-</v>
      </c>
      <c r="AW210" s="16" t="str">
        <f t="shared" si="139"/>
        <v>-</v>
      </c>
      <c r="AX210" s="13" t="str">
        <f t="shared" si="140"/>
        <v>-</v>
      </c>
      <c r="AY210" s="10" t="str">
        <f t="shared" si="141"/>
        <v>-</v>
      </c>
      <c r="AZ210" s="9" t="str">
        <f t="shared" si="142"/>
        <v>-</v>
      </c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</row>
    <row r="211" spans="2:68" x14ac:dyDescent="0.3">
      <c r="B211" s="108" t="str">
        <f t="shared" si="127"/>
        <v/>
      </c>
      <c r="C211" s="108" t="str">
        <f t="shared" si="113"/>
        <v/>
      </c>
      <c r="D211" s="3"/>
      <c r="E211" s="3"/>
      <c r="F211" s="3"/>
      <c r="G211" s="20">
        <f>IFERROR(INDEX('Input - Convenience'!F$2:F$200,MATCH('Calculations - Convenience'!$C211,'Input - Convenience'!$B$2:$B$200,0)),"")</f>
        <v>0</v>
      </c>
      <c r="H211" s="20">
        <f>IFERROR(INDEX('Input - Convenience'!G$2:G$200,MATCH('Calculations - Convenience'!$C211,'Input - Convenience'!$B$2:$B$200,0)),"")</f>
        <v>0</v>
      </c>
      <c r="I211" s="21">
        <f>IFERROR(INDEX('Input - Convenience'!H$2:H$200,MATCH('Calculations - Convenience'!$C211,'Input - Convenience'!$B$2:$B$200,0)),"")</f>
        <v>0</v>
      </c>
      <c r="J211" s="21">
        <f>IFERROR(INDEX('Input - Convenience'!I$2:I$200,MATCH('Calculations - Convenience'!$C211,'Input - Convenience'!$B$2:$B$200,0)),"")</f>
        <v>0</v>
      </c>
      <c r="K211" s="20">
        <f>IFERROR(INDEX('Input - Convenience'!J$2:J$200,MATCH('Calculations - Convenience'!$C211,'Input - Convenience'!$B$2:$B$200,0)),"")</f>
        <v>0</v>
      </c>
      <c r="L211" s="20">
        <f>IFERROR(INDEX('Input - Convenience'!K$2:K$200,MATCH('Calculations - Convenience'!$C211,'Input - Convenience'!$B$2:$B$200,0)),"")</f>
        <v>0</v>
      </c>
      <c r="M211" s="21" t="str">
        <f t="shared" si="128"/>
        <v/>
      </c>
      <c r="N211" s="21" t="str">
        <f t="shared" si="114"/>
        <v/>
      </c>
      <c r="O211" s="21">
        <f t="shared" si="129"/>
        <v>0</v>
      </c>
      <c r="P211" s="9">
        <f t="shared" si="143"/>
        <v>0</v>
      </c>
      <c r="Q211" s="9">
        <f t="shared" si="144"/>
        <v>0</v>
      </c>
      <c r="R211" s="22" t="str">
        <f>IFERROR(INDEX(Convenience!$N$11:$N$148,MATCH('Calculations - Convenience'!$C211,Convenience!$J$11:$J$148,0)),"")</f>
        <v/>
      </c>
      <c r="S211" s="22" t="str">
        <f>IFERROR(INDEX(Convenience!$O$11:$O$148,MATCH('Calculations - Convenience'!$C211,Convenience!$J$11:$J$148,0)),"")</f>
        <v/>
      </c>
      <c r="T211" s="16" t="e">
        <f t="shared" si="115"/>
        <v>#VALUE!</v>
      </c>
      <c r="U211" s="16" t="e">
        <f t="shared" si="130"/>
        <v>#VALUE!</v>
      </c>
      <c r="V211" s="16" t="e">
        <f t="shared" si="131"/>
        <v>#VALUE!</v>
      </c>
      <c r="W211" s="10" t="str">
        <f t="shared" si="116"/>
        <v>-</v>
      </c>
      <c r="X211" s="10" t="str">
        <f t="shared" si="117"/>
        <v>-</v>
      </c>
      <c r="Y211" s="13" t="str">
        <f t="shared" si="132"/>
        <v>-</v>
      </c>
      <c r="Z211" s="9" t="str">
        <f t="shared" si="118"/>
        <v>-</v>
      </c>
      <c r="AA211" s="16" t="str">
        <f t="shared" si="133"/>
        <v>-</v>
      </c>
      <c r="AB211" s="16" t="str">
        <f t="shared" si="119"/>
        <v>-</v>
      </c>
      <c r="AC211" s="16" t="str">
        <f t="shared" si="120"/>
        <v>-</v>
      </c>
      <c r="AD211" s="16" t="str">
        <f t="shared" si="134"/>
        <v>-</v>
      </c>
      <c r="AE211" s="16"/>
      <c r="AF211" s="31" t="str">
        <f>IFERROR(INDEX(Convenience!$M$11:$M$148,MATCH('Calculations - Convenience'!C211,Convenience!$J$11:$J$148,0)),"")</f>
        <v/>
      </c>
      <c r="AG211" s="23" t="str">
        <f t="shared" si="135"/>
        <v/>
      </c>
      <c r="AH211" s="23" t="str">
        <f t="shared" si="135"/>
        <v/>
      </c>
      <c r="AI211" s="9" t="str">
        <f t="shared" si="121"/>
        <v/>
      </c>
      <c r="AJ211" s="4" t="str">
        <f t="shared" si="122"/>
        <v/>
      </c>
      <c r="AK211" s="4"/>
      <c r="AL211" s="4"/>
      <c r="AM211" s="4"/>
      <c r="AN211" s="4"/>
      <c r="AO211" s="4"/>
      <c r="AP211" s="20" t="str">
        <f t="shared" si="123"/>
        <v>-</v>
      </c>
      <c r="AQ211" s="13" t="str">
        <f t="shared" si="136"/>
        <v>-</v>
      </c>
      <c r="AR211" s="13" t="str">
        <f t="shared" si="137"/>
        <v>-</v>
      </c>
      <c r="AS211" s="13" t="str">
        <f t="shared" si="124"/>
        <v>-</v>
      </c>
      <c r="AT211" s="16" t="str">
        <f t="shared" si="138"/>
        <v>-</v>
      </c>
      <c r="AU211" s="16" t="str">
        <f t="shared" si="125"/>
        <v>-</v>
      </c>
      <c r="AV211" s="16" t="str">
        <f t="shared" si="126"/>
        <v>-</v>
      </c>
      <c r="AW211" s="16" t="str">
        <f t="shared" si="139"/>
        <v>-</v>
      </c>
      <c r="AX211" s="13" t="str">
        <f t="shared" si="140"/>
        <v>-</v>
      </c>
      <c r="AY211" s="10" t="str">
        <f t="shared" si="141"/>
        <v>-</v>
      </c>
      <c r="AZ211" s="9" t="str">
        <f t="shared" si="142"/>
        <v>-</v>
      </c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</row>
    <row r="212" spans="2:68" x14ac:dyDescent="0.3">
      <c r="B212" s="108" t="str">
        <f t="shared" si="127"/>
        <v/>
      </c>
      <c r="C212" s="108" t="str">
        <f t="shared" si="113"/>
        <v/>
      </c>
      <c r="D212" s="3"/>
      <c r="E212" s="3"/>
      <c r="F212" s="3"/>
      <c r="G212" s="20">
        <f>IFERROR(INDEX('Input - Convenience'!F$2:F$200,MATCH('Calculations - Convenience'!$C212,'Input - Convenience'!$B$2:$B$200,0)),"")</f>
        <v>0</v>
      </c>
      <c r="H212" s="20">
        <f>IFERROR(INDEX('Input - Convenience'!G$2:G$200,MATCH('Calculations - Convenience'!$C212,'Input - Convenience'!$B$2:$B$200,0)),"")</f>
        <v>0</v>
      </c>
      <c r="I212" s="21">
        <f>IFERROR(INDEX('Input - Convenience'!H$2:H$200,MATCH('Calculations - Convenience'!$C212,'Input - Convenience'!$B$2:$B$200,0)),"")</f>
        <v>0</v>
      </c>
      <c r="J212" s="21">
        <f>IFERROR(INDEX('Input - Convenience'!I$2:I$200,MATCH('Calculations - Convenience'!$C212,'Input - Convenience'!$B$2:$B$200,0)),"")</f>
        <v>0</v>
      </c>
      <c r="K212" s="20">
        <f>IFERROR(INDEX('Input - Convenience'!J$2:J$200,MATCH('Calculations - Convenience'!$C212,'Input - Convenience'!$B$2:$B$200,0)),"")</f>
        <v>0</v>
      </c>
      <c r="L212" s="20">
        <f>IFERROR(INDEX('Input - Convenience'!K$2:K$200,MATCH('Calculations - Convenience'!$C212,'Input - Convenience'!$B$2:$B$200,0)),"")</f>
        <v>0</v>
      </c>
      <c r="M212" s="21" t="str">
        <f t="shared" si="128"/>
        <v/>
      </c>
      <c r="N212" s="21" t="str">
        <f t="shared" si="114"/>
        <v/>
      </c>
      <c r="O212" s="21">
        <f t="shared" si="129"/>
        <v>0</v>
      </c>
      <c r="P212" s="9">
        <f t="shared" si="143"/>
        <v>0</v>
      </c>
      <c r="Q212" s="9">
        <f t="shared" si="144"/>
        <v>0</v>
      </c>
      <c r="R212" s="22" t="str">
        <f>IFERROR(INDEX(Convenience!$N$11:$N$148,MATCH('Calculations - Convenience'!$C212,Convenience!$J$11:$J$148,0)),"")</f>
        <v/>
      </c>
      <c r="S212" s="22" t="str">
        <f>IFERROR(INDEX(Convenience!$O$11:$O$148,MATCH('Calculations - Convenience'!$C212,Convenience!$J$11:$J$148,0)),"")</f>
        <v/>
      </c>
      <c r="T212" s="16" t="e">
        <f t="shared" si="115"/>
        <v>#VALUE!</v>
      </c>
      <c r="U212" s="16" t="e">
        <f t="shared" si="130"/>
        <v>#VALUE!</v>
      </c>
      <c r="V212" s="16" t="e">
        <f t="shared" si="131"/>
        <v>#VALUE!</v>
      </c>
      <c r="W212" s="10" t="str">
        <f t="shared" si="116"/>
        <v>-</v>
      </c>
      <c r="X212" s="10" t="str">
        <f t="shared" si="117"/>
        <v>-</v>
      </c>
      <c r="Y212" s="13" t="str">
        <f t="shared" si="132"/>
        <v>-</v>
      </c>
      <c r="Z212" s="9" t="str">
        <f t="shared" si="118"/>
        <v>-</v>
      </c>
      <c r="AA212" s="16" t="str">
        <f t="shared" si="133"/>
        <v>-</v>
      </c>
      <c r="AB212" s="16" t="str">
        <f t="shared" si="119"/>
        <v>-</v>
      </c>
      <c r="AC212" s="16" t="str">
        <f t="shared" si="120"/>
        <v>-</v>
      </c>
      <c r="AD212" s="16" t="str">
        <f t="shared" si="134"/>
        <v>-</v>
      </c>
      <c r="AE212" s="16"/>
      <c r="AF212" s="31" t="str">
        <f>IFERROR(INDEX(Convenience!$M$11:$M$148,MATCH('Calculations - Convenience'!C212,Convenience!$J$11:$J$148,0)),"")</f>
        <v/>
      </c>
      <c r="AG212" s="23" t="str">
        <f t="shared" si="135"/>
        <v/>
      </c>
      <c r="AH212" s="23" t="str">
        <f t="shared" si="135"/>
        <v/>
      </c>
      <c r="AI212" s="9" t="str">
        <f t="shared" si="121"/>
        <v/>
      </c>
      <c r="AJ212" s="4" t="str">
        <f t="shared" si="122"/>
        <v/>
      </c>
      <c r="AK212" s="4"/>
      <c r="AL212" s="4"/>
      <c r="AM212" s="4"/>
      <c r="AN212" s="4"/>
      <c r="AO212" s="4"/>
      <c r="AP212" s="20" t="str">
        <f t="shared" si="123"/>
        <v>-</v>
      </c>
      <c r="AQ212" s="13" t="str">
        <f t="shared" si="136"/>
        <v>-</v>
      </c>
      <c r="AR212" s="13" t="str">
        <f t="shared" si="137"/>
        <v>-</v>
      </c>
      <c r="AS212" s="13" t="str">
        <f t="shared" si="124"/>
        <v>-</v>
      </c>
      <c r="AT212" s="16" t="str">
        <f t="shared" si="138"/>
        <v>-</v>
      </c>
      <c r="AU212" s="16" t="str">
        <f t="shared" si="125"/>
        <v>-</v>
      </c>
      <c r="AV212" s="16" t="str">
        <f t="shared" si="126"/>
        <v>-</v>
      </c>
      <c r="AW212" s="16" t="str">
        <f t="shared" si="139"/>
        <v>-</v>
      </c>
      <c r="AX212" s="13" t="str">
        <f t="shared" si="140"/>
        <v>-</v>
      </c>
      <c r="AY212" s="10" t="str">
        <f t="shared" si="141"/>
        <v>-</v>
      </c>
      <c r="AZ212" s="9" t="str">
        <f t="shared" si="142"/>
        <v>-</v>
      </c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</row>
    <row r="213" spans="2:68" x14ac:dyDescent="0.3">
      <c r="B213" s="108" t="str">
        <f t="shared" si="127"/>
        <v/>
      </c>
      <c r="C213" s="108" t="str">
        <f t="shared" si="113"/>
        <v/>
      </c>
      <c r="D213" s="3"/>
      <c r="E213" s="3"/>
      <c r="F213" s="3"/>
      <c r="G213" s="20">
        <f>IFERROR(INDEX('Input - Convenience'!F$2:F$200,MATCH('Calculations - Convenience'!$C213,'Input - Convenience'!$B$2:$B$200,0)),"")</f>
        <v>0</v>
      </c>
      <c r="H213" s="20">
        <f>IFERROR(INDEX('Input - Convenience'!G$2:G$200,MATCH('Calculations - Convenience'!$C213,'Input - Convenience'!$B$2:$B$200,0)),"")</f>
        <v>0</v>
      </c>
      <c r="I213" s="21">
        <f>IFERROR(INDEX('Input - Convenience'!H$2:H$200,MATCH('Calculations - Convenience'!$C213,'Input - Convenience'!$B$2:$B$200,0)),"")</f>
        <v>0</v>
      </c>
      <c r="J213" s="21">
        <f>IFERROR(INDEX('Input - Convenience'!I$2:I$200,MATCH('Calculations - Convenience'!$C213,'Input - Convenience'!$B$2:$B$200,0)),"")</f>
        <v>0</v>
      </c>
      <c r="K213" s="20">
        <f>IFERROR(INDEX('Input - Convenience'!J$2:J$200,MATCH('Calculations - Convenience'!$C213,'Input - Convenience'!$B$2:$B$200,0)),"")</f>
        <v>0</v>
      </c>
      <c r="L213" s="20">
        <f>IFERROR(INDEX('Input - Convenience'!K$2:K$200,MATCH('Calculations - Convenience'!$C213,'Input - Convenience'!$B$2:$B$200,0)),"")</f>
        <v>0</v>
      </c>
      <c r="M213" s="21" t="str">
        <f t="shared" si="128"/>
        <v/>
      </c>
      <c r="N213" s="21" t="str">
        <f t="shared" si="114"/>
        <v/>
      </c>
      <c r="O213" s="21">
        <f t="shared" si="129"/>
        <v>0</v>
      </c>
      <c r="P213" s="9">
        <f t="shared" si="143"/>
        <v>0</v>
      </c>
      <c r="Q213" s="9">
        <f t="shared" si="144"/>
        <v>0</v>
      </c>
      <c r="R213" s="22" t="str">
        <f>IFERROR(INDEX(Convenience!$N$11:$N$148,MATCH('Calculations - Convenience'!$C213,Convenience!$J$11:$J$148,0)),"")</f>
        <v/>
      </c>
      <c r="S213" s="22" t="str">
        <f>IFERROR(INDEX(Convenience!$O$11:$O$148,MATCH('Calculations - Convenience'!$C213,Convenience!$J$11:$J$148,0)),"")</f>
        <v/>
      </c>
      <c r="T213" s="16" t="e">
        <f t="shared" si="115"/>
        <v>#VALUE!</v>
      </c>
      <c r="U213" s="16" t="e">
        <f t="shared" si="130"/>
        <v>#VALUE!</v>
      </c>
      <c r="V213" s="16" t="e">
        <f t="shared" si="131"/>
        <v>#VALUE!</v>
      </c>
      <c r="W213" s="10" t="str">
        <f t="shared" si="116"/>
        <v>-</v>
      </c>
      <c r="X213" s="10" t="str">
        <f t="shared" si="117"/>
        <v>-</v>
      </c>
      <c r="Y213" s="13" t="str">
        <f t="shared" si="132"/>
        <v>-</v>
      </c>
      <c r="Z213" s="9" t="str">
        <f t="shared" si="118"/>
        <v>-</v>
      </c>
      <c r="AA213" s="16" t="str">
        <f t="shared" si="133"/>
        <v>-</v>
      </c>
      <c r="AB213" s="16" t="str">
        <f t="shared" si="119"/>
        <v>-</v>
      </c>
      <c r="AC213" s="16" t="str">
        <f t="shared" si="120"/>
        <v>-</v>
      </c>
      <c r="AD213" s="16" t="str">
        <f t="shared" si="134"/>
        <v>-</v>
      </c>
      <c r="AE213" s="16"/>
      <c r="AF213" s="31" t="str">
        <f>IFERROR(INDEX(Convenience!$M$11:$M$148,MATCH('Calculations - Convenience'!C213,Convenience!$J$11:$J$148,0)),"")</f>
        <v/>
      </c>
      <c r="AG213" s="23" t="str">
        <f t="shared" si="135"/>
        <v/>
      </c>
      <c r="AH213" s="23" t="str">
        <f t="shared" si="135"/>
        <v/>
      </c>
      <c r="AI213" s="9" t="str">
        <f t="shared" si="121"/>
        <v/>
      </c>
      <c r="AJ213" s="4" t="str">
        <f t="shared" si="122"/>
        <v/>
      </c>
      <c r="AK213" s="4"/>
      <c r="AL213" s="4"/>
      <c r="AM213" s="4"/>
      <c r="AN213" s="4"/>
      <c r="AO213" s="4"/>
      <c r="AP213" s="20" t="str">
        <f t="shared" si="123"/>
        <v>-</v>
      </c>
      <c r="AQ213" s="13" t="str">
        <f t="shared" si="136"/>
        <v>-</v>
      </c>
      <c r="AR213" s="13" t="str">
        <f t="shared" si="137"/>
        <v>-</v>
      </c>
      <c r="AS213" s="13" t="str">
        <f t="shared" si="124"/>
        <v>-</v>
      </c>
      <c r="AT213" s="16" t="str">
        <f t="shared" si="138"/>
        <v>-</v>
      </c>
      <c r="AU213" s="16" t="str">
        <f t="shared" si="125"/>
        <v>-</v>
      </c>
      <c r="AV213" s="16" t="str">
        <f t="shared" si="126"/>
        <v>-</v>
      </c>
      <c r="AW213" s="16" t="str">
        <f t="shared" si="139"/>
        <v>-</v>
      </c>
      <c r="AX213" s="13" t="str">
        <f t="shared" si="140"/>
        <v>-</v>
      </c>
      <c r="AY213" s="10" t="str">
        <f t="shared" si="141"/>
        <v>-</v>
      </c>
      <c r="AZ213" s="9" t="str">
        <f t="shared" si="142"/>
        <v>-</v>
      </c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</row>
    <row r="214" spans="2:68" x14ac:dyDescent="0.3">
      <c r="B214" s="108" t="str">
        <f t="shared" si="127"/>
        <v/>
      </c>
      <c r="C214" s="108" t="str">
        <f t="shared" si="113"/>
        <v/>
      </c>
      <c r="D214" s="3"/>
      <c r="E214" s="3"/>
      <c r="F214" s="3"/>
      <c r="G214" s="20">
        <f>IFERROR(INDEX('Input - Convenience'!F$2:F$200,MATCH('Calculations - Convenience'!$C214,'Input - Convenience'!$B$2:$B$200,0)),"")</f>
        <v>0</v>
      </c>
      <c r="H214" s="20">
        <f>IFERROR(INDEX('Input - Convenience'!G$2:G$200,MATCH('Calculations - Convenience'!$C214,'Input - Convenience'!$B$2:$B$200,0)),"")</f>
        <v>0</v>
      </c>
      <c r="I214" s="21">
        <f>IFERROR(INDEX('Input - Convenience'!H$2:H$200,MATCH('Calculations - Convenience'!$C214,'Input - Convenience'!$B$2:$B$200,0)),"")</f>
        <v>0</v>
      </c>
      <c r="J214" s="21">
        <f>IFERROR(INDEX('Input - Convenience'!I$2:I$200,MATCH('Calculations - Convenience'!$C214,'Input - Convenience'!$B$2:$B$200,0)),"")</f>
        <v>0</v>
      </c>
      <c r="K214" s="20">
        <f>IFERROR(INDEX('Input - Convenience'!J$2:J$200,MATCH('Calculations - Convenience'!$C214,'Input - Convenience'!$B$2:$B$200,0)),"")</f>
        <v>0</v>
      </c>
      <c r="L214" s="20">
        <f>IFERROR(INDEX('Input - Convenience'!K$2:K$200,MATCH('Calculations - Convenience'!$C214,'Input - Convenience'!$B$2:$B$200,0)),"")</f>
        <v>0</v>
      </c>
      <c r="M214" s="21" t="str">
        <f t="shared" si="128"/>
        <v/>
      </c>
      <c r="N214" s="21" t="str">
        <f t="shared" si="114"/>
        <v/>
      </c>
      <c r="O214" s="21">
        <f t="shared" si="129"/>
        <v>0</v>
      </c>
      <c r="P214" s="9">
        <f t="shared" si="143"/>
        <v>0</v>
      </c>
      <c r="Q214" s="9">
        <f t="shared" si="144"/>
        <v>0</v>
      </c>
      <c r="R214" s="22" t="str">
        <f>IFERROR(INDEX(Convenience!$N$11:$N$148,MATCH('Calculations - Convenience'!$C214,Convenience!$J$11:$J$148,0)),"")</f>
        <v/>
      </c>
      <c r="S214" s="22" t="str">
        <f>IFERROR(INDEX(Convenience!$O$11:$O$148,MATCH('Calculations - Convenience'!$C214,Convenience!$J$11:$J$148,0)),"")</f>
        <v/>
      </c>
      <c r="T214" s="16" t="e">
        <f t="shared" si="115"/>
        <v>#VALUE!</v>
      </c>
      <c r="U214" s="16" t="e">
        <f t="shared" si="130"/>
        <v>#VALUE!</v>
      </c>
      <c r="V214" s="16" t="e">
        <f t="shared" si="131"/>
        <v>#VALUE!</v>
      </c>
      <c r="W214" s="10" t="str">
        <f t="shared" si="116"/>
        <v>-</v>
      </c>
      <c r="X214" s="10" t="str">
        <f t="shared" si="117"/>
        <v>-</v>
      </c>
      <c r="Y214" s="13" t="str">
        <f t="shared" si="132"/>
        <v>-</v>
      </c>
      <c r="Z214" s="9" t="str">
        <f t="shared" si="118"/>
        <v>-</v>
      </c>
      <c r="AA214" s="16" t="str">
        <f t="shared" si="133"/>
        <v>-</v>
      </c>
      <c r="AB214" s="16" t="str">
        <f t="shared" si="119"/>
        <v>-</v>
      </c>
      <c r="AC214" s="16" t="str">
        <f t="shared" si="120"/>
        <v>-</v>
      </c>
      <c r="AD214" s="16" t="str">
        <f t="shared" si="134"/>
        <v>-</v>
      </c>
      <c r="AE214" s="16"/>
      <c r="AF214" s="31" t="str">
        <f>IFERROR(INDEX(Convenience!$M$11:$M$148,MATCH('Calculations - Convenience'!C214,Convenience!$J$11:$J$148,0)),"")</f>
        <v/>
      </c>
      <c r="AG214" s="23" t="str">
        <f t="shared" si="135"/>
        <v/>
      </c>
      <c r="AH214" s="23" t="str">
        <f t="shared" si="135"/>
        <v/>
      </c>
      <c r="AI214" s="9" t="str">
        <f t="shared" si="121"/>
        <v/>
      </c>
      <c r="AJ214" s="4" t="str">
        <f t="shared" si="122"/>
        <v/>
      </c>
      <c r="AK214" s="4"/>
      <c r="AL214" s="4"/>
      <c r="AM214" s="4"/>
      <c r="AN214" s="4"/>
      <c r="AO214" s="4"/>
      <c r="AP214" s="20" t="str">
        <f t="shared" si="123"/>
        <v>-</v>
      </c>
      <c r="AQ214" s="13" t="str">
        <f t="shared" si="136"/>
        <v>-</v>
      </c>
      <c r="AR214" s="13" t="str">
        <f t="shared" si="137"/>
        <v>-</v>
      </c>
      <c r="AS214" s="13" t="str">
        <f t="shared" si="124"/>
        <v>-</v>
      </c>
      <c r="AT214" s="16" t="str">
        <f t="shared" si="138"/>
        <v>-</v>
      </c>
      <c r="AU214" s="16" t="str">
        <f t="shared" si="125"/>
        <v>-</v>
      </c>
      <c r="AV214" s="16" t="str">
        <f t="shared" si="126"/>
        <v>-</v>
      </c>
      <c r="AW214" s="16" t="str">
        <f t="shared" si="139"/>
        <v>-</v>
      </c>
      <c r="AX214" s="13" t="str">
        <f t="shared" si="140"/>
        <v>-</v>
      </c>
      <c r="AY214" s="10" t="str">
        <f t="shared" si="141"/>
        <v>-</v>
      </c>
      <c r="AZ214" s="9" t="str">
        <f t="shared" si="142"/>
        <v>-</v>
      </c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</row>
    <row r="215" spans="2:68" x14ac:dyDescent="0.3">
      <c r="B215" s="108" t="str">
        <f t="shared" si="127"/>
        <v/>
      </c>
      <c r="C215" s="108" t="str">
        <f t="shared" si="113"/>
        <v/>
      </c>
      <c r="D215" s="3"/>
      <c r="E215" s="3"/>
      <c r="F215" s="3"/>
      <c r="G215" s="20">
        <f>IFERROR(INDEX('Input - Convenience'!F$2:F$200,MATCH('Calculations - Convenience'!$C215,'Input - Convenience'!$B$2:$B$200,0)),"")</f>
        <v>0</v>
      </c>
      <c r="H215" s="20">
        <f>IFERROR(INDEX('Input - Convenience'!G$2:G$200,MATCH('Calculations - Convenience'!$C215,'Input - Convenience'!$B$2:$B$200,0)),"")</f>
        <v>0</v>
      </c>
      <c r="I215" s="21">
        <f>IFERROR(INDEX('Input - Convenience'!H$2:H$200,MATCH('Calculations - Convenience'!$C215,'Input - Convenience'!$B$2:$B$200,0)),"")</f>
        <v>0</v>
      </c>
      <c r="J215" s="21">
        <f>IFERROR(INDEX('Input - Convenience'!I$2:I$200,MATCH('Calculations - Convenience'!$C215,'Input - Convenience'!$B$2:$B$200,0)),"")</f>
        <v>0</v>
      </c>
      <c r="K215" s="20">
        <f>IFERROR(INDEX('Input - Convenience'!J$2:J$200,MATCH('Calculations - Convenience'!$C215,'Input - Convenience'!$B$2:$B$200,0)),"")</f>
        <v>0</v>
      </c>
      <c r="L215" s="20">
        <f>IFERROR(INDEX('Input - Convenience'!K$2:K$200,MATCH('Calculations - Convenience'!$C215,'Input - Convenience'!$B$2:$B$200,0)),"")</f>
        <v>0</v>
      </c>
      <c r="M215" s="21" t="str">
        <f t="shared" si="128"/>
        <v/>
      </c>
      <c r="N215" s="21" t="str">
        <f t="shared" si="114"/>
        <v/>
      </c>
      <c r="O215" s="21">
        <f t="shared" si="129"/>
        <v>0</v>
      </c>
      <c r="P215" s="9">
        <f t="shared" si="143"/>
        <v>0</v>
      </c>
      <c r="Q215" s="9">
        <f t="shared" si="144"/>
        <v>0</v>
      </c>
      <c r="R215" s="22" t="str">
        <f>IFERROR(INDEX(Convenience!$N$11:$N$148,MATCH('Calculations - Convenience'!$C215,Convenience!$J$11:$J$148,0)),"")</f>
        <v/>
      </c>
      <c r="S215" s="22" t="str">
        <f>IFERROR(INDEX(Convenience!$O$11:$O$148,MATCH('Calculations - Convenience'!$C215,Convenience!$J$11:$J$148,0)),"")</f>
        <v/>
      </c>
      <c r="T215" s="16" t="e">
        <f t="shared" si="115"/>
        <v>#VALUE!</v>
      </c>
      <c r="U215" s="16" t="e">
        <f t="shared" si="130"/>
        <v>#VALUE!</v>
      </c>
      <c r="V215" s="16" t="e">
        <f t="shared" si="131"/>
        <v>#VALUE!</v>
      </c>
      <c r="W215" s="10" t="str">
        <f t="shared" si="116"/>
        <v>-</v>
      </c>
      <c r="X215" s="10" t="str">
        <f t="shared" si="117"/>
        <v>-</v>
      </c>
      <c r="Y215" s="13" t="str">
        <f t="shared" si="132"/>
        <v>-</v>
      </c>
      <c r="Z215" s="9" t="str">
        <f t="shared" si="118"/>
        <v>-</v>
      </c>
      <c r="AA215" s="16" t="str">
        <f t="shared" si="133"/>
        <v>-</v>
      </c>
      <c r="AB215" s="16" t="str">
        <f t="shared" si="119"/>
        <v>-</v>
      </c>
      <c r="AC215" s="16" t="str">
        <f t="shared" si="120"/>
        <v>-</v>
      </c>
      <c r="AD215" s="16" t="str">
        <f t="shared" si="134"/>
        <v>-</v>
      </c>
      <c r="AE215" s="16"/>
      <c r="AF215" s="31" t="str">
        <f>IFERROR(INDEX(Convenience!$M$11:$M$148,MATCH('Calculations - Convenience'!C215,Convenience!$J$11:$J$148,0)),"")</f>
        <v/>
      </c>
      <c r="AG215" s="23" t="str">
        <f t="shared" si="135"/>
        <v/>
      </c>
      <c r="AH215" s="23" t="str">
        <f t="shared" si="135"/>
        <v/>
      </c>
      <c r="AI215" s="9" t="str">
        <f t="shared" si="121"/>
        <v/>
      </c>
      <c r="AJ215" s="4" t="str">
        <f t="shared" si="122"/>
        <v/>
      </c>
      <c r="AK215" s="4"/>
      <c r="AL215" s="4"/>
      <c r="AM215" s="4"/>
      <c r="AN215" s="4"/>
      <c r="AO215" s="4"/>
      <c r="AP215" s="20" t="str">
        <f t="shared" si="123"/>
        <v>-</v>
      </c>
      <c r="AQ215" s="13" t="str">
        <f t="shared" si="136"/>
        <v>-</v>
      </c>
      <c r="AR215" s="13" t="str">
        <f t="shared" si="137"/>
        <v>-</v>
      </c>
      <c r="AS215" s="13" t="str">
        <f t="shared" si="124"/>
        <v>-</v>
      </c>
      <c r="AT215" s="16" t="str">
        <f t="shared" si="138"/>
        <v>-</v>
      </c>
      <c r="AU215" s="16" t="str">
        <f t="shared" si="125"/>
        <v>-</v>
      </c>
      <c r="AV215" s="16" t="str">
        <f t="shared" si="126"/>
        <v>-</v>
      </c>
      <c r="AW215" s="16" t="str">
        <f t="shared" si="139"/>
        <v>-</v>
      </c>
      <c r="AX215" s="13" t="str">
        <f t="shared" si="140"/>
        <v>-</v>
      </c>
      <c r="AY215" s="10" t="str">
        <f t="shared" si="141"/>
        <v>-</v>
      </c>
      <c r="AZ215" s="9" t="str">
        <f t="shared" si="142"/>
        <v>-</v>
      </c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</row>
    <row r="216" spans="2:68" x14ac:dyDescent="0.3">
      <c r="B216" s="108" t="str">
        <f t="shared" si="127"/>
        <v/>
      </c>
      <c r="C216" s="108" t="str">
        <f t="shared" si="113"/>
        <v/>
      </c>
      <c r="D216" s="3"/>
      <c r="E216" s="3"/>
      <c r="F216" s="3"/>
      <c r="G216" s="20">
        <f>IFERROR(INDEX('Input - Convenience'!F$2:F$200,MATCH('Calculations - Convenience'!$C216,'Input - Convenience'!$B$2:$B$200,0)),"")</f>
        <v>0</v>
      </c>
      <c r="H216" s="20">
        <f>IFERROR(INDEX('Input - Convenience'!G$2:G$200,MATCH('Calculations - Convenience'!$C216,'Input - Convenience'!$B$2:$B$200,0)),"")</f>
        <v>0</v>
      </c>
      <c r="I216" s="21">
        <f>IFERROR(INDEX('Input - Convenience'!H$2:H$200,MATCH('Calculations - Convenience'!$C216,'Input - Convenience'!$B$2:$B$200,0)),"")</f>
        <v>0</v>
      </c>
      <c r="J216" s="21">
        <f>IFERROR(INDEX('Input - Convenience'!I$2:I$200,MATCH('Calculations - Convenience'!$C216,'Input - Convenience'!$B$2:$B$200,0)),"")</f>
        <v>0</v>
      </c>
      <c r="K216" s="20">
        <f>IFERROR(INDEX('Input - Convenience'!J$2:J$200,MATCH('Calculations - Convenience'!$C216,'Input - Convenience'!$B$2:$B$200,0)),"")</f>
        <v>0</v>
      </c>
      <c r="L216" s="20">
        <f>IFERROR(INDEX('Input - Convenience'!K$2:K$200,MATCH('Calculations - Convenience'!$C216,'Input - Convenience'!$B$2:$B$200,0)),"")</f>
        <v>0</v>
      </c>
      <c r="M216" s="21" t="str">
        <f t="shared" si="128"/>
        <v/>
      </c>
      <c r="N216" s="21" t="str">
        <f t="shared" si="114"/>
        <v/>
      </c>
      <c r="O216" s="21">
        <f t="shared" si="129"/>
        <v>0</v>
      </c>
      <c r="P216" s="9">
        <f t="shared" si="143"/>
        <v>0</v>
      </c>
      <c r="Q216" s="9">
        <f t="shared" si="144"/>
        <v>0</v>
      </c>
      <c r="R216" s="22" t="str">
        <f>IFERROR(INDEX(Convenience!$N$11:$N$148,MATCH('Calculations - Convenience'!$C216,Convenience!$J$11:$J$148,0)),"")</f>
        <v/>
      </c>
      <c r="S216" s="22" t="str">
        <f>IFERROR(INDEX(Convenience!$O$11:$O$148,MATCH('Calculations - Convenience'!$C216,Convenience!$J$11:$J$148,0)),"")</f>
        <v/>
      </c>
      <c r="T216" s="16" t="e">
        <f t="shared" si="115"/>
        <v>#VALUE!</v>
      </c>
      <c r="U216" s="16" t="e">
        <f t="shared" si="130"/>
        <v>#VALUE!</v>
      </c>
      <c r="V216" s="16" t="e">
        <f t="shared" si="131"/>
        <v>#VALUE!</v>
      </c>
      <c r="W216" s="10" t="str">
        <f t="shared" si="116"/>
        <v>-</v>
      </c>
      <c r="X216" s="10" t="str">
        <f t="shared" si="117"/>
        <v>-</v>
      </c>
      <c r="Y216" s="13" t="str">
        <f t="shared" si="132"/>
        <v>-</v>
      </c>
      <c r="Z216" s="9" t="str">
        <f t="shared" si="118"/>
        <v>-</v>
      </c>
      <c r="AA216" s="16" t="str">
        <f t="shared" si="133"/>
        <v>-</v>
      </c>
      <c r="AB216" s="16" t="str">
        <f t="shared" si="119"/>
        <v>-</v>
      </c>
      <c r="AC216" s="16" t="str">
        <f t="shared" si="120"/>
        <v>-</v>
      </c>
      <c r="AD216" s="16" t="str">
        <f t="shared" si="134"/>
        <v>-</v>
      </c>
      <c r="AE216" s="16"/>
      <c r="AF216" s="31" t="str">
        <f>IFERROR(INDEX(Convenience!$M$11:$M$148,MATCH('Calculations - Convenience'!C216,Convenience!$J$11:$J$148,0)),"")</f>
        <v/>
      </c>
      <c r="AG216" s="23" t="str">
        <f t="shared" si="135"/>
        <v/>
      </c>
      <c r="AH216" s="23" t="str">
        <f t="shared" si="135"/>
        <v/>
      </c>
      <c r="AI216" s="9" t="str">
        <f t="shared" si="121"/>
        <v/>
      </c>
      <c r="AJ216" s="4" t="str">
        <f t="shared" si="122"/>
        <v/>
      </c>
      <c r="AK216" s="4"/>
      <c r="AL216" s="4"/>
      <c r="AM216" s="4"/>
      <c r="AN216" s="4"/>
      <c r="AO216" s="4"/>
      <c r="AP216" s="20" t="str">
        <f t="shared" si="123"/>
        <v>-</v>
      </c>
      <c r="AQ216" s="13" t="str">
        <f t="shared" si="136"/>
        <v>-</v>
      </c>
      <c r="AR216" s="13" t="str">
        <f t="shared" si="137"/>
        <v>-</v>
      </c>
      <c r="AS216" s="13" t="str">
        <f t="shared" si="124"/>
        <v>-</v>
      </c>
      <c r="AT216" s="16" t="str">
        <f t="shared" si="138"/>
        <v>-</v>
      </c>
      <c r="AU216" s="16" t="str">
        <f t="shared" si="125"/>
        <v>-</v>
      </c>
      <c r="AV216" s="16" t="str">
        <f t="shared" si="126"/>
        <v>-</v>
      </c>
      <c r="AW216" s="16" t="str">
        <f t="shared" si="139"/>
        <v>-</v>
      </c>
      <c r="AX216" s="13" t="str">
        <f t="shared" si="140"/>
        <v>-</v>
      </c>
      <c r="AY216" s="10" t="str">
        <f t="shared" si="141"/>
        <v>-</v>
      </c>
      <c r="AZ216" s="9" t="str">
        <f t="shared" si="142"/>
        <v>-</v>
      </c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</row>
    <row r="217" spans="2:68" x14ac:dyDescent="0.3">
      <c r="B217" s="108" t="str">
        <f t="shared" si="127"/>
        <v/>
      </c>
      <c r="C217" s="108" t="str">
        <f t="shared" si="113"/>
        <v/>
      </c>
      <c r="D217" s="3"/>
      <c r="E217" s="3"/>
      <c r="F217" s="3"/>
      <c r="G217" s="20">
        <f>IFERROR(INDEX('Input - Convenience'!F$2:F$200,MATCH('Calculations - Convenience'!$C217,'Input - Convenience'!$B$2:$B$200,0)),"")</f>
        <v>0</v>
      </c>
      <c r="H217" s="20">
        <f>IFERROR(INDEX('Input - Convenience'!G$2:G$200,MATCH('Calculations - Convenience'!$C217,'Input - Convenience'!$B$2:$B$200,0)),"")</f>
        <v>0</v>
      </c>
      <c r="I217" s="21">
        <f>IFERROR(INDEX('Input - Convenience'!H$2:H$200,MATCH('Calculations - Convenience'!$C217,'Input - Convenience'!$B$2:$B$200,0)),"")</f>
        <v>0</v>
      </c>
      <c r="J217" s="21">
        <f>IFERROR(INDEX('Input - Convenience'!I$2:I$200,MATCH('Calculations - Convenience'!$C217,'Input - Convenience'!$B$2:$B$200,0)),"")</f>
        <v>0</v>
      </c>
      <c r="K217" s="20">
        <f>IFERROR(INDEX('Input - Convenience'!J$2:J$200,MATCH('Calculations - Convenience'!$C217,'Input - Convenience'!$B$2:$B$200,0)),"")</f>
        <v>0</v>
      </c>
      <c r="L217" s="20">
        <f>IFERROR(INDEX('Input - Convenience'!K$2:K$200,MATCH('Calculations - Convenience'!$C217,'Input - Convenience'!$B$2:$B$200,0)),"")</f>
        <v>0</v>
      </c>
      <c r="M217" s="21" t="str">
        <f t="shared" si="128"/>
        <v/>
      </c>
      <c r="N217" s="21" t="str">
        <f t="shared" si="114"/>
        <v/>
      </c>
      <c r="O217" s="21">
        <f t="shared" si="129"/>
        <v>0</v>
      </c>
      <c r="P217" s="9">
        <f t="shared" si="143"/>
        <v>0</v>
      </c>
      <c r="Q217" s="9">
        <f t="shared" si="144"/>
        <v>0</v>
      </c>
      <c r="R217" s="22" t="str">
        <f>IFERROR(INDEX(Convenience!$N$11:$N$148,MATCH('Calculations - Convenience'!$C217,Convenience!$J$11:$J$148,0)),"")</f>
        <v/>
      </c>
      <c r="S217" s="22" t="str">
        <f>IFERROR(INDEX(Convenience!$O$11:$O$148,MATCH('Calculations - Convenience'!$C217,Convenience!$J$11:$J$148,0)),"")</f>
        <v/>
      </c>
      <c r="T217" s="16" t="e">
        <f t="shared" si="115"/>
        <v>#VALUE!</v>
      </c>
      <c r="U217" s="16" t="e">
        <f t="shared" si="130"/>
        <v>#VALUE!</v>
      </c>
      <c r="V217" s="16" t="e">
        <f t="shared" si="131"/>
        <v>#VALUE!</v>
      </c>
      <c r="W217" s="10" t="str">
        <f t="shared" si="116"/>
        <v>-</v>
      </c>
      <c r="X217" s="10" t="str">
        <f t="shared" si="117"/>
        <v>-</v>
      </c>
      <c r="Y217" s="13" t="str">
        <f t="shared" si="132"/>
        <v>-</v>
      </c>
      <c r="Z217" s="9" t="str">
        <f t="shared" si="118"/>
        <v>-</v>
      </c>
      <c r="AA217" s="16" t="str">
        <f t="shared" si="133"/>
        <v>-</v>
      </c>
      <c r="AB217" s="16" t="str">
        <f t="shared" si="119"/>
        <v>-</v>
      </c>
      <c r="AC217" s="16" t="str">
        <f t="shared" si="120"/>
        <v>-</v>
      </c>
      <c r="AD217" s="16" t="str">
        <f t="shared" si="134"/>
        <v>-</v>
      </c>
      <c r="AE217" s="16"/>
      <c r="AF217" s="31" t="str">
        <f>IFERROR(INDEX(Convenience!$M$11:$M$148,MATCH('Calculations - Convenience'!C217,Convenience!$J$11:$J$148,0)),"")</f>
        <v/>
      </c>
      <c r="AG217" s="23" t="str">
        <f t="shared" si="135"/>
        <v/>
      </c>
      <c r="AH217" s="23" t="str">
        <f t="shared" si="135"/>
        <v/>
      </c>
      <c r="AI217" s="9" t="str">
        <f t="shared" si="121"/>
        <v/>
      </c>
      <c r="AJ217" s="4" t="str">
        <f t="shared" si="122"/>
        <v/>
      </c>
      <c r="AK217" s="4"/>
      <c r="AL217" s="4"/>
      <c r="AM217" s="4"/>
      <c r="AN217" s="4"/>
      <c r="AO217" s="4"/>
      <c r="AP217" s="20" t="str">
        <f t="shared" si="123"/>
        <v>-</v>
      </c>
      <c r="AQ217" s="13" t="str">
        <f t="shared" si="136"/>
        <v>-</v>
      </c>
      <c r="AR217" s="13" t="str">
        <f t="shared" si="137"/>
        <v>-</v>
      </c>
      <c r="AS217" s="13" t="str">
        <f t="shared" si="124"/>
        <v>-</v>
      </c>
      <c r="AT217" s="16" t="str">
        <f t="shared" si="138"/>
        <v>-</v>
      </c>
      <c r="AU217" s="16" t="str">
        <f t="shared" si="125"/>
        <v>-</v>
      </c>
      <c r="AV217" s="16" t="str">
        <f t="shared" si="126"/>
        <v>-</v>
      </c>
      <c r="AW217" s="16" t="str">
        <f t="shared" si="139"/>
        <v>-</v>
      </c>
      <c r="AX217" s="13" t="str">
        <f t="shared" si="140"/>
        <v>-</v>
      </c>
      <c r="AY217" s="10" t="str">
        <f t="shared" si="141"/>
        <v>-</v>
      </c>
      <c r="AZ217" s="9" t="str">
        <f t="shared" si="142"/>
        <v>-</v>
      </c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</row>
    <row r="218" spans="2:68" x14ac:dyDescent="0.3">
      <c r="B218" s="108" t="str">
        <f t="shared" si="127"/>
        <v/>
      </c>
      <c r="C218" s="108" t="str">
        <f t="shared" si="113"/>
        <v/>
      </c>
      <c r="D218" s="3"/>
      <c r="E218" s="3"/>
      <c r="F218" s="3"/>
      <c r="G218" s="20">
        <f>IFERROR(INDEX('Input - Convenience'!F$2:F$200,MATCH('Calculations - Convenience'!$C218,'Input - Convenience'!$B$2:$B$200,0)),"")</f>
        <v>0</v>
      </c>
      <c r="H218" s="20">
        <f>IFERROR(INDEX('Input - Convenience'!G$2:G$200,MATCH('Calculations - Convenience'!$C218,'Input - Convenience'!$B$2:$B$200,0)),"")</f>
        <v>0</v>
      </c>
      <c r="I218" s="21">
        <f>IFERROR(INDEX('Input - Convenience'!H$2:H$200,MATCH('Calculations - Convenience'!$C218,'Input - Convenience'!$B$2:$B$200,0)),"")</f>
        <v>0</v>
      </c>
      <c r="J218" s="21">
        <f>IFERROR(INDEX('Input - Convenience'!I$2:I$200,MATCH('Calculations - Convenience'!$C218,'Input - Convenience'!$B$2:$B$200,0)),"")</f>
        <v>0</v>
      </c>
      <c r="K218" s="20">
        <f>IFERROR(INDEX('Input - Convenience'!J$2:J$200,MATCH('Calculations - Convenience'!$C218,'Input - Convenience'!$B$2:$B$200,0)),"")</f>
        <v>0</v>
      </c>
      <c r="L218" s="20">
        <f>IFERROR(INDEX('Input - Convenience'!K$2:K$200,MATCH('Calculations - Convenience'!$C218,'Input - Convenience'!$B$2:$B$200,0)),"")</f>
        <v>0</v>
      </c>
      <c r="M218" s="21" t="str">
        <f t="shared" si="128"/>
        <v/>
      </c>
      <c r="N218" s="21" t="str">
        <f t="shared" si="114"/>
        <v/>
      </c>
      <c r="O218" s="21">
        <f t="shared" si="129"/>
        <v>0</v>
      </c>
      <c r="P218" s="9">
        <f t="shared" si="143"/>
        <v>0</v>
      </c>
      <c r="Q218" s="9">
        <f t="shared" si="144"/>
        <v>0</v>
      </c>
      <c r="R218" s="22" t="str">
        <f>IFERROR(INDEX(Convenience!$N$11:$N$148,MATCH('Calculations - Convenience'!$C218,Convenience!$J$11:$J$148,0)),"")</f>
        <v/>
      </c>
      <c r="S218" s="22" t="str">
        <f>IFERROR(INDEX(Convenience!$O$11:$O$148,MATCH('Calculations - Convenience'!$C218,Convenience!$J$11:$J$148,0)),"")</f>
        <v/>
      </c>
      <c r="T218" s="16" t="e">
        <f t="shared" si="115"/>
        <v>#VALUE!</v>
      </c>
      <c r="U218" s="16" t="e">
        <f t="shared" si="130"/>
        <v>#VALUE!</v>
      </c>
      <c r="V218" s="16" t="e">
        <f t="shared" si="131"/>
        <v>#VALUE!</v>
      </c>
      <c r="W218" s="10" t="str">
        <f t="shared" si="116"/>
        <v>-</v>
      </c>
      <c r="X218" s="10" t="str">
        <f t="shared" si="117"/>
        <v>-</v>
      </c>
      <c r="Y218" s="13" t="str">
        <f t="shared" si="132"/>
        <v>-</v>
      </c>
      <c r="Z218" s="9" t="str">
        <f t="shared" si="118"/>
        <v>-</v>
      </c>
      <c r="AA218" s="16" t="str">
        <f t="shared" si="133"/>
        <v>-</v>
      </c>
      <c r="AB218" s="16" t="str">
        <f t="shared" si="119"/>
        <v>-</v>
      </c>
      <c r="AC218" s="16" t="str">
        <f t="shared" si="120"/>
        <v>-</v>
      </c>
      <c r="AD218" s="16" t="str">
        <f t="shared" si="134"/>
        <v>-</v>
      </c>
      <c r="AE218" s="16"/>
      <c r="AF218" s="31" t="str">
        <f>IFERROR(INDEX(Convenience!$M$11:$M$148,MATCH('Calculations - Convenience'!C218,Convenience!$J$11:$J$148,0)),"")</f>
        <v/>
      </c>
      <c r="AG218" s="23" t="str">
        <f t="shared" si="135"/>
        <v/>
      </c>
      <c r="AH218" s="23" t="str">
        <f t="shared" si="135"/>
        <v/>
      </c>
      <c r="AI218" s="9" t="str">
        <f t="shared" si="121"/>
        <v/>
      </c>
      <c r="AJ218" s="4" t="str">
        <f t="shared" si="122"/>
        <v/>
      </c>
      <c r="AK218" s="4"/>
      <c r="AL218" s="4"/>
      <c r="AM218" s="4"/>
      <c r="AN218" s="4"/>
      <c r="AO218" s="4"/>
      <c r="AP218" s="20" t="str">
        <f t="shared" si="123"/>
        <v>-</v>
      </c>
      <c r="AQ218" s="13" t="str">
        <f t="shared" si="136"/>
        <v>-</v>
      </c>
      <c r="AR218" s="13" t="str">
        <f t="shared" si="137"/>
        <v>-</v>
      </c>
      <c r="AS218" s="13" t="str">
        <f t="shared" si="124"/>
        <v>-</v>
      </c>
      <c r="AT218" s="16" t="str">
        <f t="shared" si="138"/>
        <v>-</v>
      </c>
      <c r="AU218" s="16" t="str">
        <f t="shared" si="125"/>
        <v>-</v>
      </c>
      <c r="AV218" s="16" t="str">
        <f t="shared" si="126"/>
        <v>-</v>
      </c>
      <c r="AW218" s="16" t="str">
        <f t="shared" si="139"/>
        <v>-</v>
      </c>
      <c r="AX218" s="13" t="str">
        <f t="shared" si="140"/>
        <v>-</v>
      </c>
      <c r="AY218" s="10" t="str">
        <f t="shared" si="141"/>
        <v>-</v>
      </c>
      <c r="AZ218" s="9" t="str">
        <f t="shared" si="142"/>
        <v>-</v>
      </c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</row>
    <row r="219" spans="2:68" x14ac:dyDescent="0.3">
      <c r="B219" s="108" t="str">
        <f t="shared" si="127"/>
        <v/>
      </c>
      <c r="C219" s="108" t="str">
        <f t="shared" si="113"/>
        <v/>
      </c>
      <c r="D219" s="3"/>
      <c r="E219" s="3"/>
      <c r="F219" s="3"/>
      <c r="G219" s="20">
        <f>IFERROR(INDEX('Input - Convenience'!F$2:F$200,MATCH('Calculations - Convenience'!$C219,'Input - Convenience'!$B$2:$B$200,0)),"")</f>
        <v>0</v>
      </c>
      <c r="H219" s="20">
        <f>IFERROR(INDEX('Input - Convenience'!G$2:G$200,MATCH('Calculations - Convenience'!$C219,'Input - Convenience'!$B$2:$B$200,0)),"")</f>
        <v>0</v>
      </c>
      <c r="I219" s="21">
        <f>IFERROR(INDEX('Input - Convenience'!H$2:H$200,MATCH('Calculations - Convenience'!$C219,'Input - Convenience'!$B$2:$B$200,0)),"")</f>
        <v>0</v>
      </c>
      <c r="J219" s="21">
        <f>IFERROR(INDEX('Input - Convenience'!I$2:I$200,MATCH('Calculations - Convenience'!$C219,'Input - Convenience'!$B$2:$B$200,0)),"")</f>
        <v>0</v>
      </c>
      <c r="K219" s="20">
        <f>IFERROR(INDEX('Input - Convenience'!J$2:J$200,MATCH('Calculations - Convenience'!$C219,'Input - Convenience'!$B$2:$B$200,0)),"")</f>
        <v>0</v>
      </c>
      <c r="L219" s="20">
        <f>IFERROR(INDEX('Input - Convenience'!K$2:K$200,MATCH('Calculations - Convenience'!$C219,'Input - Convenience'!$B$2:$B$200,0)),"")</f>
        <v>0</v>
      </c>
      <c r="M219" s="21" t="str">
        <f t="shared" si="128"/>
        <v/>
      </c>
      <c r="N219" s="21" t="str">
        <f t="shared" si="114"/>
        <v/>
      </c>
      <c r="O219" s="21">
        <f t="shared" si="129"/>
        <v>0</v>
      </c>
      <c r="P219" s="9">
        <f t="shared" si="143"/>
        <v>0</v>
      </c>
      <c r="Q219" s="9">
        <f t="shared" si="144"/>
        <v>0</v>
      </c>
      <c r="R219" s="22" t="str">
        <f>IFERROR(INDEX(Convenience!$N$11:$N$148,MATCH('Calculations - Convenience'!$C219,Convenience!$J$11:$J$148,0)),"")</f>
        <v/>
      </c>
      <c r="S219" s="22" t="str">
        <f>IFERROR(INDEX(Convenience!$O$11:$O$148,MATCH('Calculations - Convenience'!$C219,Convenience!$J$11:$J$148,0)),"")</f>
        <v/>
      </c>
      <c r="T219" s="16" t="e">
        <f t="shared" si="115"/>
        <v>#VALUE!</v>
      </c>
      <c r="U219" s="16" t="e">
        <f t="shared" si="130"/>
        <v>#VALUE!</v>
      </c>
      <c r="V219" s="16" t="e">
        <f t="shared" si="131"/>
        <v>#VALUE!</v>
      </c>
      <c r="W219" s="10" t="str">
        <f t="shared" si="116"/>
        <v>-</v>
      </c>
      <c r="X219" s="10" t="str">
        <f t="shared" si="117"/>
        <v>-</v>
      </c>
      <c r="Y219" s="13" t="str">
        <f t="shared" si="132"/>
        <v>-</v>
      </c>
      <c r="Z219" s="9" t="str">
        <f t="shared" si="118"/>
        <v>-</v>
      </c>
      <c r="AA219" s="16" t="str">
        <f t="shared" si="133"/>
        <v>-</v>
      </c>
      <c r="AB219" s="16" t="str">
        <f t="shared" si="119"/>
        <v>-</v>
      </c>
      <c r="AC219" s="16" t="str">
        <f t="shared" si="120"/>
        <v>-</v>
      </c>
      <c r="AD219" s="16" t="str">
        <f t="shared" si="134"/>
        <v>-</v>
      </c>
      <c r="AE219" s="16"/>
      <c r="AF219" s="31" t="str">
        <f>IFERROR(INDEX(Convenience!$M$11:$M$148,MATCH('Calculations - Convenience'!C219,Convenience!$J$11:$J$148,0)),"")</f>
        <v/>
      </c>
      <c r="AG219" s="23" t="str">
        <f t="shared" si="135"/>
        <v/>
      </c>
      <c r="AH219" s="23" t="str">
        <f t="shared" si="135"/>
        <v/>
      </c>
      <c r="AI219" s="9" t="str">
        <f t="shared" si="121"/>
        <v/>
      </c>
      <c r="AJ219" s="4" t="str">
        <f t="shared" si="122"/>
        <v/>
      </c>
      <c r="AK219" s="4"/>
      <c r="AL219" s="4"/>
      <c r="AM219" s="4"/>
      <c r="AN219" s="4"/>
      <c r="AO219" s="4"/>
      <c r="AP219" s="20" t="str">
        <f t="shared" si="123"/>
        <v>-</v>
      </c>
      <c r="AQ219" s="13" t="str">
        <f t="shared" si="136"/>
        <v>-</v>
      </c>
      <c r="AR219" s="13" t="str">
        <f t="shared" si="137"/>
        <v>-</v>
      </c>
      <c r="AS219" s="13" t="str">
        <f t="shared" si="124"/>
        <v>-</v>
      </c>
      <c r="AT219" s="16" t="str">
        <f t="shared" si="138"/>
        <v>-</v>
      </c>
      <c r="AU219" s="16" t="str">
        <f t="shared" si="125"/>
        <v>-</v>
      </c>
      <c r="AV219" s="16" t="str">
        <f t="shared" si="126"/>
        <v>-</v>
      </c>
      <c r="AW219" s="16" t="str">
        <f t="shared" si="139"/>
        <v>-</v>
      </c>
      <c r="AX219" s="13" t="str">
        <f t="shared" si="140"/>
        <v>-</v>
      </c>
      <c r="AY219" s="10" t="str">
        <f t="shared" si="141"/>
        <v>-</v>
      </c>
      <c r="AZ219" s="9" t="str">
        <f t="shared" si="142"/>
        <v>-</v>
      </c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</row>
    <row r="220" spans="2:68" x14ac:dyDescent="0.3">
      <c r="B220" s="108" t="str">
        <f t="shared" si="127"/>
        <v/>
      </c>
      <c r="C220" s="108" t="str">
        <f t="shared" si="113"/>
        <v/>
      </c>
      <c r="D220" s="3"/>
      <c r="E220" s="3"/>
      <c r="F220" s="3"/>
      <c r="G220" s="20">
        <f>IFERROR(INDEX('Input - Convenience'!F$2:F$200,MATCH('Calculations - Convenience'!$C220,'Input - Convenience'!$B$2:$B$200,0)),"")</f>
        <v>0</v>
      </c>
      <c r="H220" s="20">
        <f>IFERROR(INDEX('Input - Convenience'!G$2:G$200,MATCH('Calculations - Convenience'!$C220,'Input - Convenience'!$B$2:$B$200,0)),"")</f>
        <v>0</v>
      </c>
      <c r="I220" s="21">
        <f>IFERROR(INDEX('Input - Convenience'!H$2:H$200,MATCH('Calculations - Convenience'!$C220,'Input - Convenience'!$B$2:$B$200,0)),"")</f>
        <v>0</v>
      </c>
      <c r="J220" s="21">
        <f>IFERROR(INDEX('Input - Convenience'!I$2:I$200,MATCH('Calculations - Convenience'!$C220,'Input - Convenience'!$B$2:$B$200,0)),"")</f>
        <v>0</v>
      </c>
      <c r="K220" s="20">
        <f>IFERROR(INDEX('Input - Convenience'!J$2:J$200,MATCH('Calculations - Convenience'!$C220,'Input - Convenience'!$B$2:$B$200,0)),"")</f>
        <v>0</v>
      </c>
      <c r="L220" s="20">
        <f>IFERROR(INDEX('Input - Convenience'!K$2:K$200,MATCH('Calculations - Convenience'!$C220,'Input - Convenience'!$B$2:$B$200,0)),"")</f>
        <v>0</v>
      </c>
      <c r="M220" s="21" t="str">
        <f t="shared" si="128"/>
        <v/>
      </c>
      <c r="N220" s="21" t="str">
        <f t="shared" si="114"/>
        <v/>
      </c>
      <c r="O220" s="21">
        <f t="shared" si="129"/>
        <v>0</v>
      </c>
      <c r="P220" s="9">
        <f t="shared" si="143"/>
        <v>0</v>
      </c>
      <c r="Q220" s="9">
        <f t="shared" si="144"/>
        <v>0</v>
      </c>
      <c r="R220" s="22" t="str">
        <f>IFERROR(INDEX(Convenience!$N$11:$N$148,MATCH('Calculations - Convenience'!$C220,Convenience!$J$11:$J$148,0)),"")</f>
        <v/>
      </c>
      <c r="S220" s="22" t="str">
        <f>IFERROR(INDEX(Convenience!$O$11:$O$148,MATCH('Calculations - Convenience'!$C220,Convenience!$J$11:$J$148,0)),"")</f>
        <v/>
      </c>
      <c r="T220" s="16" t="e">
        <f t="shared" si="115"/>
        <v>#VALUE!</v>
      </c>
      <c r="U220" s="16" t="e">
        <f t="shared" si="130"/>
        <v>#VALUE!</v>
      </c>
      <c r="V220" s="16" t="e">
        <f t="shared" si="131"/>
        <v>#VALUE!</v>
      </c>
      <c r="W220" s="10" t="str">
        <f t="shared" si="116"/>
        <v>-</v>
      </c>
      <c r="X220" s="10" t="str">
        <f t="shared" si="117"/>
        <v>-</v>
      </c>
      <c r="Y220" s="13" t="str">
        <f t="shared" si="132"/>
        <v>-</v>
      </c>
      <c r="Z220" s="9" t="str">
        <f t="shared" si="118"/>
        <v>-</v>
      </c>
      <c r="AA220" s="16" t="str">
        <f t="shared" si="133"/>
        <v>-</v>
      </c>
      <c r="AB220" s="16" t="str">
        <f t="shared" si="119"/>
        <v>-</v>
      </c>
      <c r="AC220" s="16" t="str">
        <f t="shared" si="120"/>
        <v>-</v>
      </c>
      <c r="AD220" s="16" t="str">
        <f t="shared" si="134"/>
        <v>-</v>
      </c>
      <c r="AE220" s="16"/>
      <c r="AF220" s="31" t="str">
        <f>IFERROR(INDEX(Convenience!$M$11:$M$148,MATCH('Calculations - Convenience'!C220,Convenience!$J$11:$J$148,0)),"")</f>
        <v/>
      </c>
      <c r="AG220" s="23" t="str">
        <f t="shared" si="135"/>
        <v/>
      </c>
      <c r="AH220" s="23" t="str">
        <f t="shared" si="135"/>
        <v/>
      </c>
      <c r="AI220" s="9" t="str">
        <f t="shared" si="121"/>
        <v/>
      </c>
      <c r="AJ220" s="4" t="str">
        <f t="shared" si="122"/>
        <v/>
      </c>
      <c r="AK220" s="4"/>
      <c r="AL220" s="4"/>
      <c r="AM220" s="4"/>
      <c r="AN220" s="4"/>
      <c r="AO220" s="4"/>
      <c r="AP220" s="20" t="str">
        <f t="shared" si="123"/>
        <v>-</v>
      </c>
      <c r="AQ220" s="13" t="str">
        <f t="shared" si="136"/>
        <v>-</v>
      </c>
      <c r="AR220" s="13" t="str">
        <f t="shared" si="137"/>
        <v>-</v>
      </c>
      <c r="AS220" s="13" t="str">
        <f t="shared" si="124"/>
        <v>-</v>
      </c>
      <c r="AT220" s="16" t="str">
        <f t="shared" si="138"/>
        <v>-</v>
      </c>
      <c r="AU220" s="16" t="str">
        <f t="shared" si="125"/>
        <v>-</v>
      </c>
      <c r="AV220" s="16" t="str">
        <f t="shared" si="126"/>
        <v>-</v>
      </c>
      <c r="AW220" s="16" t="str">
        <f t="shared" si="139"/>
        <v>-</v>
      </c>
      <c r="AX220" s="13" t="str">
        <f t="shared" si="140"/>
        <v>-</v>
      </c>
      <c r="AY220" s="10" t="str">
        <f t="shared" si="141"/>
        <v>-</v>
      </c>
      <c r="AZ220" s="9" t="str">
        <f t="shared" si="142"/>
        <v>-</v>
      </c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</row>
    <row r="221" spans="2:68" x14ac:dyDescent="0.3">
      <c r="B221" s="108" t="str">
        <f t="shared" si="127"/>
        <v/>
      </c>
      <c r="C221" s="108" t="str">
        <f t="shared" si="113"/>
        <v/>
      </c>
      <c r="D221" s="3"/>
      <c r="E221" s="3"/>
      <c r="F221" s="3"/>
      <c r="G221" s="20">
        <f>IFERROR(INDEX('Input - Convenience'!F$2:F$200,MATCH('Calculations - Convenience'!$C221,'Input - Convenience'!$B$2:$B$200,0)),"")</f>
        <v>0</v>
      </c>
      <c r="H221" s="20">
        <f>IFERROR(INDEX('Input - Convenience'!G$2:G$200,MATCH('Calculations - Convenience'!$C221,'Input - Convenience'!$B$2:$B$200,0)),"")</f>
        <v>0</v>
      </c>
      <c r="I221" s="21">
        <f>IFERROR(INDEX('Input - Convenience'!H$2:H$200,MATCH('Calculations - Convenience'!$C221,'Input - Convenience'!$B$2:$B$200,0)),"")</f>
        <v>0</v>
      </c>
      <c r="J221" s="21">
        <f>IFERROR(INDEX('Input - Convenience'!I$2:I$200,MATCH('Calculations - Convenience'!$C221,'Input - Convenience'!$B$2:$B$200,0)),"")</f>
        <v>0</v>
      </c>
      <c r="K221" s="20">
        <f>IFERROR(INDEX('Input - Convenience'!J$2:J$200,MATCH('Calculations - Convenience'!$C221,'Input - Convenience'!$B$2:$B$200,0)),"")</f>
        <v>0</v>
      </c>
      <c r="L221" s="20">
        <f>IFERROR(INDEX('Input - Convenience'!K$2:K$200,MATCH('Calculations - Convenience'!$C221,'Input - Convenience'!$B$2:$B$200,0)),"")</f>
        <v>0</v>
      </c>
      <c r="M221" s="21" t="str">
        <f t="shared" si="128"/>
        <v/>
      </c>
      <c r="N221" s="21" t="str">
        <f t="shared" si="114"/>
        <v/>
      </c>
      <c r="O221" s="21">
        <f t="shared" si="129"/>
        <v>0</v>
      </c>
      <c r="P221" s="9">
        <f t="shared" si="143"/>
        <v>0</v>
      </c>
      <c r="Q221" s="9">
        <f t="shared" si="144"/>
        <v>0</v>
      </c>
      <c r="R221" s="22" t="str">
        <f>IFERROR(INDEX(Convenience!$N$11:$N$148,MATCH('Calculations - Convenience'!$C221,Convenience!$J$11:$J$148,0)),"")</f>
        <v/>
      </c>
      <c r="S221" s="22" t="str">
        <f>IFERROR(INDEX(Convenience!$O$11:$O$148,MATCH('Calculations - Convenience'!$C221,Convenience!$J$11:$J$148,0)),"")</f>
        <v/>
      </c>
      <c r="T221" s="16" t="e">
        <f t="shared" si="115"/>
        <v>#VALUE!</v>
      </c>
      <c r="U221" s="16" t="e">
        <f t="shared" si="130"/>
        <v>#VALUE!</v>
      </c>
      <c r="V221" s="16" t="e">
        <f t="shared" si="131"/>
        <v>#VALUE!</v>
      </c>
      <c r="W221" s="10" t="str">
        <f t="shared" si="116"/>
        <v>-</v>
      </c>
      <c r="X221" s="10" t="str">
        <f t="shared" si="117"/>
        <v>-</v>
      </c>
      <c r="Y221" s="13" t="str">
        <f t="shared" si="132"/>
        <v>-</v>
      </c>
      <c r="Z221" s="9" t="str">
        <f t="shared" si="118"/>
        <v>-</v>
      </c>
      <c r="AA221" s="16" t="str">
        <f t="shared" si="133"/>
        <v>-</v>
      </c>
      <c r="AB221" s="16" t="str">
        <f t="shared" si="119"/>
        <v>-</v>
      </c>
      <c r="AC221" s="16" t="str">
        <f t="shared" si="120"/>
        <v>-</v>
      </c>
      <c r="AD221" s="16" t="str">
        <f t="shared" si="134"/>
        <v>-</v>
      </c>
      <c r="AE221" s="16"/>
      <c r="AF221" s="31" t="str">
        <f>IFERROR(INDEX(Convenience!$M$11:$M$148,MATCH('Calculations - Convenience'!C221,Convenience!$J$11:$J$148,0)),"")</f>
        <v/>
      </c>
      <c r="AG221" s="23" t="str">
        <f t="shared" si="135"/>
        <v/>
      </c>
      <c r="AH221" s="23" t="str">
        <f t="shared" si="135"/>
        <v/>
      </c>
      <c r="AI221" s="9" t="str">
        <f t="shared" si="121"/>
        <v/>
      </c>
      <c r="AJ221" s="4" t="str">
        <f t="shared" si="122"/>
        <v/>
      </c>
      <c r="AK221" s="4"/>
      <c r="AL221" s="4"/>
      <c r="AM221" s="4"/>
      <c r="AN221" s="4"/>
      <c r="AO221" s="4"/>
      <c r="AP221" s="20" t="str">
        <f t="shared" si="123"/>
        <v>-</v>
      </c>
      <c r="AQ221" s="13" t="str">
        <f t="shared" si="136"/>
        <v>-</v>
      </c>
      <c r="AR221" s="13" t="str">
        <f t="shared" si="137"/>
        <v>-</v>
      </c>
      <c r="AS221" s="13" t="str">
        <f t="shared" si="124"/>
        <v>-</v>
      </c>
      <c r="AT221" s="16" t="str">
        <f t="shared" si="138"/>
        <v>-</v>
      </c>
      <c r="AU221" s="16" t="str">
        <f t="shared" si="125"/>
        <v>-</v>
      </c>
      <c r="AV221" s="16" t="str">
        <f t="shared" si="126"/>
        <v>-</v>
      </c>
      <c r="AW221" s="16" t="str">
        <f t="shared" si="139"/>
        <v>-</v>
      </c>
      <c r="AX221" s="13" t="str">
        <f t="shared" si="140"/>
        <v>-</v>
      </c>
      <c r="AY221" s="10" t="str">
        <f t="shared" si="141"/>
        <v>-</v>
      </c>
      <c r="AZ221" s="9" t="str">
        <f t="shared" si="142"/>
        <v>-</v>
      </c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</row>
    <row r="222" spans="2:68" x14ac:dyDescent="0.3">
      <c r="B222" s="108" t="str">
        <f t="shared" si="127"/>
        <v/>
      </c>
      <c r="C222" s="108" t="str">
        <f t="shared" si="113"/>
        <v/>
      </c>
      <c r="D222" s="3"/>
      <c r="E222" s="3"/>
      <c r="F222" s="3"/>
      <c r="G222" s="20">
        <f>IFERROR(INDEX('Input - Convenience'!F$2:F$200,MATCH('Calculations - Convenience'!$C222,'Input - Convenience'!$B$2:$B$200,0)),"")</f>
        <v>0</v>
      </c>
      <c r="H222" s="20">
        <f>IFERROR(INDEX('Input - Convenience'!G$2:G$200,MATCH('Calculations - Convenience'!$C222,'Input - Convenience'!$B$2:$B$200,0)),"")</f>
        <v>0</v>
      </c>
      <c r="I222" s="21">
        <f>IFERROR(INDEX('Input - Convenience'!H$2:H$200,MATCH('Calculations - Convenience'!$C222,'Input - Convenience'!$B$2:$B$200,0)),"")</f>
        <v>0</v>
      </c>
      <c r="J222" s="21">
        <f>IFERROR(INDEX('Input - Convenience'!I$2:I$200,MATCH('Calculations - Convenience'!$C222,'Input - Convenience'!$B$2:$B$200,0)),"")</f>
        <v>0</v>
      </c>
      <c r="K222" s="20">
        <f>IFERROR(INDEX('Input - Convenience'!J$2:J$200,MATCH('Calculations - Convenience'!$C222,'Input - Convenience'!$B$2:$B$200,0)),"")</f>
        <v>0</v>
      </c>
      <c r="L222" s="20">
        <f>IFERROR(INDEX('Input - Convenience'!K$2:K$200,MATCH('Calculations - Convenience'!$C222,'Input - Convenience'!$B$2:$B$200,0)),"")</f>
        <v>0</v>
      </c>
      <c r="M222" s="21" t="str">
        <f t="shared" si="128"/>
        <v/>
      </c>
      <c r="N222" s="21" t="str">
        <f t="shared" si="114"/>
        <v/>
      </c>
      <c r="O222" s="21">
        <f t="shared" si="129"/>
        <v>0</v>
      </c>
      <c r="P222" s="9">
        <f t="shared" si="143"/>
        <v>0</v>
      </c>
      <c r="Q222" s="9">
        <f t="shared" si="144"/>
        <v>0</v>
      </c>
      <c r="R222" s="22" t="str">
        <f>IFERROR(INDEX(Convenience!$N$11:$N$148,MATCH('Calculations - Convenience'!$C222,Convenience!$J$11:$J$148,0)),"")</f>
        <v/>
      </c>
      <c r="S222" s="22" t="str">
        <f>IFERROR(INDEX(Convenience!$O$11:$O$148,MATCH('Calculations - Convenience'!$C222,Convenience!$J$11:$J$148,0)),"")</f>
        <v/>
      </c>
      <c r="T222" s="16" t="e">
        <f t="shared" si="115"/>
        <v>#VALUE!</v>
      </c>
      <c r="U222" s="16" t="e">
        <f t="shared" si="130"/>
        <v>#VALUE!</v>
      </c>
      <c r="V222" s="16" t="e">
        <f t="shared" si="131"/>
        <v>#VALUE!</v>
      </c>
      <c r="W222" s="10" t="str">
        <f t="shared" si="116"/>
        <v>-</v>
      </c>
      <c r="X222" s="10" t="str">
        <f t="shared" si="117"/>
        <v>-</v>
      </c>
      <c r="Y222" s="13" t="str">
        <f t="shared" si="132"/>
        <v>-</v>
      </c>
      <c r="Z222" s="9" t="str">
        <f t="shared" si="118"/>
        <v>-</v>
      </c>
      <c r="AA222" s="16" t="str">
        <f t="shared" si="133"/>
        <v>-</v>
      </c>
      <c r="AB222" s="16" t="str">
        <f t="shared" si="119"/>
        <v>-</v>
      </c>
      <c r="AC222" s="16" t="str">
        <f t="shared" si="120"/>
        <v>-</v>
      </c>
      <c r="AD222" s="16" t="str">
        <f t="shared" si="134"/>
        <v>-</v>
      </c>
      <c r="AE222" s="16"/>
      <c r="AF222" s="31" t="str">
        <f>IFERROR(INDEX(Convenience!$M$11:$M$148,MATCH('Calculations - Convenience'!C222,Convenience!$J$11:$J$148,0)),"")</f>
        <v/>
      </c>
      <c r="AG222" s="23" t="str">
        <f t="shared" si="135"/>
        <v/>
      </c>
      <c r="AH222" s="23" t="str">
        <f t="shared" si="135"/>
        <v/>
      </c>
      <c r="AI222" s="9" t="str">
        <f t="shared" si="121"/>
        <v/>
      </c>
      <c r="AJ222" s="4" t="str">
        <f t="shared" si="122"/>
        <v/>
      </c>
      <c r="AK222" s="4"/>
      <c r="AL222" s="4"/>
      <c r="AM222" s="4"/>
      <c r="AN222" s="4"/>
      <c r="AO222" s="4"/>
      <c r="AP222" s="20" t="str">
        <f t="shared" si="123"/>
        <v>-</v>
      </c>
      <c r="AQ222" s="13" t="str">
        <f t="shared" si="136"/>
        <v>-</v>
      </c>
      <c r="AR222" s="13" t="str">
        <f t="shared" si="137"/>
        <v>-</v>
      </c>
      <c r="AS222" s="13" t="str">
        <f t="shared" si="124"/>
        <v>-</v>
      </c>
      <c r="AT222" s="16" t="str">
        <f t="shared" si="138"/>
        <v>-</v>
      </c>
      <c r="AU222" s="16" t="str">
        <f t="shared" si="125"/>
        <v>-</v>
      </c>
      <c r="AV222" s="16" t="str">
        <f t="shared" si="126"/>
        <v>-</v>
      </c>
      <c r="AW222" s="16" t="str">
        <f t="shared" si="139"/>
        <v>-</v>
      </c>
      <c r="AX222" s="13" t="str">
        <f t="shared" si="140"/>
        <v>-</v>
      </c>
      <c r="AY222" s="10" t="str">
        <f t="shared" si="141"/>
        <v>-</v>
      </c>
      <c r="AZ222" s="9" t="str">
        <f t="shared" si="142"/>
        <v>-</v>
      </c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</row>
    <row r="223" spans="2:68" x14ac:dyDescent="0.3">
      <c r="B223" s="108" t="str">
        <f t="shared" si="127"/>
        <v/>
      </c>
      <c r="C223" s="108" t="str">
        <f t="shared" si="113"/>
        <v/>
      </c>
      <c r="D223" s="3"/>
      <c r="E223" s="3"/>
      <c r="F223" s="3"/>
      <c r="G223" s="20">
        <f>IFERROR(INDEX('Input - Convenience'!F$2:F$200,MATCH('Calculations - Convenience'!$C223,'Input - Convenience'!$B$2:$B$200,0)),"")</f>
        <v>0</v>
      </c>
      <c r="H223" s="20">
        <f>IFERROR(INDEX('Input - Convenience'!G$2:G$200,MATCH('Calculations - Convenience'!$C223,'Input - Convenience'!$B$2:$B$200,0)),"")</f>
        <v>0</v>
      </c>
      <c r="I223" s="21">
        <f>IFERROR(INDEX('Input - Convenience'!H$2:H$200,MATCH('Calculations - Convenience'!$C223,'Input - Convenience'!$B$2:$B$200,0)),"")</f>
        <v>0</v>
      </c>
      <c r="J223" s="21">
        <f>IFERROR(INDEX('Input - Convenience'!I$2:I$200,MATCH('Calculations - Convenience'!$C223,'Input - Convenience'!$B$2:$B$200,0)),"")</f>
        <v>0</v>
      </c>
      <c r="K223" s="20">
        <f>IFERROR(INDEX('Input - Convenience'!J$2:J$200,MATCH('Calculations - Convenience'!$C223,'Input - Convenience'!$B$2:$B$200,0)),"")</f>
        <v>0</v>
      </c>
      <c r="L223" s="20">
        <f>IFERROR(INDEX('Input - Convenience'!K$2:K$200,MATCH('Calculations - Convenience'!$C223,'Input - Convenience'!$B$2:$B$200,0)),"")</f>
        <v>0</v>
      </c>
      <c r="M223" s="21" t="str">
        <f t="shared" si="128"/>
        <v/>
      </c>
      <c r="N223" s="21" t="str">
        <f t="shared" si="114"/>
        <v/>
      </c>
      <c r="O223" s="21">
        <f t="shared" si="129"/>
        <v>0</v>
      </c>
      <c r="P223" s="9">
        <f t="shared" si="143"/>
        <v>0</v>
      </c>
      <c r="Q223" s="9">
        <f t="shared" si="144"/>
        <v>0</v>
      </c>
      <c r="R223" s="22" t="str">
        <f>IFERROR(INDEX(Convenience!$N$11:$N$148,MATCH('Calculations - Convenience'!$C223,Convenience!$J$11:$J$148,0)),"")</f>
        <v/>
      </c>
      <c r="S223" s="22" t="str">
        <f>IFERROR(INDEX(Convenience!$O$11:$O$148,MATCH('Calculations - Convenience'!$C223,Convenience!$J$11:$J$148,0)),"")</f>
        <v/>
      </c>
      <c r="T223" s="16" t="e">
        <f t="shared" si="115"/>
        <v>#VALUE!</v>
      </c>
      <c r="U223" s="16" t="e">
        <f t="shared" si="130"/>
        <v>#VALUE!</v>
      </c>
      <c r="V223" s="16" t="e">
        <f t="shared" si="131"/>
        <v>#VALUE!</v>
      </c>
      <c r="W223" s="10" t="str">
        <f t="shared" si="116"/>
        <v>-</v>
      </c>
      <c r="X223" s="10" t="str">
        <f t="shared" si="117"/>
        <v>-</v>
      </c>
      <c r="Y223" s="13" t="str">
        <f t="shared" si="132"/>
        <v>-</v>
      </c>
      <c r="Z223" s="9" t="str">
        <f t="shared" si="118"/>
        <v>-</v>
      </c>
      <c r="AA223" s="16" t="str">
        <f t="shared" si="133"/>
        <v>-</v>
      </c>
      <c r="AB223" s="16" t="str">
        <f t="shared" si="119"/>
        <v>-</v>
      </c>
      <c r="AC223" s="16" t="str">
        <f t="shared" si="120"/>
        <v>-</v>
      </c>
      <c r="AD223" s="16" t="str">
        <f t="shared" si="134"/>
        <v>-</v>
      </c>
      <c r="AE223" s="16"/>
      <c r="AF223" s="31" t="str">
        <f>IFERROR(INDEX(Convenience!$M$11:$M$148,MATCH('Calculations - Convenience'!C223,Convenience!$J$11:$J$148,0)),"")</f>
        <v/>
      </c>
      <c r="AG223" s="23" t="str">
        <f t="shared" si="135"/>
        <v/>
      </c>
      <c r="AH223" s="23" t="str">
        <f t="shared" si="135"/>
        <v/>
      </c>
      <c r="AI223" s="9" t="str">
        <f t="shared" si="121"/>
        <v/>
      </c>
      <c r="AJ223" s="4" t="str">
        <f t="shared" si="122"/>
        <v/>
      </c>
      <c r="AK223" s="4"/>
      <c r="AL223" s="4"/>
      <c r="AM223" s="4"/>
      <c r="AN223" s="4"/>
      <c r="AO223" s="4"/>
      <c r="AP223" s="20" t="str">
        <f t="shared" si="123"/>
        <v>-</v>
      </c>
      <c r="AQ223" s="13" t="str">
        <f t="shared" si="136"/>
        <v>-</v>
      </c>
      <c r="AR223" s="13" t="str">
        <f t="shared" si="137"/>
        <v>-</v>
      </c>
      <c r="AS223" s="13" t="str">
        <f t="shared" si="124"/>
        <v>-</v>
      </c>
      <c r="AT223" s="16" t="str">
        <f t="shared" si="138"/>
        <v>-</v>
      </c>
      <c r="AU223" s="16" t="str">
        <f t="shared" si="125"/>
        <v>-</v>
      </c>
      <c r="AV223" s="16" t="str">
        <f t="shared" si="126"/>
        <v>-</v>
      </c>
      <c r="AW223" s="16" t="str">
        <f t="shared" si="139"/>
        <v>-</v>
      </c>
      <c r="AX223" s="13" t="str">
        <f t="shared" si="140"/>
        <v>-</v>
      </c>
      <c r="AY223" s="10" t="str">
        <f t="shared" si="141"/>
        <v>-</v>
      </c>
      <c r="AZ223" s="9" t="str">
        <f t="shared" si="142"/>
        <v>-</v>
      </c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</row>
    <row r="224" spans="2:68" x14ac:dyDescent="0.3">
      <c r="B224" s="108" t="str">
        <f t="shared" si="127"/>
        <v/>
      </c>
      <c r="C224" s="108" t="str">
        <f t="shared" ref="C224:C229" si="145">IFERROR(D224&amp;E224&amp;F224,"")</f>
        <v/>
      </c>
      <c r="D224" s="3"/>
      <c r="E224" s="3"/>
      <c r="F224" s="3"/>
      <c r="G224" s="20">
        <f>IFERROR(INDEX('Input - Convenience'!F$2:F$200,MATCH('Calculations - Convenience'!$C224,'Input - Convenience'!$B$2:$B$200,0)),"")</f>
        <v>0</v>
      </c>
      <c r="H224" s="20">
        <f>IFERROR(INDEX('Input - Convenience'!G$2:G$200,MATCH('Calculations - Convenience'!$C224,'Input - Convenience'!$B$2:$B$200,0)),"")</f>
        <v>0</v>
      </c>
      <c r="I224" s="21">
        <f>IFERROR(INDEX('Input - Convenience'!H$2:H$200,MATCH('Calculations - Convenience'!$C224,'Input - Convenience'!$B$2:$B$200,0)),"")</f>
        <v>0</v>
      </c>
      <c r="J224" s="21">
        <f>IFERROR(INDEX('Input - Convenience'!I$2:I$200,MATCH('Calculations - Convenience'!$C224,'Input - Convenience'!$B$2:$B$200,0)),"")</f>
        <v>0</v>
      </c>
      <c r="K224" s="20">
        <f>IFERROR(INDEX('Input - Convenience'!J$2:J$200,MATCH('Calculations - Convenience'!$C224,'Input - Convenience'!$B$2:$B$200,0)),"")</f>
        <v>0</v>
      </c>
      <c r="L224" s="20">
        <f>IFERROR(INDEX('Input - Convenience'!K$2:K$200,MATCH('Calculations - Convenience'!$C224,'Input - Convenience'!$B$2:$B$200,0)),"")</f>
        <v>0</v>
      </c>
      <c r="M224" s="21" t="str">
        <f t="shared" si="128"/>
        <v/>
      </c>
      <c r="N224" s="21" t="str">
        <f t="shared" ref="N224:N229" si="146">IFERROR(K224/L224,"")</f>
        <v/>
      </c>
      <c r="O224" s="21">
        <f t="shared" si="129"/>
        <v>0</v>
      </c>
      <c r="P224" s="9">
        <f t="shared" si="143"/>
        <v>0</v>
      </c>
      <c r="Q224" s="9">
        <f t="shared" si="144"/>
        <v>0</v>
      </c>
      <c r="R224" s="22" t="str">
        <f>IFERROR(INDEX(Convenience!$N$11:$N$148,MATCH('Calculations - Convenience'!$C224,Convenience!$J$11:$J$148,0)),"")</f>
        <v/>
      </c>
      <c r="S224" s="22" t="str">
        <f>IFERROR(INDEX(Convenience!$O$11:$O$148,MATCH('Calculations - Convenience'!$C224,Convenience!$J$11:$J$148,0)),"")</f>
        <v/>
      </c>
      <c r="T224" s="16" t="e">
        <f t="shared" ref="T224:T229" si="147">R224*G224</f>
        <v>#VALUE!</v>
      </c>
      <c r="U224" s="16" t="e">
        <f t="shared" si="130"/>
        <v>#VALUE!</v>
      </c>
      <c r="V224" s="16" t="e">
        <f t="shared" si="131"/>
        <v>#VALUE!</v>
      </c>
      <c r="W224" s="10" t="str">
        <f t="shared" ref="W224:W229" si="148">IFERROR(V224/H224,"-")</f>
        <v>-</v>
      </c>
      <c r="X224" s="10" t="str">
        <f t="shared" ref="X224:X229" si="149">IFERROR((J224+M224)*H224*0.5,"-")</f>
        <v>-</v>
      </c>
      <c r="Y224" s="13" t="str">
        <f t="shared" si="132"/>
        <v>-</v>
      </c>
      <c r="Z224" s="9" t="str">
        <f t="shared" ref="Z224:Z229" si="150">IFERROR(Y224-P224,"-")</f>
        <v>-</v>
      </c>
      <c r="AA224" s="16" t="str">
        <f t="shared" si="133"/>
        <v>-</v>
      </c>
      <c r="AB224" s="16" t="str">
        <f t="shared" ref="AB224:AB229" si="151">IFERROR(AA224/M224,"-")</f>
        <v>-</v>
      </c>
      <c r="AC224" s="16" t="str">
        <f t="shared" ref="AC224:AC229" si="152">IFERROR(R224*AA224,"-")</f>
        <v>-</v>
      </c>
      <c r="AD224" s="16" t="str">
        <f t="shared" si="134"/>
        <v>-</v>
      </c>
      <c r="AE224" s="16"/>
      <c r="AF224" s="31" t="str">
        <f>IFERROR(INDEX(Convenience!$M$11:$M$148,MATCH('Calculations - Convenience'!C224,Convenience!$J$11:$J$148,0)),"")</f>
        <v/>
      </c>
      <c r="AG224" s="23" t="str">
        <f t="shared" si="135"/>
        <v/>
      </c>
      <c r="AH224" s="23" t="str">
        <f t="shared" si="135"/>
        <v/>
      </c>
      <c r="AI224" s="9" t="str">
        <f t="shared" ref="AI224:AI229" si="153">IFERROR((AF224-M224)/M224,"")</f>
        <v/>
      </c>
      <c r="AJ224" s="4" t="str">
        <f t="shared" ref="AJ224:AJ229" si="154">IFERROR(MAX((1+AI224*O224/5)*H224,0),"")</f>
        <v/>
      </c>
      <c r="AK224" s="4"/>
      <c r="AL224" s="4"/>
      <c r="AM224" s="4"/>
      <c r="AN224" s="4"/>
      <c r="AO224" s="4"/>
      <c r="AP224" s="20" t="str">
        <f t="shared" ref="AP224:AP229" si="155">IFERROR(0.5*(J224+AF224)*AJ224,"-")</f>
        <v>-</v>
      </c>
      <c r="AQ224" s="13" t="str">
        <f t="shared" si="136"/>
        <v>-</v>
      </c>
      <c r="AR224" s="13" t="str">
        <f t="shared" si="137"/>
        <v>-</v>
      </c>
      <c r="AS224" s="13" t="str">
        <f t="shared" ref="AS224:AS229" si="156">IFERROR(AR224-P224,"-")</f>
        <v>-</v>
      </c>
      <c r="AT224" s="16" t="str">
        <f t="shared" si="138"/>
        <v>-</v>
      </c>
      <c r="AU224" s="16" t="str">
        <f t="shared" ref="AU224:AU229" si="157">IFERROR(AT224/AF224,"-")</f>
        <v>-</v>
      </c>
      <c r="AV224" s="16" t="str">
        <f t="shared" ref="AV224:AV229" si="158">IFERROR(AG224*AT224,"-")</f>
        <v>-</v>
      </c>
      <c r="AW224" s="16" t="str">
        <f t="shared" si="139"/>
        <v>-</v>
      </c>
      <c r="AX224" s="13" t="str">
        <f t="shared" si="140"/>
        <v>-</v>
      </c>
      <c r="AY224" s="10" t="str">
        <f t="shared" si="141"/>
        <v>-</v>
      </c>
      <c r="AZ224" s="9" t="str">
        <f t="shared" si="142"/>
        <v>-</v>
      </c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</row>
    <row r="225" spans="2:68" x14ac:dyDescent="0.3">
      <c r="B225" s="108" t="str">
        <f t="shared" ref="B225:B229" si="159">IFERROR(D225&amp;E225,"")</f>
        <v/>
      </c>
      <c r="C225" s="108" t="str">
        <f t="shared" si="145"/>
        <v/>
      </c>
      <c r="D225" s="3"/>
      <c r="E225" s="3"/>
      <c r="F225" s="3"/>
      <c r="G225" s="20">
        <f>IFERROR(INDEX('Input - Convenience'!F$2:F$200,MATCH('Calculations - Convenience'!$C225,'Input - Convenience'!$B$2:$B$200,0)),"")</f>
        <v>0</v>
      </c>
      <c r="H225" s="20">
        <f>IFERROR(INDEX('Input - Convenience'!G$2:G$200,MATCH('Calculations - Convenience'!$C225,'Input - Convenience'!$B$2:$B$200,0)),"")</f>
        <v>0</v>
      </c>
      <c r="I225" s="21">
        <f>IFERROR(INDEX('Input - Convenience'!H$2:H$200,MATCH('Calculations - Convenience'!$C225,'Input - Convenience'!$B$2:$B$200,0)),"")</f>
        <v>0</v>
      </c>
      <c r="J225" s="21">
        <f>IFERROR(INDEX('Input - Convenience'!I$2:I$200,MATCH('Calculations - Convenience'!$C225,'Input - Convenience'!$B$2:$B$200,0)),"")</f>
        <v>0</v>
      </c>
      <c r="K225" s="20">
        <f>IFERROR(INDEX('Input - Convenience'!J$2:J$200,MATCH('Calculations - Convenience'!$C225,'Input - Convenience'!$B$2:$B$200,0)),"")</f>
        <v>0</v>
      </c>
      <c r="L225" s="20">
        <f>IFERROR(INDEX('Input - Convenience'!K$2:K$200,MATCH('Calculations - Convenience'!$C225,'Input - Convenience'!$B$2:$B$200,0)),"")</f>
        <v>0</v>
      </c>
      <c r="M225" s="21" t="str">
        <f t="shared" ref="M225:M229" si="160">IFERROR(G225/H225,"")</f>
        <v/>
      </c>
      <c r="N225" s="21" t="str">
        <f t="shared" si="146"/>
        <v/>
      </c>
      <c r="O225" s="21">
        <f t="shared" ref="O225:O229" si="161">IFERROR((M225/(M225-J225)*5),0)</f>
        <v>0</v>
      </c>
      <c r="P225" s="9">
        <f t="shared" si="143"/>
        <v>0</v>
      </c>
      <c r="Q225" s="9">
        <f t="shared" si="144"/>
        <v>0</v>
      </c>
      <c r="R225" s="22" t="str">
        <f>IFERROR(INDEX(Convenience!$N$11:$N$148,MATCH('Calculations - Convenience'!$C225,Convenience!$J$11:$J$148,0)),"")</f>
        <v/>
      </c>
      <c r="S225" s="22" t="str">
        <f>IFERROR(INDEX(Convenience!$O$11:$O$148,MATCH('Calculations - Convenience'!$C225,Convenience!$J$11:$J$148,0)),"")</f>
        <v/>
      </c>
      <c r="T225" s="16" t="e">
        <f t="shared" si="147"/>
        <v>#VALUE!</v>
      </c>
      <c r="U225" s="16" t="e">
        <f t="shared" ref="U225:U229" si="162">S225*T225</f>
        <v>#VALUE!</v>
      </c>
      <c r="V225" s="16" t="e">
        <f t="shared" ref="V225:V229" si="163">T225-U225</f>
        <v>#VALUE!</v>
      </c>
      <c r="W225" s="10" t="str">
        <f t="shared" si="148"/>
        <v>-</v>
      </c>
      <c r="X225" s="10" t="str">
        <f t="shared" si="149"/>
        <v>-</v>
      </c>
      <c r="Y225" s="13" t="str">
        <f t="shared" ref="Y225:Y229" si="164">IFERROR(X225/$X$30,"-")</f>
        <v>-</v>
      </c>
      <c r="Z225" s="9" t="str">
        <f t="shared" si="150"/>
        <v>-</v>
      </c>
      <c r="AA225" s="16" t="str">
        <f t="shared" ref="AA225:AA229" si="165">IFERROR(Y225*$G$30,"-")</f>
        <v>-</v>
      </c>
      <c r="AB225" s="16" t="str">
        <f t="shared" si="151"/>
        <v>-</v>
      </c>
      <c r="AC225" s="16" t="str">
        <f t="shared" si="152"/>
        <v>-</v>
      </c>
      <c r="AD225" s="16" t="str">
        <f t="shared" ref="AD225:AD229" si="166">IFERROR(AC225-(W225)*AB225,"-")</f>
        <v>-</v>
      </c>
      <c r="AE225" s="16"/>
      <c r="AF225" s="31" t="str">
        <f>IFERROR(INDEX(Convenience!$M$11:$M$148,MATCH('Calculations - Convenience'!C225,Convenience!$J$11:$J$148,0)),"")</f>
        <v/>
      </c>
      <c r="AG225" s="23" t="str">
        <f t="shared" ref="AG225:AH229" si="167">R225</f>
        <v/>
      </c>
      <c r="AH225" s="23" t="str">
        <f t="shared" si="167"/>
        <v/>
      </c>
      <c r="AI225" s="9" t="str">
        <f t="shared" si="153"/>
        <v/>
      </c>
      <c r="AJ225" s="4" t="str">
        <f t="shared" si="154"/>
        <v/>
      </c>
      <c r="AK225" s="4"/>
      <c r="AL225" s="4"/>
      <c r="AM225" s="4"/>
      <c r="AN225" s="4"/>
      <c r="AO225" s="4"/>
      <c r="AP225" s="20" t="str">
        <f t="shared" si="155"/>
        <v>-</v>
      </c>
      <c r="AQ225" s="13" t="str">
        <f t="shared" ref="AQ225:AQ229" si="168">IFERROR(AP225/AP$30,"-")</f>
        <v>-</v>
      </c>
      <c r="AR225" s="13" t="str">
        <f t="shared" ref="AR225:AR229" si="169">IFERROR(AQ225*$P$30,"-")</f>
        <v>-</v>
      </c>
      <c r="AS225" s="13" t="str">
        <f t="shared" si="156"/>
        <v>-</v>
      </c>
      <c r="AT225" s="16" t="str">
        <f t="shared" ref="AT225:AT229" si="170">IFERROR(AR225*AO$32,"-")</f>
        <v>-</v>
      </c>
      <c r="AU225" s="16" t="str">
        <f t="shared" si="157"/>
        <v>-</v>
      </c>
      <c r="AV225" s="16" t="str">
        <f t="shared" si="158"/>
        <v>-</v>
      </c>
      <c r="AW225" s="16" t="str">
        <f t="shared" ref="AW225:AW229" si="171">IFERROR(AV225-(W225*AU225),"-")</f>
        <v>-</v>
      </c>
      <c r="AX225" s="13" t="str">
        <f t="shared" ref="AX225:AX229" si="172">IFERROR(AU225/SUMIFS($AU$32:$AU$229,$B$32:$B$229,$B225),"-")</f>
        <v>-</v>
      </c>
      <c r="AY225" s="10" t="str">
        <f t="shared" ref="AY225:AY229" si="173">IFERROR(AX225*INDEX($AU$4:$AU$24,MATCH($B225,$D$4:$D$24,0)),"-")</f>
        <v>-</v>
      </c>
      <c r="AZ225" s="9" t="str">
        <f t="shared" ref="AZ225:AZ229" si="174">IFERROR(AY225/SUM($AY$32:$AY$229),"-")</f>
        <v>-</v>
      </c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</row>
    <row r="226" spans="2:68" x14ac:dyDescent="0.3">
      <c r="B226" s="108" t="str">
        <f t="shared" si="159"/>
        <v/>
      </c>
      <c r="C226" s="108" t="str">
        <f t="shared" si="145"/>
        <v/>
      </c>
      <c r="D226" s="3"/>
      <c r="E226" s="3"/>
      <c r="F226" s="3"/>
      <c r="G226" s="20">
        <f>IFERROR(INDEX('Input - Convenience'!F$2:F$200,MATCH('Calculations - Convenience'!$C226,'Input - Convenience'!$B$2:$B$200,0)),"")</f>
        <v>0</v>
      </c>
      <c r="H226" s="20">
        <f>IFERROR(INDEX('Input - Convenience'!G$2:G$200,MATCH('Calculations - Convenience'!$C226,'Input - Convenience'!$B$2:$B$200,0)),"")</f>
        <v>0</v>
      </c>
      <c r="I226" s="21">
        <f>IFERROR(INDEX('Input - Convenience'!H$2:H$200,MATCH('Calculations - Convenience'!$C226,'Input - Convenience'!$B$2:$B$200,0)),"")</f>
        <v>0</v>
      </c>
      <c r="J226" s="21">
        <f>IFERROR(INDEX('Input - Convenience'!I$2:I$200,MATCH('Calculations - Convenience'!$C226,'Input - Convenience'!$B$2:$B$200,0)),"")</f>
        <v>0</v>
      </c>
      <c r="K226" s="20">
        <f>IFERROR(INDEX('Input - Convenience'!J$2:J$200,MATCH('Calculations - Convenience'!$C226,'Input - Convenience'!$B$2:$B$200,0)),"")</f>
        <v>0</v>
      </c>
      <c r="L226" s="20">
        <f>IFERROR(INDEX('Input - Convenience'!K$2:K$200,MATCH('Calculations - Convenience'!$C226,'Input - Convenience'!$B$2:$B$200,0)),"")</f>
        <v>0</v>
      </c>
      <c r="M226" s="21" t="str">
        <f t="shared" si="160"/>
        <v/>
      </c>
      <c r="N226" s="21" t="str">
        <f t="shared" si="146"/>
        <v/>
      </c>
      <c r="O226" s="21">
        <f t="shared" si="161"/>
        <v>0</v>
      </c>
      <c r="P226" s="9">
        <f t="shared" si="143"/>
        <v>0</v>
      </c>
      <c r="Q226" s="9">
        <f t="shared" si="144"/>
        <v>0</v>
      </c>
      <c r="R226" s="22" t="str">
        <f>IFERROR(INDEX(Convenience!$N$11:$N$148,MATCH('Calculations - Convenience'!$C226,Convenience!$J$11:$J$148,0)),"")</f>
        <v/>
      </c>
      <c r="S226" s="22" t="str">
        <f>IFERROR(INDEX(Convenience!$O$11:$O$148,MATCH('Calculations - Convenience'!$C226,Convenience!$J$11:$J$148,0)),"")</f>
        <v/>
      </c>
      <c r="T226" s="16" t="e">
        <f t="shared" si="147"/>
        <v>#VALUE!</v>
      </c>
      <c r="U226" s="16" t="e">
        <f t="shared" si="162"/>
        <v>#VALUE!</v>
      </c>
      <c r="V226" s="16" t="e">
        <f t="shared" si="163"/>
        <v>#VALUE!</v>
      </c>
      <c r="W226" s="10" t="str">
        <f t="shared" si="148"/>
        <v>-</v>
      </c>
      <c r="X226" s="10" t="str">
        <f t="shared" si="149"/>
        <v>-</v>
      </c>
      <c r="Y226" s="13" t="str">
        <f t="shared" si="164"/>
        <v>-</v>
      </c>
      <c r="Z226" s="9" t="str">
        <f t="shared" si="150"/>
        <v>-</v>
      </c>
      <c r="AA226" s="16" t="str">
        <f t="shared" si="165"/>
        <v>-</v>
      </c>
      <c r="AB226" s="16" t="str">
        <f t="shared" si="151"/>
        <v>-</v>
      </c>
      <c r="AC226" s="16" t="str">
        <f t="shared" si="152"/>
        <v>-</v>
      </c>
      <c r="AD226" s="16" t="str">
        <f t="shared" si="166"/>
        <v>-</v>
      </c>
      <c r="AE226" s="16"/>
      <c r="AF226" s="31" t="str">
        <f>IFERROR(INDEX(Convenience!$M$11:$M$148,MATCH('Calculations - Convenience'!C226,Convenience!$J$11:$J$148,0)),"")</f>
        <v/>
      </c>
      <c r="AG226" s="23" t="str">
        <f t="shared" si="167"/>
        <v/>
      </c>
      <c r="AH226" s="23" t="str">
        <f t="shared" si="167"/>
        <v/>
      </c>
      <c r="AI226" s="9" t="str">
        <f t="shared" si="153"/>
        <v/>
      </c>
      <c r="AJ226" s="4" t="str">
        <f t="shared" si="154"/>
        <v/>
      </c>
      <c r="AK226" s="4"/>
      <c r="AL226" s="4"/>
      <c r="AM226" s="4"/>
      <c r="AN226" s="4"/>
      <c r="AO226" s="4"/>
      <c r="AP226" s="20" t="str">
        <f t="shared" si="155"/>
        <v>-</v>
      </c>
      <c r="AQ226" s="13" t="str">
        <f t="shared" si="168"/>
        <v>-</v>
      </c>
      <c r="AR226" s="13" t="str">
        <f t="shared" si="169"/>
        <v>-</v>
      </c>
      <c r="AS226" s="13" t="str">
        <f t="shared" si="156"/>
        <v>-</v>
      </c>
      <c r="AT226" s="16" t="str">
        <f t="shared" si="170"/>
        <v>-</v>
      </c>
      <c r="AU226" s="16" t="str">
        <f t="shared" si="157"/>
        <v>-</v>
      </c>
      <c r="AV226" s="16" t="str">
        <f t="shared" si="158"/>
        <v>-</v>
      </c>
      <c r="AW226" s="16" t="str">
        <f t="shared" si="171"/>
        <v>-</v>
      </c>
      <c r="AX226" s="13" t="str">
        <f t="shared" si="172"/>
        <v>-</v>
      </c>
      <c r="AY226" s="10" t="str">
        <f t="shared" si="173"/>
        <v>-</v>
      </c>
      <c r="AZ226" s="9" t="str">
        <f t="shared" si="174"/>
        <v>-</v>
      </c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</row>
    <row r="227" spans="2:68" x14ac:dyDescent="0.3">
      <c r="B227" s="108" t="str">
        <f t="shared" si="159"/>
        <v/>
      </c>
      <c r="C227" s="108" t="str">
        <f t="shared" si="145"/>
        <v/>
      </c>
      <c r="D227" s="3"/>
      <c r="E227" s="3"/>
      <c r="F227" s="3"/>
      <c r="G227" s="20">
        <f>IFERROR(INDEX('Input - Convenience'!F$2:F$200,MATCH('Calculations - Convenience'!$C227,'Input - Convenience'!$B$2:$B$200,0)),"")</f>
        <v>0</v>
      </c>
      <c r="H227" s="20">
        <f>IFERROR(INDEX('Input - Convenience'!G$2:G$200,MATCH('Calculations - Convenience'!$C227,'Input - Convenience'!$B$2:$B$200,0)),"")</f>
        <v>0</v>
      </c>
      <c r="I227" s="21">
        <f>IFERROR(INDEX('Input - Convenience'!H$2:H$200,MATCH('Calculations - Convenience'!$C227,'Input - Convenience'!$B$2:$B$200,0)),"")</f>
        <v>0</v>
      </c>
      <c r="J227" s="21">
        <f>IFERROR(INDEX('Input - Convenience'!I$2:I$200,MATCH('Calculations - Convenience'!$C227,'Input - Convenience'!$B$2:$B$200,0)),"")</f>
        <v>0</v>
      </c>
      <c r="K227" s="20">
        <f>IFERROR(INDEX('Input - Convenience'!J$2:J$200,MATCH('Calculations - Convenience'!$C227,'Input - Convenience'!$B$2:$B$200,0)),"")</f>
        <v>0</v>
      </c>
      <c r="L227" s="20">
        <f>IFERROR(INDEX('Input - Convenience'!K$2:K$200,MATCH('Calculations - Convenience'!$C227,'Input - Convenience'!$B$2:$B$200,0)),"")</f>
        <v>0</v>
      </c>
      <c r="M227" s="21" t="str">
        <f t="shared" si="160"/>
        <v/>
      </c>
      <c r="N227" s="21" t="str">
        <f t="shared" si="146"/>
        <v/>
      </c>
      <c r="O227" s="21">
        <f t="shared" si="161"/>
        <v>0</v>
      </c>
      <c r="P227" s="9">
        <f t="shared" si="143"/>
        <v>0</v>
      </c>
      <c r="Q227" s="9">
        <f t="shared" si="144"/>
        <v>0</v>
      </c>
      <c r="R227" s="22" t="str">
        <f>IFERROR(INDEX(Convenience!$N$11:$N$148,MATCH('Calculations - Convenience'!$C227,Convenience!$J$11:$J$148,0)),"")</f>
        <v/>
      </c>
      <c r="S227" s="22" t="str">
        <f>IFERROR(INDEX(Convenience!$O$11:$O$148,MATCH('Calculations - Convenience'!$C227,Convenience!$J$11:$J$148,0)),"")</f>
        <v/>
      </c>
      <c r="T227" s="16" t="e">
        <f t="shared" si="147"/>
        <v>#VALUE!</v>
      </c>
      <c r="U227" s="16" t="e">
        <f t="shared" si="162"/>
        <v>#VALUE!</v>
      </c>
      <c r="V227" s="16" t="e">
        <f t="shared" si="163"/>
        <v>#VALUE!</v>
      </c>
      <c r="W227" s="10" t="str">
        <f t="shared" si="148"/>
        <v>-</v>
      </c>
      <c r="X227" s="10" t="str">
        <f t="shared" si="149"/>
        <v>-</v>
      </c>
      <c r="Y227" s="13" t="str">
        <f t="shared" si="164"/>
        <v>-</v>
      </c>
      <c r="Z227" s="9" t="str">
        <f t="shared" si="150"/>
        <v>-</v>
      </c>
      <c r="AA227" s="16" t="str">
        <f t="shared" si="165"/>
        <v>-</v>
      </c>
      <c r="AB227" s="16" t="str">
        <f t="shared" si="151"/>
        <v>-</v>
      </c>
      <c r="AC227" s="16" t="str">
        <f t="shared" si="152"/>
        <v>-</v>
      </c>
      <c r="AD227" s="16" t="str">
        <f t="shared" si="166"/>
        <v>-</v>
      </c>
      <c r="AE227" s="16"/>
      <c r="AF227" s="31" t="str">
        <f>IFERROR(INDEX(Convenience!$M$11:$M$148,MATCH('Calculations - Convenience'!C227,Convenience!$J$11:$J$148,0)),"")</f>
        <v/>
      </c>
      <c r="AG227" s="23" t="str">
        <f t="shared" si="167"/>
        <v/>
      </c>
      <c r="AH227" s="23" t="str">
        <f t="shared" si="167"/>
        <v/>
      </c>
      <c r="AI227" s="9" t="str">
        <f t="shared" si="153"/>
        <v/>
      </c>
      <c r="AJ227" s="4" t="str">
        <f t="shared" si="154"/>
        <v/>
      </c>
      <c r="AK227" s="4"/>
      <c r="AL227" s="4"/>
      <c r="AM227" s="4"/>
      <c r="AN227" s="4"/>
      <c r="AO227" s="4"/>
      <c r="AP227" s="20" t="str">
        <f t="shared" si="155"/>
        <v>-</v>
      </c>
      <c r="AQ227" s="13" t="str">
        <f t="shared" si="168"/>
        <v>-</v>
      </c>
      <c r="AR227" s="13" t="str">
        <f t="shared" si="169"/>
        <v>-</v>
      </c>
      <c r="AS227" s="13" t="str">
        <f t="shared" si="156"/>
        <v>-</v>
      </c>
      <c r="AT227" s="16" t="str">
        <f t="shared" si="170"/>
        <v>-</v>
      </c>
      <c r="AU227" s="16" t="str">
        <f t="shared" si="157"/>
        <v>-</v>
      </c>
      <c r="AV227" s="16" t="str">
        <f t="shared" si="158"/>
        <v>-</v>
      </c>
      <c r="AW227" s="16" t="str">
        <f t="shared" si="171"/>
        <v>-</v>
      </c>
      <c r="AX227" s="13" t="str">
        <f t="shared" si="172"/>
        <v>-</v>
      </c>
      <c r="AY227" s="10" t="str">
        <f t="shared" si="173"/>
        <v>-</v>
      </c>
      <c r="AZ227" s="9" t="str">
        <f t="shared" si="174"/>
        <v>-</v>
      </c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</row>
    <row r="228" spans="2:68" x14ac:dyDescent="0.3">
      <c r="B228" s="108" t="str">
        <f t="shared" si="159"/>
        <v/>
      </c>
      <c r="C228" s="108" t="str">
        <f t="shared" si="145"/>
        <v/>
      </c>
      <c r="D228" s="3"/>
      <c r="E228" s="3"/>
      <c r="F228" s="3"/>
      <c r="G228" s="20">
        <f>IFERROR(INDEX('Input - Convenience'!F$2:F$200,MATCH('Calculations - Convenience'!$C228,'Input - Convenience'!$B$2:$B$200,0)),"")</f>
        <v>0</v>
      </c>
      <c r="H228" s="20">
        <f>IFERROR(INDEX('Input - Convenience'!G$2:G$200,MATCH('Calculations - Convenience'!$C228,'Input - Convenience'!$B$2:$B$200,0)),"")</f>
        <v>0</v>
      </c>
      <c r="I228" s="21">
        <f>IFERROR(INDEX('Input - Convenience'!H$2:H$200,MATCH('Calculations - Convenience'!$C228,'Input - Convenience'!$B$2:$B$200,0)),"")</f>
        <v>0</v>
      </c>
      <c r="J228" s="21">
        <f>IFERROR(INDEX('Input - Convenience'!I$2:I$200,MATCH('Calculations - Convenience'!$C228,'Input - Convenience'!$B$2:$B$200,0)),"")</f>
        <v>0</v>
      </c>
      <c r="K228" s="20">
        <f>IFERROR(INDEX('Input - Convenience'!J$2:J$200,MATCH('Calculations - Convenience'!$C228,'Input - Convenience'!$B$2:$B$200,0)),"")</f>
        <v>0</v>
      </c>
      <c r="L228" s="20">
        <f>IFERROR(INDEX('Input - Convenience'!K$2:K$200,MATCH('Calculations - Convenience'!$C228,'Input - Convenience'!$B$2:$B$200,0)),"")</f>
        <v>0</v>
      </c>
      <c r="M228" s="21" t="str">
        <f t="shared" si="160"/>
        <v/>
      </c>
      <c r="N228" s="21" t="str">
        <f t="shared" si="146"/>
        <v/>
      </c>
      <c r="O228" s="21">
        <f t="shared" si="161"/>
        <v>0</v>
      </c>
      <c r="P228" s="9">
        <f t="shared" si="143"/>
        <v>0</v>
      </c>
      <c r="Q228" s="9">
        <f t="shared" si="144"/>
        <v>0</v>
      </c>
      <c r="R228" s="22" t="str">
        <f>IFERROR(INDEX(Convenience!$N$11:$N$148,MATCH('Calculations - Convenience'!$C228,Convenience!$J$11:$J$148,0)),"")</f>
        <v/>
      </c>
      <c r="S228" s="22" t="str">
        <f>IFERROR(INDEX(Convenience!$O$11:$O$148,MATCH('Calculations - Convenience'!$C228,Convenience!$J$11:$J$148,0)),"")</f>
        <v/>
      </c>
      <c r="T228" s="16" t="e">
        <f t="shared" si="147"/>
        <v>#VALUE!</v>
      </c>
      <c r="U228" s="16" t="e">
        <f t="shared" si="162"/>
        <v>#VALUE!</v>
      </c>
      <c r="V228" s="16" t="e">
        <f t="shared" si="163"/>
        <v>#VALUE!</v>
      </c>
      <c r="W228" s="10" t="str">
        <f t="shared" si="148"/>
        <v>-</v>
      </c>
      <c r="X228" s="10" t="str">
        <f t="shared" si="149"/>
        <v>-</v>
      </c>
      <c r="Y228" s="13" t="str">
        <f t="shared" si="164"/>
        <v>-</v>
      </c>
      <c r="Z228" s="9" t="str">
        <f t="shared" si="150"/>
        <v>-</v>
      </c>
      <c r="AA228" s="16" t="str">
        <f t="shared" si="165"/>
        <v>-</v>
      </c>
      <c r="AB228" s="16" t="str">
        <f t="shared" si="151"/>
        <v>-</v>
      </c>
      <c r="AC228" s="16" t="str">
        <f t="shared" si="152"/>
        <v>-</v>
      </c>
      <c r="AD228" s="16" t="str">
        <f t="shared" si="166"/>
        <v>-</v>
      </c>
      <c r="AE228" s="16"/>
      <c r="AF228" s="31" t="str">
        <f>IFERROR(INDEX(Convenience!$M$11:$M$148,MATCH('Calculations - Convenience'!C228,Convenience!$J$11:$J$148,0)),"")</f>
        <v/>
      </c>
      <c r="AG228" s="23" t="str">
        <f t="shared" si="167"/>
        <v/>
      </c>
      <c r="AH228" s="23" t="str">
        <f t="shared" si="167"/>
        <v/>
      </c>
      <c r="AI228" s="9" t="str">
        <f t="shared" si="153"/>
        <v/>
      </c>
      <c r="AJ228" s="4" t="str">
        <f t="shared" si="154"/>
        <v/>
      </c>
      <c r="AK228" s="4"/>
      <c r="AL228" s="4"/>
      <c r="AM228" s="4"/>
      <c r="AN228" s="4"/>
      <c r="AO228" s="4"/>
      <c r="AP228" s="20" t="str">
        <f t="shared" si="155"/>
        <v>-</v>
      </c>
      <c r="AQ228" s="13" t="str">
        <f t="shared" si="168"/>
        <v>-</v>
      </c>
      <c r="AR228" s="13" t="str">
        <f t="shared" si="169"/>
        <v>-</v>
      </c>
      <c r="AS228" s="13" t="str">
        <f t="shared" si="156"/>
        <v>-</v>
      </c>
      <c r="AT228" s="16" t="str">
        <f t="shared" si="170"/>
        <v>-</v>
      </c>
      <c r="AU228" s="16" t="str">
        <f t="shared" si="157"/>
        <v>-</v>
      </c>
      <c r="AV228" s="16" t="str">
        <f t="shared" si="158"/>
        <v>-</v>
      </c>
      <c r="AW228" s="16" t="str">
        <f t="shared" si="171"/>
        <v>-</v>
      </c>
      <c r="AX228" s="13" t="str">
        <f t="shared" si="172"/>
        <v>-</v>
      </c>
      <c r="AY228" s="10" t="str">
        <f t="shared" si="173"/>
        <v>-</v>
      </c>
      <c r="AZ228" s="9" t="str">
        <f t="shared" si="174"/>
        <v>-</v>
      </c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</row>
    <row r="229" spans="2:68" x14ac:dyDescent="0.3">
      <c r="B229" s="108" t="str">
        <f t="shared" si="159"/>
        <v/>
      </c>
      <c r="C229" s="108" t="str">
        <f t="shared" si="145"/>
        <v/>
      </c>
      <c r="D229" s="3"/>
      <c r="E229" s="3"/>
      <c r="F229" s="3"/>
      <c r="G229" s="20">
        <f>IFERROR(INDEX('Input - Convenience'!F$2:F$200,MATCH('Calculations - Convenience'!$C229,'Input - Convenience'!$B$2:$B$200,0)),"")</f>
        <v>0</v>
      </c>
      <c r="H229" s="20">
        <f>IFERROR(INDEX('Input - Convenience'!G$2:G$200,MATCH('Calculations - Convenience'!$C229,'Input - Convenience'!$B$2:$B$200,0)),"")</f>
        <v>0</v>
      </c>
      <c r="I229" s="21">
        <f>IFERROR(INDEX('Input - Convenience'!H$2:H$200,MATCH('Calculations - Convenience'!$C229,'Input - Convenience'!$B$2:$B$200,0)),"")</f>
        <v>0</v>
      </c>
      <c r="J229" s="21">
        <f>IFERROR(INDEX('Input - Convenience'!I$2:I$200,MATCH('Calculations - Convenience'!$C229,'Input - Convenience'!$B$2:$B$200,0)),"")</f>
        <v>0</v>
      </c>
      <c r="K229" s="20">
        <f>IFERROR(INDEX('Input - Convenience'!J$2:J$200,MATCH('Calculations - Convenience'!$C229,'Input - Convenience'!$B$2:$B$200,0)),"")</f>
        <v>0</v>
      </c>
      <c r="L229" s="20">
        <f>IFERROR(INDEX('Input - Convenience'!K$2:K$200,MATCH('Calculations - Convenience'!$C229,'Input - Convenience'!$B$2:$B$200,0)),"")</f>
        <v>0</v>
      </c>
      <c r="M229" s="21" t="str">
        <f t="shared" si="160"/>
        <v/>
      </c>
      <c r="N229" s="21" t="str">
        <f t="shared" si="146"/>
        <v/>
      </c>
      <c r="O229" s="21">
        <f t="shared" si="161"/>
        <v>0</v>
      </c>
      <c r="P229" s="9">
        <f t="shared" si="143"/>
        <v>0</v>
      </c>
      <c r="Q229" s="9">
        <f t="shared" si="144"/>
        <v>0</v>
      </c>
      <c r="R229" s="22" t="str">
        <f>IFERROR(INDEX(Convenience!$N$11:$N$148,MATCH('Calculations - Convenience'!$C229,Convenience!$J$11:$J$148,0)),"")</f>
        <v/>
      </c>
      <c r="S229" s="22" t="str">
        <f>IFERROR(INDEX(Convenience!$O$11:$O$148,MATCH('Calculations - Convenience'!$C229,Convenience!$J$11:$J$148,0)),"")</f>
        <v/>
      </c>
      <c r="T229" s="16" t="e">
        <f t="shared" si="147"/>
        <v>#VALUE!</v>
      </c>
      <c r="U229" s="16" t="e">
        <f t="shared" si="162"/>
        <v>#VALUE!</v>
      </c>
      <c r="V229" s="16" t="e">
        <f t="shared" si="163"/>
        <v>#VALUE!</v>
      </c>
      <c r="W229" s="10" t="str">
        <f t="shared" si="148"/>
        <v>-</v>
      </c>
      <c r="X229" s="10" t="str">
        <f t="shared" si="149"/>
        <v>-</v>
      </c>
      <c r="Y229" s="13" t="str">
        <f t="shared" si="164"/>
        <v>-</v>
      </c>
      <c r="Z229" s="9" t="str">
        <f t="shared" si="150"/>
        <v>-</v>
      </c>
      <c r="AA229" s="16" t="str">
        <f t="shared" si="165"/>
        <v>-</v>
      </c>
      <c r="AB229" s="16" t="str">
        <f t="shared" si="151"/>
        <v>-</v>
      </c>
      <c r="AC229" s="16" t="str">
        <f t="shared" si="152"/>
        <v>-</v>
      </c>
      <c r="AD229" s="16" t="str">
        <f t="shared" si="166"/>
        <v>-</v>
      </c>
      <c r="AE229" s="16"/>
      <c r="AF229" s="31" t="str">
        <f>IFERROR(INDEX(Convenience!$M$11:$M$148,MATCH('Calculations - Convenience'!C229,Convenience!$J$11:$J$148,0)),"")</f>
        <v/>
      </c>
      <c r="AG229" s="23" t="str">
        <f t="shared" si="167"/>
        <v/>
      </c>
      <c r="AH229" s="23" t="str">
        <f t="shared" si="167"/>
        <v/>
      </c>
      <c r="AI229" s="9" t="str">
        <f t="shared" si="153"/>
        <v/>
      </c>
      <c r="AJ229" s="4" t="str">
        <f t="shared" si="154"/>
        <v/>
      </c>
      <c r="AK229" s="4"/>
      <c r="AL229" s="4"/>
      <c r="AM229" s="4"/>
      <c r="AN229" s="4"/>
      <c r="AO229" s="4"/>
      <c r="AP229" s="20" t="str">
        <f t="shared" si="155"/>
        <v>-</v>
      </c>
      <c r="AQ229" s="13" t="str">
        <f t="shared" si="168"/>
        <v>-</v>
      </c>
      <c r="AR229" s="13" t="str">
        <f t="shared" si="169"/>
        <v>-</v>
      </c>
      <c r="AS229" s="13" t="str">
        <f t="shared" si="156"/>
        <v>-</v>
      </c>
      <c r="AT229" s="16" t="str">
        <f t="shared" si="170"/>
        <v>-</v>
      </c>
      <c r="AU229" s="16" t="str">
        <f t="shared" si="157"/>
        <v>-</v>
      </c>
      <c r="AV229" s="16" t="str">
        <f t="shared" si="158"/>
        <v>-</v>
      </c>
      <c r="AW229" s="16" t="str">
        <f t="shared" si="171"/>
        <v>-</v>
      </c>
      <c r="AX229" s="13" t="str">
        <f t="shared" si="172"/>
        <v>-</v>
      </c>
      <c r="AY229" s="10" t="str">
        <f t="shared" si="173"/>
        <v>-</v>
      </c>
      <c r="AZ229" s="9" t="str">
        <f t="shared" si="174"/>
        <v>-</v>
      </c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73DBB-480B-4161-A8E9-1F6F51A001FE}">
  <sheetPr codeName="Sheet12"/>
  <dimension ref="A1:Z125"/>
  <sheetViews>
    <sheetView showGridLines="0" zoomScale="55" zoomScaleNormal="55" workbookViewId="0"/>
  </sheetViews>
  <sheetFormatPr defaultColWidth="15.77734375" defaultRowHeight="14.4" x14ac:dyDescent="0.3"/>
  <cols>
    <col min="1" max="1" width="8.88671875" style="103" customWidth="1"/>
    <col min="2" max="2" width="43.88671875" style="103" bestFit="1" customWidth="1"/>
    <col min="3" max="3" width="33.44140625" style="103" bestFit="1" customWidth="1"/>
    <col min="4" max="4" width="32.109375" style="103" bestFit="1" customWidth="1"/>
    <col min="5" max="5" width="34.88671875" style="103" bestFit="1" customWidth="1"/>
    <col min="6" max="6" width="23.5546875" style="103" bestFit="1" customWidth="1"/>
    <col min="7" max="7" width="33.44140625" style="103" bestFit="1" customWidth="1"/>
    <col min="8" max="8" width="25.77734375" style="103" customWidth="1"/>
    <col min="9" max="9" width="27.88671875" style="103" customWidth="1"/>
    <col min="10" max="10" width="23.5546875" style="103" hidden="1" customWidth="1"/>
    <col min="11" max="11" width="23.5546875" style="103" bestFit="1" customWidth="1"/>
    <col min="12" max="12" width="31.6640625" style="103" customWidth="1"/>
    <col min="13" max="13" width="35.21875" style="103" customWidth="1"/>
    <col min="14" max="14" width="26.88671875" style="103" customWidth="1"/>
    <col min="15" max="15" width="34.6640625" style="103" customWidth="1"/>
    <col min="16" max="18" width="30.77734375" style="103" customWidth="1"/>
    <col min="19" max="19" width="45.77734375" style="103" customWidth="1"/>
    <col min="20" max="20" width="33.44140625" style="103" bestFit="1" customWidth="1"/>
    <col min="21" max="23" width="29.33203125" style="103" bestFit="1" customWidth="1"/>
    <col min="24" max="24" width="34.88671875" style="103" bestFit="1" customWidth="1"/>
    <col min="25" max="16384" width="15.77734375" style="103"/>
  </cols>
  <sheetData>
    <row r="1" spans="1:24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1:24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</row>
    <row r="3" spans="1:24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4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4" ht="25.05" customHeight="1" x14ac:dyDescent="0.3">
      <c r="A6"/>
      <c r="B6" s="160" t="s">
        <v>114</v>
      </c>
      <c r="C6" s="160"/>
      <c r="D6"/>
      <c r="E6"/>
      <c r="F6"/>
      <c r="G6"/>
      <c r="H6"/>
      <c r="I6"/>
      <c r="J6"/>
      <c r="K6" s="69" t="s">
        <v>64</v>
      </c>
      <c r="L6" s="116" t="s">
        <v>118</v>
      </c>
      <c r="M6"/>
      <c r="N6"/>
      <c r="O6"/>
      <c r="P6"/>
      <c r="Q6"/>
      <c r="R6"/>
      <c r="S6"/>
      <c r="T6"/>
      <c r="U6"/>
      <c r="V6"/>
      <c r="W6"/>
      <c r="X6"/>
    </row>
    <row r="7" spans="1:24" ht="25.0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24" ht="25.8" x14ac:dyDescent="0.5">
      <c r="A8"/>
      <c r="B8" s="159" t="s">
        <v>77</v>
      </c>
      <c r="C8" s="159"/>
      <c r="D8" s="159"/>
      <c r="E8" s="159"/>
      <c r="F8" s="159"/>
      <c r="G8" s="159"/>
      <c r="H8" s="159"/>
      <c r="I8" s="34"/>
      <c r="J8"/>
      <c r="K8" s="159" t="s">
        <v>50</v>
      </c>
      <c r="L8" s="159"/>
      <c r="M8" s="159"/>
      <c r="N8" s="159"/>
      <c r="O8" s="159"/>
      <c r="P8" s="159"/>
      <c r="Q8" s="159"/>
      <c r="R8"/>
      <c r="S8" s="158" t="s">
        <v>78</v>
      </c>
      <c r="T8" s="158"/>
      <c r="U8" s="158"/>
      <c r="V8" s="158"/>
      <c r="W8" s="158"/>
      <c r="X8" s="141"/>
    </row>
    <row r="9" spans="1:24" ht="60" customHeight="1" thickBot="1" x14ac:dyDescent="0.55000000000000004">
      <c r="A9"/>
      <c r="B9" s="34"/>
      <c r="C9" s="34"/>
      <c r="D9" s="34"/>
      <c r="E9" s="34"/>
      <c r="F9" s="34"/>
      <c r="G9" s="34"/>
      <c r="H9" s="34"/>
      <c r="I9"/>
      <c r="J9"/>
      <c r="K9"/>
      <c r="L9"/>
      <c r="M9"/>
      <c r="N9"/>
      <c r="O9"/>
      <c r="P9"/>
      <c r="Q9" s="117" t="s">
        <v>100</v>
      </c>
      <c r="R9" s="117"/>
      <c r="S9"/>
      <c r="T9"/>
      <c r="U9"/>
      <c r="V9"/>
      <c r="W9"/>
      <c r="X9"/>
    </row>
    <row r="10" spans="1:24" ht="30" customHeight="1" thickBot="1" x14ac:dyDescent="0.35">
      <c r="A10"/>
      <c r="B10"/>
      <c r="C10"/>
      <c r="D10"/>
      <c r="E10"/>
      <c r="F10"/>
      <c r="G10"/>
      <c r="H10"/>
      <c r="I10"/>
      <c r="J10"/>
      <c r="K10" s="42"/>
      <c r="L10" s="32" t="s">
        <v>10</v>
      </c>
      <c r="M10" s="32" t="s">
        <v>51</v>
      </c>
      <c r="N10" s="32" t="s">
        <v>52</v>
      </c>
      <c r="O10" s="32" t="s">
        <v>53</v>
      </c>
      <c r="P10" s="32" t="s">
        <v>54</v>
      </c>
      <c r="Q10" s="32" t="s">
        <v>19</v>
      </c>
      <c r="R10" s="32"/>
      <c r="S10" s="150" t="s">
        <v>67</v>
      </c>
      <c r="T10" s="152" t="s">
        <v>107</v>
      </c>
      <c r="U10" s="153"/>
      <c r="V10" s="156" t="s">
        <v>56</v>
      </c>
      <c r="W10" s="157"/>
      <c r="X10"/>
    </row>
    <row r="11" spans="1:24" ht="25.05" customHeight="1" thickBot="1" x14ac:dyDescent="0.45">
      <c r="A11"/>
      <c r="B11" s="161" t="s">
        <v>55</v>
      </c>
      <c r="C11" s="135" t="s">
        <v>107</v>
      </c>
      <c r="D11" s="67" t="s">
        <v>56</v>
      </c>
      <c r="E11" s="62"/>
      <c r="F11" s="152" t="s">
        <v>107</v>
      </c>
      <c r="G11" s="153"/>
      <c r="H11" s="61" t="s">
        <v>56</v>
      </c>
      <c r="I11"/>
      <c r="J11" s="47" t="s">
        <v>9</v>
      </c>
      <c r="K11" s="42"/>
      <c r="L11" s="165" t="str">
        <f>'Calculations - Convenience'!F4</f>
        <v>HP</v>
      </c>
      <c r="M11" s="165"/>
      <c r="N11" s="42"/>
      <c r="O11" s="42"/>
      <c r="P11" s="41">
        <f>M12/L12-1</f>
        <v>0</v>
      </c>
      <c r="Q11"/>
      <c r="R11"/>
      <c r="S11" s="151"/>
      <c r="T11" s="78" t="s">
        <v>57</v>
      </c>
      <c r="U11" s="80" t="s">
        <v>66</v>
      </c>
      <c r="V11" s="79" t="s">
        <v>57</v>
      </c>
      <c r="W11" s="68" t="s">
        <v>66</v>
      </c>
      <c r="X11"/>
    </row>
    <row r="12" spans="1:24" ht="25.05" customHeight="1" thickBot="1" x14ac:dyDescent="0.35">
      <c r="A12"/>
      <c r="B12" s="162"/>
      <c r="C12" s="136" t="s">
        <v>57</v>
      </c>
      <c r="D12" s="68" t="s">
        <v>57</v>
      </c>
      <c r="E12" s="62"/>
      <c r="F12" s="78" t="s">
        <v>57</v>
      </c>
      <c r="G12" s="80" t="s">
        <v>66</v>
      </c>
      <c r="H12" s="63" t="s">
        <v>57</v>
      </c>
      <c r="I12"/>
      <c r="J12" t="str">
        <f>$L$6&amp;L11&amp;K12</f>
        <v>ConvenienceHP</v>
      </c>
      <c r="K12" s="42"/>
      <c r="L12" s="48">
        <f>INDEX('Calculations - Convenience'!$M$3:$M$24,MATCH(J12,'Calculations - Convenience'!$D$3:$D$24,0))</f>
        <v>6.2798077051495431</v>
      </c>
      <c r="M12" s="49">
        <f>INDEX('Calculations - Convenience'!$AF$3:$AF$24,MATCH(J12,'Calculations - Convenience'!$D$3:$D$24,0))</f>
        <v>6.2798077051495449</v>
      </c>
      <c r="N12" s="64">
        <f>INDEX('Calculations - Convenience'!$R$3:$R$24,MATCH(Convenience!$L$6&amp;Convenience!$L11,'Calculations - Convenience'!$D$3:$D$24,0))</f>
        <v>0.8</v>
      </c>
      <c r="O12" s="64">
        <f>INDEX('Calculations - Convenience'!$S$3:$S$24,MATCH(Convenience!$L$6&amp;Convenience!$L11,'Calculations - Convenience'!$D$3:$D$24,0))</f>
        <v>0.3</v>
      </c>
      <c r="P12" s="42"/>
      <c r="Q12" s="121">
        <f>SUM(Q13:Q15)</f>
        <v>1</v>
      </c>
      <c r="R12"/>
      <c r="S12" s="125" t="s">
        <v>58</v>
      </c>
      <c r="T12" s="126">
        <f>INDEX('Calculations - Convenience'!$AU$4:$AU$24,MATCH(Convenience!T$10,'Calculations - Convenience'!$F$4:$F$24,0))</f>
        <v>291265.21000000002</v>
      </c>
      <c r="U12" s="137">
        <f>T12/C13-1</f>
        <v>0</v>
      </c>
      <c r="V12" s="127">
        <f>INDEX('Calculations - Convenience'!$AU$4:$AU$24,MATCH(Convenience!V$10,'Calculations - Convenience'!$F$4:$F$24,0))</f>
        <v>291265.21000000002</v>
      </c>
      <c r="W12" s="137">
        <f>V12/D13-1</f>
        <v>0</v>
      </c>
      <c r="X12"/>
    </row>
    <row r="13" spans="1:24" ht="25.05" customHeight="1" x14ac:dyDescent="0.3">
      <c r="A13"/>
      <c r="B13" s="130" t="s">
        <v>58</v>
      </c>
      <c r="C13" s="131">
        <f>INDEX('Calculations - Convenience'!$H$4:$H$24,MATCH(Convenience!C$11,'Calculations - Convenience'!$F$4:$F$24,0))</f>
        <v>291265.21000000002</v>
      </c>
      <c r="D13" s="132">
        <f>INDEX('Calculations - Convenience'!$H$4:$H$24,MATCH(Convenience!D$11,'Calculations - Convenience'!$F$4:$F$24,0))</f>
        <v>291265.21000000002</v>
      </c>
      <c r="E13" s="36"/>
      <c r="F13" s="73">
        <f>INDEX('Calculations - Convenience'!$AB$4:$AB$24,MATCH(Convenience!F$11,'Calculations - Convenience'!$F$4:$F$24,0))</f>
        <v>291265.21000000002</v>
      </c>
      <c r="G13" s="137">
        <f>F13/C13-1</f>
        <v>0</v>
      </c>
      <c r="H13" s="89">
        <f>INDEX('Calculations - Convenience'!$AB$4:$AB$24,MATCH(Convenience!H$11,'Calculations - Convenience'!$F$4:$F$24,0))</f>
        <v>291265.21000000002</v>
      </c>
      <c r="I13"/>
      <c r="J13" t="str">
        <f>$L$6&amp;L11&amp;K13</f>
        <v>ConvenienceHPSmall</v>
      </c>
      <c r="K13" s="33" t="s">
        <v>113</v>
      </c>
      <c r="L13" s="50">
        <f>IFERROR(INDEX('Calculations - Convenience'!$M$32:$M$229,MATCH($J13,'Calculations - Convenience'!$C$32:$C$229,0)),0)</f>
        <v>0</v>
      </c>
      <c r="M13" s="51">
        <f>L13</f>
        <v>0</v>
      </c>
      <c r="N13" s="65">
        <v>0.8</v>
      </c>
      <c r="O13" s="65">
        <v>0.3</v>
      </c>
      <c r="P13" s="41">
        <f>IFERROR(M13/L13-1,0)</f>
        <v>0</v>
      </c>
      <c r="Q13" s="122" t="str">
        <f>IFERROR(INDEX('Calculations - Convenience'!$AZ$32:$AZ$229,MATCH($J13,'Calculations - Convenience'!$C$32:$C$229,0)),"-")</f>
        <v>-</v>
      </c>
      <c r="R13"/>
      <c r="S13" s="70" t="s">
        <v>3</v>
      </c>
      <c r="T13" s="74">
        <f>INDEX('Calculations - Convenience'!$AT$4:$AT$24,MATCH(Convenience!T$10,'Calculations - Convenience'!$F$4:$F$24,0))</f>
        <v>1829089.5100000005</v>
      </c>
      <c r="U13" s="138">
        <f>T13/C14-1</f>
        <v>0</v>
      </c>
      <c r="V13" s="72">
        <f>INDEX('Calculations - Convenience'!$AT$4:$AT$24,MATCH(Convenience!V$10,'Calculations - Convenience'!$F$4:$F$24,0))</f>
        <v>1829089.5100000005</v>
      </c>
      <c r="W13" s="138">
        <f>V13/D14-1</f>
        <v>0</v>
      </c>
      <c r="X13"/>
    </row>
    <row r="14" spans="1:24" ht="25.05" customHeight="1" x14ac:dyDescent="0.45">
      <c r="A14"/>
      <c r="B14" s="83" t="s">
        <v>3</v>
      </c>
      <c r="C14" s="90">
        <f>INDEX('Calculations - Convenience'!$G$4:$G$24,MATCH(Convenience!C$11,'Calculations - Convenience'!$F$4:$F$24,0))</f>
        <v>1829089.51</v>
      </c>
      <c r="D14" s="85">
        <f>INDEX('Calculations - Convenience'!$G$4:$G$24,MATCH(Convenience!D$11,'Calculations - Convenience'!$F$4:$F$24,0))</f>
        <v>1829089.51</v>
      </c>
      <c r="E14" s="37"/>
      <c r="F14" s="74">
        <f>INDEX('Calculations - Convenience'!$AA$4:$AA$24,MATCH(Convenience!F$11,'Calculations - Convenience'!$F$4:$F$24,0))</f>
        <v>1829089.51</v>
      </c>
      <c r="G14" s="138">
        <f>F14/C14-1</f>
        <v>0</v>
      </c>
      <c r="H14" s="90">
        <f>INDEX('Calculations - Convenience'!$AA$4:$AA$24,MATCH(Convenience!H$11,'Calculations - Convenience'!$F$4:$F$24,0))</f>
        <v>1829089.51</v>
      </c>
      <c r="I14"/>
      <c r="J14" t="str">
        <f>$L$6&amp;L11&amp;K14</f>
        <v>ConvenienceHPMedium</v>
      </c>
      <c r="K14" s="33" t="s">
        <v>111</v>
      </c>
      <c r="L14" s="50">
        <f>IFERROR(INDEX('Calculations - Convenience'!$M$32:$M$229,MATCH($J14,'Calculations - Convenience'!$C$32:$C$229,0)),0)</f>
        <v>6.4598428267664181</v>
      </c>
      <c r="M14" s="51">
        <f>L14</f>
        <v>6.4598428267664181</v>
      </c>
      <c r="N14" s="65">
        <v>0.8</v>
      </c>
      <c r="O14" s="65">
        <v>0.3</v>
      </c>
      <c r="P14" s="41">
        <f t="shared" ref="P14:P15" si="0">IFERROR(M14/L14-1,0)</f>
        <v>0</v>
      </c>
      <c r="Q14" s="122">
        <f>IFERROR(INDEX('Calculations - Convenience'!$AZ$32:$AZ$229,MATCH($J14,'Calculations - Convenience'!$C$32:$C$229,0)),"-")</f>
        <v>0.71015894699599513</v>
      </c>
      <c r="R14"/>
      <c r="S14" s="70" t="s">
        <v>59</v>
      </c>
      <c r="T14" s="74">
        <f>INDEX('Calculations - Convenience'!$AV$4:$AV$24,MATCH(Convenience!T$10,'Calculations - Convenience'!$F$4:$F$24,0))</f>
        <v>1463271.6080000005</v>
      </c>
      <c r="U14" s="138">
        <f>T14/C15-1</f>
        <v>0</v>
      </c>
      <c r="V14" s="72" t="s">
        <v>62</v>
      </c>
      <c r="W14" s="138" t="s">
        <v>62</v>
      </c>
      <c r="X14"/>
    </row>
    <row r="15" spans="1:24" ht="25.05" customHeight="1" x14ac:dyDescent="0.3">
      <c r="A15"/>
      <c r="B15" s="83" t="s">
        <v>59</v>
      </c>
      <c r="C15" s="90">
        <f>INDEX('Calculations - Convenience'!$T$4:$T$24,MATCH(Convenience!C$11,'Calculations - Convenience'!$F$4:$F$24,0))</f>
        <v>1463271.608</v>
      </c>
      <c r="D15" s="85">
        <f>INDEX('Calculations - Convenience'!$T$4:$T$24,MATCH(Convenience!D$11,'Calculations - Convenience'!$F$4:$F$24,0))</f>
        <v>1463271.608</v>
      </c>
      <c r="E15" s="38"/>
      <c r="F15" s="74">
        <f>INDEX('Calculations - Convenience'!$AC$4:$AC$24,MATCH(Convenience!F$11,'Calculations - Convenience'!$F$4:$F$24,0))</f>
        <v>1463271.608</v>
      </c>
      <c r="G15" s="138">
        <f>F15/C15-1</f>
        <v>0</v>
      </c>
      <c r="H15" s="90" t="s">
        <v>62</v>
      </c>
      <c r="I15"/>
      <c r="J15" t="str">
        <f>$L$6&amp;L11&amp;K15</f>
        <v>ConvenienceHPLarge</v>
      </c>
      <c r="K15" s="33" t="s">
        <v>112</v>
      </c>
      <c r="L15" s="50">
        <f>IFERROR(INDEX('Calculations - Convenience'!$M$32:$M$229,MATCH($J15,'Calculations - Convenience'!$C$32:$C$229,0)),0)</f>
        <v>5.8425915201167689</v>
      </c>
      <c r="M15" s="51">
        <f>L15</f>
        <v>5.8425915201167689</v>
      </c>
      <c r="N15" s="65">
        <v>0.8</v>
      </c>
      <c r="O15" s="65">
        <v>0.3</v>
      </c>
      <c r="P15" s="41">
        <f t="shared" si="0"/>
        <v>0</v>
      </c>
      <c r="Q15" s="122">
        <f>IFERROR(INDEX('Calculations - Convenience'!$AZ$32:$AZ$229,MATCH($J15,'Calculations - Convenience'!$C$32:$C$229,0)),"-")</f>
        <v>0.28984105300400487</v>
      </c>
      <c r="R15"/>
      <c r="S15" s="70" t="s">
        <v>60</v>
      </c>
      <c r="T15" s="75">
        <f>T14/T12</f>
        <v>5.0238461641196368</v>
      </c>
      <c r="U15" s="138">
        <f>T15/C16-1</f>
        <v>0</v>
      </c>
      <c r="V15" s="72" t="s">
        <v>62</v>
      </c>
      <c r="W15" s="138" t="s">
        <v>62</v>
      </c>
      <c r="X15"/>
    </row>
    <row r="16" spans="1:24" ht="25.05" customHeight="1" x14ac:dyDescent="0.45">
      <c r="A16"/>
      <c r="B16" s="83" t="s">
        <v>60</v>
      </c>
      <c r="C16" s="91">
        <f>C15/C13</f>
        <v>5.023846164119635</v>
      </c>
      <c r="D16" s="86">
        <f>D15/D13</f>
        <v>5.023846164119635</v>
      </c>
      <c r="E16" s="38"/>
      <c r="F16" s="75">
        <f>F15/F13</f>
        <v>5.023846164119635</v>
      </c>
      <c r="G16" s="138">
        <f>F16/C16-1</f>
        <v>0</v>
      </c>
      <c r="H16" s="90" t="s">
        <v>62</v>
      </c>
      <c r="I16"/>
      <c r="J16"/>
      <c r="K16"/>
      <c r="L16" s="52"/>
      <c r="M16" s="52"/>
      <c r="N16" s="52"/>
      <c r="O16" s="52"/>
      <c r="P16"/>
      <c r="Q16"/>
      <c r="R16"/>
      <c r="S16" s="70" t="s">
        <v>61</v>
      </c>
      <c r="T16" s="76">
        <f>INDEX('Calculations - Convenience'!$AH$4:$AH$24,MATCH(Convenience!T$10,'Calculations - Convenience'!$F$4:$F$24,0))</f>
        <v>0.30000000000000004</v>
      </c>
      <c r="U16" s="139">
        <f>(T16-C17)*10000</f>
        <v>5.5511151231257827E-13</v>
      </c>
      <c r="V16" s="72" t="s">
        <v>62</v>
      </c>
      <c r="W16" s="139" t="s">
        <v>62</v>
      </c>
      <c r="X16"/>
    </row>
    <row r="17" spans="1:26" ht="25.05" customHeight="1" x14ac:dyDescent="0.45">
      <c r="A17"/>
      <c r="B17" s="83" t="s">
        <v>61</v>
      </c>
      <c r="C17" s="92">
        <f>INDEX('Calculations - Convenience'!$S$4:$S$24,MATCH(Convenience!C$11,'Calculations - Convenience'!$F$4:$F$24,0))</f>
        <v>0.3</v>
      </c>
      <c r="D17" s="85" t="s">
        <v>62</v>
      </c>
      <c r="E17" s="38"/>
      <c r="F17" s="76">
        <f>INDEX('Calculations - Convenience'!$AD$4:$AD$24,MATCH(Convenience!F$11,'Calculations - Convenience'!$F$4:$F$24,0))/F15</f>
        <v>0.3</v>
      </c>
      <c r="G17" s="139">
        <f>(F17-C17)*10000</f>
        <v>0</v>
      </c>
      <c r="H17" s="90" t="s">
        <v>62</v>
      </c>
      <c r="I17" s="35"/>
      <c r="J17"/>
      <c r="K17"/>
      <c r="L17" s="52"/>
      <c r="M17" s="52"/>
      <c r="N17"/>
      <c r="O17"/>
      <c r="P17"/>
      <c r="Q17"/>
      <c r="R17"/>
      <c r="S17" s="70" t="s">
        <v>79</v>
      </c>
      <c r="T17" s="77">
        <f>T13/$V$13</f>
        <v>1</v>
      </c>
      <c r="U17" s="139">
        <f>(T17-C18)*10000</f>
        <v>0</v>
      </c>
      <c r="V17" s="72" t="s">
        <v>62</v>
      </c>
      <c r="W17" s="139" t="s">
        <v>62</v>
      </c>
      <c r="X17"/>
    </row>
    <row r="18" spans="1:26" ht="25.05" customHeight="1" x14ac:dyDescent="0.3">
      <c r="A18"/>
      <c r="B18" s="83" t="s">
        <v>79</v>
      </c>
      <c r="C18" s="93">
        <f>C14/$D$14</f>
        <v>1</v>
      </c>
      <c r="D18" s="85" t="s">
        <v>62</v>
      </c>
      <c r="E18" s="38"/>
      <c r="F18" s="77">
        <f>F14/$H$14</f>
        <v>1</v>
      </c>
      <c r="G18" s="139">
        <f>(F18-C18)*10000</f>
        <v>0</v>
      </c>
      <c r="H18" s="93" t="s">
        <v>62</v>
      </c>
      <c r="I18" s="45"/>
      <c r="J18"/>
      <c r="K18"/>
      <c r="L18"/>
      <c r="M18"/>
      <c r="N18"/>
      <c r="O18"/>
      <c r="P18"/>
      <c r="Q18"/>
      <c r="R18"/>
      <c r="S18" s="70" t="s">
        <v>80</v>
      </c>
      <c r="T18" s="77">
        <f>T12/$V$12</f>
        <v>1</v>
      </c>
      <c r="U18" s="139">
        <f>(T18-C19)*10000</f>
        <v>0</v>
      </c>
      <c r="V18" s="72" t="s">
        <v>62</v>
      </c>
      <c r="W18" s="139" t="s">
        <v>62</v>
      </c>
      <c r="X18"/>
    </row>
    <row r="19" spans="1:26" ht="25.05" customHeight="1" thickBot="1" x14ac:dyDescent="0.35">
      <c r="A19"/>
      <c r="B19" s="83" t="s">
        <v>80</v>
      </c>
      <c r="C19" s="93">
        <f>C13/$D$13</f>
        <v>1</v>
      </c>
      <c r="D19" s="85" t="s">
        <v>62</v>
      </c>
      <c r="E19" s="38"/>
      <c r="F19" s="77">
        <f>F13/$H$13</f>
        <v>1</v>
      </c>
      <c r="G19" s="139">
        <f>(F19-C19)*10000</f>
        <v>0</v>
      </c>
      <c r="H19" s="93" t="s">
        <v>62</v>
      </c>
      <c r="I19" s="35"/>
      <c r="J19"/>
      <c r="K19"/>
      <c r="L19"/>
      <c r="M19"/>
      <c r="N19"/>
      <c r="O19"/>
      <c r="P19"/>
      <c r="Q19"/>
      <c r="R19"/>
      <c r="S19" s="71" t="s">
        <v>63</v>
      </c>
      <c r="T19" s="128">
        <f>T13/T12</f>
        <v>6.2798077051495449</v>
      </c>
      <c r="U19" s="140">
        <f>T19/C20-1</f>
        <v>0</v>
      </c>
      <c r="V19" s="129">
        <f>V13/V12</f>
        <v>6.2798077051495449</v>
      </c>
      <c r="W19" s="140">
        <f>V19/D20-1</f>
        <v>0</v>
      </c>
      <c r="X19"/>
    </row>
    <row r="20" spans="1:26" ht="25.05" customHeight="1" thickBot="1" x14ac:dyDescent="0.35">
      <c r="A20"/>
      <c r="B20" s="84" t="s">
        <v>63</v>
      </c>
      <c r="C20" s="133">
        <f>C14/C13</f>
        <v>6.2798077051495431</v>
      </c>
      <c r="D20" s="134">
        <f>D14/D13</f>
        <v>6.2798077051495431</v>
      </c>
      <c r="E20" s="39"/>
      <c r="F20" s="128">
        <f>F14/F13</f>
        <v>6.2798077051495431</v>
      </c>
      <c r="G20" s="140">
        <f>F20/C20-1</f>
        <v>0</v>
      </c>
      <c r="H20" s="133">
        <f>H14/H13</f>
        <v>6.2798077051495431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6" ht="25.0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6" ht="25.0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6" ht="25.0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6" ht="25.05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6" ht="25.05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6" ht="25.05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6" ht="25.05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6" ht="25.05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6" ht="25.0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6" ht="25.05" customHeight="1" x14ac:dyDescent="0.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34"/>
      <c r="T30" s="34"/>
      <c r="U30" s="34"/>
      <c r="V30" s="34"/>
      <c r="W30" s="34"/>
      <c r="X30" s="34"/>
      <c r="Y30" s="104"/>
      <c r="Z30" s="104"/>
    </row>
    <row r="31" spans="1:26" ht="25.0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6" ht="25.05" customHeight="1" x14ac:dyDescent="0.3"/>
    <row r="33" spans="6:6" ht="25.05" customHeight="1" x14ac:dyDescent="0.3"/>
    <row r="34" spans="6:6" ht="25.05" customHeight="1" x14ac:dyDescent="0.3"/>
    <row r="35" spans="6:6" ht="25.05" customHeight="1" x14ac:dyDescent="0.3"/>
    <row r="36" spans="6:6" ht="25.05" customHeight="1" x14ac:dyDescent="0.3"/>
    <row r="37" spans="6:6" ht="25.05" customHeight="1" x14ac:dyDescent="0.3"/>
    <row r="38" spans="6:6" ht="25.05" customHeight="1" x14ac:dyDescent="0.3"/>
    <row r="39" spans="6:6" ht="25.05" customHeight="1" x14ac:dyDescent="0.3"/>
    <row r="40" spans="6:6" ht="25.05" customHeight="1" x14ac:dyDescent="0.3"/>
    <row r="41" spans="6:6" ht="25.05" customHeight="1" x14ac:dyDescent="0.3"/>
    <row r="42" spans="6:6" ht="25.05" customHeight="1" x14ac:dyDescent="0.3">
      <c r="F42" s="142"/>
    </row>
    <row r="43" spans="6:6" ht="25.05" customHeight="1" x14ac:dyDescent="0.3"/>
    <row r="44" spans="6:6" ht="25.05" customHeight="1" x14ac:dyDescent="0.3"/>
    <row r="45" spans="6:6" ht="25.05" customHeight="1" x14ac:dyDescent="0.3"/>
    <row r="46" spans="6:6" ht="25.05" customHeight="1" x14ac:dyDescent="0.3"/>
    <row r="47" spans="6:6" ht="25.05" customHeight="1" x14ac:dyDescent="0.3"/>
    <row r="48" spans="6:6" ht="25.05" customHeight="1" x14ac:dyDescent="0.3"/>
    <row r="49" ht="25.05" customHeight="1" x14ac:dyDescent="0.3"/>
    <row r="50" ht="25.05" customHeight="1" x14ac:dyDescent="0.3"/>
    <row r="51" ht="25.05" customHeight="1" x14ac:dyDescent="0.3"/>
    <row r="52" ht="25.05" customHeight="1" x14ac:dyDescent="0.3"/>
    <row r="53" ht="25.05" customHeight="1" x14ac:dyDescent="0.3"/>
    <row r="54" ht="25.05" customHeight="1" x14ac:dyDescent="0.3"/>
    <row r="55" ht="25.05" customHeight="1" x14ac:dyDescent="0.3"/>
    <row r="56" ht="25.05" customHeight="1" x14ac:dyDescent="0.3"/>
    <row r="57" ht="25.05" customHeight="1" x14ac:dyDescent="0.3"/>
    <row r="58" ht="25.05" customHeight="1" x14ac:dyDescent="0.3"/>
    <row r="59" ht="25.05" customHeight="1" x14ac:dyDescent="0.3"/>
    <row r="60" ht="25.05" customHeight="1" x14ac:dyDescent="0.3"/>
    <row r="61" ht="25.05" customHeight="1" x14ac:dyDescent="0.3"/>
    <row r="62" ht="25.05" customHeight="1" x14ac:dyDescent="0.3"/>
    <row r="63" ht="25.05" customHeight="1" x14ac:dyDescent="0.3"/>
    <row r="64" ht="25.05" customHeight="1" x14ac:dyDescent="0.3"/>
    <row r="65" ht="25.05" customHeight="1" x14ac:dyDescent="0.3"/>
    <row r="66" ht="25.05" customHeight="1" x14ac:dyDescent="0.3"/>
    <row r="67" ht="25.05" customHeight="1" x14ac:dyDescent="0.3"/>
    <row r="68" ht="25.05" customHeight="1" x14ac:dyDescent="0.3"/>
    <row r="69" ht="25.05" customHeight="1" x14ac:dyDescent="0.3"/>
    <row r="70" ht="25.05" customHeight="1" x14ac:dyDescent="0.3"/>
    <row r="71" ht="25.05" customHeight="1" x14ac:dyDescent="0.3"/>
    <row r="72" ht="25.05" customHeight="1" x14ac:dyDescent="0.3"/>
    <row r="73" ht="25.05" customHeight="1" x14ac:dyDescent="0.3"/>
    <row r="74" ht="25.05" customHeight="1" x14ac:dyDescent="0.3"/>
    <row r="75" ht="25.05" customHeight="1" x14ac:dyDescent="0.3"/>
    <row r="76" ht="25.05" customHeight="1" x14ac:dyDescent="0.3"/>
    <row r="77" ht="25.05" customHeight="1" x14ac:dyDescent="0.3"/>
    <row r="78" ht="25.05" customHeight="1" x14ac:dyDescent="0.3"/>
    <row r="79" ht="25.05" customHeight="1" x14ac:dyDescent="0.3"/>
    <row r="80" ht="25.05" customHeight="1" x14ac:dyDescent="0.3"/>
    <row r="81" s="103" customFormat="1" ht="25.05" customHeight="1" x14ac:dyDescent="0.3"/>
    <row r="82" s="103" customFormat="1" ht="25.05" customHeight="1" x14ac:dyDescent="0.3"/>
    <row r="83" s="103" customFormat="1" ht="25.05" customHeight="1" x14ac:dyDescent="0.3"/>
    <row r="84" s="103" customFormat="1" ht="25.05" customHeight="1" x14ac:dyDescent="0.3"/>
    <row r="85" s="103" customFormat="1" ht="25.05" customHeight="1" x14ac:dyDescent="0.3"/>
    <row r="86" s="103" customFormat="1" ht="25.05" customHeight="1" x14ac:dyDescent="0.3"/>
    <row r="87" s="103" customFormat="1" ht="25.05" customHeight="1" x14ac:dyDescent="0.3"/>
    <row r="88" s="103" customFormat="1" ht="25.05" customHeight="1" x14ac:dyDescent="0.3"/>
    <row r="89" s="103" customFormat="1" ht="25.05" customHeight="1" x14ac:dyDescent="0.3"/>
    <row r="90" s="103" customFormat="1" ht="25.05" customHeight="1" x14ac:dyDescent="0.3"/>
    <row r="91" s="103" customFormat="1" ht="25.05" customHeight="1" x14ac:dyDescent="0.3"/>
    <row r="92" s="103" customFormat="1" ht="25.05" customHeight="1" x14ac:dyDescent="0.3"/>
    <row r="93" s="103" customFormat="1" ht="25.05" customHeight="1" x14ac:dyDescent="0.3"/>
    <row r="94" s="103" customFormat="1" ht="25.05" customHeight="1" x14ac:dyDescent="0.3"/>
    <row r="95" s="103" customFormat="1" ht="25.05" customHeight="1" x14ac:dyDescent="0.3"/>
    <row r="96" s="103" customFormat="1" ht="25.05" customHeight="1" x14ac:dyDescent="0.3"/>
    <row r="97" s="103" customFormat="1" ht="25.05" customHeight="1" x14ac:dyDescent="0.3"/>
    <row r="98" s="103" customFormat="1" ht="25.05" customHeight="1" x14ac:dyDescent="0.3"/>
    <row r="99" s="103" customFormat="1" ht="25.05" customHeight="1" x14ac:dyDescent="0.3"/>
    <row r="100" s="103" customFormat="1" ht="25.05" customHeight="1" x14ac:dyDescent="0.3"/>
    <row r="101" s="103" customFormat="1" ht="25.05" customHeight="1" x14ac:dyDescent="0.3"/>
    <row r="102" s="103" customFormat="1" ht="25.05" customHeight="1" x14ac:dyDescent="0.3"/>
    <row r="103" s="103" customFormat="1" ht="25.05" customHeight="1" x14ac:dyDescent="0.3"/>
    <row r="104" s="103" customFormat="1" ht="25.05" customHeight="1" x14ac:dyDescent="0.3"/>
    <row r="105" s="103" customFormat="1" ht="25.05" customHeight="1" x14ac:dyDescent="0.3"/>
    <row r="106" s="103" customFormat="1" ht="25.05" customHeight="1" x14ac:dyDescent="0.3"/>
    <row r="107" s="103" customFormat="1" ht="25.05" customHeight="1" x14ac:dyDescent="0.3"/>
    <row r="108" s="103" customFormat="1" ht="25.05" customHeight="1" x14ac:dyDescent="0.3"/>
    <row r="109" s="103" customFormat="1" ht="25.05" customHeight="1" x14ac:dyDescent="0.3"/>
    <row r="110" s="103" customFormat="1" ht="25.05" customHeight="1" x14ac:dyDescent="0.3"/>
    <row r="111" s="103" customFormat="1" ht="25.05" customHeight="1" x14ac:dyDescent="0.3"/>
    <row r="112" s="103" customFormat="1" ht="25.05" customHeight="1" x14ac:dyDescent="0.3"/>
    <row r="113" s="103" customFormat="1" ht="25.05" customHeight="1" x14ac:dyDescent="0.3"/>
    <row r="114" s="103" customFormat="1" ht="25.05" customHeight="1" x14ac:dyDescent="0.3"/>
    <row r="115" s="103" customFormat="1" ht="25.05" customHeight="1" x14ac:dyDescent="0.3"/>
    <row r="116" s="103" customFormat="1" ht="25.05" customHeight="1" x14ac:dyDescent="0.3"/>
    <row r="117" s="103" customFormat="1" ht="25.05" customHeight="1" x14ac:dyDescent="0.3"/>
    <row r="118" s="103" customFormat="1" ht="25.05" customHeight="1" x14ac:dyDescent="0.3"/>
    <row r="119" s="103" customFormat="1" ht="25.05" customHeight="1" x14ac:dyDescent="0.3"/>
    <row r="120" s="103" customFormat="1" ht="25.05" customHeight="1" x14ac:dyDescent="0.3"/>
    <row r="121" s="103" customFormat="1" ht="25.05" customHeight="1" x14ac:dyDescent="0.3"/>
    <row r="122" s="103" customFormat="1" ht="25.05" customHeight="1" x14ac:dyDescent="0.3"/>
    <row r="123" s="103" customFormat="1" ht="25.05" customHeight="1" x14ac:dyDescent="0.3"/>
    <row r="124" s="103" customFormat="1" ht="25.05" customHeight="1" x14ac:dyDescent="0.3"/>
    <row r="125" s="103" customFormat="1" ht="25.05" customHeight="1" x14ac:dyDescent="0.3"/>
  </sheetData>
  <mergeCells count="10">
    <mergeCell ref="B6:C6"/>
    <mergeCell ref="B8:H8"/>
    <mergeCell ref="K8:Q8"/>
    <mergeCell ref="S8:W8"/>
    <mergeCell ref="S10:S11"/>
    <mergeCell ref="T10:U10"/>
    <mergeCell ref="V10:W10"/>
    <mergeCell ref="B11:B12"/>
    <mergeCell ref="F11:G11"/>
    <mergeCell ref="L11:M11"/>
  </mergeCells>
  <conditionalFormatting sqref="G13:G16">
    <cfRule type="colorScale" priority="9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G17:G19">
    <cfRule type="colorScale" priority="8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G20">
    <cfRule type="colorScale" priority="7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U12:U15">
    <cfRule type="colorScale" priority="6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U16:U18">
    <cfRule type="colorScale" priority="5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U19">
    <cfRule type="colorScale" priority="4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W12:W15">
    <cfRule type="colorScale" priority="3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conditionalFormatting sqref="W16:W18">
    <cfRule type="colorScale" priority="2">
      <colorScale>
        <cfvo type="num" val="-500"/>
        <cfvo type="num" val="0"/>
        <cfvo type="num" val="500"/>
        <color rgb="FFF8696B"/>
        <color rgb="FFFFEB84"/>
        <color rgb="FF63BE7B"/>
      </colorScale>
    </cfRule>
  </conditionalFormatting>
  <conditionalFormatting sqref="W19">
    <cfRule type="colorScale" priority="1">
      <colorScale>
        <cfvo type="num" val="-0.2"/>
        <cfvo type="num" val="0"/>
        <cfvo type="num" val="0.2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4C743E83-4038-46AB-ACA1-1750E2881E3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P11</xm:sqref>
        </x14:conditionalFormatting>
        <x14:conditionalFormatting xmlns:xm="http://schemas.microsoft.com/office/excel/2006/main">
          <x14:cfRule type="iconSet" priority="11" id="{BC468BB5-CC3B-4573-873F-453F639CEA2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P13:P15</xm:sqref>
        </x14:conditionalFormatting>
        <x14:conditionalFormatting xmlns:xm="http://schemas.microsoft.com/office/excel/2006/main">
          <x14:cfRule type="iconSet" priority="12" id="{1AC4EED7-509C-4133-B837-9B36553D31E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P14:P15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CF2E3EC4ADBB4FA2A1653C958171E8" ma:contentTypeVersion="3" ma:contentTypeDescription="Create a new document." ma:contentTypeScope="" ma:versionID="837b945b98af50590e4dfab64fd6b6d1">
  <xsd:schema xmlns:xsd="http://www.w3.org/2001/XMLSchema" xmlns:xs="http://www.w3.org/2001/XMLSchema" xmlns:p="http://schemas.microsoft.com/office/2006/metadata/properties" xmlns:ns2="139c670c-dbb6-41ce-b2fe-264d5f410e6b" targetNamespace="http://schemas.microsoft.com/office/2006/metadata/properties" ma:root="true" ma:fieldsID="b73e6417a344fa1eead2b047cb75a632" ns2:_="">
    <xsd:import namespace="139c670c-dbb6-41ce-b2fe-264d5f410e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9c670c-dbb6-41ce-b2fe-264d5f410e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771F76-FB36-48C7-BB23-3D332066BDA6}"/>
</file>

<file path=customXml/itemProps2.xml><?xml version="1.0" encoding="utf-8"?>
<ds:datastoreItem xmlns:ds="http://schemas.openxmlformats.org/officeDocument/2006/customXml" ds:itemID="{8BE4C477-4F96-45BC-894A-8D0E58BC12DD}"/>
</file>

<file path=customXml/itemProps3.xml><?xml version="1.0" encoding="utf-8"?>
<ds:datastoreItem xmlns:ds="http://schemas.openxmlformats.org/officeDocument/2006/customXml" ds:itemID="{783D11F1-DC82-4FF4-BBC3-303646041F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 - Supermarket</vt:lpstr>
      <vt:lpstr>Calculations - Supermarket</vt:lpstr>
      <vt:lpstr>Supermarket</vt:lpstr>
      <vt:lpstr>Input - Tesco</vt:lpstr>
      <vt:lpstr>Calculations - Tesco</vt:lpstr>
      <vt:lpstr>Tesco</vt:lpstr>
      <vt:lpstr>Input - Iceland</vt:lpstr>
      <vt:lpstr>Calculations - Iceland</vt:lpstr>
      <vt:lpstr>Iceland</vt:lpstr>
      <vt:lpstr>Input - Convenience</vt:lpstr>
      <vt:lpstr>Calculations - Convenience</vt:lpstr>
      <vt:lpstr>Convenience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 Agarwal</dc:creator>
  <cp:lastModifiedBy>Siddharth Agarwal</cp:lastModifiedBy>
  <dcterms:created xsi:type="dcterms:W3CDTF">2024-11-21T16:25:34Z</dcterms:created>
  <dcterms:modified xsi:type="dcterms:W3CDTF">2025-06-17T09:54:13Z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0x01010035CF2E3EC4ADBB4FA2A1653C958171E8</vt:lpwstr>
  </property>
</Properties>
</file>