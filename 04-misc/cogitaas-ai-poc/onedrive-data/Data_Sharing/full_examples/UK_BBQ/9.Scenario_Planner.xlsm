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sharedStrings.xml" ContentType="application/vnd.openxmlformats-officedocument.spreadsheetml.sharedStrings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worksheets/sheet1.xml" ContentType="application/vnd.openxmlformats-officedocument.spreadsheetml.worksheet+xml"/>
  <Override PartName="/xl/charts/chart8.xml" ContentType="application/vnd.openxmlformats-officedocument.drawingml.chart+xml"/>
  <Override PartName="/docProps/app.xml" ContentType="application/vnd.openxmlformats-officedocument.extended-properti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ogitaas1-my.sharepoint.com/personal/siddharth_agarwal_cogitaas_com/Documents/Work/Work/CSF/Kraft Heinz UK/BBQ Sauce/SP/"/>
    </mc:Choice>
  </mc:AlternateContent>
  <xr:revisionPtr revIDLastSave="1057" documentId="8_{CF7B2C62-A640-4FA8-9ED1-96B54AB84B5A}" xr6:coauthVersionLast="47" xr6:coauthVersionMax="47" xr10:uidLastSave="{94FF6DF8-5FB9-489E-9982-A2DC3C6D507A}"/>
  <bookViews>
    <workbookView xWindow="-28920" yWindow="-900" windowWidth="29040" windowHeight="15720" activeTab="2" xr2:uid="{C337FDD6-0263-4D56-801A-79B77270D516}"/>
  </bookViews>
  <sheets>
    <sheet name="Input - Supermarket" sheetId="1" r:id="rId1"/>
    <sheet name="Calculations - Supermarket" sheetId="2" r:id="rId2"/>
    <sheet name="Supermarket" sheetId="3" r:id="rId3"/>
    <sheet name="Input - Tesco" sheetId="4" r:id="rId4"/>
    <sheet name="Calculations - Tesco" sheetId="5" r:id="rId5"/>
    <sheet name="Tesco" sheetId="6" r:id="rId6"/>
  </sheets>
  <definedNames>
    <definedName name="_xleta.N" hidden="1" xlm="1">#NAME?</definedName>
    <definedName name="_xleta.T" hidden="1" xlm="1">#NAME?</definedName>
    <definedName name="Final_CSF_ch1">OFFSET('Calculations - Supermarket'!$AX$4,0,0,COUNTA('Calculations - Supermarket'!$AX$4:$AX$23)-COUNTBLANK('Calculations - Supermarket'!$AX$4:$AX$23),1)</definedName>
    <definedName name="Final_CSF_ch2">OFFSET('Calculations - Tesco'!$AX$4,0,0,COUNTA('Calculations - Tesco'!$AX$4:$AX$23)-COUNTBLANK('Calculations - Tesco'!$AX$4:$AX$23),1)</definedName>
    <definedName name="Graph_Brand_List_ch1">OFFSET('Calculations - Supermarket'!$F$4,0,0,COUNTA('Calculations - Supermarket'!$F$4:$F$23)-COUNTBLANK('Calculations - Supermarket'!$F$4:$F$23),1)</definedName>
    <definedName name="Graph_Brand_List_ch2">OFFSET('Calculations - Tesco'!$F$4,0,0,COUNTA('Calculations - Tesco'!$F$4:$F$23)-COUNTBLANK('Calculations - Tesco'!$F$4:$F$23),1)</definedName>
    <definedName name="Graph_colour_ch1">OFFSET('Calculations - Supermarket'!$B$4,0,0,COUNTA('Calculations - Supermarket'!$B$4:$B$23)-COUNTBLANK('Calculations - Supermarket'!$B$4:$B$23),1)</definedName>
    <definedName name="Graph_colour_ch2">OFFSET('Calculations - Tesco'!$B$4,0,0,COUNTA('Calculations - Tesco'!$B$4:$B$23)-COUNTBLANK('Calculations - Tesco'!$B$4:$B$23),1)</definedName>
    <definedName name="Graph_Final_MSP_ch1">OFFSET('Calculations - Supermarket'!$AS$4,0,0,COUNTA('Calculations - Supermarket'!$AS$4:$AS$23)-COUNTBLANK('Calculations - Supermarket'!$AS$4:$AS$23),1)</definedName>
    <definedName name="Graph_Final_MSP_ch2">OFFSET('Calculations - Tesco'!$AS$4,0,0,COUNTA('Calculations - Tesco'!$AS$4:$AS$23)-COUNTBLANK('Calculations - Tesco'!$AS$4:$AS$23),1)</definedName>
    <definedName name="Graph_MS_Do_Nothing_ch1">OFFSET('Calculations - Supermarket'!$Y$4,0,0,COUNTA('Calculations - Supermarket'!$Y$4:$Y$23)-COUNTBLANK('Calculations - Supermarket'!$Y$4:$Y$23),1)</definedName>
    <definedName name="Graph_MS_Do_Nothing_ch2">OFFSET('Calculations - Tesco'!$Y$4,0,0,COUNTA('Calculations - Tesco'!$Y$4:$Y$23)-COUNTBLANK('Calculations - Tesco'!$Y$4:$Y$23),1)</definedName>
    <definedName name="Graph_MS_Final_ch1">OFFSET('Calculations - Supermarket'!$AR$4,0,0,COUNTA('Calculations - Supermarket'!$AR$4:$AR$23)-COUNTBLANK('Calculations - Supermarket'!$AR$4:$AR$23),1)</definedName>
    <definedName name="Graph_MS_Final_ch2">OFFSET('Calculations - Tesco'!$AR$4,0,0,COUNTA('Calculations - Tesco'!$AR$4:$AR$23)-COUNTBLANK('Calculations - Tesco'!$AR$4:$AR$23),1)</definedName>
    <definedName name="Graph_MS_Initial_c1">OFFSET('Calculations - Supermarket'!$P$4,0,0,COUNTA('Calculations - Supermarket'!$P$4:$P$23)-COUNTBLANK('Calculations - Supermarket'!$P$4:$P$23),1)</definedName>
    <definedName name="Graph_MS_Initial_c2">OFFSET('Calculations - Tesco'!$P$4,0,0,COUNTA('Calculations - Tesco'!$P$4:$P$23)-COUNTBLANK('Calculations - Tesco'!$P$4:$P$23),1)</definedName>
    <definedName name="Initial_CSF_ch1">OFFSET('Calculations - Supermarket'!$I$4,0,0,COUNTA('Calculations - Supermarket'!$I$4:$I$23)-COUNTBLANK('Calculations - Supermarket'!$I$4:$I$23),1)</definedName>
    <definedName name="Initial_CSF_ch2">OFFSET('Calculations - Tesco'!$I$4,0,0,COUNTA('Calculations - Tesco'!$I$4:$I$23)-COUNTBLANK('Calculations - Tesco'!$I$4:$I$23),1)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0" i="3" l="1"/>
  <c r="T27" i="3"/>
  <c r="T24" i="3"/>
  <c r="T21" i="3"/>
  <c r="T18" i="3"/>
  <c r="T15" i="3"/>
  <c r="T12" i="3"/>
  <c r="T30" i="6"/>
  <c r="T27" i="6"/>
  <c r="T24" i="6"/>
  <c r="T21" i="6"/>
  <c r="T18" i="6"/>
  <c r="T15" i="6"/>
  <c r="T12" i="6"/>
  <c r="J24" i="5" l="1"/>
  <c r="E24" i="5"/>
  <c r="D24" i="5"/>
  <c r="F23" i="5"/>
  <c r="D23" i="5" s="1"/>
  <c r="B23" i="5"/>
  <c r="F22" i="5"/>
  <c r="D22" i="5" s="1"/>
  <c r="B22" i="5"/>
  <c r="F21" i="5"/>
  <c r="D21" i="5"/>
  <c r="B21" i="5"/>
  <c r="F20" i="5"/>
  <c r="D20" i="5" s="1"/>
  <c r="B20" i="5"/>
  <c r="F19" i="5"/>
  <c r="D19" i="5" s="1"/>
  <c r="B19" i="5"/>
  <c r="F18" i="5"/>
  <c r="D18" i="5"/>
  <c r="B18" i="5"/>
  <c r="F17" i="5"/>
  <c r="D17" i="5" s="1"/>
  <c r="B17" i="5"/>
  <c r="F16" i="5"/>
  <c r="D16" i="5"/>
  <c r="B16" i="5"/>
  <c r="F15" i="5"/>
  <c r="D15" i="5" s="1"/>
  <c r="B15" i="5"/>
  <c r="F14" i="5"/>
  <c r="D14" i="5" s="1"/>
  <c r="B14" i="5"/>
  <c r="F13" i="5"/>
  <c r="D13" i="5" s="1"/>
  <c r="B13" i="5"/>
  <c r="G12" i="5"/>
  <c r="F12" i="5"/>
  <c r="D12" i="5"/>
  <c r="B12" i="5"/>
  <c r="F11" i="5"/>
  <c r="D11" i="5"/>
  <c r="B11" i="5"/>
  <c r="F9" i="5"/>
  <c r="F7" i="5"/>
  <c r="S20" i="6" s="1"/>
  <c r="D7" i="5"/>
  <c r="F5" i="5"/>
  <c r="BE2" i="5"/>
  <c r="BD2" i="5"/>
  <c r="BC2" i="5"/>
  <c r="BB2" i="5"/>
  <c r="BA2" i="5"/>
  <c r="AZ2" i="5"/>
  <c r="AY2" i="5"/>
  <c r="AX2" i="5"/>
  <c r="AW2" i="5"/>
  <c r="AV2" i="5"/>
  <c r="AU2" i="5"/>
  <c r="AT2" i="5"/>
  <c r="AS2" i="5"/>
  <c r="AR2" i="5"/>
  <c r="AQ2" i="5"/>
  <c r="AP2" i="5"/>
  <c r="AO2" i="5"/>
  <c r="AN2" i="5"/>
  <c r="AM2" i="5"/>
  <c r="AL2" i="5"/>
  <c r="AK2" i="5"/>
  <c r="AJ2" i="5"/>
  <c r="AI2" i="5"/>
  <c r="AH2" i="5"/>
  <c r="AG2" i="5"/>
  <c r="AF2" i="5"/>
  <c r="AE2" i="5"/>
  <c r="AD2" i="5"/>
  <c r="AC2" i="5"/>
  <c r="AB2" i="5"/>
  <c r="AA2" i="5"/>
  <c r="Z2" i="5"/>
  <c r="Y2" i="5"/>
  <c r="X2" i="5"/>
  <c r="W2" i="5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B2" i="5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G14" i="5" s="1"/>
  <c r="D11" i="4"/>
  <c r="D10" i="4"/>
  <c r="D9" i="4"/>
  <c r="D8" i="4"/>
  <c r="D7" i="4"/>
  <c r="D6" i="4"/>
  <c r="D5" i="4"/>
  <c r="D4" i="4"/>
  <c r="N3" i="4"/>
  <c r="F4" i="5" s="1"/>
  <c r="N3" i="4" a="1"/>
  <c r="F8" i="5" s="1"/>
  <c r="D3" i="4"/>
  <c r="C31" i="6" l="1"/>
  <c r="H31" i="6"/>
  <c r="AA31" i="6"/>
  <c r="D4" i="5"/>
  <c r="M12" i="5"/>
  <c r="O12" i="5" s="1"/>
  <c r="S23" i="6"/>
  <c r="D8" i="5"/>
  <c r="L7" i="5"/>
  <c r="J7" i="5"/>
  <c r="I7" i="5"/>
  <c r="K7" i="5"/>
  <c r="N7" i="5" s="1"/>
  <c r="H7" i="5"/>
  <c r="G7" i="5"/>
  <c r="Z67" i="6"/>
  <c r="Q21" i="6"/>
  <c r="S11" i="6"/>
  <c r="S14" i="6"/>
  <c r="D5" i="5"/>
  <c r="J31" i="6"/>
  <c r="D31" i="6"/>
  <c r="AC31" i="6"/>
  <c r="J12" i="5"/>
  <c r="K22" i="5"/>
  <c r="N22" i="5" s="1"/>
  <c r="L12" i="5"/>
  <c r="K11" i="5"/>
  <c r="J11" i="5"/>
  <c r="L11" i="5"/>
  <c r="I11" i="5"/>
  <c r="H11" i="5"/>
  <c r="G11" i="5"/>
  <c r="L22" i="5"/>
  <c r="K15" i="5"/>
  <c r="N15" i="5" s="1"/>
  <c r="J14" i="5"/>
  <c r="K14" i="5"/>
  <c r="L14" i="5"/>
  <c r="L15" i="5"/>
  <c r="H15" i="5"/>
  <c r="G15" i="5"/>
  <c r="G23" i="5"/>
  <c r="K23" i="5"/>
  <c r="N23" i="5" s="1"/>
  <c r="I23" i="5"/>
  <c r="H23" i="5"/>
  <c r="L23" i="5"/>
  <c r="J23" i="5"/>
  <c r="K16" i="5"/>
  <c r="J16" i="5"/>
  <c r="G16" i="5"/>
  <c r="L16" i="5"/>
  <c r="I16" i="5"/>
  <c r="J20" i="5"/>
  <c r="G20" i="5"/>
  <c r="L20" i="5"/>
  <c r="K20" i="5"/>
  <c r="H20" i="5"/>
  <c r="I20" i="5"/>
  <c r="I14" i="5"/>
  <c r="H16" i="5"/>
  <c r="K12" i="5"/>
  <c r="N12" i="5" s="1"/>
  <c r="I12" i="5"/>
  <c r="H12" i="5"/>
  <c r="I15" i="5"/>
  <c r="L19" i="5"/>
  <c r="L21" i="5"/>
  <c r="S26" i="6"/>
  <c r="D9" i="5"/>
  <c r="K18" i="5"/>
  <c r="N18" i="5" s="1"/>
  <c r="H13" i="5"/>
  <c r="G13" i="5"/>
  <c r="L13" i="5"/>
  <c r="K13" i="5"/>
  <c r="J13" i="5"/>
  <c r="I13" i="5"/>
  <c r="J17" i="5"/>
  <c r="L17" i="5"/>
  <c r="I17" i="5"/>
  <c r="K17" i="5"/>
  <c r="N17" i="5" s="1"/>
  <c r="H17" i="5"/>
  <c r="G17" i="5"/>
  <c r="J15" i="5"/>
  <c r="L18" i="5"/>
  <c r="I18" i="5"/>
  <c r="J18" i="5"/>
  <c r="I21" i="5"/>
  <c r="J21" i="5"/>
  <c r="G21" i="5"/>
  <c r="K19" i="5"/>
  <c r="N19" i="5" s="1"/>
  <c r="H19" i="5"/>
  <c r="G19" i="5"/>
  <c r="H22" i="5"/>
  <c r="I22" i="5"/>
  <c r="G22" i="5"/>
  <c r="F10" i="5"/>
  <c r="F6" i="5"/>
  <c r="G18" i="5"/>
  <c r="I19" i="5"/>
  <c r="H21" i="5"/>
  <c r="J22" i="5"/>
  <c r="I24" i="5"/>
  <c r="H18" i="5"/>
  <c r="J19" i="5"/>
  <c r="K21" i="5"/>
  <c r="N21" i="5" s="1"/>
  <c r="H14" i="5"/>
  <c r="M14" i="5" s="1"/>
  <c r="O14" i="5" s="1"/>
  <c r="D10" i="5" l="1"/>
  <c r="S29" i="6"/>
  <c r="M20" i="5"/>
  <c r="O20" i="5" s="1"/>
  <c r="M22" i="5"/>
  <c r="O22" i="5" s="1"/>
  <c r="M23" i="5"/>
  <c r="O23" i="5" s="1"/>
  <c r="X19" i="5"/>
  <c r="M11" i="5"/>
  <c r="O11" i="5" s="1"/>
  <c r="D33" i="6"/>
  <c r="D34" i="6"/>
  <c r="D40" i="6" s="1"/>
  <c r="M16" i="5"/>
  <c r="O16" i="5" s="1"/>
  <c r="X16" i="5"/>
  <c r="M15" i="5"/>
  <c r="O15" i="5" s="1"/>
  <c r="L9" i="5"/>
  <c r="K9" i="5"/>
  <c r="N9" i="5" s="1"/>
  <c r="I9" i="5"/>
  <c r="J9" i="5"/>
  <c r="H9" i="5"/>
  <c r="G9" i="5"/>
  <c r="N16" i="5"/>
  <c r="M19" i="5"/>
  <c r="O19" i="5" s="1"/>
  <c r="X13" i="5"/>
  <c r="Z69" i="6"/>
  <c r="Q27" i="6"/>
  <c r="M13" i="5"/>
  <c r="O13" i="5" s="1"/>
  <c r="M7" i="5"/>
  <c r="O7" i="5" s="1"/>
  <c r="M21" i="5"/>
  <c r="O21" i="5" s="1"/>
  <c r="X12" i="5"/>
  <c r="L4" i="5"/>
  <c r="J4" i="5"/>
  <c r="G4" i="5"/>
  <c r="K4" i="5"/>
  <c r="H4" i="5"/>
  <c r="I4" i="5"/>
  <c r="H5" i="5"/>
  <c r="G5" i="5"/>
  <c r="L5" i="5"/>
  <c r="K5" i="5"/>
  <c r="N5" i="5" s="1"/>
  <c r="J5" i="5"/>
  <c r="I5" i="5"/>
  <c r="X22" i="5"/>
  <c r="Z65" i="6"/>
  <c r="Q15" i="6"/>
  <c r="AC62" i="6"/>
  <c r="X15" i="5"/>
  <c r="N13" i="5"/>
  <c r="N20" i="5"/>
  <c r="X11" i="5"/>
  <c r="Q12" i="6"/>
  <c r="AA62" i="6"/>
  <c r="Z64" i="6"/>
  <c r="H8" i="5"/>
  <c r="G8" i="5"/>
  <c r="J8" i="5"/>
  <c r="L8" i="5"/>
  <c r="K8" i="5"/>
  <c r="N8" i="5" s="1"/>
  <c r="I8" i="5"/>
  <c r="M18" i="5"/>
  <c r="O18" i="5" s="1"/>
  <c r="N14" i="5"/>
  <c r="N11" i="5"/>
  <c r="Q24" i="6"/>
  <c r="Z68" i="6"/>
  <c r="C34" i="6"/>
  <c r="S17" i="6"/>
  <c r="E31" i="6"/>
  <c r="L31" i="6"/>
  <c r="AE31" i="6"/>
  <c r="D6" i="5"/>
  <c r="M17" i="5"/>
  <c r="O17" i="5" s="1"/>
  <c r="X14" i="5"/>
  <c r="M9" i="5" l="1"/>
  <c r="O9" i="5" s="1"/>
  <c r="S22" i="5"/>
  <c r="R18" i="5"/>
  <c r="AF14" i="5"/>
  <c r="S13" i="5"/>
  <c r="AF16" i="5"/>
  <c r="S21" i="5"/>
  <c r="R14" i="5"/>
  <c r="S23" i="5"/>
  <c r="S20" i="5"/>
  <c r="AF20" i="5"/>
  <c r="R19" i="5"/>
  <c r="AF22" i="5"/>
  <c r="R11" i="5"/>
  <c r="S11" i="5"/>
  <c r="R12" i="5"/>
  <c r="AF21" i="5"/>
  <c r="S14" i="5"/>
  <c r="AF11" i="5"/>
  <c r="R7" i="5"/>
  <c r="S15" i="5"/>
  <c r="R16" i="5"/>
  <c r="S17" i="5"/>
  <c r="R15" i="5"/>
  <c r="R20" i="5"/>
  <c r="S16" i="5"/>
  <c r="R21" i="5"/>
  <c r="AF17" i="5"/>
  <c r="R5" i="5"/>
  <c r="X7" i="5"/>
  <c r="X18" i="5"/>
  <c r="E33" i="6"/>
  <c r="S8" i="5"/>
  <c r="X23" i="5"/>
  <c r="X17" i="5"/>
  <c r="M5" i="5"/>
  <c r="R4" i="5"/>
  <c r="X21" i="5"/>
  <c r="C40" i="6"/>
  <c r="H24" i="5"/>
  <c r="I6" i="5"/>
  <c r="H6" i="5"/>
  <c r="S6" i="5"/>
  <c r="L6" i="5"/>
  <c r="L24" i="5" s="1"/>
  <c r="K6" i="5"/>
  <c r="N6" i="5" s="1"/>
  <c r="R6" i="5"/>
  <c r="J6" i="5"/>
  <c r="G6" i="5"/>
  <c r="E34" i="6" s="1"/>
  <c r="C33" i="6"/>
  <c r="M4" i="5"/>
  <c r="Z66" i="6"/>
  <c r="Q18" i="6"/>
  <c r="AE62" i="6"/>
  <c r="M8" i="5"/>
  <c r="O8" i="5" s="1"/>
  <c r="S5" i="5"/>
  <c r="S4" i="5"/>
  <c r="Q21" i="5"/>
  <c r="Z70" i="6"/>
  <c r="Q30" i="6"/>
  <c r="X20" i="5"/>
  <c r="S21" i="6"/>
  <c r="W21" i="6" s="1"/>
  <c r="X4" i="5"/>
  <c r="Q15" i="5"/>
  <c r="I10" i="5"/>
  <c r="G10" i="5"/>
  <c r="R10" i="5"/>
  <c r="L10" i="5"/>
  <c r="S10" i="5"/>
  <c r="K10" i="5"/>
  <c r="N10" i="5" s="1"/>
  <c r="J10" i="5"/>
  <c r="H10" i="5"/>
  <c r="Q10" i="5" s="1"/>
  <c r="K24" i="5"/>
  <c r="N4" i="5"/>
  <c r="E40" i="6" l="1"/>
  <c r="F34" i="6"/>
  <c r="AI11" i="5"/>
  <c r="AJ11" i="5" s="1"/>
  <c r="AP11" i="5" s="1"/>
  <c r="AX11" i="5"/>
  <c r="P22" i="5"/>
  <c r="AH20" i="5"/>
  <c r="T15" i="5"/>
  <c r="AG15" i="5"/>
  <c r="X9" i="5"/>
  <c r="S27" i="6"/>
  <c r="W27" i="6" s="1"/>
  <c r="AI16" i="5"/>
  <c r="AJ16" i="5" s="1"/>
  <c r="AP16" i="5" s="1"/>
  <c r="AX16" i="5"/>
  <c r="AZ19" i="5"/>
  <c r="AZ16" i="5"/>
  <c r="AZ22" i="5"/>
  <c r="AZ14" i="5"/>
  <c r="AZ11" i="5"/>
  <c r="AZ17" i="5"/>
  <c r="AZ6" i="5"/>
  <c r="AA66" i="6" s="1"/>
  <c r="AZ5" i="5"/>
  <c r="AA65" i="6" s="1"/>
  <c r="AZ4" i="5"/>
  <c r="AA64" i="6" s="1"/>
  <c r="AZ23" i="5"/>
  <c r="AZ21" i="5"/>
  <c r="AZ9" i="5"/>
  <c r="AA69" i="6" s="1"/>
  <c r="O4" i="5"/>
  <c r="AZ8" i="5"/>
  <c r="AA68" i="6" s="1"/>
  <c r="AZ12" i="5"/>
  <c r="AZ15" i="5"/>
  <c r="AZ10" i="5"/>
  <c r="AA70" i="6" s="1"/>
  <c r="AZ18" i="5"/>
  <c r="AZ20" i="5"/>
  <c r="AZ7" i="5"/>
  <c r="AA67" i="6" s="1"/>
  <c r="AZ13" i="5"/>
  <c r="AH13" i="5"/>
  <c r="T7" i="5"/>
  <c r="AG7" i="5"/>
  <c r="S18" i="6"/>
  <c r="S9" i="5"/>
  <c r="AF8" i="5"/>
  <c r="R9" i="5"/>
  <c r="AF18" i="5"/>
  <c r="AF19" i="5"/>
  <c r="N24" i="5"/>
  <c r="P6" i="5"/>
  <c r="E38" i="6" s="1"/>
  <c r="M6" i="5"/>
  <c r="P16" i="5"/>
  <c r="P7" i="5"/>
  <c r="P23" i="5"/>
  <c r="P21" i="5"/>
  <c r="P18" i="5"/>
  <c r="P19" i="5"/>
  <c r="P17" i="5"/>
  <c r="BA18" i="5"/>
  <c r="BA15" i="5"/>
  <c r="BA17" i="5"/>
  <c r="BA19" i="5"/>
  <c r="BA22" i="5"/>
  <c r="BA6" i="5"/>
  <c r="BA23" i="5"/>
  <c r="BA20" i="5"/>
  <c r="BA11" i="5"/>
  <c r="BA13" i="5"/>
  <c r="BA8" i="5"/>
  <c r="AC68" i="6" s="1"/>
  <c r="BA5" i="5"/>
  <c r="AC65" i="6" s="1"/>
  <c r="BA4" i="5"/>
  <c r="AC64" i="6" s="1"/>
  <c r="BA14" i="5"/>
  <c r="BA16" i="5"/>
  <c r="BA12" i="5"/>
  <c r="O5" i="5"/>
  <c r="BA9" i="5"/>
  <c r="AC69" i="6" s="1"/>
  <c r="BA21" i="5"/>
  <c r="BA7" i="5"/>
  <c r="AC67" i="6" s="1"/>
  <c r="AH22" i="5"/>
  <c r="AH5" i="5"/>
  <c r="AC37" i="6" s="1"/>
  <c r="AG6" i="5"/>
  <c r="T6" i="5"/>
  <c r="U6" i="5" s="1"/>
  <c r="AG20" i="5"/>
  <c r="T20" i="5"/>
  <c r="AH23" i="5"/>
  <c r="Q13" i="5"/>
  <c r="AG14" i="5"/>
  <c r="T14" i="5"/>
  <c r="AH10" i="5"/>
  <c r="P8" i="5"/>
  <c r="P12" i="5"/>
  <c r="AH8" i="5"/>
  <c r="AH17" i="5"/>
  <c r="AH21" i="5"/>
  <c r="AH6" i="5"/>
  <c r="AE37" i="6" s="1"/>
  <c r="T11" i="5"/>
  <c r="AG11" i="5"/>
  <c r="T10" i="5"/>
  <c r="AG10" i="5"/>
  <c r="Q5" i="5"/>
  <c r="D39" i="6" s="1"/>
  <c r="AH15" i="5"/>
  <c r="G24" i="5"/>
  <c r="AI17" i="5"/>
  <c r="AJ17" i="5" s="1"/>
  <c r="AP17" i="5" s="1"/>
  <c r="AX17" i="5"/>
  <c r="T19" i="5"/>
  <c r="AG19" i="5"/>
  <c r="R8" i="5"/>
  <c r="S15" i="6"/>
  <c r="T5" i="5"/>
  <c r="U5" i="5" s="1"/>
  <c r="AG5" i="5"/>
  <c r="S7" i="5"/>
  <c r="AC66" i="6"/>
  <c r="S19" i="5"/>
  <c r="AF7" i="5"/>
  <c r="R17" i="5"/>
  <c r="AF12" i="5"/>
  <c r="S18" i="5"/>
  <c r="P20" i="5"/>
  <c r="P5" i="5"/>
  <c r="D38" i="6" s="1"/>
  <c r="AG21" i="5"/>
  <c r="T21" i="5"/>
  <c r="AI20" i="5"/>
  <c r="AJ20" i="5" s="1"/>
  <c r="AP20" i="5" s="1"/>
  <c r="AX20" i="5"/>
  <c r="AG18" i="5"/>
  <c r="T18" i="5"/>
  <c r="Q20" i="5"/>
  <c r="AH4" i="5"/>
  <c r="AA37" i="6" s="1"/>
  <c r="X6" i="5"/>
  <c r="AH16" i="5"/>
  <c r="AH14" i="5"/>
  <c r="P9" i="5"/>
  <c r="Q7" i="5"/>
  <c r="Q12" i="5"/>
  <c r="X5" i="5"/>
  <c r="AI21" i="5"/>
  <c r="AJ21" i="5" s="1"/>
  <c r="AP21" i="5" s="1"/>
  <c r="AX21" i="5"/>
  <c r="P14" i="5"/>
  <c r="T12" i="5"/>
  <c r="AG12" i="5"/>
  <c r="AH11" i="5"/>
  <c r="X8" i="5"/>
  <c r="P4" i="5"/>
  <c r="C38" i="6" s="1"/>
  <c r="F38" i="6" s="1"/>
  <c r="AG16" i="5"/>
  <c r="T16" i="5"/>
  <c r="S24" i="6"/>
  <c r="W24" i="6" s="1"/>
  <c r="Q9" i="5"/>
  <c r="AI22" i="5"/>
  <c r="AJ22" i="5" s="1"/>
  <c r="AP22" i="5" s="1"/>
  <c r="AX22" i="5"/>
  <c r="Q8" i="5"/>
  <c r="Q6" i="5"/>
  <c r="E39" i="6" s="1"/>
  <c r="Q19" i="5"/>
  <c r="Q23" i="5"/>
  <c r="Q22" i="5"/>
  <c r="Q16" i="5"/>
  <c r="Q17" i="5"/>
  <c r="Q11" i="5"/>
  <c r="AI14" i="5"/>
  <c r="AJ14" i="5" s="1"/>
  <c r="AP14" i="5" s="1"/>
  <c r="AX14" i="5"/>
  <c r="P10" i="5"/>
  <c r="M10" i="5"/>
  <c r="O10" i="5" s="1"/>
  <c r="S12" i="5"/>
  <c r="S12" i="6"/>
  <c r="AF9" i="5"/>
  <c r="P13" i="5"/>
  <c r="R13" i="5"/>
  <c r="R23" i="5"/>
  <c r="P11" i="5"/>
  <c r="F33" i="6"/>
  <c r="Q14" i="5"/>
  <c r="P15" i="5"/>
  <c r="Q4" i="5"/>
  <c r="AG4" i="5"/>
  <c r="T4" i="5"/>
  <c r="U4" i="5" s="1"/>
  <c r="R22" i="5"/>
  <c r="AF23" i="5"/>
  <c r="AF13" i="5"/>
  <c r="AF15" i="5"/>
  <c r="Q18" i="5"/>
  <c r="AI9" i="5" l="1"/>
  <c r="AJ9" i="5" s="1"/>
  <c r="AP9" i="5" s="1"/>
  <c r="AX9" i="5"/>
  <c r="W12" i="6"/>
  <c r="AF4" i="5"/>
  <c r="AI8" i="5"/>
  <c r="AJ8" i="5" s="1"/>
  <c r="AP8" i="5" s="1"/>
  <c r="AX8" i="5"/>
  <c r="U12" i="5"/>
  <c r="V12" i="5" s="1"/>
  <c r="W12" i="5" s="1"/>
  <c r="AH12" i="5"/>
  <c r="W18" i="6"/>
  <c r="AF6" i="5"/>
  <c r="U20" i="5"/>
  <c r="V20" i="5" s="1"/>
  <c r="W20" i="5" s="1"/>
  <c r="T22" i="5"/>
  <c r="AG22" i="5"/>
  <c r="AG17" i="5"/>
  <c r="T17" i="5"/>
  <c r="V4" i="5"/>
  <c r="W4" i="5" s="1"/>
  <c r="C35" i="6"/>
  <c r="AI7" i="5"/>
  <c r="AJ7" i="5" s="1"/>
  <c r="AP7" i="5" s="1"/>
  <c r="AX7" i="5"/>
  <c r="AH7" i="5"/>
  <c r="U7" i="5"/>
  <c r="P24" i="5"/>
  <c r="M24" i="5"/>
  <c r="BB17" i="5"/>
  <c r="BB14" i="5"/>
  <c r="BB24" i="5"/>
  <c r="AE71" i="6" s="1"/>
  <c r="BB19" i="5"/>
  <c r="BB21" i="5"/>
  <c r="BB10" i="5"/>
  <c r="AE70" i="6" s="1"/>
  <c r="BB7" i="5"/>
  <c r="AE67" i="6" s="1"/>
  <c r="BB11" i="5"/>
  <c r="O6" i="5"/>
  <c r="BB13" i="5"/>
  <c r="BB9" i="5"/>
  <c r="AE69" i="6" s="1"/>
  <c r="BB6" i="5"/>
  <c r="AE66" i="6" s="1"/>
  <c r="BB15" i="5"/>
  <c r="BB5" i="5"/>
  <c r="AE65" i="6" s="1"/>
  <c r="BB18" i="5"/>
  <c r="BB16" i="5"/>
  <c r="BB12" i="5"/>
  <c r="BB4" i="5"/>
  <c r="AE64" i="6" s="1"/>
  <c r="BB20" i="5"/>
  <c r="BB22" i="5"/>
  <c r="BB8" i="5"/>
  <c r="AE68" i="6" s="1"/>
  <c r="BB23" i="5"/>
  <c r="U14" i="5"/>
  <c r="V14" i="5" s="1"/>
  <c r="W14" i="5" s="1"/>
  <c r="BA10" i="5"/>
  <c r="AC70" i="6" s="1"/>
  <c r="T8" i="5"/>
  <c r="AG8" i="5"/>
  <c r="AG9" i="5"/>
  <c r="T9" i="5"/>
  <c r="U9" i="5" s="1"/>
  <c r="AH9" i="5"/>
  <c r="AI15" i="5"/>
  <c r="AJ15" i="5" s="1"/>
  <c r="AX15" i="5"/>
  <c r="AP15" i="5"/>
  <c r="AI13" i="5"/>
  <c r="AJ13" i="5" s="1"/>
  <c r="AP13" i="5" s="1"/>
  <c r="AX13" i="5"/>
  <c r="U18" i="5"/>
  <c r="V18" i="5" s="1"/>
  <c r="W18" i="5" s="1"/>
  <c r="AH18" i="5"/>
  <c r="AI23" i="5"/>
  <c r="AJ23" i="5" s="1"/>
  <c r="AP23" i="5" s="1"/>
  <c r="AX23" i="5"/>
  <c r="AI12" i="5"/>
  <c r="AJ12" i="5" s="1"/>
  <c r="AP12" i="5" s="1"/>
  <c r="AX12" i="5"/>
  <c r="U10" i="5"/>
  <c r="V10" i="5" s="1"/>
  <c r="W10" i="5" s="1"/>
  <c r="V6" i="5"/>
  <c r="W6" i="5" s="1"/>
  <c r="E35" i="6"/>
  <c r="U11" i="5"/>
  <c r="V11" i="5" s="1"/>
  <c r="W11" i="5" s="1"/>
  <c r="AG23" i="5"/>
  <c r="T23" i="5"/>
  <c r="S30" i="6"/>
  <c r="U15" i="5"/>
  <c r="V15" i="5" s="1"/>
  <c r="W15" i="5" s="1"/>
  <c r="U21" i="5"/>
  <c r="V21" i="5" s="1"/>
  <c r="W21" i="5" s="1"/>
  <c r="Q24" i="5"/>
  <c r="C39" i="6"/>
  <c r="F39" i="6" s="1"/>
  <c r="T13" i="5"/>
  <c r="AG13" i="5"/>
  <c r="U16" i="5"/>
  <c r="V16" i="5" s="1"/>
  <c r="W16" i="5" s="1"/>
  <c r="V5" i="5"/>
  <c r="W5" i="5" s="1"/>
  <c r="D35" i="6"/>
  <c r="AI19" i="5"/>
  <c r="AJ19" i="5" s="1"/>
  <c r="AP19" i="5" s="1"/>
  <c r="AX19" i="5"/>
  <c r="F40" i="6"/>
  <c r="AH19" i="5"/>
  <c r="U19" i="5"/>
  <c r="V19" i="5" s="1"/>
  <c r="W19" i="5" s="1"/>
  <c r="W15" i="6"/>
  <c r="AF5" i="5"/>
  <c r="X10" i="5"/>
  <c r="AI18" i="5"/>
  <c r="AJ18" i="5" s="1"/>
  <c r="AP18" i="5" s="1"/>
  <c r="AX18" i="5"/>
  <c r="W30" i="6" l="1"/>
  <c r="AF10" i="5"/>
  <c r="BE10" i="5" s="1"/>
  <c r="AF70" i="6" s="1"/>
  <c r="U22" i="5"/>
  <c r="V22" i="5" s="1"/>
  <c r="W22" i="5" s="1"/>
  <c r="D36" i="6"/>
  <c r="D37" i="6"/>
  <c r="AD37" i="6" s="1"/>
  <c r="U8" i="5"/>
  <c r="V8" i="5" s="1"/>
  <c r="W8" i="5" s="1"/>
  <c r="BD15" i="5"/>
  <c r="BD12" i="5"/>
  <c r="BD19" i="5"/>
  <c r="BD14" i="5"/>
  <c r="BD23" i="5"/>
  <c r="BD16" i="5"/>
  <c r="BD20" i="5"/>
  <c r="BD13" i="5"/>
  <c r="BD9" i="5"/>
  <c r="AD69" i="6" s="1"/>
  <c r="BD11" i="5"/>
  <c r="BD6" i="5"/>
  <c r="AD66" i="6" s="1"/>
  <c r="BD17" i="5"/>
  <c r="BD22" i="5"/>
  <c r="BD4" i="5"/>
  <c r="AD64" i="6" s="1"/>
  <c r="BD18" i="5"/>
  <c r="AI5" i="5"/>
  <c r="AJ5" i="5" s="1"/>
  <c r="AP5" i="5" s="1"/>
  <c r="BD7" i="5"/>
  <c r="AD67" i="6" s="1"/>
  <c r="BD5" i="5"/>
  <c r="AD65" i="6" s="1"/>
  <c r="BD8" i="5"/>
  <c r="AD68" i="6" s="1"/>
  <c r="BD21" i="5"/>
  <c r="AX5" i="5"/>
  <c r="U23" i="5"/>
  <c r="V23" i="5" s="1"/>
  <c r="W23" i="5" s="1"/>
  <c r="T24" i="5"/>
  <c r="U13" i="5"/>
  <c r="V13" i="5" s="1"/>
  <c r="W13" i="5" s="1"/>
  <c r="E36" i="6"/>
  <c r="E37" i="6"/>
  <c r="AF37" i="6" s="1"/>
  <c r="V7" i="5"/>
  <c r="W7" i="5" s="1"/>
  <c r="U17" i="5"/>
  <c r="V17" i="5" s="1"/>
  <c r="W17" i="5" s="1"/>
  <c r="BE14" i="5"/>
  <c r="BE23" i="5"/>
  <c r="BE11" i="5"/>
  <c r="BE21" i="5"/>
  <c r="BE8" i="5"/>
  <c r="AF68" i="6" s="1"/>
  <c r="AI6" i="5"/>
  <c r="AJ6" i="5" s="1"/>
  <c r="BE18" i="5"/>
  <c r="BE7" i="5"/>
  <c r="AF67" i="6" s="1"/>
  <c r="BE9" i="5"/>
  <c r="AF69" i="6" s="1"/>
  <c r="BE6" i="5"/>
  <c r="AF66" i="6" s="1"/>
  <c r="BE13" i="5"/>
  <c r="BE4" i="5"/>
  <c r="AF64" i="6" s="1"/>
  <c r="BE22" i="5"/>
  <c r="BE16" i="5"/>
  <c r="BE20" i="5"/>
  <c r="BE12" i="5"/>
  <c r="BE5" i="5"/>
  <c r="AF65" i="6" s="1"/>
  <c r="BE17" i="5"/>
  <c r="BE19" i="5"/>
  <c r="BE15" i="5"/>
  <c r="AP6" i="5"/>
  <c r="AX6" i="5"/>
  <c r="BC16" i="5"/>
  <c r="BC13" i="5"/>
  <c r="BC11" i="5"/>
  <c r="BC7" i="5"/>
  <c r="AB67" i="6" s="1"/>
  <c r="BC6" i="5"/>
  <c r="AB66" i="6" s="1"/>
  <c r="BC5" i="5"/>
  <c r="AB65" i="6" s="1"/>
  <c r="BC21" i="5"/>
  <c r="BC23" i="5"/>
  <c r="BC12" i="5"/>
  <c r="BC17" i="5"/>
  <c r="BC20" i="5"/>
  <c r="BC18" i="5"/>
  <c r="AI4" i="5"/>
  <c r="AJ4" i="5" s="1"/>
  <c r="BC9" i="5"/>
  <c r="AB69" i="6" s="1"/>
  <c r="BC14" i="5"/>
  <c r="BC4" i="5"/>
  <c r="AB64" i="6" s="1"/>
  <c r="BC22" i="5"/>
  <c r="BC15" i="5"/>
  <c r="BC8" i="5"/>
  <c r="AB68" i="6" s="1"/>
  <c r="BC19" i="5"/>
  <c r="AX4" i="5"/>
  <c r="C36" i="6"/>
  <c r="F35" i="6"/>
  <c r="C37" i="6"/>
  <c r="AB37" i="6" s="1"/>
  <c r="V9" i="5"/>
  <c r="W9" i="5" s="1"/>
  <c r="O24" i="5"/>
  <c r="AZ24" i="5"/>
  <c r="AA71" i="6" s="1"/>
  <c r="BA24" i="5"/>
  <c r="AC71" i="6" s="1"/>
  <c r="X24" i="5"/>
  <c r="Y10" i="5" s="1"/>
  <c r="AA10" i="5" l="1"/>
  <c r="Z10" i="5"/>
  <c r="AI10" i="5"/>
  <c r="AJ10" i="5" s="1"/>
  <c r="AP10" i="5" s="1"/>
  <c r="AX10" i="5"/>
  <c r="U24" i="5"/>
  <c r="AJ24" i="5"/>
  <c r="AP4" i="5"/>
  <c r="Y11" i="5"/>
  <c r="Y14" i="5"/>
  <c r="Y19" i="5"/>
  <c r="Y12" i="5"/>
  <c r="Y13" i="5"/>
  <c r="Y16" i="5"/>
  <c r="Y15" i="5"/>
  <c r="Y22" i="5"/>
  <c r="Y17" i="5"/>
  <c r="Y23" i="5"/>
  <c r="Y20" i="5"/>
  <c r="Y4" i="5"/>
  <c r="Y21" i="5"/>
  <c r="Y7" i="5"/>
  <c r="Y18" i="5"/>
  <c r="Y9" i="5"/>
  <c r="Y6" i="5"/>
  <c r="Y8" i="5"/>
  <c r="Y5" i="5"/>
  <c r="AK4" i="5"/>
  <c r="AL4" i="5" s="1"/>
  <c r="AM4" i="5" s="1"/>
  <c r="AN4" i="5" s="1"/>
  <c r="AO4" i="5" s="1"/>
  <c r="BD10" i="5"/>
  <c r="AD70" i="6" s="1"/>
  <c r="BC10" i="5"/>
  <c r="AB70" i="6" s="1"/>
  <c r="Z18" i="5" l="1"/>
  <c r="AA18" i="5"/>
  <c r="Z7" i="5"/>
  <c r="AA7" i="5"/>
  <c r="Z14" i="5"/>
  <c r="AA14" i="5"/>
  <c r="AA21" i="5"/>
  <c r="Z21" i="5"/>
  <c r="AA11" i="5"/>
  <c r="Z11" i="5"/>
  <c r="AA4" i="5"/>
  <c r="Z4" i="5"/>
  <c r="H38" i="6"/>
  <c r="AP24" i="5"/>
  <c r="AQ4" i="5"/>
  <c r="AR4" i="5" s="1"/>
  <c r="AA20" i="5"/>
  <c r="Z20" i="5"/>
  <c r="AA23" i="5"/>
  <c r="Z23" i="5"/>
  <c r="AA17" i="5"/>
  <c r="Z17" i="5"/>
  <c r="Z22" i="5"/>
  <c r="AA22" i="5"/>
  <c r="AQ10" i="5"/>
  <c r="AR10" i="5" s="1"/>
  <c r="AA5" i="5"/>
  <c r="Z5" i="5"/>
  <c r="J38" i="6"/>
  <c r="K38" i="6" s="1"/>
  <c r="AA15" i="5"/>
  <c r="Z15" i="5"/>
  <c r="Z8" i="5"/>
  <c r="AA8" i="5"/>
  <c r="Z16" i="5"/>
  <c r="AA16" i="5"/>
  <c r="Z6" i="5"/>
  <c r="AA6" i="5"/>
  <c r="L38" i="6"/>
  <c r="M38" i="6" s="1"/>
  <c r="Z13" i="5"/>
  <c r="AA13" i="5"/>
  <c r="Z9" i="5"/>
  <c r="AA9" i="5"/>
  <c r="AA12" i="5"/>
  <c r="Z12" i="5"/>
  <c r="AA19" i="5"/>
  <c r="Z19" i="5"/>
  <c r="AB10" i="5"/>
  <c r="AC10" i="5"/>
  <c r="AD10" i="5" s="1"/>
  <c r="AB6" i="5" l="1"/>
  <c r="L34" i="6"/>
  <c r="AC6" i="5"/>
  <c r="AA24" i="5"/>
  <c r="AB4" i="5"/>
  <c r="H34" i="6"/>
  <c r="AC4" i="5"/>
  <c r="AB17" i="5"/>
  <c r="AC17" i="5"/>
  <c r="AD17" i="5" s="1"/>
  <c r="AB19" i="5"/>
  <c r="AC19" i="5"/>
  <c r="AD19" i="5" s="1"/>
  <c r="AB21" i="5"/>
  <c r="AC21" i="5"/>
  <c r="AD21" i="5" s="1"/>
  <c r="AB23" i="5"/>
  <c r="AC23" i="5"/>
  <c r="AD23" i="5" s="1"/>
  <c r="AB12" i="5"/>
  <c r="AC12" i="5"/>
  <c r="AD12" i="5" s="1"/>
  <c r="AB20" i="5"/>
  <c r="AC20" i="5"/>
  <c r="AD20" i="5" s="1"/>
  <c r="AT10" i="5"/>
  <c r="AS10" i="5"/>
  <c r="AB22" i="5"/>
  <c r="AC22" i="5"/>
  <c r="AD22" i="5" s="1"/>
  <c r="AB16" i="5"/>
  <c r="AC16" i="5"/>
  <c r="AD16" i="5" s="1"/>
  <c r="AB11" i="5"/>
  <c r="AC11" i="5"/>
  <c r="AD11" i="5" s="1"/>
  <c r="AB8" i="5"/>
  <c r="AC8" i="5"/>
  <c r="AD8" i="5" s="1"/>
  <c r="AB14" i="5"/>
  <c r="AC14" i="5"/>
  <c r="AD14" i="5" s="1"/>
  <c r="AB9" i="5"/>
  <c r="AC9" i="5"/>
  <c r="AD9" i="5" s="1"/>
  <c r="AB15" i="5"/>
  <c r="AC15" i="5"/>
  <c r="AD15" i="5" s="1"/>
  <c r="AB7" i="5"/>
  <c r="AC7" i="5"/>
  <c r="AD7" i="5" s="1"/>
  <c r="AT4" i="5"/>
  <c r="AS4" i="5"/>
  <c r="AA38" i="6"/>
  <c r="AB13" i="5"/>
  <c r="AC13" i="5"/>
  <c r="AD13" i="5" s="1"/>
  <c r="AQ24" i="5"/>
  <c r="AR24" i="5" s="1"/>
  <c r="AS24" i="5" s="1"/>
  <c r="AQ16" i="5"/>
  <c r="AR16" i="5" s="1"/>
  <c r="AQ17" i="5"/>
  <c r="AR17" i="5" s="1"/>
  <c r="AQ22" i="5"/>
  <c r="AR22" i="5" s="1"/>
  <c r="AQ11" i="5"/>
  <c r="AR11" i="5" s="1"/>
  <c r="AQ21" i="5"/>
  <c r="AR21" i="5" s="1"/>
  <c r="AQ14" i="5"/>
  <c r="AR14" i="5" s="1"/>
  <c r="AQ20" i="5"/>
  <c r="AR20" i="5" s="1"/>
  <c r="AQ8" i="5"/>
  <c r="AR8" i="5" s="1"/>
  <c r="AQ12" i="5"/>
  <c r="AR12" i="5" s="1"/>
  <c r="AQ19" i="5"/>
  <c r="AR19" i="5" s="1"/>
  <c r="AQ18" i="5"/>
  <c r="AR18" i="5" s="1"/>
  <c r="AQ13" i="5"/>
  <c r="AR13" i="5" s="1"/>
  <c r="AQ23" i="5"/>
  <c r="AR23" i="5" s="1"/>
  <c r="AQ9" i="5"/>
  <c r="AR9" i="5" s="1"/>
  <c r="AQ7" i="5"/>
  <c r="AR7" i="5" s="1"/>
  <c r="AQ15" i="5"/>
  <c r="AR15" i="5" s="1"/>
  <c r="AQ6" i="5"/>
  <c r="AR6" i="5" s="1"/>
  <c r="AQ5" i="5"/>
  <c r="AR5" i="5" s="1"/>
  <c r="AB18" i="5"/>
  <c r="AC18" i="5"/>
  <c r="AD18" i="5" s="1"/>
  <c r="AB5" i="5"/>
  <c r="J34" i="6"/>
  <c r="AC5" i="5"/>
  <c r="N38" i="6"/>
  <c r="O38" i="6" s="1"/>
  <c r="I38" i="6"/>
  <c r="AT15" i="5" l="1"/>
  <c r="AS15" i="5"/>
  <c r="AS7" i="5"/>
  <c r="AT7" i="5"/>
  <c r="AD5" i="5"/>
  <c r="J35" i="6"/>
  <c r="AE14" i="5"/>
  <c r="AT19" i="5"/>
  <c r="AS19" i="5"/>
  <c r="H40" i="6"/>
  <c r="I40" i="6" s="1"/>
  <c r="N34" i="6"/>
  <c r="I34" i="6"/>
  <c r="AT12" i="5"/>
  <c r="AS12" i="5"/>
  <c r="AB24" i="5"/>
  <c r="AE10" i="5" s="1"/>
  <c r="H33" i="6"/>
  <c r="AT8" i="5"/>
  <c r="AS8" i="5"/>
  <c r="AT20" i="5"/>
  <c r="AS20" i="5"/>
  <c r="AV4" i="5"/>
  <c r="AU4" i="5"/>
  <c r="AA34" i="6"/>
  <c r="AD6" i="5"/>
  <c r="L35" i="6"/>
  <c r="AE5" i="5"/>
  <c r="J39" i="6" s="1"/>
  <c r="K39" i="6" s="1"/>
  <c r="J33" i="6"/>
  <c r="K33" i="6" s="1"/>
  <c r="AS11" i="5"/>
  <c r="AT11" i="5"/>
  <c r="AT22" i="5"/>
  <c r="AS22" i="5"/>
  <c r="AT9" i="5"/>
  <c r="AS9" i="5"/>
  <c r="AS17" i="5"/>
  <c r="AT17" i="5"/>
  <c r="AS23" i="5"/>
  <c r="AT23" i="5"/>
  <c r="AS16" i="5"/>
  <c r="AT16" i="5"/>
  <c r="AE9" i="5"/>
  <c r="AV10" i="5"/>
  <c r="AU10" i="5"/>
  <c r="AT13" i="5"/>
  <c r="AS13" i="5"/>
  <c r="AS18" i="5"/>
  <c r="AT18" i="5"/>
  <c r="AE20" i="5"/>
  <c r="AD4" i="5"/>
  <c r="H35" i="6"/>
  <c r="K34" i="6"/>
  <c r="J40" i="6"/>
  <c r="K40" i="6" s="1"/>
  <c r="AB38" i="6"/>
  <c r="AE18" i="5"/>
  <c r="AT5" i="5"/>
  <c r="AS5" i="5"/>
  <c r="AC38" i="6"/>
  <c r="AD38" i="6" s="1"/>
  <c r="AS14" i="5"/>
  <c r="AT14" i="5"/>
  <c r="M34" i="6"/>
  <c r="L40" i="6"/>
  <c r="M40" i="6" s="1"/>
  <c r="AT6" i="5"/>
  <c r="AS6" i="5"/>
  <c r="AE38" i="6"/>
  <c r="AF38" i="6" s="1"/>
  <c r="AS21" i="5"/>
  <c r="AT21" i="5"/>
  <c r="AE7" i="5"/>
  <c r="AE16" i="5"/>
  <c r="AE21" i="5"/>
  <c r="AE6" i="5"/>
  <c r="L39" i="6" s="1"/>
  <c r="M39" i="6" s="1"/>
  <c r="L33" i="6"/>
  <c r="M33" i="6" s="1"/>
  <c r="AT24" i="5" l="1"/>
  <c r="AV22" i="5"/>
  <c r="AU22" i="5"/>
  <c r="AW4" i="5"/>
  <c r="AA35" i="6"/>
  <c r="AV20" i="5"/>
  <c r="AU20" i="5"/>
  <c r="AU19" i="5"/>
  <c r="AV19" i="5"/>
  <c r="AW19" i="5" s="1"/>
  <c r="AV17" i="5"/>
  <c r="AU17" i="5"/>
  <c r="AV8" i="5"/>
  <c r="AU8" i="5"/>
  <c r="AV5" i="5"/>
  <c r="AU5" i="5"/>
  <c r="AC34" i="6"/>
  <c r="AU21" i="5"/>
  <c r="AV21" i="5"/>
  <c r="AE8" i="5"/>
  <c r="AV7" i="5"/>
  <c r="AU7" i="5"/>
  <c r="AE17" i="5"/>
  <c r="AE19" i="5"/>
  <c r="AE11" i="5"/>
  <c r="AE12" i="5"/>
  <c r="AU16" i="5"/>
  <c r="AV16" i="5"/>
  <c r="O34" i="6"/>
  <c r="AV14" i="5"/>
  <c r="AU14" i="5"/>
  <c r="H36" i="6"/>
  <c r="I36" i="6" s="1"/>
  <c r="I35" i="6"/>
  <c r="N35" i="6"/>
  <c r="O35" i="6" s="1"/>
  <c r="H37" i="6"/>
  <c r="I37" i="6" s="1"/>
  <c r="AV11" i="5"/>
  <c r="AU11" i="5"/>
  <c r="AV23" i="5"/>
  <c r="AU23" i="5"/>
  <c r="AU18" i="5"/>
  <c r="AV18" i="5"/>
  <c r="AW18" i="5" s="1"/>
  <c r="L36" i="6"/>
  <c r="M36" i="6" s="1"/>
  <c r="M35" i="6"/>
  <c r="L37" i="6"/>
  <c r="M37" i="6" s="1"/>
  <c r="I33" i="6"/>
  <c r="N33" i="6"/>
  <c r="O33" i="6" s="1"/>
  <c r="K35" i="6"/>
  <c r="J36" i="6"/>
  <c r="K36" i="6" s="1"/>
  <c r="J37" i="6"/>
  <c r="K37" i="6" s="1"/>
  <c r="AV13" i="5"/>
  <c r="AU13" i="5"/>
  <c r="AV9" i="5"/>
  <c r="AU9" i="5"/>
  <c r="AE23" i="5"/>
  <c r="AE4" i="5"/>
  <c r="H39" i="6" s="1"/>
  <c r="AG38" i="6"/>
  <c r="AH38" i="6" s="1"/>
  <c r="AE22" i="5"/>
  <c r="AB34" i="6"/>
  <c r="AA40" i="6"/>
  <c r="AB40" i="6" s="1"/>
  <c r="AV6" i="5"/>
  <c r="AU6" i="5"/>
  <c r="AE34" i="6"/>
  <c r="AE13" i="5"/>
  <c r="AW10" i="5"/>
  <c r="AE15" i="5"/>
  <c r="AA33" i="6"/>
  <c r="AU12" i="5"/>
  <c r="AV12" i="5"/>
  <c r="AW12" i="5" s="1"/>
  <c r="AU15" i="5"/>
  <c r="AV15" i="5"/>
  <c r="AW15" i="5" s="1"/>
  <c r="AW21" i="5" l="1"/>
  <c r="AW11" i="5"/>
  <c r="AW7" i="5"/>
  <c r="N40" i="6"/>
  <c r="O40" i="6" s="1"/>
  <c r="AW20" i="5"/>
  <c r="AW9" i="5"/>
  <c r="AY13" i="5"/>
  <c r="AY23" i="5"/>
  <c r="AW16" i="5"/>
  <c r="AC40" i="6"/>
  <c r="AD40" i="6" s="1"/>
  <c r="AD34" i="6"/>
  <c r="AY12" i="5"/>
  <c r="AW8" i="5"/>
  <c r="AB33" i="6"/>
  <c r="AW17" i="5"/>
  <c r="AU24" i="5"/>
  <c r="AY16" i="5" s="1"/>
  <c r="N39" i="6"/>
  <c r="O39" i="6" s="1"/>
  <c r="I39" i="6"/>
  <c r="AY14" i="5"/>
  <c r="AY19" i="5"/>
  <c r="AW14" i="5"/>
  <c r="AY20" i="5"/>
  <c r="AF34" i="6"/>
  <c r="AA36" i="6"/>
  <c r="AB36" i="6" s="1"/>
  <c r="AB35" i="6"/>
  <c r="AE33" i="6"/>
  <c r="AF33" i="6" s="1"/>
  <c r="AW6" i="5"/>
  <c r="AE35" i="6"/>
  <c r="AW13" i="5"/>
  <c r="AW23" i="5"/>
  <c r="AC33" i="6"/>
  <c r="AD33" i="6" s="1"/>
  <c r="AY22" i="5"/>
  <c r="AY15" i="5"/>
  <c r="AG34" i="6"/>
  <c r="AY11" i="5"/>
  <c r="AW5" i="5"/>
  <c r="AC35" i="6"/>
  <c r="AW22" i="5"/>
  <c r="AY6" i="5" l="1"/>
  <c r="AE39" i="6" s="1"/>
  <c r="AF39" i="6" s="1"/>
  <c r="AE36" i="6"/>
  <c r="AF36" i="6" s="1"/>
  <c r="AF35" i="6"/>
  <c r="AY5" i="5"/>
  <c r="AY18" i="5"/>
  <c r="AY17" i="5"/>
  <c r="AC36" i="6"/>
  <c r="AD36" i="6" s="1"/>
  <c r="AD35" i="6"/>
  <c r="AH34" i="6"/>
  <c r="AG40" i="6"/>
  <c r="AH40" i="6" s="1"/>
  <c r="AG35" i="6"/>
  <c r="AH35" i="6" s="1"/>
  <c r="AF24" i="5"/>
  <c r="AY10" i="5"/>
  <c r="X30" i="6" s="1"/>
  <c r="AY4" i="5"/>
  <c r="AY21" i="5"/>
  <c r="AE40" i="6"/>
  <c r="AF40" i="6" s="1"/>
  <c r="AG33" i="6"/>
  <c r="AH33" i="6" s="1"/>
  <c r="AY7" i="5"/>
  <c r="X21" i="6" s="1"/>
  <c r="AY9" i="5"/>
  <c r="X27" i="6" s="1"/>
  <c r="AY8" i="5"/>
  <c r="X24" i="6" s="1"/>
  <c r="X18" i="6" l="1"/>
  <c r="AA39" i="6"/>
  <c r="X12" i="6"/>
  <c r="AC39" i="6"/>
  <c r="AD39" i="6" s="1"/>
  <c r="X15" i="6"/>
  <c r="BE24" i="5"/>
  <c r="AF71" i="6" s="1"/>
  <c r="BD24" i="5"/>
  <c r="AD71" i="6" s="1"/>
  <c r="BC24" i="5"/>
  <c r="AB71" i="6" s="1"/>
  <c r="AB39" i="6" l="1"/>
  <c r="AG39" i="6"/>
  <c r="AH39" i="6" s="1"/>
  <c r="B20" i="2" l="1"/>
  <c r="B19" i="2"/>
  <c r="B18" i="2"/>
  <c r="B17" i="2"/>
  <c r="B16" i="2"/>
  <c r="B15" i="2"/>
  <c r="B14" i="2"/>
  <c r="B13" i="2"/>
  <c r="B12" i="2"/>
  <c r="B11" i="2"/>
  <c r="BE2" i="2"/>
  <c r="BB2" i="2"/>
  <c r="AE2" i="2"/>
  <c r="AY2" i="2" l="1"/>
  <c r="B23" i="2"/>
  <c r="B22" i="2"/>
  <c r="B21" i="2"/>
  <c r="B2" i="2"/>
  <c r="F23" i="2"/>
  <c r="F22" i="2"/>
  <c r="F21" i="2"/>
  <c r="N3" i="1" a="1"/>
  <c r="F17" i="2" l="1"/>
  <c r="F16" i="2"/>
  <c r="F15" i="2"/>
  <c r="F14" i="2"/>
  <c r="F13" i="2"/>
  <c r="F11" i="2"/>
  <c r="F10" i="2"/>
  <c r="S29" i="3" s="1"/>
  <c r="Q30" i="3" s="1"/>
  <c r="F18" i="2"/>
  <c r="F19" i="2"/>
  <c r="F20" i="2"/>
  <c r="N3" i="1"/>
  <c r="F7" i="2"/>
  <c r="F8" i="2"/>
  <c r="F4" i="2"/>
  <c r="F5" i="2"/>
  <c r="F6" i="2"/>
  <c r="BD2" i="2"/>
  <c r="BC2" i="2"/>
  <c r="BA2" i="2"/>
  <c r="AZ2" i="2"/>
  <c r="AX2" i="2"/>
  <c r="Z70" i="3" l="1"/>
  <c r="F9" i="2"/>
  <c r="F12" i="2"/>
  <c r="AE31" i="3"/>
  <c r="L31" i="3"/>
  <c r="E31" i="3"/>
  <c r="D31" i="3"/>
  <c r="AC31" i="3"/>
  <c r="J31" i="3"/>
  <c r="H31" i="3"/>
  <c r="C31" i="3"/>
  <c r="AA31" i="3"/>
  <c r="F2" i="2"/>
  <c r="E2" i="2"/>
  <c r="D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S26" i="3" l="1"/>
  <c r="Z69" i="3" s="1"/>
  <c r="S23" i="3"/>
  <c r="Z68" i="3" s="1"/>
  <c r="S20" i="3"/>
  <c r="Z67" i="3" s="1"/>
  <c r="S17" i="3"/>
  <c r="S14" i="3"/>
  <c r="S11" i="3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Z66" i="3" l="1"/>
  <c r="AE62" i="3"/>
  <c r="Z64" i="3"/>
  <c r="AA62" i="3"/>
  <c r="Z65" i="3"/>
  <c r="AC62" i="3"/>
  <c r="Q12" i="3"/>
  <c r="Q18" i="3"/>
  <c r="Q24" i="3"/>
  <c r="Q21" i="3"/>
  <c r="Q27" i="3"/>
  <c r="Q15" i="3"/>
  <c r="E24" i="2"/>
  <c r="D24" i="2" s="1"/>
  <c r="J24" i="2"/>
  <c r="L9" i="2"/>
  <c r="K9" i="2"/>
  <c r="J9" i="2"/>
  <c r="I9" i="2"/>
  <c r="H9" i="2"/>
  <c r="G9" i="2"/>
  <c r="L8" i="2"/>
  <c r="K8" i="2"/>
  <c r="J8" i="2"/>
  <c r="I8" i="2"/>
  <c r="H8" i="2"/>
  <c r="G8" i="2"/>
  <c r="L7" i="2"/>
  <c r="K7" i="2"/>
  <c r="J7" i="2"/>
  <c r="I7" i="2"/>
  <c r="H7" i="2"/>
  <c r="G7" i="2"/>
  <c r="L6" i="2"/>
  <c r="K6" i="2"/>
  <c r="J6" i="2"/>
  <c r="I6" i="2"/>
  <c r="H6" i="2"/>
  <c r="G6" i="2"/>
  <c r="L5" i="2"/>
  <c r="K5" i="2"/>
  <c r="J5" i="2"/>
  <c r="I5" i="2"/>
  <c r="H5" i="2"/>
  <c r="G5" i="2"/>
  <c r="L22" i="2"/>
  <c r="R9" i="2" l="1"/>
  <c r="T9" i="2" s="1"/>
  <c r="S7" i="2"/>
  <c r="S5" i="2"/>
  <c r="S9" i="2"/>
  <c r="R7" i="2"/>
  <c r="T7" i="2" s="1"/>
  <c r="R5" i="2"/>
  <c r="T5" i="2" s="1"/>
  <c r="R10" i="2"/>
  <c r="R8" i="2"/>
  <c r="T8" i="2" s="1"/>
  <c r="S6" i="2"/>
  <c r="S10" i="2"/>
  <c r="S8" i="2"/>
  <c r="R6" i="2"/>
  <c r="T6" i="2" s="1"/>
  <c r="N6" i="2"/>
  <c r="M5" i="2"/>
  <c r="O5" i="2" s="1"/>
  <c r="N8" i="2"/>
  <c r="N7" i="2"/>
  <c r="N9" i="2"/>
  <c r="M6" i="2"/>
  <c r="N5" i="2"/>
  <c r="M8" i="2"/>
  <c r="O8" i="2" s="1"/>
  <c r="M9" i="2"/>
  <c r="O9" i="2" s="1"/>
  <c r="M7" i="2"/>
  <c r="O7" i="2" s="1"/>
  <c r="J22" i="2"/>
  <c r="K22" i="2"/>
  <c r="N22" i="2" s="1"/>
  <c r="G22" i="2"/>
  <c r="H22" i="2"/>
  <c r="I22" i="2"/>
  <c r="BB9" i="2" l="1"/>
  <c r="BB6" i="2"/>
  <c r="BB5" i="2"/>
  <c r="BB8" i="2"/>
  <c r="BB7" i="2"/>
  <c r="U8" i="2"/>
  <c r="X6" i="2"/>
  <c r="O6" i="2"/>
  <c r="U6" i="2"/>
  <c r="U7" i="2"/>
  <c r="U9" i="2"/>
  <c r="U5" i="2"/>
  <c r="X5" i="2"/>
  <c r="BA9" i="2"/>
  <c r="BA8" i="2"/>
  <c r="BA7" i="2"/>
  <c r="BA6" i="2"/>
  <c r="BA5" i="2"/>
  <c r="X9" i="2"/>
  <c r="X8" i="2"/>
  <c r="X7" i="2"/>
  <c r="M22" i="2"/>
  <c r="O22" i="2" s="1"/>
  <c r="BB22" i="2" l="1"/>
  <c r="BA22" i="2"/>
  <c r="X22" i="2"/>
  <c r="I24" i="2" l="1"/>
  <c r="H15" i="2" l="1"/>
  <c r="L15" i="2"/>
  <c r="K15" i="2"/>
  <c r="J15" i="2"/>
  <c r="I15" i="2"/>
  <c r="G15" i="2"/>
  <c r="L17" i="2"/>
  <c r="J17" i="2"/>
  <c r="I17" i="2"/>
  <c r="K17" i="2"/>
  <c r="H17" i="2"/>
  <c r="G17" i="2"/>
  <c r="L18" i="2"/>
  <c r="I18" i="2"/>
  <c r="H18" i="2"/>
  <c r="G18" i="2"/>
  <c r="K18" i="2"/>
  <c r="J18" i="2"/>
  <c r="H19" i="2"/>
  <c r="L19" i="2"/>
  <c r="K19" i="2"/>
  <c r="J19" i="2"/>
  <c r="I19" i="2"/>
  <c r="G19" i="2"/>
  <c r="L20" i="2"/>
  <c r="J20" i="2"/>
  <c r="K20" i="2"/>
  <c r="I20" i="2"/>
  <c r="H20" i="2"/>
  <c r="G20" i="2"/>
  <c r="L21" i="2"/>
  <c r="K21" i="2"/>
  <c r="J21" i="2"/>
  <c r="I21" i="2"/>
  <c r="H21" i="2"/>
  <c r="G21" i="2"/>
  <c r="L10" i="2"/>
  <c r="J10" i="2"/>
  <c r="H10" i="2"/>
  <c r="K10" i="2"/>
  <c r="I10" i="2"/>
  <c r="G10" i="2"/>
  <c r="T10" i="2" s="1"/>
  <c r="U10" i="2" s="1"/>
  <c r="H23" i="2"/>
  <c r="L23" i="2"/>
  <c r="K23" i="2"/>
  <c r="J23" i="2"/>
  <c r="I23" i="2"/>
  <c r="G23" i="2"/>
  <c r="H11" i="2"/>
  <c r="L11" i="2"/>
  <c r="K11" i="2"/>
  <c r="J11" i="2"/>
  <c r="I11" i="2"/>
  <c r="G11" i="2"/>
  <c r="L14" i="2"/>
  <c r="J14" i="2"/>
  <c r="H14" i="2"/>
  <c r="G14" i="2"/>
  <c r="K14" i="2"/>
  <c r="I14" i="2"/>
  <c r="L12" i="2"/>
  <c r="I12" i="2"/>
  <c r="G12" i="2"/>
  <c r="K12" i="2"/>
  <c r="J12" i="2"/>
  <c r="H12" i="2"/>
  <c r="L16" i="2"/>
  <c r="J16" i="2"/>
  <c r="I16" i="2"/>
  <c r="K16" i="2"/>
  <c r="H16" i="2"/>
  <c r="G16" i="2"/>
  <c r="L13" i="2"/>
  <c r="J13" i="2"/>
  <c r="I13" i="2"/>
  <c r="K13" i="2"/>
  <c r="H13" i="2"/>
  <c r="G13" i="2"/>
  <c r="D4" i="2"/>
  <c r="N23" i="2" l="1"/>
  <c r="N21" i="2"/>
  <c r="R4" i="2"/>
  <c r="S4" i="2"/>
  <c r="N16" i="2"/>
  <c r="N14" i="2"/>
  <c r="N19" i="2"/>
  <c r="L4" i="2"/>
  <c r="L24" i="2" s="1"/>
  <c r="I4" i="2"/>
  <c r="H4" i="2"/>
  <c r="G4" i="2"/>
  <c r="K4" i="2"/>
  <c r="J4" i="2"/>
  <c r="N17" i="2"/>
  <c r="M16" i="2"/>
  <c r="M23" i="2"/>
  <c r="M21" i="2"/>
  <c r="M19" i="2"/>
  <c r="M17" i="2"/>
  <c r="M14" i="2"/>
  <c r="M13" i="2"/>
  <c r="M11" i="2"/>
  <c r="M10" i="2"/>
  <c r="M20" i="2"/>
  <c r="M15" i="2"/>
  <c r="N18" i="2"/>
  <c r="N13" i="2"/>
  <c r="N12" i="2"/>
  <c r="N10" i="2"/>
  <c r="M18" i="2"/>
  <c r="M12" i="2"/>
  <c r="N11" i="2"/>
  <c r="N20" i="2"/>
  <c r="N15" i="2"/>
  <c r="C34" i="3" l="1"/>
  <c r="E34" i="3"/>
  <c r="D34" i="3"/>
  <c r="Q18" i="2"/>
  <c r="D33" i="3"/>
  <c r="E33" i="3"/>
  <c r="O11" i="2"/>
  <c r="BB11" i="2"/>
  <c r="O12" i="2"/>
  <c r="BB12" i="2"/>
  <c r="BB17" i="2"/>
  <c r="O21" i="2"/>
  <c r="BB21" i="2"/>
  <c r="O13" i="2"/>
  <c r="BB13" i="2"/>
  <c r="BB14" i="2"/>
  <c r="O18" i="2"/>
  <c r="BB18" i="2"/>
  <c r="O16" i="2"/>
  <c r="BB16" i="2"/>
  <c r="O15" i="2"/>
  <c r="BB15" i="2"/>
  <c r="O20" i="2"/>
  <c r="BB20" i="2"/>
  <c r="BB19" i="2"/>
  <c r="O23" i="2"/>
  <c r="BB23" i="2"/>
  <c r="O10" i="2"/>
  <c r="BB10" i="2"/>
  <c r="AE70" i="3" s="1"/>
  <c r="P17" i="2"/>
  <c r="BA19" i="2"/>
  <c r="O19" i="2"/>
  <c r="BA14" i="2"/>
  <c r="O14" i="2"/>
  <c r="BA17" i="2"/>
  <c r="O17" i="2"/>
  <c r="Q6" i="2"/>
  <c r="C33" i="3"/>
  <c r="T4" i="2"/>
  <c r="Q15" i="2"/>
  <c r="X18" i="2"/>
  <c r="BA18" i="2"/>
  <c r="BA16" i="2"/>
  <c r="X15" i="2"/>
  <c r="BA15" i="2"/>
  <c r="X11" i="2"/>
  <c r="BA11" i="2"/>
  <c r="X12" i="2"/>
  <c r="BA12" i="2"/>
  <c r="BA21" i="2"/>
  <c r="BA23" i="2"/>
  <c r="X20" i="2"/>
  <c r="BA20" i="2"/>
  <c r="X10" i="2"/>
  <c r="BA10" i="2"/>
  <c r="X13" i="2"/>
  <c r="BA13" i="2"/>
  <c r="P16" i="2"/>
  <c r="Q13" i="2"/>
  <c r="Q8" i="2"/>
  <c r="Q14" i="2"/>
  <c r="P10" i="2"/>
  <c r="Q23" i="2"/>
  <c r="P18" i="2"/>
  <c r="Q19" i="2"/>
  <c r="Q20" i="2"/>
  <c r="P13" i="2"/>
  <c r="P14" i="2"/>
  <c r="Q9" i="2"/>
  <c r="P19" i="2"/>
  <c r="Q10" i="2"/>
  <c r="Q12" i="2"/>
  <c r="P5" i="2"/>
  <c r="Q7" i="2"/>
  <c r="Q21" i="2"/>
  <c r="Q22" i="2"/>
  <c r="P23" i="2"/>
  <c r="P4" i="2"/>
  <c r="C38" i="3" s="1"/>
  <c r="P20" i="2"/>
  <c r="Q4" i="2"/>
  <c r="C39" i="3" s="1"/>
  <c r="P6" i="2"/>
  <c r="P21" i="2"/>
  <c r="Q16" i="2"/>
  <c r="P7" i="2"/>
  <c r="P22" i="2"/>
  <c r="Q5" i="2"/>
  <c r="P8" i="2"/>
  <c r="P11" i="2"/>
  <c r="Q17" i="2"/>
  <c r="P9" i="2"/>
  <c r="P15" i="2"/>
  <c r="Q11" i="2"/>
  <c r="P12" i="2"/>
  <c r="M4" i="2"/>
  <c r="BB4" i="2" s="1"/>
  <c r="N4" i="2"/>
  <c r="H24" i="2"/>
  <c r="G24" i="2"/>
  <c r="K24" i="2"/>
  <c r="N24" i="2" s="1"/>
  <c r="X14" i="2"/>
  <c r="X16" i="2"/>
  <c r="X19" i="2"/>
  <c r="X17" i="2"/>
  <c r="X23" i="2"/>
  <c r="X21" i="2"/>
  <c r="E38" i="3" l="1"/>
  <c r="AE64" i="3"/>
  <c r="AE68" i="3"/>
  <c r="AE67" i="3"/>
  <c r="AE65" i="3"/>
  <c r="AE66" i="3"/>
  <c r="AE69" i="3"/>
  <c r="S30" i="3"/>
  <c r="W30" i="3" s="1"/>
  <c r="D40" i="3"/>
  <c r="U4" i="2"/>
  <c r="E35" i="3"/>
  <c r="E36" i="3" s="1"/>
  <c r="E40" i="3"/>
  <c r="D39" i="3"/>
  <c r="F34" i="3"/>
  <c r="D38" i="3"/>
  <c r="E39" i="3"/>
  <c r="F33" i="3"/>
  <c r="C40" i="3"/>
  <c r="O4" i="2"/>
  <c r="S24" i="3"/>
  <c r="S18" i="3"/>
  <c r="S15" i="3"/>
  <c r="S21" i="3"/>
  <c r="S27" i="3"/>
  <c r="AZ20" i="2"/>
  <c r="AZ8" i="2"/>
  <c r="AZ19" i="2"/>
  <c r="AZ7" i="2"/>
  <c r="AZ18" i="2"/>
  <c r="AZ6" i="2"/>
  <c r="AZ17" i="2"/>
  <c r="AZ5" i="2"/>
  <c r="AZ16" i="2"/>
  <c r="AZ4" i="2"/>
  <c r="AA64" i="3" s="1"/>
  <c r="AZ15" i="2"/>
  <c r="AZ14" i="2"/>
  <c r="AZ13" i="2"/>
  <c r="AZ12" i="2"/>
  <c r="AZ23" i="2"/>
  <c r="AZ11" i="2"/>
  <c r="AZ22" i="2"/>
  <c r="AZ10" i="2"/>
  <c r="AZ21" i="2"/>
  <c r="AZ9" i="2"/>
  <c r="BA4" i="2"/>
  <c r="P24" i="2"/>
  <c r="Q24" i="2"/>
  <c r="X4" i="2"/>
  <c r="S12" i="3"/>
  <c r="M24" i="2"/>
  <c r="AF10" i="2" l="1"/>
  <c r="AA70" i="3"/>
  <c r="F40" i="3"/>
  <c r="AA67" i="3"/>
  <c r="AC70" i="3"/>
  <c r="E37" i="3"/>
  <c r="O24" i="2"/>
  <c r="BB24" i="2"/>
  <c r="AE71" i="3" s="1"/>
  <c r="F39" i="3"/>
  <c r="AA68" i="3"/>
  <c r="AF9" i="2"/>
  <c r="AF7" i="2"/>
  <c r="AF8" i="2"/>
  <c r="AF5" i="2"/>
  <c r="AF6" i="2"/>
  <c r="AC64" i="3"/>
  <c r="AC67" i="3"/>
  <c r="AC68" i="3"/>
  <c r="AC69" i="3"/>
  <c r="AC65" i="3"/>
  <c r="AC66" i="3"/>
  <c r="AA69" i="3"/>
  <c r="AA65" i="3"/>
  <c r="AA66" i="3"/>
  <c r="AF4" i="2"/>
  <c r="AG6" i="2"/>
  <c r="AG9" i="2"/>
  <c r="AG10" i="2"/>
  <c r="C35" i="3"/>
  <c r="C37" i="3" s="1"/>
  <c r="X24" i="2"/>
  <c r="Y4" i="2" s="1"/>
  <c r="H38" i="3" s="1"/>
  <c r="AG8" i="2"/>
  <c r="AG7" i="2"/>
  <c r="BA24" i="2"/>
  <c r="AZ24" i="2"/>
  <c r="AA71" i="3" s="1"/>
  <c r="F38" i="3"/>
  <c r="BE10" i="2" l="1"/>
  <c r="BE9" i="2"/>
  <c r="BE8" i="2"/>
  <c r="BE7" i="2"/>
  <c r="BE6" i="2"/>
  <c r="BE5" i="2"/>
  <c r="BE4" i="2"/>
  <c r="AF64" i="3" s="1"/>
  <c r="AC71" i="3"/>
  <c r="C36" i="3"/>
  <c r="AH7" i="2"/>
  <c r="AH10" i="2"/>
  <c r="AH6" i="2"/>
  <c r="D35" i="3"/>
  <c r="Y6" i="2"/>
  <c r="Y9" i="2"/>
  <c r="AA9" i="2" s="1"/>
  <c r="Y8" i="2"/>
  <c r="AA8" i="2" s="1"/>
  <c r="Y7" i="2"/>
  <c r="Z7" i="2" s="1"/>
  <c r="Y5" i="2"/>
  <c r="Y22" i="2"/>
  <c r="AA22" i="2" s="1"/>
  <c r="Y18" i="2"/>
  <c r="AA18" i="2" s="1"/>
  <c r="Y14" i="2"/>
  <c r="Z14" i="2" s="1"/>
  <c r="Y20" i="2"/>
  <c r="Z20" i="2" s="1"/>
  <c r="Y23" i="2"/>
  <c r="Z23" i="2" s="1"/>
  <c r="Y13" i="2"/>
  <c r="Z13" i="2" s="1"/>
  <c r="Y19" i="2"/>
  <c r="Z19" i="2" s="1"/>
  <c r="Y11" i="2"/>
  <c r="Z11" i="2" s="1"/>
  <c r="Y17" i="2"/>
  <c r="Z17" i="2" s="1"/>
  <c r="Y10" i="2"/>
  <c r="Z10" i="2" s="1"/>
  <c r="Y15" i="2"/>
  <c r="AA15" i="2" s="1"/>
  <c r="Y16" i="2"/>
  <c r="Z16" i="2" s="1"/>
  <c r="Y12" i="2"/>
  <c r="Z12" i="2" s="1"/>
  <c r="Y21" i="2"/>
  <c r="Z21" i="2" s="1"/>
  <c r="AH9" i="2"/>
  <c r="AH8" i="2"/>
  <c r="AG5" i="2"/>
  <c r="V8" i="2"/>
  <c r="W8" i="2" s="1"/>
  <c r="V5" i="2"/>
  <c r="W5" i="2" s="1"/>
  <c r="V9" i="2"/>
  <c r="W9" i="2" s="1"/>
  <c r="Z4" i="2"/>
  <c r="AA4" i="2"/>
  <c r="H34" i="3" s="1"/>
  <c r="AF65" i="3" l="1"/>
  <c r="AF66" i="3"/>
  <c r="AF68" i="3"/>
  <c r="AF69" i="3"/>
  <c r="AF67" i="3"/>
  <c r="AF70" i="3"/>
  <c r="Z8" i="2"/>
  <c r="Z6" i="2"/>
  <c r="L38" i="3"/>
  <c r="M38" i="3" s="1"/>
  <c r="Z5" i="2"/>
  <c r="J38" i="3"/>
  <c r="D36" i="3"/>
  <c r="D37" i="3"/>
  <c r="F35" i="3"/>
  <c r="AA6" i="2"/>
  <c r="AA10" i="2"/>
  <c r="AC10" i="2" s="1"/>
  <c r="Z22" i="2"/>
  <c r="AA12" i="2"/>
  <c r="AB12" i="2" s="1"/>
  <c r="Z15" i="2"/>
  <c r="Z9" i="2"/>
  <c r="AA11" i="2"/>
  <c r="AB11" i="2" s="1"/>
  <c r="AA7" i="2"/>
  <c r="AB7" i="2" s="1"/>
  <c r="AA17" i="2"/>
  <c r="AB17" i="2" s="1"/>
  <c r="AG4" i="2"/>
  <c r="AX10" i="2"/>
  <c r="V10" i="2"/>
  <c r="W10" i="2" s="1"/>
  <c r="V4" i="2"/>
  <c r="W4" i="2" s="1"/>
  <c r="AA19" i="2"/>
  <c r="AB19" i="2" s="1"/>
  <c r="Z18" i="2"/>
  <c r="AA13" i="2"/>
  <c r="AA23" i="2"/>
  <c r="AA5" i="2"/>
  <c r="AB5" i="2" s="1"/>
  <c r="AA14" i="2"/>
  <c r="AA16" i="2"/>
  <c r="AB16" i="2" s="1"/>
  <c r="AA21" i="2"/>
  <c r="AB21" i="2" s="1"/>
  <c r="AA20" i="2"/>
  <c r="V6" i="2"/>
  <c r="W6" i="2" s="1"/>
  <c r="AH4" i="2"/>
  <c r="AA37" i="3" s="1"/>
  <c r="V7" i="2"/>
  <c r="W7" i="2" s="1"/>
  <c r="AB4" i="2"/>
  <c r="AC4" i="2"/>
  <c r="H35" i="3" s="1"/>
  <c r="AB15" i="2"/>
  <c r="AB9" i="2"/>
  <c r="AC9" i="2"/>
  <c r="AB8" i="2"/>
  <c r="AC8" i="2"/>
  <c r="AB18" i="2"/>
  <c r="AB22" i="2"/>
  <c r="N38" i="3" l="1"/>
  <c r="O38" i="3" s="1"/>
  <c r="H33" i="3"/>
  <c r="AB6" i="2"/>
  <c r="L34" i="3"/>
  <c r="H36" i="3"/>
  <c r="I36" i="3" s="1"/>
  <c r="AC6" i="2"/>
  <c r="AB10" i="2"/>
  <c r="AB13" i="2"/>
  <c r="AB23" i="2"/>
  <c r="AC5" i="2"/>
  <c r="J35" i="3" s="1"/>
  <c r="J33" i="3"/>
  <c r="K33" i="3" s="1"/>
  <c r="J34" i="3"/>
  <c r="AB14" i="2"/>
  <c r="AC7" i="2"/>
  <c r="AD7" i="2" s="1"/>
  <c r="AH5" i="2"/>
  <c r="AX9" i="2"/>
  <c r="AB20" i="2"/>
  <c r="AA24" i="2"/>
  <c r="BC8" i="2"/>
  <c r="BC7" i="2"/>
  <c r="BC6" i="2"/>
  <c r="BC5" i="2"/>
  <c r="BC10" i="2"/>
  <c r="BC4" i="2"/>
  <c r="AB64" i="3" s="1"/>
  <c r="BD5" i="2"/>
  <c r="BD10" i="2"/>
  <c r="BD4" i="2"/>
  <c r="BD8" i="2"/>
  <c r="BD6" i="2"/>
  <c r="BD7" i="2"/>
  <c r="I34" i="3"/>
  <c r="I33" i="3"/>
  <c r="AD4" i="2"/>
  <c r="H37" i="3" s="1"/>
  <c r="W21" i="3"/>
  <c r="AX7" i="2"/>
  <c r="W18" i="3"/>
  <c r="AX6" i="2"/>
  <c r="W24" i="3"/>
  <c r="AX8" i="2"/>
  <c r="W12" i="3"/>
  <c r="AX4" i="2"/>
  <c r="W15" i="3"/>
  <c r="AX5" i="2"/>
  <c r="AI4" i="2"/>
  <c r="AJ4" i="2" s="1"/>
  <c r="AD8" i="2"/>
  <c r="AD9" i="2"/>
  <c r="AI10" i="2"/>
  <c r="AJ10" i="2" s="1"/>
  <c r="AP10" i="2" s="1"/>
  <c r="AI7" i="2"/>
  <c r="AJ7" i="2" s="1"/>
  <c r="AP7" i="2" s="1"/>
  <c r="AI6" i="2"/>
  <c r="AJ6" i="2" s="1"/>
  <c r="AP6" i="2" s="1"/>
  <c r="AI5" i="2"/>
  <c r="AJ5" i="2" s="1"/>
  <c r="AP5" i="2" s="1"/>
  <c r="AI8" i="2"/>
  <c r="AJ8" i="2" s="1"/>
  <c r="AP8" i="2" s="1"/>
  <c r="AD5" i="2" l="1"/>
  <c r="J37" i="3" s="1"/>
  <c r="K37" i="3" s="1"/>
  <c r="AC37" i="3"/>
  <c r="AE37" i="3"/>
  <c r="AF37" i="3" s="1"/>
  <c r="AD10" i="2"/>
  <c r="M34" i="3"/>
  <c r="L33" i="3"/>
  <c r="M33" i="3" s="1"/>
  <c r="N34" i="3"/>
  <c r="AD70" i="3"/>
  <c r="K35" i="3"/>
  <c r="J36" i="3"/>
  <c r="K36" i="3" s="1"/>
  <c r="AD64" i="3"/>
  <c r="AD68" i="3"/>
  <c r="AD67" i="3"/>
  <c r="AD6" i="2"/>
  <c r="L35" i="3"/>
  <c r="AB68" i="3"/>
  <c r="AB65" i="3"/>
  <c r="AD65" i="3"/>
  <c r="AD66" i="3"/>
  <c r="AB66" i="3"/>
  <c r="AB67" i="3"/>
  <c r="AB24" i="2"/>
  <c r="AE13" i="2" s="1"/>
  <c r="J40" i="3"/>
  <c r="K40" i="3" s="1"/>
  <c r="K34" i="3"/>
  <c r="AI9" i="2"/>
  <c r="AJ9" i="2" s="1"/>
  <c r="AP9" i="2" s="1"/>
  <c r="BC9" i="2"/>
  <c r="AB69" i="3" s="1"/>
  <c r="BD9" i="2"/>
  <c r="W27" i="3"/>
  <c r="I37" i="3"/>
  <c r="I35" i="3"/>
  <c r="H40" i="3"/>
  <c r="I40" i="3" s="1"/>
  <c r="AP4" i="2"/>
  <c r="AB70" i="3" l="1"/>
  <c r="O34" i="3"/>
  <c r="L40" i="3"/>
  <c r="M40" i="3" s="1"/>
  <c r="AE20" i="2"/>
  <c r="AE6" i="2"/>
  <c r="AE14" i="2"/>
  <c r="AE8" i="2"/>
  <c r="AE9" i="2"/>
  <c r="AE7" i="2"/>
  <c r="AE5" i="2"/>
  <c r="J39" i="3" s="1"/>
  <c r="K39" i="3" s="1"/>
  <c r="AE15" i="2"/>
  <c r="AE21" i="2"/>
  <c r="AE22" i="2"/>
  <c r="AE17" i="2"/>
  <c r="AE4" i="2"/>
  <c r="H39" i="3" s="1"/>
  <c r="I39" i="3" s="1"/>
  <c r="AE16" i="2"/>
  <c r="AE11" i="2"/>
  <c r="AE19" i="2"/>
  <c r="AE12" i="2"/>
  <c r="AE18" i="2"/>
  <c r="AE10" i="2"/>
  <c r="N33" i="3"/>
  <c r="O33" i="3" s="1"/>
  <c r="AE23" i="2"/>
  <c r="L37" i="3"/>
  <c r="M37" i="3" s="1"/>
  <c r="L36" i="3"/>
  <c r="M36" i="3" s="1"/>
  <c r="M35" i="3"/>
  <c r="N35" i="3"/>
  <c r="O35" i="3" s="1"/>
  <c r="AD69" i="3"/>
  <c r="I38" i="3"/>
  <c r="K38" i="3"/>
  <c r="R15" i="2"/>
  <c r="L39" i="3" l="1"/>
  <c r="M39" i="3" s="1"/>
  <c r="N40" i="3"/>
  <c r="O40" i="3" s="1"/>
  <c r="T15" i="2"/>
  <c r="AG15" i="2"/>
  <c r="AC15" i="2"/>
  <c r="AF14" i="2"/>
  <c r="BE14" i="2" s="1"/>
  <c r="S23" i="2"/>
  <c r="AH23" i="2" s="1"/>
  <c r="S13" i="2"/>
  <c r="AH13" i="2" s="1"/>
  <c r="S15" i="2"/>
  <c r="AH15" i="2" s="1"/>
  <c r="S12" i="2"/>
  <c r="AH12" i="2" s="1"/>
  <c r="S14" i="2"/>
  <c r="AH14" i="2" s="1"/>
  <c r="S22" i="2"/>
  <c r="AH22" i="2" s="1"/>
  <c r="S21" i="2"/>
  <c r="AH21" i="2" s="1"/>
  <c r="R13" i="2"/>
  <c r="R19" i="2"/>
  <c r="AF16" i="2"/>
  <c r="BE16" i="2" s="1"/>
  <c r="AF22" i="2"/>
  <c r="BE22" i="2" s="1"/>
  <c r="AF20" i="2"/>
  <c r="BE20" i="2" s="1"/>
  <c r="AF23" i="2"/>
  <c r="BE23" i="2" s="1"/>
  <c r="S17" i="2"/>
  <c r="AH17" i="2" s="1"/>
  <c r="R16" i="2"/>
  <c r="AF13" i="2"/>
  <c r="BE13" i="2" s="1"/>
  <c r="S16" i="2"/>
  <c r="AH16" i="2" s="1"/>
  <c r="R23" i="2"/>
  <c r="R22" i="2"/>
  <c r="AF15" i="2"/>
  <c r="BE15" i="2" s="1"/>
  <c r="S20" i="2"/>
  <c r="AH20" i="2" s="1"/>
  <c r="AF12" i="2"/>
  <c r="BE12" i="2" s="1"/>
  <c r="AF19" i="2"/>
  <c r="BE19" i="2" s="1"/>
  <c r="AF17" i="2"/>
  <c r="BE17" i="2" s="1"/>
  <c r="AF18" i="2"/>
  <c r="BE18" i="2" s="1"/>
  <c r="R17" i="2"/>
  <c r="R21" i="2"/>
  <c r="R20" i="2"/>
  <c r="S19" i="2"/>
  <c r="AH19" i="2" s="1"/>
  <c r="R18" i="2"/>
  <c r="AF11" i="2"/>
  <c r="BE11" i="2" s="1"/>
  <c r="S18" i="2"/>
  <c r="AH18" i="2" s="1"/>
  <c r="AF21" i="2"/>
  <c r="BE21" i="2" s="1"/>
  <c r="R11" i="2"/>
  <c r="S11" i="2"/>
  <c r="AH11" i="2" s="1"/>
  <c r="R12" i="2"/>
  <c r="R14" i="2"/>
  <c r="N39" i="3" l="1"/>
  <c r="O39" i="3" s="1"/>
  <c r="T11" i="2"/>
  <c r="AG11" i="2"/>
  <c r="AC11" i="2"/>
  <c r="AX16" i="2"/>
  <c r="AI16" i="2"/>
  <c r="AJ16" i="2" s="1"/>
  <c r="AP16" i="2" s="1"/>
  <c r="BD16" i="2"/>
  <c r="BC16" i="2"/>
  <c r="AX21" i="2"/>
  <c r="BD21" i="2"/>
  <c r="BC21" i="2"/>
  <c r="AI21" i="2"/>
  <c r="AJ21" i="2" s="1"/>
  <c r="AP21" i="2" s="1"/>
  <c r="U15" i="2"/>
  <c r="V15" i="2" s="1"/>
  <c r="W15" i="2" s="1"/>
  <c r="AD15" i="2" s="1"/>
  <c r="AX15" i="2"/>
  <c r="AI15" i="2"/>
  <c r="AJ15" i="2" s="1"/>
  <c r="AP15" i="2" s="1"/>
  <c r="BC15" i="2"/>
  <c r="BD15" i="2"/>
  <c r="AX11" i="2"/>
  <c r="BC11" i="2"/>
  <c r="BD11" i="2"/>
  <c r="AI11" i="2"/>
  <c r="AJ11" i="2" s="1"/>
  <c r="T18" i="2"/>
  <c r="AG18" i="2"/>
  <c r="AC18" i="2"/>
  <c r="T20" i="2"/>
  <c r="AG20" i="2"/>
  <c r="AC20" i="2"/>
  <c r="AX13" i="2"/>
  <c r="BD13" i="2"/>
  <c r="BC13" i="2"/>
  <c r="AI13" i="2"/>
  <c r="AJ13" i="2" s="1"/>
  <c r="AP13" i="2" s="1"/>
  <c r="T21" i="2"/>
  <c r="AG21" i="2"/>
  <c r="AC21" i="2"/>
  <c r="T14" i="2"/>
  <c r="AG14" i="2"/>
  <c r="AC14" i="2"/>
  <c r="AX23" i="2"/>
  <c r="BD23" i="2"/>
  <c r="BC23" i="2"/>
  <c r="AI23" i="2"/>
  <c r="AJ23" i="2" s="1"/>
  <c r="AP23" i="2" s="1"/>
  <c r="AX17" i="2"/>
  <c r="BD17" i="2"/>
  <c r="AI17" i="2"/>
  <c r="AJ17" i="2" s="1"/>
  <c r="AP17" i="2" s="1"/>
  <c r="BC17" i="2"/>
  <c r="AX14" i="2"/>
  <c r="BD14" i="2"/>
  <c r="AI14" i="2"/>
  <c r="AJ14" i="2" s="1"/>
  <c r="AP14" i="2" s="1"/>
  <c r="BC14" i="2"/>
  <c r="AI12" i="2"/>
  <c r="AJ12" i="2" s="1"/>
  <c r="AP12" i="2" s="1"/>
  <c r="AX12" i="2"/>
  <c r="BC12" i="2"/>
  <c r="BD12" i="2"/>
  <c r="T19" i="2"/>
  <c r="AG19" i="2"/>
  <c r="AC19" i="2"/>
  <c r="T13" i="2"/>
  <c r="AG13" i="2"/>
  <c r="AC13" i="2"/>
  <c r="T22" i="2"/>
  <c r="AG22" i="2"/>
  <c r="AC22" i="2"/>
  <c r="T23" i="2"/>
  <c r="AG23" i="2"/>
  <c r="AC23" i="2"/>
  <c r="T16" i="2"/>
  <c r="AG16" i="2"/>
  <c r="AC16" i="2"/>
  <c r="T17" i="2"/>
  <c r="AG17" i="2"/>
  <c r="AC17" i="2"/>
  <c r="AX18" i="2"/>
  <c r="BD18" i="2"/>
  <c r="AI18" i="2"/>
  <c r="AJ18" i="2" s="1"/>
  <c r="AP18" i="2" s="1"/>
  <c r="BC18" i="2"/>
  <c r="T12" i="2"/>
  <c r="AG12" i="2"/>
  <c r="AC12" i="2"/>
  <c r="AX20" i="2"/>
  <c r="BD20" i="2"/>
  <c r="AI20" i="2"/>
  <c r="AJ20" i="2" s="1"/>
  <c r="AP20" i="2" s="1"/>
  <c r="BC20" i="2"/>
  <c r="AX19" i="2"/>
  <c r="BC19" i="2"/>
  <c r="BD19" i="2"/>
  <c r="AI19" i="2"/>
  <c r="AJ19" i="2" s="1"/>
  <c r="AP19" i="2" s="1"/>
  <c r="AX22" i="2"/>
  <c r="BD22" i="2"/>
  <c r="BC22" i="2"/>
  <c r="AI22" i="2"/>
  <c r="AJ22" i="2" s="1"/>
  <c r="AP22" i="2" s="1"/>
  <c r="U22" i="2" l="1"/>
  <c r="V22" i="2" s="1"/>
  <c r="W22" i="2" s="1"/>
  <c r="AD22" i="2" s="1"/>
  <c r="U11" i="2"/>
  <c r="V11" i="2" s="1"/>
  <c r="W11" i="2" s="1"/>
  <c r="AD11" i="2" s="1"/>
  <c r="T24" i="2"/>
  <c r="U14" i="2"/>
  <c r="V14" i="2" s="1"/>
  <c r="W14" i="2" s="1"/>
  <c r="AD14" i="2" s="1"/>
  <c r="U17" i="2"/>
  <c r="V17" i="2" s="1"/>
  <c r="W17" i="2" s="1"/>
  <c r="AD17" i="2" s="1"/>
  <c r="U13" i="2"/>
  <c r="V13" i="2" s="1"/>
  <c r="W13" i="2" s="1"/>
  <c r="AD13" i="2" s="1"/>
  <c r="AP11" i="2"/>
  <c r="AJ24" i="2"/>
  <c r="U16" i="2"/>
  <c r="V16" i="2" s="1"/>
  <c r="W16" i="2" s="1"/>
  <c r="AD16" i="2" s="1"/>
  <c r="U19" i="2"/>
  <c r="V19" i="2" s="1"/>
  <c r="W19" i="2" s="1"/>
  <c r="AD19" i="2" s="1"/>
  <c r="U12" i="2"/>
  <c r="V12" i="2" s="1"/>
  <c r="W12" i="2" s="1"/>
  <c r="AD12" i="2" s="1"/>
  <c r="U23" i="2"/>
  <c r="V23" i="2" s="1"/>
  <c r="W23" i="2" s="1"/>
  <c r="AD23" i="2" s="1"/>
  <c r="U18" i="2"/>
  <c r="V18" i="2" s="1"/>
  <c r="W18" i="2" s="1"/>
  <c r="AD18" i="2" s="1"/>
  <c r="AK4" i="2"/>
  <c r="AL4" i="2" s="1"/>
  <c r="AM4" i="2" s="1"/>
  <c r="AN4" i="2" s="1"/>
  <c r="AO4" i="2" s="1"/>
  <c r="U21" i="2"/>
  <c r="V21" i="2" s="1"/>
  <c r="W21" i="2" s="1"/>
  <c r="AD21" i="2" s="1"/>
  <c r="U20" i="2"/>
  <c r="V20" i="2" s="1"/>
  <c r="W20" i="2" s="1"/>
  <c r="AD20" i="2" s="1"/>
  <c r="AP24" i="2" l="1"/>
  <c r="AQ11" i="2" s="1"/>
  <c r="AR11" i="2" s="1"/>
  <c r="U24" i="2"/>
  <c r="AQ24" i="2" l="1"/>
  <c r="AR24" i="2" s="1"/>
  <c r="AS24" i="2" s="1"/>
  <c r="AQ7" i="2"/>
  <c r="AR7" i="2" s="1"/>
  <c r="AQ5" i="2"/>
  <c r="AR5" i="2" s="1"/>
  <c r="AQ6" i="2"/>
  <c r="AR6" i="2" s="1"/>
  <c r="AQ8" i="2"/>
  <c r="AR8" i="2" s="1"/>
  <c r="AQ9" i="2"/>
  <c r="AR9" i="2" s="1"/>
  <c r="AQ10" i="2"/>
  <c r="AR10" i="2" s="1"/>
  <c r="AQ4" i="2"/>
  <c r="AR4" i="2" s="1"/>
  <c r="AA38" i="3" s="1"/>
  <c r="AQ23" i="2"/>
  <c r="AR23" i="2" s="1"/>
  <c r="AQ17" i="2"/>
  <c r="AR17" i="2" s="1"/>
  <c r="AQ16" i="2"/>
  <c r="AR16" i="2" s="1"/>
  <c r="AQ22" i="2"/>
  <c r="AR22" i="2" s="1"/>
  <c r="AQ19" i="2"/>
  <c r="AR19" i="2" s="1"/>
  <c r="AQ13" i="2"/>
  <c r="AR13" i="2" s="1"/>
  <c r="AQ18" i="2"/>
  <c r="AR18" i="2" s="1"/>
  <c r="AQ14" i="2"/>
  <c r="AR14" i="2" s="1"/>
  <c r="AQ21" i="2"/>
  <c r="AR21" i="2" s="1"/>
  <c r="AQ12" i="2"/>
  <c r="AR12" i="2" s="1"/>
  <c r="AQ20" i="2"/>
  <c r="AR20" i="2" s="1"/>
  <c r="AQ15" i="2"/>
  <c r="AR15" i="2" s="1"/>
  <c r="AS11" i="2"/>
  <c r="AT11" i="2"/>
  <c r="AE38" i="3" l="1"/>
  <c r="AC38" i="3"/>
  <c r="AS22" i="2"/>
  <c r="AT22" i="2"/>
  <c r="AU11" i="2"/>
  <c r="AV11" i="2"/>
  <c r="AS17" i="2"/>
  <c r="AT17" i="2"/>
  <c r="AS15" i="2"/>
  <c r="AT15" i="2"/>
  <c r="AS10" i="2"/>
  <c r="AT10" i="2"/>
  <c r="AS14" i="2"/>
  <c r="AT14" i="2"/>
  <c r="AS6" i="2"/>
  <c r="AT6" i="2"/>
  <c r="AT13" i="2"/>
  <c r="AS13" i="2"/>
  <c r="AS7" i="2"/>
  <c r="AT7" i="2"/>
  <c r="AS19" i="2"/>
  <c r="AT19" i="2"/>
  <c r="AS16" i="2"/>
  <c r="AT16" i="2"/>
  <c r="AT23" i="2"/>
  <c r="AS23" i="2"/>
  <c r="AS4" i="2"/>
  <c r="AT4" i="2"/>
  <c r="AS20" i="2"/>
  <c r="AT20" i="2"/>
  <c r="AS12" i="2"/>
  <c r="AT12" i="2"/>
  <c r="AS9" i="2"/>
  <c r="AT9" i="2"/>
  <c r="AS21" i="2"/>
  <c r="AT21" i="2"/>
  <c r="AS8" i="2"/>
  <c r="AT8" i="2"/>
  <c r="AT18" i="2"/>
  <c r="AS18" i="2"/>
  <c r="AS5" i="2"/>
  <c r="AT5" i="2"/>
  <c r="AC34" i="3" s="1"/>
  <c r="AE34" i="3" l="1"/>
  <c r="AF34" i="3" s="1"/>
  <c r="AW11" i="2"/>
  <c r="AA34" i="3"/>
  <c r="AU4" i="2"/>
  <c r="AA33" i="3" s="1"/>
  <c r="AV4" i="2"/>
  <c r="AT24" i="2"/>
  <c r="AU22" i="2"/>
  <c r="AV22" i="2"/>
  <c r="AU18" i="2"/>
  <c r="AV18" i="2"/>
  <c r="AV23" i="2"/>
  <c r="AU23" i="2"/>
  <c r="AU16" i="2"/>
  <c r="AV16" i="2"/>
  <c r="AU9" i="2"/>
  <c r="AV9" i="2"/>
  <c r="AV19" i="2"/>
  <c r="AU19" i="2"/>
  <c r="AV15" i="2"/>
  <c r="AU15" i="2"/>
  <c r="AU12" i="2"/>
  <c r="AV12" i="2"/>
  <c r="AU7" i="2"/>
  <c r="AV7" i="2"/>
  <c r="AV17" i="2"/>
  <c r="AU17" i="2"/>
  <c r="AU5" i="2"/>
  <c r="AV5" i="2"/>
  <c r="AU20" i="2"/>
  <c r="AV20" i="2"/>
  <c r="AU6" i="2"/>
  <c r="AV6" i="2"/>
  <c r="AE35" i="3" s="1"/>
  <c r="AU8" i="2"/>
  <c r="AV8" i="2"/>
  <c r="AU14" i="2"/>
  <c r="AV14" i="2"/>
  <c r="AV21" i="2"/>
  <c r="AU21" i="2"/>
  <c r="AU10" i="2"/>
  <c r="AV10" i="2"/>
  <c r="AU13" i="2"/>
  <c r="AV13" i="2"/>
  <c r="AE33" i="3" l="1"/>
  <c r="AF33" i="3" s="1"/>
  <c r="AG34" i="3"/>
  <c r="AC35" i="3"/>
  <c r="AW8" i="2"/>
  <c r="AF35" i="3"/>
  <c r="AE40" i="3"/>
  <c r="AF40" i="3" s="1"/>
  <c r="AB33" i="3"/>
  <c r="AC33" i="3"/>
  <c r="AC40" i="3" s="1"/>
  <c r="AD40" i="3" s="1"/>
  <c r="AW13" i="2"/>
  <c r="AW20" i="2"/>
  <c r="AW22" i="2"/>
  <c r="AW19" i="2"/>
  <c r="AW18" i="2"/>
  <c r="AW12" i="2"/>
  <c r="AW6" i="2"/>
  <c r="AW14" i="2"/>
  <c r="AW7" i="2"/>
  <c r="AW9" i="2"/>
  <c r="AW16" i="2"/>
  <c r="AD34" i="3"/>
  <c r="AW21" i="2"/>
  <c r="AW23" i="2"/>
  <c r="AW15" i="2"/>
  <c r="AU24" i="2"/>
  <c r="AF24" i="2" s="1"/>
  <c r="BE24" i="2" s="1"/>
  <c r="AF71" i="3" s="1"/>
  <c r="AB34" i="3"/>
  <c r="AA40" i="3"/>
  <c r="AB40" i="3" s="1"/>
  <c r="AW17" i="2"/>
  <c r="AW10" i="2"/>
  <c r="AW5" i="2"/>
  <c r="AA35" i="3"/>
  <c r="AW4" i="2"/>
  <c r="AE36" i="3" l="1"/>
  <c r="AF36" i="3" s="1"/>
  <c r="AC36" i="3"/>
  <c r="AD36" i="3" s="1"/>
  <c r="AA36" i="3"/>
  <c r="AB36" i="3" s="1"/>
  <c r="AG35" i="3"/>
  <c r="AH35" i="3" s="1"/>
  <c r="AD33" i="3"/>
  <c r="AG33" i="3"/>
  <c r="AG40" i="3" s="1"/>
  <c r="AH40" i="3" s="1"/>
  <c r="AF38" i="3"/>
  <c r="AY18" i="2"/>
  <c r="AY23" i="2"/>
  <c r="AY14" i="2"/>
  <c r="AY21" i="2"/>
  <c r="AY17" i="2"/>
  <c r="AY4" i="2"/>
  <c r="AY5" i="2"/>
  <c r="AY22" i="2"/>
  <c r="AY20" i="2"/>
  <c r="AY6" i="2"/>
  <c r="AY13" i="2"/>
  <c r="AY16" i="2"/>
  <c r="AY15" i="2"/>
  <c r="BC24" i="2"/>
  <c r="AB71" i="3" s="1"/>
  <c r="BD24" i="2"/>
  <c r="AB35" i="3"/>
  <c r="AD37" i="3"/>
  <c r="AY12" i="2"/>
  <c r="AY9" i="2"/>
  <c r="AY8" i="2"/>
  <c r="AB37" i="3"/>
  <c r="AD35" i="3"/>
  <c r="AY19" i="2"/>
  <c r="AY11" i="2"/>
  <c r="AY10" i="2"/>
  <c r="AY7" i="2"/>
  <c r="AH34" i="3"/>
  <c r="AD38" i="3"/>
  <c r="X21" i="3" l="1"/>
  <c r="X24" i="3"/>
  <c r="X30" i="3"/>
  <c r="X27" i="3"/>
  <c r="X18" i="3"/>
  <c r="AE39" i="3"/>
  <c r="AF39" i="3" s="1"/>
  <c r="X12" i="3"/>
  <c r="AA39" i="3"/>
  <c r="X15" i="3"/>
  <c r="AC39" i="3"/>
  <c r="AD39" i="3" s="1"/>
  <c r="AB38" i="3"/>
  <c r="AG38" i="3"/>
  <c r="AH38" i="3" s="1"/>
  <c r="AH33" i="3"/>
  <c r="AD71" i="3"/>
  <c r="AB39" i="3" l="1"/>
  <c r="AG39" i="3"/>
  <c r="AH3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<sst xmlns="http://schemas.openxmlformats.org/spreadsheetml/2006/main" count="740" uniqueCount="113">
  <si>
    <t>Channel</t>
  </si>
  <si>
    <t>Brand</t>
  </si>
  <si>
    <t>RSV</t>
  </si>
  <si>
    <t>Vol</t>
  </si>
  <si>
    <t>CSF</t>
  </si>
  <si>
    <t>MCV</t>
  </si>
  <si>
    <t>RSV_Total</t>
  </si>
  <si>
    <t>Volume_Total</t>
  </si>
  <si>
    <t>Key</t>
  </si>
  <si>
    <t>Current Price</t>
  </si>
  <si>
    <t>Elasticity</t>
  </si>
  <si>
    <t>Price_FP</t>
  </si>
  <si>
    <t>New Price</t>
  </si>
  <si>
    <t>Price_Chng</t>
  </si>
  <si>
    <t>Revised_New_Vol</t>
  </si>
  <si>
    <t>NSV_to_RSV</t>
  </si>
  <si>
    <t>NSV_to_GM</t>
  </si>
  <si>
    <t>Vol. Share</t>
  </si>
  <si>
    <t>Val Share</t>
  </si>
  <si>
    <t>NSV_i</t>
  </si>
  <si>
    <t>TPV</t>
  </si>
  <si>
    <t>PVS</t>
  </si>
  <si>
    <t>MS Headroom</t>
  </si>
  <si>
    <t>Vol_i</t>
  </si>
  <si>
    <t>NSV_to_RSV_o</t>
  </si>
  <si>
    <t>NSV_to_GM_o</t>
  </si>
  <si>
    <t>NSV_o</t>
  </si>
  <si>
    <t>GM_o</t>
  </si>
  <si>
    <t>New Category Price</t>
  </si>
  <si>
    <t>Chng in Cat Vol.</t>
  </si>
  <si>
    <t>Category MCV</t>
  </si>
  <si>
    <t>New Cat Vol</t>
  </si>
  <si>
    <t>New Cat Val</t>
  </si>
  <si>
    <t>TPV_n</t>
  </si>
  <si>
    <t>TPV_Share</t>
  </si>
  <si>
    <t>New Vol</t>
  </si>
  <si>
    <t>New NSV</t>
  </si>
  <si>
    <t>New GP</t>
  </si>
  <si>
    <t>Key_Brand</t>
  </si>
  <si>
    <t>TOTAL CATEGORY</t>
  </si>
  <si>
    <t>PVS_N</t>
  </si>
  <si>
    <t>MSP_N</t>
  </si>
  <si>
    <t>RSV_N</t>
  </si>
  <si>
    <t>Fixed Cost</t>
  </si>
  <si>
    <t>Fixed Cost per Unit</t>
  </si>
  <si>
    <t>Current Scenario</t>
  </si>
  <si>
    <t>Price Change</t>
  </si>
  <si>
    <t>Proposed Price</t>
  </si>
  <si>
    <t>RSV to NSV</t>
  </si>
  <si>
    <t>NSV to GM</t>
  </si>
  <si>
    <t>Price Change %</t>
  </si>
  <si>
    <t>Current</t>
  </si>
  <si>
    <t>Total Category</t>
  </si>
  <si>
    <t>Value</t>
  </si>
  <si>
    <t>Volume (Litres)</t>
  </si>
  <si>
    <t>NSV</t>
  </si>
  <si>
    <t>Value Realization</t>
  </si>
  <si>
    <t>GM%</t>
  </si>
  <si>
    <t>N/A</t>
  </si>
  <si>
    <t>Price</t>
  </si>
  <si>
    <t>Channel:</t>
  </si>
  <si>
    <t>Simulated Scenario</t>
  </si>
  <si>
    <t>Delta</t>
  </si>
  <si>
    <t>Simulated (Delta from Current)</t>
  </si>
  <si>
    <t>RSV_i</t>
  </si>
  <si>
    <t>GM_i</t>
  </si>
  <si>
    <t>Final CSF</t>
  </si>
  <si>
    <t>Current RPI</t>
  </si>
  <si>
    <t>Current RPI_1</t>
  </si>
  <si>
    <t>Current RPI_2</t>
  </si>
  <si>
    <t>Proposed RPI_1</t>
  </si>
  <si>
    <t>Proposed RPI_2</t>
  </si>
  <si>
    <t>Brands</t>
  </si>
  <si>
    <t>Historical Financial Metrics</t>
  </si>
  <si>
    <t>Simulated Financial Metrics</t>
  </si>
  <si>
    <t>Value Share % (Delta in BPS)</t>
  </si>
  <si>
    <t>Volume Share % (Delta in BPS)</t>
  </si>
  <si>
    <t>Unique Brands</t>
  </si>
  <si>
    <t>Fill Sorting Order</t>
  </si>
  <si>
    <t>Chg Category Price</t>
  </si>
  <si>
    <t>Brand Level</t>
  </si>
  <si>
    <t>Simulated RPI</t>
  </si>
  <si>
    <t>Graph_Colour</t>
  </si>
  <si>
    <t>#FFC000</t>
  </si>
  <si>
    <t>#B7A19F</t>
  </si>
  <si>
    <t>#0F9ED5</t>
  </si>
  <si>
    <t>#156082</t>
  </si>
  <si>
    <t>#A02B93</t>
  </si>
  <si>
    <t>Fill Manually; Empy cells fill with ""</t>
  </si>
  <si>
    <t>c1</t>
  </si>
  <si>
    <t>c2</t>
  </si>
  <si>
    <t>c3</t>
  </si>
  <si>
    <t>c4</t>
  </si>
  <si>
    <t>c5</t>
  </si>
  <si>
    <t>c6</t>
  </si>
  <si>
    <t>Simulated Vol Share</t>
  </si>
  <si>
    <t>Simulated</t>
  </si>
  <si>
    <t>PRIVATE LABEL</t>
  </si>
  <si>
    <t>#8ED973</t>
  </si>
  <si>
    <t>#897EF6</t>
  </si>
  <si>
    <t>Vol_Share_i</t>
  </si>
  <si>
    <t>Current RPI_3</t>
  </si>
  <si>
    <t>Proposed RPI_3</t>
  </si>
  <si>
    <t>Apr-24 to Mar-25</t>
  </si>
  <si>
    <t>Supermarket</t>
  </si>
  <si>
    <t>HEINZ</t>
  </si>
  <si>
    <t>RESTOFCATEGORY</t>
  </si>
  <si>
    <t>HP</t>
  </si>
  <si>
    <t>LEVI ROOTS</t>
  </si>
  <si>
    <t>SWEET BABY RAYS</t>
  </si>
  <si>
    <t>BULLS EYE</t>
  </si>
  <si>
    <t>Kraft Portfolio</t>
  </si>
  <si>
    <t>Tesco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</si>
</sst>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0.0%"/>
    <numFmt numFmtId="165" formatCode="0.0"/>
    <numFmt numFmtId="166" formatCode="#,##0.0"/>
    <numFmt numFmtId="167" formatCode="&quot;₹&quot;\ #,##0.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name val="Aptos Narrow"/>
      <family val="2"/>
      <scheme val="minor"/>
    </font>
    <font>
      <b/>
      <sz val="14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 tint="-0.499984740745262"/>
      <name val="Aptos Narrow"/>
      <family val="2"/>
      <scheme val="minor"/>
    </font>
    <font>
      <b/>
      <sz val="18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8D1D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3A29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7A19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8EBAE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D54F"/>
        <bgColor indexed="64"/>
      </patternFill>
    </fill>
    <fill>
      <patternFill patternType="solid">
        <fgColor rgb="FFD1C2C1"/>
        <bgColor indexed="64"/>
      </patternFill>
    </fill>
    <fill>
      <patternFill patternType="solid">
        <fgColor rgb="FF85D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9D1BD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897EF6"/>
        <bgColor indexed="64"/>
      </patternFill>
    </fill>
    <fill>
      <patternFill patternType="solid">
        <fgColor rgb="FFD8D4F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60">
    <xf numFmtId="0" fontId="0" fillId="0" borderId="0" xfId="0"/>
    <xf numFmtId="0" fontId="0" fillId="0" borderId="1" xfId="0" applyBorder="1"/>
    <xf numFmtId="0" fontId="0" fillId="2" borderId="0" xfId="0" applyFill="1"/>
    <xf numFmtId="0" fontId="0" fillId="2" borderId="1" xfId="0" applyFill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1" applyNumberFormat="1" applyFont="1"/>
    <xf numFmtId="9" fontId="0" fillId="0" borderId="0" xfId="1" applyFont="1" applyAlignment="1">
      <alignment horizontal="center"/>
    </xf>
    <xf numFmtId="164" fontId="0" fillId="0" borderId="0" xfId="1" applyNumberFormat="1" applyFont="1" applyAlignment="1">
      <alignment horizontal="center"/>
    </xf>
    <xf numFmtId="2" fontId="0" fillId="0" borderId="0" xfId="1" applyNumberFormat="1" applyFont="1" applyAlignment="1">
      <alignment horizontal="center"/>
    </xf>
    <xf numFmtId="10" fontId="0" fillId="0" borderId="0" xfId="1" applyNumberFormat="1" applyFont="1" applyAlignment="1">
      <alignment horizontal="center"/>
    </xf>
    <xf numFmtId="1" fontId="0" fillId="0" borderId="0" xfId="0" applyNumberFormat="1"/>
    <xf numFmtId="1" fontId="0" fillId="0" borderId="0" xfId="1" applyNumberFormat="1" applyFont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0" xfId="0" applyFill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0" fillId="4" borderId="0" xfId="1" applyNumberFormat="1" applyFont="1" applyFill="1" applyAlignment="1">
      <alignment horizontal="center"/>
    </xf>
    <xf numFmtId="1" fontId="0" fillId="4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2" fillId="6" borderId="0" xfId="0" applyFont="1" applyFill="1"/>
    <xf numFmtId="9" fontId="0" fillId="0" borderId="0" xfId="0" applyNumberFormat="1"/>
    <xf numFmtId="0" fontId="0" fillId="7" borderId="2" xfId="0" applyFill="1" applyBorder="1" applyAlignment="1">
      <alignment horizontal="center"/>
    </xf>
    <xf numFmtId="0" fontId="3" fillId="0" borderId="0" xfId="0" applyFont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/>
      <protection hidden="1"/>
    </xf>
    <xf numFmtId="3" fontId="6" fillId="0" borderId="0" xfId="2" applyNumberFormat="1" applyFont="1" applyFill="1" applyBorder="1" applyAlignment="1" applyProtection="1">
      <alignment horizontal="center" vertical="center"/>
      <protection hidden="1"/>
    </xf>
    <xf numFmtId="1" fontId="9" fillId="0" borderId="0" xfId="2" applyNumberFormat="1" applyFont="1" applyBorder="1" applyAlignment="1" applyProtection="1">
      <alignment horizontal="center" vertical="center"/>
      <protection hidden="1"/>
    </xf>
    <xf numFmtId="0" fontId="10" fillId="0" borderId="0" xfId="0" applyFont="1" applyProtection="1">
      <protection hidden="1"/>
    </xf>
    <xf numFmtId="1" fontId="9" fillId="0" borderId="0" xfId="2" applyNumberFormat="1" applyFont="1" applyFill="1" applyBorder="1" applyAlignment="1" applyProtection="1">
      <alignment horizontal="center" vertical="center"/>
      <protection hidden="1"/>
    </xf>
    <xf numFmtId="165" fontId="9" fillId="0" borderId="0" xfId="2" applyNumberFormat="1" applyFont="1" applyFill="1" applyBorder="1" applyAlignment="1" applyProtection="1">
      <alignment horizontal="center" vertical="center"/>
      <protection hidden="1"/>
    </xf>
    <xf numFmtId="9" fontId="11" fillId="12" borderId="0" xfId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7" fillId="0" borderId="0" xfId="0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66" fontId="6" fillId="0" borderId="0" xfId="2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 applyProtection="1">
      <alignment horizontal="center" vertical="center"/>
      <protection hidden="1"/>
    </xf>
    <xf numFmtId="165" fontId="5" fillId="20" borderId="0" xfId="0" applyNumberFormat="1" applyFont="1" applyFill="1" applyAlignment="1" applyProtection="1">
      <alignment horizontal="center" vertical="center"/>
      <protection hidden="1"/>
    </xf>
    <xf numFmtId="0" fontId="9" fillId="0" borderId="0" xfId="0" applyFont="1"/>
    <xf numFmtId="165" fontId="5" fillId="21" borderId="0" xfId="0" applyNumberFormat="1" applyFont="1" applyFill="1" applyAlignment="1" applyProtection="1">
      <alignment horizontal="center" vertical="center"/>
      <protection hidden="1"/>
    </xf>
    <xf numFmtId="165" fontId="5" fillId="22" borderId="0" xfId="0" applyNumberFormat="1" applyFont="1" applyFill="1" applyAlignment="1" applyProtection="1">
      <alignment horizontal="center" vertical="center"/>
      <protection hidden="1"/>
    </xf>
    <xf numFmtId="165" fontId="5" fillId="16" borderId="0" xfId="0" applyNumberFormat="1" applyFont="1" applyFill="1" applyAlignment="1" applyProtection="1">
      <alignment horizontal="center" vertical="center"/>
      <protection hidden="1"/>
    </xf>
    <xf numFmtId="165" fontId="5" fillId="18" borderId="0" xfId="0" applyNumberFormat="1" applyFont="1" applyFill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>
      <alignment vertical="center"/>
    </xf>
    <xf numFmtId="0" fontId="11" fillId="11" borderId="6" xfId="0" applyFont="1" applyFill="1" applyBorder="1" applyAlignment="1" applyProtection="1">
      <alignment horizontal="center" vertical="center"/>
      <protection hidden="1"/>
    </xf>
    <xf numFmtId="0" fontId="11" fillId="11" borderId="8" xfId="0" applyFont="1" applyFill="1" applyBorder="1" applyAlignment="1" applyProtection="1">
      <alignment horizontal="center" vertical="center"/>
      <protection hidden="1"/>
    </xf>
    <xf numFmtId="0" fontId="3" fillId="0" borderId="0" xfId="0" applyFont="1" applyAlignment="1">
      <alignment horizontal="right" vertical="center"/>
    </xf>
    <xf numFmtId="0" fontId="5" fillId="0" borderId="16" xfId="0" applyFont="1" applyBorder="1" applyAlignment="1" applyProtection="1">
      <alignment horizontal="center" vertical="center"/>
      <protection hidden="1"/>
    </xf>
    <xf numFmtId="0" fontId="5" fillId="0" borderId="15" xfId="0" applyFont="1" applyBorder="1" applyAlignment="1" applyProtection="1">
      <alignment horizontal="center" vertical="center"/>
      <protection hidden="1"/>
    </xf>
    <xf numFmtId="3" fontId="9" fillId="0" borderId="20" xfId="2" applyNumberFormat="1" applyFont="1" applyFill="1" applyBorder="1" applyAlignment="1" applyProtection="1">
      <alignment horizontal="center" vertical="center"/>
      <protection hidden="1"/>
    </xf>
    <xf numFmtId="3" fontId="9" fillId="0" borderId="13" xfId="2" applyNumberFormat="1" applyFont="1" applyFill="1" applyBorder="1" applyAlignment="1" applyProtection="1">
      <alignment horizontal="center" vertical="center"/>
      <protection hidden="1"/>
    </xf>
    <xf numFmtId="166" fontId="9" fillId="0" borderId="13" xfId="2" applyNumberFormat="1" applyFont="1" applyFill="1" applyBorder="1" applyAlignment="1" applyProtection="1">
      <alignment horizontal="center" vertical="center"/>
      <protection hidden="1"/>
    </xf>
    <xf numFmtId="9" fontId="9" fillId="0" borderId="13" xfId="1" applyFont="1" applyFill="1" applyBorder="1" applyAlignment="1" applyProtection="1">
      <alignment horizontal="center" vertical="center"/>
      <protection hidden="1"/>
    </xf>
    <xf numFmtId="164" fontId="9" fillId="0" borderId="13" xfId="1" applyNumberFormat="1" applyFont="1" applyFill="1" applyBorder="1" applyAlignment="1" applyProtection="1">
      <alignment horizontal="center" vertical="center"/>
      <protection hidden="1"/>
    </xf>
    <xf numFmtId="0" fontId="14" fillId="9" borderId="7" xfId="0" applyFont="1" applyFill="1" applyBorder="1" applyAlignment="1" applyProtection="1">
      <alignment horizontal="center" vertical="center"/>
      <protection hidden="1"/>
    </xf>
    <xf numFmtId="0" fontId="11" fillId="11" borderId="21" xfId="0" applyFont="1" applyFill="1" applyBorder="1" applyAlignment="1" applyProtection="1">
      <alignment horizontal="center" vertical="center"/>
      <protection hidden="1"/>
    </xf>
    <xf numFmtId="0" fontId="14" fillId="9" borderId="8" xfId="0" applyFont="1" applyFill="1" applyBorder="1" applyAlignment="1" applyProtection="1">
      <alignment horizontal="center" vertical="center"/>
      <protection hidden="1"/>
    </xf>
    <xf numFmtId="0" fontId="14" fillId="10" borderId="7" xfId="0" applyFont="1" applyFill="1" applyBorder="1" applyAlignment="1" applyProtection="1">
      <alignment horizontal="center" vertical="center"/>
      <protection hidden="1"/>
    </xf>
    <xf numFmtId="0" fontId="14" fillId="10" borderId="8" xfId="0" applyFont="1" applyFill="1" applyBorder="1" applyAlignment="1" applyProtection="1">
      <alignment horizontal="center" vertical="center"/>
      <protection hidden="1"/>
    </xf>
    <xf numFmtId="0" fontId="5" fillId="0" borderId="23" xfId="0" applyFont="1" applyBorder="1" applyAlignment="1" applyProtection="1">
      <alignment horizontal="center" vertical="center"/>
      <protection hidden="1"/>
    </xf>
    <xf numFmtId="0" fontId="5" fillId="0" borderId="24" xfId="0" applyFont="1" applyBorder="1" applyAlignment="1" applyProtection="1">
      <alignment horizontal="center" vertical="center"/>
      <protection hidden="1"/>
    </xf>
    <xf numFmtId="3" fontId="9" fillId="0" borderId="25" xfId="2" applyNumberFormat="1" applyFont="1" applyFill="1" applyBorder="1" applyAlignment="1" applyProtection="1">
      <alignment horizontal="center" vertical="center"/>
      <protection hidden="1"/>
    </xf>
    <xf numFmtId="0" fontId="14" fillId="10" borderId="3" xfId="0" applyFont="1" applyFill="1" applyBorder="1" applyAlignment="1" applyProtection="1">
      <alignment horizontal="center" vertical="center"/>
      <protection hidden="1"/>
    </xf>
    <xf numFmtId="0" fontId="14" fillId="10" borderId="4" xfId="0" applyFont="1" applyFill="1" applyBorder="1" applyAlignment="1" applyProtection="1">
      <alignment horizontal="center" vertical="center"/>
      <protection hidden="1"/>
    </xf>
    <xf numFmtId="3" fontId="9" fillId="0" borderId="23" xfId="2" applyNumberFormat="1" applyFont="1" applyFill="1" applyBorder="1" applyAlignment="1" applyProtection="1">
      <alignment horizontal="center" vertical="center"/>
      <protection hidden="1"/>
    </xf>
    <xf numFmtId="166" fontId="9" fillId="0" borderId="23" xfId="2" applyNumberFormat="1" applyFont="1" applyFill="1" applyBorder="1" applyAlignment="1" applyProtection="1">
      <alignment horizontal="center" vertical="center"/>
      <protection hidden="1"/>
    </xf>
    <xf numFmtId="9" fontId="9" fillId="0" borderId="23" xfId="1" applyFont="1" applyFill="1" applyBorder="1" applyAlignment="1" applyProtection="1">
      <alignment horizontal="center" vertical="center"/>
      <protection hidden="1"/>
    </xf>
    <xf numFmtId="164" fontId="9" fillId="0" borderId="23" xfId="1" applyNumberFormat="1" applyFont="1" applyFill="1" applyBorder="1" applyAlignment="1" applyProtection="1">
      <alignment horizontal="center" vertical="center"/>
      <protection hidden="1"/>
    </xf>
    <xf numFmtId="0" fontId="0" fillId="6" borderId="0" xfId="0" applyFill="1" applyAlignment="1">
      <alignment horizontal="center"/>
    </xf>
    <xf numFmtId="0" fontId="11" fillId="0" borderId="11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0" fillId="12" borderId="0" xfId="0" applyFill="1"/>
    <xf numFmtId="0" fontId="3" fillId="12" borderId="0" xfId="0" applyFont="1" applyFill="1" applyAlignment="1" applyProtection="1">
      <alignment horizontal="center"/>
      <protection hidden="1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0" fillId="19" borderId="0" xfId="0" applyFill="1"/>
    <xf numFmtId="0" fontId="0" fillId="19" borderId="1" xfId="0" applyFill="1" applyBorder="1"/>
    <xf numFmtId="3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6" fillId="0" borderId="0" xfId="0" applyFont="1"/>
    <xf numFmtId="0" fontId="17" fillId="17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0" fillId="4" borderId="0" xfId="0" applyFill="1"/>
    <xf numFmtId="9" fontId="5" fillId="24" borderId="0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left"/>
    </xf>
    <xf numFmtId="0" fontId="3" fillId="0" borderId="0" xfId="0" applyFont="1" applyAlignment="1" applyProtection="1">
      <alignment horizontal="center" wrapText="1"/>
      <protection hidden="1"/>
    </xf>
    <xf numFmtId="164" fontId="11" fillId="0" borderId="0" xfId="1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/>
    <xf numFmtId="0" fontId="12" fillId="5" borderId="0" xfId="0" applyFont="1" applyFill="1" applyAlignment="1">
      <alignment horizontal="center" vertical="center"/>
    </xf>
    <xf numFmtId="164" fontId="9" fillId="0" borderId="25" xfId="1" applyNumberFormat="1" applyFont="1" applyFill="1" applyBorder="1" applyAlignment="1" applyProtection="1">
      <alignment horizontal="center"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165" fontId="5" fillId="27" borderId="0" xfId="0" applyNumberFormat="1" applyFont="1" applyFill="1" applyAlignment="1" applyProtection="1">
      <alignment horizontal="center" vertical="center"/>
      <protection hidden="1"/>
    </xf>
    <xf numFmtId="0" fontId="14" fillId="14" borderId="8" xfId="0" applyFont="1" applyFill="1" applyBorder="1" applyAlignment="1" applyProtection="1">
      <alignment horizontal="center" vertical="center"/>
      <protection hidden="1"/>
    </xf>
    <xf numFmtId="0" fontId="14" fillId="14" borderId="7" xfId="0" applyFont="1" applyFill="1" applyBorder="1" applyAlignment="1" applyProtection="1">
      <alignment horizontal="center" vertical="center"/>
      <protection hidden="1"/>
    </xf>
    <xf numFmtId="0" fontId="11" fillId="0" borderId="7" xfId="0" applyFont="1" applyBorder="1" applyAlignment="1" applyProtection="1">
      <alignment horizontal="center" vertical="center"/>
      <protection hidden="1"/>
    </xf>
    <xf numFmtId="0" fontId="11" fillId="0" borderId="8" xfId="0" applyFont="1" applyBorder="1" applyAlignment="1" applyProtection="1">
      <alignment horizontal="center" vertical="center"/>
      <protection hidden="1"/>
    </xf>
    <xf numFmtId="0" fontId="5" fillId="0" borderId="28" xfId="0" applyFont="1" applyBorder="1" applyAlignment="1" applyProtection="1">
      <alignment horizontal="center" vertical="center"/>
      <protection hidden="1"/>
    </xf>
    <xf numFmtId="3" fontId="9" fillId="0" borderId="29" xfId="2" applyNumberFormat="1" applyFont="1" applyFill="1" applyBorder="1" applyAlignment="1" applyProtection="1">
      <alignment horizontal="center" vertical="center"/>
      <protection hidden="1"/>
    </xf>
    <xf numFmtId="3" fontId="9" fillId="0" borderId="17" xfId="2" applyNumberFormat="1" applyFont="1" applyFill="1" applyBorder="1" applyAlignment="1" applyProtection="1">
      <alignment horizontal="center" vertical="center"/>
      <protection hidden="1"/>
    </xf>
    <xf numFmtId="166" fontId="9" fillId="0" borderId="10" xfId="2" applyNumberFormat="1" applyFont="1" applyFill="1" applyBorder="1" applyAlignment="1" applyProtection="1">
      <alignment horizontal="center" vertical="center"/>
      <protection hidden="1"/>
    </xf>
    <xf numFmtId="166" fontId="9" fillId="0" borderId="18" xfId="2" applyNumberFormat="1" applyFont="1" applyFill="1" applyBorder="1" applyAlignment="1" applyProtection="1">
      <alignment horizontal="center" vertical="center"/>
      <protection hidden="1"/>
    </xf>
    <xf numFmtId="0" fontId="5" fillId="0" borderId="27" xfId="0" applyFont="1" applyBorder="1" applyAlignment="1" applyProtection="1">
      <alignment horizontal="center" vertical="center"/>
      <protection hidden="1"/>
    </xf>
    <xf numFmtId="3" fontId="9" fillId="0" borderId="27" xfId="2" applyNumberFormat="1" applyFont="1" applyFill="1" applyBorder="1" applyAlignment="1" applyProtection="1">
      <alignment horizontal="center" vertical="center"/>
      <protection hidden="1"/>
    </xf>
    <xf numFmtId="3" fontId="9" fillId="0" borderId="30" xfId="2" applyNumberFormat="1" applyFont="1" applyFill="1" applyBorder="1" applyAlignment="1" applyProtection="1">
      <alignment horizontal="center" vertical="center"/>
      <protection hidden="1"/>
    </xf>
    <xf numFmtId="166" fontId="9" fillId="0" borderId="24" xfId="2" applyNumberFormat="1" applyFont="1" applyFill="1" applyBorder="1" applyAlignment="1" applyProtection="1">
      <alignment horizontal="center" vertical="center"/>
      <protection hidden="1"/>
    </xf>
    <xf numFmtId="166" fontId="9" fillId="0" borderId="26" xfId="2" applyNumberFormat="1" applyFont="1" applyFill="1" applyBorder="1" applyAlignment="1" applyProtection="1">
      <alignment horizontal="center" vertical="center"/>
      <protection hidden="1"/>
    </xf>
    <xf numFmtId="164" fontId="9" fillId="0" borderId="9" xfId="1" applyNumberFormat="1" applyFont="1" applyBorder="1" applyAlignment="1" applyProtection="1">
      <alignment horizontal="center" vertical="center"/>
      <protection hidden="1"/>
    </xf>
    <xf numFmtId="164" fontId="9" fillId="0" borderId="14" xfId="1" applyNumberFormat="1" applyFont="1" applyBorder="1" applyAlignment="1" applyProtection="1">
      <alignment horizontal="center" vertical="center"/>
      <protection hidden="1"/>
    </xf>
    <xf numFmtId="1" fontId="9" fillId="0" borderId="14" xfId="2" applyNumberFormat="1" applyFont="1" applyBorder="1" applyAlignment="1" applyProtection="1">
      <alignment horizontal="center" vertical="center"/>
      <protection hidden="1"/>
    </xf>
    <xf numFmtId="164" fontId="9" fillId="0" borderId="11" xfId="1" applyNumberFormat="1" applyFont="1" applyBorder="1" applyAlignment="1" applyProtection="1">
      <alignment horizontal="center" vertical="center"/>
      <protection hidden="1"/>
    </xf>
    <xf numFmtId="0" fontId="14" fillId="9" borderId="3" xfId="0" applyFont="1" applyFill="1" applyBorder="1" applyAlignment="1" applyProtection="1">
      <alignment horizontal="center" vertical="center"/>
      <protection hidden="1"/>
    </xf>
    <xf numFmtId="0" fontId="14" fillId="9" borderId="4" xfId="0" applyFont="1" applyFill="1" applyBorder="1" applyAlignment="1" applyProtection="1">
      <alignment horizontal="center" vertical="center"/>
      <protection hidden="1"/>
    </xf>
    <xf numFmtId="0" fontId="14" fillId="14" borderId="3" xfId="0" applyFont="1" applyFill="1" applyBorder="1" applyAlignment="1" applyProtection="1">
      <alignment horizontal="center" vertical="center"/>
      <protection hidden="1"/>
    </xf>
    <xf numFmtId="0" fontId="14" fillId="14" borderId="4" xfId="0" applyFont="1" applyFill="1" applyBorder="1" applyAlignment="1" applyProtection="1">
      <alignment horizontal="center" vertical="center"/>
      <protection hidden="1"/>
    </xf>
    <xf numFmtId="9" fontId="0" fillId="0" borderId="2" xfId="1" applyFont="1" applyBorder="1" applyAlignment="1">
      <alignment horizontal="center"/>
    </xf>
    <xf numFmtId="164" fontId="9" fillId="0" borderId="20" xfId="1" applyNumberFormat="1" applyFont="1" applyFill="1" applyBorder="1" applyAlignment="1" applyProtection="1">
      <alignment horizontal="center" vertical="center"/>
      <protection hidden="1"/>
    </xf>
    <xf numFmtId="0" fontId="11" fillId="0" borderId="31" xfId="0" applyFont="1" applyBorder="1" applyAlignment="1">
      <alignment horizontal="center" vertical="center"/>
    </xf>
    <xf numFmtId="1" fontId="9" fillId="0" borderId="19" xfId="0" applyNumberFormat="1" applyFont="1" applyBorder="1" applyAlignment="1">
      <alignment horizontal="center" vertical="center"/>
    </xf>
    <xf numFmtId="1" fontId="9" fillId="0" borderId="12" xfId="0" applyNumberFormat="1" applyFont="1" applyBorder="1" applyAlignment="1">
      <alignment horizontal="center" vertical="center"/>
    </xf>
    <xf numFmtId="1" fontId="9" fillId="0" borderId="20" xfId="0" applyNumberFormat="1" applyFont="1" applyBorder="1" applyAlignment="1">
      <alignment horizontal="center" vertical="center"/>
    </xf>
    <xf numFmtId="1" fontId="9" fillId="0" borderId="14" xfId="0" applyNumberFormat="1" applyFont="1" applyBorder="1" applyAlignment="1">
      <alignment horizontal="center" vertical="center"/>
    </xf>
    <xf numFmtId="1" fontId="9" fillId="0" borderId="32" xfId="0" applyNumberFormat="1" applyFont="1" applyBorder="1" applyAlignment="1">
      <alignment horizontal="center" vertical="center"/>
    </xf>
    <xf numFmtId="1" fontId="9" fillId="0" borderId="33" xfId="0" applyNumberFormat="1" applyFont="1" applyBorder="1" applyAlignment="1">
      <alignment horizontal="center" vertical="center"/>
    </xf>
    <xf numFmtId="1" fontId="9" fillId="0" borderId="18" xfId="0" applyNumberFormat="1" applyFont="1" applyBorder="1" applyAlignment="1">
      <alignment horizontal="center" vertical="center"/>
    </xf>
    <xf numFmtId="1" fontId="9" fillId="0" borderId="11" xfId="0" applyNumberFormat="1" applyFont="1" applyBorder="1" applyAlignment="1">
      <alignment horizontal="center" vertical="center"/>
    </xf>
    <xf numFmtId="0" fontId="5" fillId="8" borderId="0" xfId="0" applyFont="1" applyFill="1" applyAlignment="1" applyProtection="1">
      <alignment horizontal="center" vertical="center"/>
      <protection hidden="1"/>
    </xf>
    <xf numFmtId="0" fontId="14" fillId="23" borderId="3" xfId="0" applyFont="1" applyFill="1" applyBorder="1" applyAlignment="1" applyProtection="1">
      <alignment horizontal="center" vertical="center"/>
      <protection hidden="1"/>
    </xf>
    <xf numFmtId="0" fontId="14" fillId="23" borderId="4" xfId="0" applyFont="1" applyFill="1" applyBorder="1" applyAlignment="1" applyProtection="1">
      <alignment horizontal="center" vertical="center"/>
      <protection hidden="1"/>
    </xf>
    <xf numFmtId="0" fontId="15" fillId="13" borderId="0" xfId="0" applyFont="1" applyFill="1" applyAlignment="1" applyProtection="1">
      <alignment horizontal="center" vertical="center"/>
      <protection hidden="1"/>
    </xf>
    <xf numFmtId="0" fontId="15" fillId="14" borderId="0" xfId="0" applyFont="1" applyFill="1" applyAlignment="1" applyProtection="1">
      <alignment horizontal="center" vertical="center"/>
      <protection hidden="1"/>
    </xf>
    <xf numFmtId="0" fontId="15" fillId="9" borderId="0" xfId="0" applyFont="1" applyFill="1" applyAlignment="1" applyProtection="1">
      <alignment horizontal="center" vertical="center"/>
      <protection hidden="1"/>
    </xf>
    <xf numFmtId="0" fontId="15" fillId="15" borderId="0" xfId="0" applyFont="1" applyFill="1" applyAlignment="1" applyProtection="1">
      <alignment horizontal="center" vertical="center"/>
      <protection hidden="1"/>
    </xf>
    <xf numFmtId="0" fontId="14" fillId="9" borderId="5" xfId="0" applyFont="1" applyFill="1" applyBorder="1" applyAlignment="1" applyProtection="1">
      <alignment horizontal="center" vertical="center"/>
      <protection hidden="1"/>
    </xf>
    <xf numFmtId="0" fontId="14" fillId="9" borderId="6" xfId="0" applyFont="1" applyFill="1" applyBorder="1" applyAlignment="1" applyProtection="1">
      <alignment horizontal="center" vertical="center"/>
      <protection hidden="1"/>
    </xf>
    <xf numFmtId="0" fontId="14" fillId="10" borderId="5" xfId="0" applyFont="1" applyFill="1" applyBorder="1" applyAlignment="1" applyProtection="1">
      <alignment horizontal="center" vertical="center"/>
      <protection hidden="1"/>
    </xf>
    <xf numFmtId="0" fontId="14" fillId="10" borderId="6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Alignment="1" applyProtection="1">
      <alignment horizontal="center" vertical="center"/>
      <protection hidden="1"/>
    </xf>
    <xf numFmtId="0" fontId="15" fillId="26" borderId="0" xfId="0" applyFont="1" applyFill="1" applyAlignment="1" applyProtection="1">
      <alignment horizontal="center" vertical="center"/>
      <protection hidden="1"/>
    </xf>
    <xf numFmtId="0" fontId="15" fillId="17" borderId="0" xfId="0" applyFont="1" applyFill="1" applyAlignment="1" applyProtection="1">
      <alignment horizontal="center" vertical="center"/>
      <protection hidden="1"/>
    </xf>
    <xf numFmtId="0" fontId="15" fillId="25" borderId="0" xfId="0" applyFont="1" applyFill="1" applyAlignment="1" applyProtection="1">
      <alignment horizontal="center" vertical="center"/>
      <protection hidden="1"/>
    </xf>
    <xf numFmtId="0" fontId="14" fillId="14" borderId="17" xfId="0" applyFont="1" applyFill="1" applyBorder="1" applyAlignment="1">
      <alignment horizontal="center" vertical="center"/>
    </xf>
    <xf numFmtId="0" fontId="14" fillId="14" borderId="9" xfId="0" applyFont="1" applyFill="1" applyBorder="1" applyAlignment="1">
      <alignment horizontal="center" vertical="center"/>
    </xf>
    <xf numFmtId="0" fontId="11" fillId="0" borderId="5" xfId="0" applyFont="1" applyBorder="1" applyAlignment="1" applyProtection="1">
      <alignment horizontal="center" vertical="center"/>
      <protection hidden="1"/>
    </xf>
    <xf numFmtId="0" fontId="11" fillId="0" borderId="6" xfId="0" applyFont="1" applyBorder="1" applyAlignment="1" applyProtection="1">
      <alignment horizontal="center"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11" fillId="11" borderId="6" xfId="0" applyFont="1" applyFill="1" applyBorder="1" applyAlignment="1" applyProtection="1">
      <alignment horizontal="center" vertical="center"/>
      <protection hidden="1"/>
    </xf>
    <xf numFmtId="167" fontId="3" fillId="6" borderId="0" xfId="0" applyNumberFormat="1" applyFont="1" applyFill="1" applyAlignment="1" applyProtection="1">
      <alignment horizontal="center" vertical="center"/>
      <protection hidden="1"/>
    </xf>
    <xf numFmtId="0" fontId="5" fillId="9" borderId="17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21" borderId="17" xfId="0" applyFont="1" applyFill="1" applyBorder="1" applyAlignment="1">
      <alignment horizontal="center" vertical="center"/>
    </xf>
    <xf numFmtId="0" fontId="5" fillId="21" borderId="9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13" fillId="23" borderId="5" xfId="0" applyFont="1" applyFill="1" applyBorder="1" applyAlignment="1" applyProtection="1">
      <alignment horizontal="center" vertical="center" wrapText="1"/>
      <protection hidden="1"/>
    </xf>
    <xf numFmtId="0" fontId="13" fillId="23" borderId="7" xfId="0" applyFont="1" applyFill="1" applyBorder="1" applyAlignment="1" applyProtection="1">
      <alignment horizontal="center" vertical="center" wrapText="1"/>
      <protection hidden="1"/>
    </xf>
    <xf numFmtId="0" fontId="14" fillId="14" borderId="5" xfId="0" applyFont="1" applyFill="1" applyBorder="1" applyAlignment="1" applyProtection="1">
      <alignment horizontal="center" vertical="center"/>
      <protection hidden="1"/>
    </xf>
    <xf numFmtId="0" fontId="14" fillId="14" borderId="6" xfId="0" applyFont="1" applyFill="1" applyBorder="1" applyAlignment="1" applyProtection="1">
      <alignment horizontal="center" vertical="center"/>
      <protection hidden="1"/>
    </xf>
  </cellXfs>
  <cellStyles count="3">
    <cellStyle name="Comma" xfId="2" builtinId="3"/>
    <cellStyle name="Normal" xfId="0" builtinId="0"/>
    <cellStyle name="Percent" xfId="1" builtinId="5"/>
  </cellStyles>
  <dxfs count="4">
    <dxf>
      <fill>
        <patternFill>
          <bgColor theme="9" tint="0.79998168889431442"/>
        </patternFill>
      </fill>
    </dxf>
    <dxf>
      <fill>
        <patternFill>
          <bgColor rgb="FFFFB9B9"/>
        </patternFill>
      </fill>
    </dxf>
    <dxf>
      <fill>
        <patternFill>
          <bgColor theme="9" tint="0.79998168889431442"/>
        </patternFill>
      </fill>
    </dxf>
    <dxf>
      <fill>
        <patternFill>
          <bgColor rgb="FFFFB9B9"/>
        </patternFill>
      </fill>
    </dxf>
  </dxfs>
  <tableStyles count="0" defaultTableStyle="TableStyleMedium2" defaultPivotStyle="PivotStyleLight16"/>
  <colors>
    <mruColors>
      <color rgb="FF929292"/>
      <color rgb="FFA7B9E1"/>
      <color rgb="FF7692D0"/>
      <color rgb="FFFFC9C9"/>
      <color rgb="FFE20000"/>
      <color rgb="FFA40000"/>
      <color rgb="FF9BE9A4"/>
      <color rgb="FFBDF2FB"/>
      <color rgb="FF6DE3F7"/>
      <color rgb="FFAAEF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485-469B-AC94-3FB5997BF5AD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485-469B-AC94-3FB5997BF5AD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485-469B-AC94-3FB5997BF5AD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485-469B-AC94-3FB5997BF5AD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485-469B-AC94-3FB5997BF5AD}"/>
              </c:ext>
            </c:extLst>
          </c:dPt>
          <c:dPt>
            <c:idx val="5"/>
            <c:bubble3D val="0"/>
            <c:spPr>
              <a:solidFill>
                <a:srgbClr val="8ED97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485-469B-AC94-3FB5997BF5AD}"/>
              </c:ext>
            </c:extLst>
          </c:dPt>
          <c:dPt>
            <c:idx val="6"/>
            <c:bubble3D val="0"/>
            <c:spPr>
              <a:solidFill>
                <a:srgbClr val="897E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FEDE-4A55-AF52-BB935872ED7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[0]!Graph_Brand_List_ch1</c:f>
              <c:strCache>
                <c:ptCount val="7"/>
                <c:pt idx="0">
                  <c:v>HEINZ</c:v>
                </c:pt>
                <c:pt idx="1">
                  <c:v>HP</c:v>
                </c:pt>
                <c:pt idx="2">
                  <c:v>BULLS EYE</c:v>
                </c:pt>
                <c:pt idx="3">
                  <c:v>PRIVATE LABEL</c:v>
                </c:pt>
                <c:pt idx="4">
                  <c:v>LEVI ROOTS</c:v>
                </c:pt>
                <c:pt idx="5">
                  <c:v>SWEET BABY RAYS</c:v>
                </c:pt>
                <c:pt idx="6">
                  <c:v>RESTOFCATEGORY</c:v>
                </c:pt>
              </c:strCache>
            </c:strRef>
          </c:cat>
          <c:val>
            <c:numRef>
              <c:f>[0]!Graph_MS_Do_Nothing_ch1</c:f>
              <c:numCache>
                <c:formatCode>0.0%</c:formatCode>
                <c:ptCount val="7"/>
                <c:pt idx="0">
                  <c:v>0.31729679782200643</c:v>
                </c:pt>
                <c:pt idx="1">
                  <c:v>9.122867122555138E-2</c:v>
                </c:pt>
                <c:pt idx="2">
                  <c:v>6.4510605506876609E-2</c:v>
                </c:pt>
                <c:pt idx="3">
                  <c:v>0.17491066658014245</c:v>
                </c:pt>
                <c:pt idx="4">
                  <c:v>7.7169738648830852E-2</c:v>
                </c:pt>
                <c:pt idx="5">
                  <c:v>8.4212376723558593E-2</c:v>
                </c:pt>
                <c:pt idx="6">
                  <c:v>0.1906711434930338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485-469B-AC94-3FB5997BF5A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8E1-40B0-8F7A-39B87E0E7DE2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8E1-40B0-8F7A-39B87E0E7DE2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8E1-40B0-8F7A-39B87E0E7DE2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8E1-40B0-8F7A-39B87E0E7DE2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8E1-40B0-8F7A-39B87E0E7DE2}"/>
              </c:ext>
            </c:extLst>
          </c:dPt>
          <c:dPt>
            <c:idx val="5"/>
            <c:bubble3D val="0"/>
            <c:spPr>
              <a:solidFill>
                <a:srgbClr val="8ED97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8E1-40B0-8F7A-39B87E0E7DE2}"/>
              </c:ext>
            </c:extLst>
          </c:dPt>
          <c:dPt>
            <c:idx val="6"/>
            <c:bubble3D val="0"/>
            <c:spPr>
              <a:solidFill>
                <a:srgbClr val="897E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1DE0-4F55-923D-37E6C2DD9CE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[0]!Graph_Brand_List_ch1</c:f>
              <c:strCache>
                <c:ptCount val="7"/>
                <c:pt idx="0">
                  <c:v>HEINZ</c:v>
                </c:pt>
                <c:pt idx="1">
                  <c:v>HP</c:v>
                </c:pt>
                <c:pt idx="2">
                  <c:v>BULLS EYE</c:v>
                </c:pt>
                <c:pt idx="3">
                  <c:v>PRIVATE LABEL</c:v>
                </c:pt>
                <c:pt idx="4">
                  <c:v>LEVI ROOTS</c:v>
                </c:pt>
                <c:pt idx="5">
                  <c:v>SWEET BABY RAYS</c:v>
                </c:pt>
                <c:pt idx="6">
                  <c:v>RESTOFCATEGORY</c:v>
                </c:pt>
              </c:strCache>
            </c:strRef>
          </c:cat>
          <c:val>
            <c:numRef>
              <c:f>[0]!Graph_MS_Final_ch1</c:f>
              <c:numCache>
                <c:formatCode>0.0%</c:formatCode>
                <c:ptCount val="7"/>
                <c:pt idx="0">
                  <c:v>0.31729679782200643</c:v>
                </c:pt>
                <c:pt idx="1">
                  <c:v>9.122867122555138E-2</c:v>
                </c:pt>
                <c:pt idx="2">
                  <c:v>6.4510605506876609E-2</c:v>
                </c:pt>
                <c:pt idx="3">
                  <c:v>0.17491066658014245</c:v>
                </c:pt>
                <c:pt idx="4">
                  <c:v>7.7169738648830852E-2</c:v>
                </c:pt>
                <c:pt idx="5">
                  <c:v>8.4212376723558593E-2</c:v>
                </c:pt>
                <c:pt idx="6">
                  <c:v>0.1906711434930338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8E1-40B0-8F7A-39B87E0E7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5903634493906277E-2"/>
          <c:y val="0.13025097421509529"/>
          <c:w val="0.2871297076113678"/>
          <c:h val="0.820480084382465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79938840527207"/>
          <c:y val="3.2798696909239686E-2"/>
          <c:w val="0.8170260584815261"/>
          <c:h val="0.9344025051950914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B6-40DD-A1BA-1B0B4B808740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8B6-40DD-A1BA-1B0B4B808740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B6-40DD-A1BA-1B0B4B808740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8B6-40DD-A1BA-1B0B4B808740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B6-40DD-A1BA-1B0B4B808740}"/>
              </c:ext>
            </c:extLst>
          </c:dPt>
          <c:dPt>
            <c:idx val="5"/>
            <c:invertIfNegative val="0"/>
            <c:bubble3D val="0"/>
            <c:spPr>
              <a:solidFill>
                <a:srgbClr val="8ED9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8B6-40DD-A1BA-1B0B4B808740}"/>
              </c:ext>
            </c:extLst>
          </c:dPt>
          <c:dPt>
            <c:idx val="6"/>
            <c:invertIfNegative val="0"/>
            <c:bubble3D val="0"/>
            <c:spPr>
              <a:solidFill>
                <a:srgbClr val="897EF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1DE7-4AE3-A96F-23178C194C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[0]!Graph_Brand_List_ch1</c:f>
              <c:strCache>
                <c:ptCount val="7"/>
                <c:pt idx="0">
                  <c:v>HEINZ</c:v>
                </c:pt>
                <c:pt idx="1">
                  <c:v>HP</c:v>
                </c:pt>
                <c:pt idx="2">
                  <c:v>BULLS EYE</c:v>
                </c:pt>
                <c:pt idx="3">
                  <c:v>PRIVATE LABEL</c:v>
                </c:pt>
                <c:pt idx="4">
                  <c:v>LEVI ROOTS</c:v>
                </c:pt>
                <c:pt idx="5">
                  <c:v>SWEET BABY RAYS</c:v>
                </c:pt>
                <c:pt idx="6">
                  <c:v>RESTOFCATEGORY</c:v>
                </c:pt>
              </c:strCache>
            </c:strRef>
          </c:cat>
          <c:val>
            <c:numRef>
              <c:f>[0]!Graph_Final_MSP_ch1</c:f>
              <c:numCache>
                <c:formatCode>0.00%</c:formatCode>
                <c:ptCount val="7"/>
                <c:pt idx="0">
                  <c:v>1.7050888980891798E-3</c:v>
                </c:pt>
                <c:pt idx="1">
                  <c:v>-2.2845672448540272E-3</c:v>
                </c:pt>
                <c:pt idx="2">
                  <c:v>-2.4439434121206333E-3</c:v>
                </c:pt>
                <c:pt idx="3">
                  <c:v>-2.3860377550676826E-3</c:v>
                </c:pt>
                <c:pt idx="4">
                  <c:v>-1.7725173067266176E-3</c:v>
                </c:pt>
                <c:pt idx="5">
                  <c:v>1.1774691145389343E-3</c:v>
                </c:pt>
                <c:pt idx="6">
                  <c:v>6.0045077061410546E-3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6-40DD-A1BA-1B0B4B808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47769904"/>
        <c:axId val="947770384"/>
      </c:barChart>
      <c:catAx>
        <c:axId val="94776990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947770384"/>
        <c:crosses val="autoZero"/>
        <c:auto val="1"/>
        <c:lblAlgn val="ctr"/>
        <c:lblOffset val="100"/>
        <c:noMultiLvlLbl val="0"/>
      </c:catAx>
      <c:valAx>
        <c:axId val="947770384"/>
        <c:scaling>
          <c:orientation val="minMax"/>
        </c:scaling>
        <c:delete val="1"/>
        <c:axPos val="t"/>
        <c:numFmt formatCode="0.00%" sourceLinked="1"/>
        <c:majorTickMark val="none"/>
        <c:minorTickMark val="none"/>
        <c:tickLblPos val="nextTo"/>
        <c:crossAx val="94776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588042920593285"/>
          <c:y val="3.5622288485968594E-2"/>
          <c:w val="0.57077464629445873"/>
          <c:h val="0.928755423028062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1-459C-A677-B9E64C177480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1-459C-A677-B9E64C177480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1-459C-A677-B9E64C177480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1-459C-A677-B9E64C177480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EC1-459C-A677-B9E64C177480}"/>
              </c:ext>
            </c:extLst>
          </c:dPt>
          <c:dPt>
            <c:idx val="5"/>
            <c:invertIfNegative val="0"/>
            <c:bubble3D val="0"/>
            <c:spPr>
              <a:solidFill>
                <a:srgbClr val="8ED9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EC1-459C-A677-B9E64C177480}"/>
              </c:ext>
            </c:extLst>
          </c:dPt>
          <c:dPt>
            <c:idx val="6"/>
            <c:invertIfNegative val="0"/>
            <c:bubble3D val="0"/>
            <c:spPr>
              <a:solidFill>
                <a:srgbClr val="897EF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80F6-4BA9-8E0E-2370EFBF9F96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[0]!Graph_Brand_List_ch1</c:f>
              <c:strCache>
                <c:ptCount val="7"/>
                <c:pt idx="0">
                  <c:v>HEINZ</c:v>
                </c:pt>
                <c:pt idx="1">
                  <c:v>HP</c:v>
                </c:pt>
                <c:pt idx="2">
                  <c:v>BULLS EYE</c:v>
                </c:pt>
                <c:pt idx="3">
                  <c:v>PRIVATE LABEL</c:v>
                </c:pt>
                <c:pt idx="4">
                  <c:v>LEVI ROOTS</c:v>
                </c:pt>
                <c:pt idx="5">
                  <c:v>SWEET BABY RAYS</c:v>
                </c:pt>
                <c:pt idx="6">
                  <c:v>RESTOFCATEGORY</c:v>
                </c:pt>
              </c:strCache>
            </c:strRef>
          </c:cat>
          <c:val>
            <c:numRef>
              <c:f>[0]!Final_CSF_ch1</c:f>
              <c:numCache>
                <c:formatCode>General</c:formatCode>
                <c:ptCount val="7"/>
                <c:pt idx="0">
                  <c:v>1.8015080357091491</c:v>
                </c:pt>
                <c:pt idx="1">
                  <c:v>1.7183790863642487</c:v>
                </c:pt>
                <c:pt idx="2">
                  <c:v>1.6847434914540922</c:v>
                </c:pt>
                <c:pt idx="3">
                  <c:v>1.7489535435784136</c:v>
                </c:pt>
                <c:pt idx="4">
                  <c:v>1.7238881143771714</c:v>
                </c:pt>
                <c:pt idx="5">
                  <c:v>1.8259663503240959</c:v>
                </c:pt>
                <c:pt idx="6">
                  <c:v>1.8770559134628357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EC1-459C-A677-B9E64C177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162-4F5C-A225-717F1C7872FC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162-4F5C-A225-717F1C7872FC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162-4F5C-A225-717F1C7872FC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162-4F5C-A225-717F1C7872FC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162-4F5C-A225-717F1C7872FC}"/>
              </c:ext>
            </c:extLst>
          </c:dPt>
          <c:dPt>
            <c:idx val="5"/>
            <c:bubble3D val="0"/>
            <c:spPr>
              <a:solidFill>
                <a:srgbClr val="8ED97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162-4F5C-A225-717F1C7872FC}"/>
              </c:ext>
            </c:extLst>
          </c:dPt>
          <c:dPt>
            <c:idx val="6"/>
            <c:bubble3D val="0"/>
            <c:spPr>
              <a:solidFill>
                <a:srgbClr val="897E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AAB6-40C6-A36A-9AEC0369F3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[0]!Graph_Brand_List_ch1</c:f>
              <c:strCache>
                <c:ptCount val="7"/>
                <c:pt idx="0">
                  <c:v>HEINZ</c:v>
                </c:pt>
                <c:pt idx="1">
                  <c:v>HP</c:v>
                </c:pt>
                <c:pt idx="2">
                  <c:v>BULLS EYE</c:v>
                </c:pt>
                <c:pt idx="3">
                  <c:v>PRIVATE LABEL</c:v>
                </c:pt>
                <c:pt idx="4">
                  <c:v>LEVI ROOTS</c:v>
                </c:pt>
                <c:pt idx="5">
                  <c:v>SWEET BABY RAYS</c:v>
                </c:pt>
                <c:pt idx="6">
                  <c:v>RESTOFCATEGORY</c:v>
                </c:pt>
              </c:strCache>
            </c:strRef>
          </c:cat>
          <c:val>
            <c:numRef>
              <c:f>[0]!Graph_MS_Initial_c1</c:f>
              <c:numCache>
                <c:formatCode>0.0%</c:formatCode>
                <c:ptCount val="7"/>
                <c:pt idx="0">
                  <c:v>0.31559170892391725</c:v>
                </c:pt>
                <c:pt idx="1">
                  <c:v>9.3513238470405408E-2</c:v>
                </c:pt>
                <c:pt idx="2">
                  <c:v>6.6954548918997242E-2</c:v>
                </c:pt>
                <c:pt idx="3">
                  <c:v>0.17729670433521014</c:v>
                </c:pt>
                <c:pt idx="4">
                  <c:v>7.8942255955557469E-2</c:v>
                </c:pt>
                <c:pt idx="5">
                  <c:v>8.3034907609019659E-2</c:v>
                </c:pt>
                <c:pt idx="6">
                  <c:v>0.18466663578689274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1162-4F5C-A225-717F1C787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819568608081997E-2"/>
          <c:y val="0.16376004608333805"/>
          <c:w val="0.28013153747783681"/>
          <c:h val="0.77988338411792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588042920593285"/>
          <c:y val="3.5622288485968594E-2"/>
          <c:w val="0.57077464629445873"/>
          <c:h val="0.928755423028062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78D-439F-9767-218CBE4815F3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78D-439F-9767-218CBE4815F3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78D-439F-9767-218CBE4815F3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78D-439F-9767-218CBE4815F3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78D-439F-9767-218CBE4815F3}"/>
              </c:ext>
            </c:extLst>
          </c:dPt>
          <c:dPt>
            <c:idx val="5"/>
            <c:invertIfNegative val="0"/>
            <c:bubble3D val="0"/>
            <c:spPr>
              <a:solidFill>
                <a:srgbClr val="8ED9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78D-439F-9767-218CBE4815F3}"/>
              </c:ext>
            </c:extLst>
          </c:dPt>
          <c:dPt>
            <c:idx val="6"/>
            <c:invertIfNegative val="0"/>
            <c:bubble3D val="0"/>
            <c:spPr>
              <a:solidFill>
                <a:srgbClr val="897EF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78D-439F-9767-218CBE4815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[0]!Graph_Brand_List_ch1</c:f>
              <c:strCache>
                <c:ptCount val="7"/>
                <c:pt idx="0">
                  <c:v>HEINZ</c:v>
                </c:pt>
                <c:pt idx="1">
                  <c:v>HP</c:v>
                </c:pt>
                <c:pt idx="2">
                  <c:v>BULLS EYE</c:v>
                </c:pt>
                <c:pt idx="3">
                  <c:v>PRIVATE LABEL</c:v>
                </c:pt>
                <c:pt idx="4">
                  <c:v>LEVI ROOTS</c:v>
                </c:pt>
                <c:pt idx="5">
                  <c:v>SWEET BABY RAYS</c:v>
                </c:pt>
                <c:pt idx="6">
                  <c:v>RESTOFCATEGORY</c:v>
                </c:pt>
              </c:strCache>
            </c:strRef>
          </c:cat>
          <c:val>
            <c:numRef>
              <c:f>[0]!Initial_CSF_ch1</c:f>
              <c:numCache>
                <c:formatCode>0.00</c:formatCode>
                <c:ptCount val="7"/>
                <c:pt idx="0">
                  <c:v>1.80150803570915</c:v>
                </c:pt>
                <c:pt idx="1">
                  <c:v>1.7183790863642501</c:v>
                </c:pt>
                <c:pt idx="2">
                  <c:v>1.68474349145409</c:v>
                </c:pt>
                <c:pt idx="3">
                  <c:v>1.74895354357841</c:v>
                </c:pt>
                <c:pt idx="4">
                  <c:v>1.72388811437717</c:v>
                </c:pt>
                <c:pt idx="5">
                  <c:v>1.8259663503240999</c:v>
                </c:pt>
                <c:pt idx="6">
                  <c:v>1.87705591346284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8D-439F-9767-218CBE481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7-476B-A72F-28F1B50E239D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7-476B-A72F-28F1B50E239D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7-476B-A72F-28F1B50E239D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7-476B-A72F-28F1B50E239D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7-476B-A72F-28F1B50E239D}"/>
              </c:ext>
            </c:extLst>
          </c:dPt>
          <c:dPt>
            <c:idx val="5"/>
            <c:bubble3D val="0"/>
            <c:spPr>
              <a:solidFill>
                <a:srgbClr val="8ED97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7-476B-A72F-28F1B50E239D}"/>
              </c:ext>
            </c:extLst>
          </c:dPt>
          <c:dPt>
            <c:idx val="6"/>
            <c:bubble3D val="0"/>
            <c:spPr>
              <a:solidFill>
                <a:srgbClr val="897E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7-476B-A72F-28F1B50E23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'Calculations - Tesco'!$F$4:$F$10</c:f>
              <c:strCache>
                <c:ptCount val="7"/>
                <c:pt idx="0">
                  <c:v>HEINZ</c:v>
                </c:pt>
                <c:pt idx="1">
                  <c:v>HP</c:v>
                </c:pt>
                <c:pt idx="2">
                  <c:v>BULLS EYE</c:v>
                </c:pt>
                <c:pt idx="3">
                  <c:v>PRIVATE LABEL</c:v>
                </c:pt>
                <c:pt idx="4">
                  <c:v>LEVI ROOTS</c:v>
                </c:pt>
                <c:pt idx="5">
                  <c:v>SWEET BABY RAYS</c:v>
                </c:pt>
                <c:pt idx="6">
                  <c:v>RESTOFCATEGORY</c:v>
                </c:pt>
              </c:strCache>
            </c:strRef>
          </c:cat>
          <c:val>
            <c:numRef>
              <c:f>'Calculations - Tesco'!$Y$4:$Y$10</c:f>
              <c:numCache>
                <c:formatCode>0.0%</c:formatCode>
                <c:ptCount val="7"/>
                <c:pt idx="0">
                  <c:v>0.34492970194144845</c:v>
                </c:pt>
                <c:pt idx="1">
                  <c:v>0.11390449739501249</c:v>
                </c:pt>
                <c:pt idx="2">
                  <c:v>6.4954700359065809E-2</c:v>
                </c:pt>
                <c:pt idx="3">
                  <c:v>0.13202347897069414</c:v>
                </c:pt>
                <c:pt idx="4">
                  <c:v>9.2149696868116054E-2</c:v>
                </c:pt>
                <c:pt idx="5">
                  <c:v>8.7774605837718706E-2</c:v>
                </c:pt>
                <c:pt idx="6">
                  <c:v>0.16426331862794419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1F7-476B-A72F-28F1B50E239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AF8-4890-934F-1F81B8DE80DF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AF8-4890-934F-1F81B8DE80DF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AF8-4890-934F-1F81B8DE80DF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AF8-4890-934F-1F81B8DE80DF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AF8-4890-934F-1F81B8DE80DF}"/>
              </c:ext>
            </c:extLst>
          </c:dPt>
          <c:dPt>
            <c:idx val="5"/>
            <c:bubble3D val="0"/>
            <c:spPr>
              <a:solidFill>
                <a:srgbClr val="8ED97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AF8-4890-934F-1F81B8DE80DF}"/>
              </c:ext>
            </c:extLst>
          </c:dPt>
          <c:dPt>
            <c:idx val="6"/>
            <c:bubble3D val="0"/>
            <c:spPr>
              <a:solidFill>
                <a:srgbClr val="897E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AF8-4890-934F-1F81B8DE80D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'Calculations - Tesco'!$F$4:$F$10</c:f>
              <c:strCache>
                <c:ptCount val="7"/>
                <c:pt idx="0">
                  <c:v>HEINZ</c:v>
                </c:pt>
                <c:pt idx="1">
                  <c:v>HP</c:v>
                </c:pt>
                <c:pt idx="2">
                  <c:v>BULLS EYE</c:v>
                </c:pt>
                <c:pt idx="3">
                  <c:v>PRIVATE LABEL</c:v>
                </c:pt>
                <c:pt idx="4">
                  <c:v>LEVI ROOTS</c:v>
                </c:pt>
                <c:pt idx="5">
                  <c:v>SWEET BABY RAYS</c:v>
                </c:pt>
                <c:pt idx="6">
                  <c:v>RESTOFCATEGORY</c:v>
                </c:pt>
              </c:strCache>
            </c:strRef>
          </c:cat>
          <c:val>
            <c:numRef>
              <c:f>'Calculations - Tesco'!$AR$4:$AR$10</c:f>
              <c:numCache>
                <c:formatCode>0.0%</c:formatCode>
                <c:ptCount val="7"/>
                <c:pt idx="0">
                  <c:v>0.34492970194144845</c:v>
                </c:pt>
                <c:pt idx="1">
                  <c:v>0.11390449739501249</c:v>
                </c:pt>
                <c:pt idx="2">
                  <c:v>6.4954700359065809E-2</c:v>
                </c:pt>
                <c:pt idx="3">
                  <c:v>0.13202347897069414</c:v>
                </c:pt>
                <c:pt idx="4">
                  <c:v>9.2149696868116054E-2</c:v>
                </c:pt>
                <c:pt idx="5">
                  <c:v>8.7774605837718706E-2</c:v>
                </c:pt>
                <c:pt idx="6">
                  <c:v>0.16426331862794419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AF8-4890-934F-1F81B8DE8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5903634493906277E-2"/>
          <c:y val="0.13025097421509529"/>
          <c:w val="0.2871297076113678"/>
          <c:h val="0.820480084382465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79938840527207"/>
          <c:y val="3.2798696909239686E-2"/>
          <c:w val="0.8170260584815261"/>
          <c:h val="0.9344025051950914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B96-4548-B809-481A7B168844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B96-4548-B809-481A7B168844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B96-4548-B809-481A7B168844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B96-4548-B809-481A7B168844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B96-4548-B809-481A7B168844}"/>
              </c:ext>
            </c:extLst>
          </c:dPt>
          <c:dPt>
            <c:idx val="5"/>
            <c:invertIfNegative val="0"/>
            <c:bubble3D val="0"/>
            <c:spPr>
              <a:solidFill>
                <a:srgbClr val="8ED9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B96-4548-B809-481A7B168844}"/>
              </c:ext>
            </c:extLst>
          </c:dPt>
          <c:dPt>
            <c:idx val="6"/>
            <c:invertIfNegative val="0"/>
            <c:bubble3D val="0"/>
            <c:spPr>
              <a:solidFill>
                <a:srgbClr val="897EF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B96-4548-B809-481A7B16884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'Calculations - Tesco'!$F$4:$F$10</c:f>
              <c:strCache>
                <c:ptCount val="7"/>
                <c:pt idx="0">
                  <c:v>HEINZ</c:v>
                </c:pt>
                <c:pt idx="1">
                  <c:v>HP</c:v>
                </c:pt>
                <c:pt idx="2">
                  <c:v>BULLS EYE</c:v>
                </c:pt>
                <c:pt idx="3">
                  <c:v>PRIVATE LABEL</c:v>
                </c:pt>
                <c:pt idx="4">
                  <c:v>LEVI ROOTS</c:v>
                </c:pt>
                <c:pt idx="5">
                  <c:v>SWEET BABY RAYS</c:v>
                </c:pt>
                <c:pt idx="6">
                  <c:v>RESTOFCATEGORY</c:v>
                </c:pt>
              </c:strCache>
            </c:strRef>
          </c:cat>
          <c:val>
            <c:numRef>
              <c:f>'Calculations - Tesco'!$AS$4:$AS$10</c:f>
              <c:numCache>
                <c:formatCode>0.00%</c:formatCode>
                <c:ptCount val="7"/>
                <c:pt idx="0">
                  <c:v>7.3976586792851018E-4</c:v>
                </c:pt>
                <c:pt idx="1">
                  <c:v>5.1889763786061582E-3</c:v>
                </c:pt>
                <c:pt idx="2">
                  <c:v>-5.6297901157212199E-3</c:v>
                </c:pt>
                <c:pt idx="3">
                  <c:v>-3.3872429889589273E-4</c:v>
                </c:pt>
                <c:pt idx="4">
                  <c:v>-1.7528334551205754E-3</c:v>
                </c:pt>
                <c:pt idx="5">
                  <c:v>-7.5223458860894377E-4</c:v>
                </c:pt>
                <c:pt idx="6">
                  <c:v>2.5448402118117552E-3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96-4548-B809-481A7B168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47769904"/>
        <c:axId val="947770384"/>
      </c:barChart>
      <c:catAx>
        <c:axId val="94776990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947770384"/>
        <c:crosses val="autoZero"/>
        <c:auto val="1"/>
        <c:lblAlgn val="ctr"/>
        <c:lblOffset val="100"/>
        <c:noMultiLvlLbl val="0"/>
      </c:catAx>
      <c:valAx>
        <c:axId val="947770384"/>
        <c:scaling>
          <c:orientation val="minMax"/>
        </c:scaling>
        <c:delete val="1"/>
        <c:axPos val="t"/>
        <c:numFmt formatCode="0.00%" sourceLinked="1"/>
        <c:majorTickMark val="none"/>
        <c:minorTickMark val="none"/>
        <c:tickLblPos val="nextTo"/>
        <c:crossAx val="94776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588042920593285"/>
          <c:y val="3.5622288485968594E-2"/>
          <c:w val="0.57077464629445873"/>
          <c:h val="0.928755423028062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B2-4261-8A74-B964DBEC2933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B2-4261-8A74-B964DBEC2933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B2-4261-8A74-B964DBEC2933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B2-4261-8A74-B964DBEC2933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B2-4261-8A74-B964DBEC2933}"/>
              </c:ext>
            </c:extLst>
          </c:dPt>
          <c:dPt>
            <c:idx val="5"/>
            <c:invertIfNegative val="0"/>
            <c:bubble3D val="0"/>
            <c:spPr>
              <a:solidFill>
                <a:srgbClr val="8ED9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B2-4261-8A74-B964DBEC2933}"/>
              </c:ext>
            </c:extLst>
          </c:dPt>
          <c:dPt>
            <c:idx val="6"/>
            <c:invertIfNegative val="0"/>
            <c:bubble3D val="0"/>
            <c:spPr>
              <a:solidFill>
                <a:srgbClr val="897EF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B2-4261-8A74-B964DBEC2933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'Calculations - Tesco'!$F$4:$F$10</c:f>
              <c:strCache>
                <c:ptCount val="7"/>
                <c:pt idx="0">
                  <c:v>HEINZ</c:v>
                </c:pt>
                <c:pt idx="1">
                  <c:v>HP</c:v>
                </c:pt>
                <c:pt idx="2">
                  <c:v>BULLS EYE</c:v>
                </c:pt>
                <c:pt idx="3">
                  <c:v>PRIVATE LABEL</c:v>
                </c:pt>
                <c:pt idx="4">
                  <c:v>LEVI ROOTS</c:v>
                </c:pt>
                <c:pt idx="5">
                  <c:v>SWEET BABY RAYS</c:v>
                </c:pt>
                <c:pt idx="6">
                  <c:v>RESTOFCATEGORY</c:v>
                </c:pt>
              </c:strCache>
            </c:strRef>
          </c:cat>
          <c:val>
            <c:numRef>
              <c:f>'Calculations - Tesco'!$AX$4:$AX$10</c:f>
              <c:numCache>
                <c:formatCode>General</c:formatCode>
                <c:ptCount val="7"/>
                <c:pt idx="0">
                  <c:v>1.8648294280516198</c:v>
                </c:pt>
                <c:pt idx="1">
                  <c:v>1.9951299106692384</c:v>
                </c:pt>
                <c:pt idx="2">
                  <c:v>1.6306776999462507</c:v>
                </c:pt>
                <c:pt idx="3">
                  <c:v>1.8513696897075418</c:v>
                </c:pt>
                <c:pt idx="4">
                  <c:v>1.8053235631892963</c:v>
                </c:pt>
                <c:pt idx="5">
                  <c:v>1.834394308803412</c:v>
                </c:pt>
                <c:pt idx="6">
                  <c:v>1.9036702160486734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DB2-4261-8A74-B964DBEC2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81-4C21-81D9-905B14CAB1CF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81-4C21-81D9-905B14CAB1CF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81-4C21-81D9-905B14CAB1CF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181-4C21-81D9-905B14CAB1CF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181-4C21-81D9-905B14CAB1CF}"/>
              </c:ext>
            </c:extLst>
          </c:dPt>
          <c:dPt>
            <c:idx val="5"/>
            <c:bubble3D val="0"/>
            <c:spPr>
              <a:solidFill>
                <a:srgbClr val="8ED97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181-4C21-81D9-905B14CAB1CF}"/>
              </c:ext>
            </c:extLst>
          </c:dPt>
          <c:dPt>
            <c:idx val="6"/>
            <c:bubble3D val="0"/>
            <c:spPr>
              <a:solidFill>
                <a:srgbClr val="897E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181-4C21-81D9-905B14CAB1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'Calculations - Tesco'!$F$4:$F$10</c:f>
              <c:strCache>
                <c:ptCount val="7"/>
                <c:pt idx="0">
                  <c:v>HEINZ</c:v>
                </c:pt>
                <c:pt idx="1">
                  <c:v>HP</c:v>
                </c:pt>
                <c:pt idx="2">
                  <c:v>BULLS EYE</c:v>
                </c:pt>
                <c:pt idx="3">
                  <c:v>PRIVATE LABEL</c:v>
                </c:pt>
                <c:pt idx="4">
                  <c:v>LEVI ROOTS</c:v>
                </c:pt>
                <c:pt idx="5">
                  <c:v>SWEET BABY RAYS</c:v>
                </c:pt>
                <c:pt idx="6">
                  <c:v>RESTOFCATEGORY</c:v>
                </c:pt>
              </c:strCache>
            </c:strRef>
          </c:cat>
          <c:val>
            <c:numRef>
              <c:f>'Calculations - Tesco'!$P$4:$P$10</c:f>
              <c:numCache>
                <c:formatCode>0.0%</c:formatCode>
                <c:ptCount val="7"/>
                <c:pt idx="0">
                  <c:v>0.34418993607351994</c:v>
                </c:pt>
                <c:pt idx="1">
                  <c:v>0.10871552101640633</c:v>
                </c:pt>
                <c:pt idx="2">
                  <c:v>7.0584490474787029E-2</c:v>
                </c:pt>
                <c:pt idx="3">
                  <c:v>0.13236220326959003</c:v>
                </c:pt>
                <c:pt idx="4">
                  <c:v>9.390253032323663E-2</c:v>
                </c:pt>
                <c:pt idx="5">
                  <c:v>8.8526840426327649E-2</c:v>
                </c:pt>
                <c:pt idx="6">
                  <c:v>0.16171847841613243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181-4C21-81D9-905B14CAB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819568608081997E-2"/>
          <c:y val="0.16376004608333805"/>
          <c:w val="0.28013153747783681"/>
          <c:h val="0.77988338411792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588042920593285"/>
          <c:y val="3.5622288485968594E-2"/>
          <c:w val="0.57077464629445873"/>
          <c:h val="0.928755423028062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97B-476C-82EB-37A7BEBB9AE6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7B-476C-82EB-37A7BEBB9AE6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97B-476C-82EB-37A7BEBB9AE6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97B-476C-82EB-37A7BEBB9AE6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97B-476C-82EB-37A7BEBB9AE6}"/>
              </c:ext>
            </c:extLst>
          </c:dPt>
          <c:dPt>
            <c:idx val="5"/>
            <c:invertIfNegative val="0"/>
            <c:bubble3D val="0"/>
            <c:spPr>
              <a:solidFill>
                <a:srgbClr val="8ED9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97B-476C-82EB-37A7BEBB9AE6}"/>
              </c:ext>
            </c:extLst>
          </c:dPt>
          <c:dPt>
            <c:idx val="6"/>
            <c:invertIfNegative val="0"/>
            <c:bubble3D val="0"/>
            <c:spPr>
              <a:solidFill>
                <a:srgbClr val="897EF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97B-476C-82EB-37A7BEBB9AE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'Calculations - Tesco'!$F$4:$F$10</c:f>
              <c:strCache>
                <c:ptCount val="7"/>
                <c:pt idx="0">
                  <c:v>HEINZ</c:v>
                </c:pt>
                <c:pt idx="1">
                  <c:v>HP</c:v>
                </c:pt>
                <c:pt idx="2">
                  <c:v>BULLS EYE</c:v>
                </c:pt>
                <c:pt idx="3">
                  <c:v>PRIVATE LABEL</c:v>
                </c:pt>
                <c:pt idx="4">
                  <c:v>LEVI ROOTS</c:v>
                </c:pt>
                <c:pt idx="5">
                  <c:v>SWEET BABY RAYS</c:v>
                </c:pt>
                <c:pt idx="6">
                  <c:v>RESTOFCATEGORY</c:v>
                </c:pt>
              </c:strCache>
            </c:strRef>
          </c:cat>
          <c:val>
            <c:numRef>
              <c:f>'Calculations - Tesco'!$I$4:$I$10</c:f>
              <c:numCache>
                <c:formatCode>0.00</c:formatCode>
                <c:ptCount val="7"/>
                <c:pt idx="0">
                  <c:v>1.86482942805162</c:v>
                </c:pt>
                <c:pt idx="1">
                  <c:v>1.9951299106692399</c:v>
                </c:pt>
                <c:pt idx="2">
                  <c:v>1.63067769994625</c:v>
                </c:pt>
                <c:pt idx="3">
                  <c:v>1.85136968970754</c:v>
                </c:pt>
                <c:pt idx="4">
                  <c:v>1.8053235631893001</c:v>
                </c:pt>
                <c:pt idx="5">
                  <c:v>1.83439430880341</c:v>
                </c:pt>
                <c:pt idx="6">
                  <c:v>1.90367021604867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97B-476C-82EB-37A7BEBB9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image" Target="../media/image2.svg"/><Relationship Id="rId7" Type="http://schemas.openxmlformats.org/officeDocument/2006/relationships/chart" Target="../charts/chart11.xml"/><Relationship Id="rId2" Type="http://schemas.openxmlformats.org/officeDocument/2006/relationships/image" Target="../media/image1.png"/><Relationship Id="rId1" Type="http://schemas.openxmlformats.org/officeDocument/2006/relationships/chart" Target="../charts/chart7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364458</xdr:colOff>
      <xdr:row>8</xdr:row>
      <xdr:rowOff>59748</xdr:rowOff>
    </xdr:from>
    <xdr:to>
      <xdr:col>12</xdr:col>
      <xdr:colOff>744336</xdr:colOff>
      <xdr:row>27</xdr:row>
      <xdr:rowOff>246437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2F4671F-2E2D-4800-A6AC-CDA0AD6C3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34</xdr:col>
      <xdr:colOff>756284</xdr:colOff>
      <xdr:row>4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8A906B8-F814-43B5-AD18-EAD323A126E6}"/>
            </a:ext>
          </a:extLst>
        </xdr:cNvPr>
        <xdr:cNvGrpSpPr/>
      </xdr:nvGrpSpPr>
      <xdr:grpSpPr>
        <a:xfrm>
          <a:off x="0" y="0"/>
          <a:ext cx="71291334" cy="692727"/>
          <a:chOff x="380999" y="53072"/>
          <a:chExt cx="34077884" cy="818716"/>
        </a:xfrm>
        <a:solidFill>
          <a:srgbClr val="388087"/>
        </a:solidFill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D19D4F13-77DD-80A3-45DD-C52771FB4B02}"/>
              </a:ext>
            </a:extLst>
          </xdr:cNvPr>
          <xdr:cNvGrpSpPr/>
        </xdr:nvGrpSpPr>
        <xdr:grpSpPr>
          <a:xfrm>
            <a:off x="380999" y="53072"/>
            <a:ext cx="34077884" cy="818716"/>
            <a:chOff x="380999" y="53072"/>
            <a:chExt cx="34077884" cy="818716"/>
          </a:xfrm>
          <a:grpFill/>
        </xdr:grpSpPr>
        <xdr:sp macro="" textlink="">
          <xdr:nvSpPr>
            <xdr:cNvPr id="5" name="Rectangle: Rounded Corners 4">
              <a:extLst>
                <a:ext uri="{FF2B5EF4-FFF2-40B4-BE49-F238E27FC236}">
                  <a16:creationId xmlns:a16="http://schemas.microsoft.com/office/drawing/2014/main" id="{66CA2E5B-9535-6319-BF43-50B0F3B3A1D2}"/>
                </a:ext>
              </a:extLst>
            </xdr:cNvPr>
            <xdr:cNvSpPr/>
          </xdr:nvSpPr>
          <xdr:spPr>
            <a:xfrm>
              <a:off x="380999" y="72571"/>
              <a:ext cx="34077884" cy="799217"/>
            </a:xfrm>
            <a:prstGeom prst="roundRect">
              <a:avLst>
                <a:gd name="adj" fmla="val 48334"/>
              </a:avLst>
            </a:prstGeom>
            <a:grpFill/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36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Strategic Scenario Planner </a:t>
              </a:r>
            </a:p>
          </xdr:txBody>
        </xdr:sp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BF798B3-B42B-BB08-67DC-9DC8A5882F54}"/>
                </a:ext>
              </a:extLst>
            </xdr:cNvPr>
            <xdr:cNvSpPr txBox="1"/>
          </xdr:nvSpPr>
          <xdr:spPr>
            <a:xfrm>
              <a:off x="893428" y="149629"/>
              <a:ext cx="3510644" cy="468818"/>
            </a:xfrm>
            <a:prstGeom prst="rect">
              <a:avLst/>
            </a:prstGeom>
            <a:grp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24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Period</a:t>
              </a:r>
              <a:r>
                <a:rPr kumimoji="0" lang="en-IN" sz="24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: Last 12 Months</a:t>
              </a:r>
            </a:p>
          </xdr:txBody>
        </xdr:sp>
        <xdr:pic>
          <xdr:nvPicPr>
            <xdr:cNvPr id="7" name="Graphic 6" descr="Daily calendar with solid fill">
              <a:extLst>
                <a:ext uri="{FF2B5EF4-FFF2-40B4-BE49-F238E27FC236}">
                  <a16:creationId xmlns:a16="http://schemas.microsoft.com/office/drawing/2014/main" id="{F03B0074-8690-C097-3FF5-B5518C240F3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634999" y="53072"/>
              <a:ext cx="574068" cy="568833"/>
            </a:xfrm>
            <a:prstGeom prst="rect">
              <a:avLst/>
            </a:prstGeom>
          </xdr:spPr>
        </xdr:pic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C4DD7170-F1DD-77BF-7488-F46657413EA7}"/>
              </a:ext>
            </a:extLst>
          </xdr:cNvPr>
          <xdr:cNvSpPr txBox="1"/>
        </xdr:nvSpPr>
        <xdr:spPr>
          <a:xfrm>
            <a:off x="23059063" y="173161"/>
            <a:ext cx="9047843" cy="521841"/>
          </a:xfrm>
          <a:prstGeom prst="rect">
            <a:avLst/>
          </a:prstGeom>
          <a:grp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2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Directions to Use</a:t>
            </a:r>
            <a:r>
              <a:rPr kumimoji="0" lang="en-IN" sz="2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: Please provide inputs in the cells highlighted below</a:t>
            </a:r>
          </a:p>
        </xdr:txBody>
      </xdr:sp>
    </xdr:grpSp>
    <xdr:clientData/>
  </xdr:twoCellAnchor>
  <xdr:twoCellAnchor editAs="absolute">
    <xdr:from>
      <xdr:col>6</xdr:col>
      <xdr:colOff>440402</xdr:colOff>
      <xdr:row>30</xdr:row>
      <xdr:rowOff>246956</xdr:rowOff>
    </xdr:from>
    <xdr:to>
      <xdr:col>6</xdr:col>
      <xdr:colOff>1348742</xdr:colOff>
      <xdr:row>34</xdr:row>
      <xdr:rowOff>53767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494E2970-E4FB-471E-BA70-3288987BD7BD}"/>
            </a:ext>
          </a:extLst>
        </xdr:cNvPr>
        <xdr:cNvSpPr/>
      </xdr:nvSpPr>
      <xdr:spPr>
        <a:xfrm>
          <a:off x="14083319" y="9439101"/>
          <a:ext cx="915960" cy="1049910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6</xdr:col>
      <xdr:colOff>94905</xdr:colOff>
      <xdr:row>34</xdr:row>
      <xdr:rowOff>266660</xdr:rowOff>
    </xdr:from>
    <xdr:to>
      <xdr:col>6</xdr:col>
      <xdr:colOff>1520365</xdr:colOff>
      <xdr:row>39</xdr:row>
      <xdr:rowOff>95596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CE6A70F-1915-45E0-A7BE-D5EF27DA26C1}"/>
            </a:ext>
          </a:extLst>
        </xdr:cNvPr>
        <xdr:cNvSpPr txBox="1"/>
      </xdr:nvSpPr>
      <xdr:spPr>
        <a:xfrm>
          <a:off x="13754967" y="10709524"/>
          <a:ext cx="1412125" cy="13780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800" b="1" i="1"/>
            <a:t>if market</a:t>
          </a:r>
          <a:r>
            <a:rPr lang="en-IN" sz="1800" b="1" i="1" baseline="0"/>
            <a:t> conditions remain constant</a:t>
          </a:r>
          <a:endParaRPr lang="en-IN" sz="1800" b="1" i="1"/>
        </a:p>
      </xdr:txBody>
    </xdr:sp>
    <xdr:clientData/>
  </xdr:twoCellAnchor>
  <xdr:twoCellAnchor editAs="absolute">
    <xdr:from>
      <xdr:col>6</xdr:col>
      <xdr:colOff>287220</xdr:colOff>
      <xdr:row>13</xdr:row>
      <xdr:rowOff>187902</xdr:rowOff>
    </xdr:from>
    <xdr:to>
      <xdr:col>7</xdr:col>
      <xdr:colOff>1387532</xdr:colOff>
      <xdr:row>17</xdr:row>
      <xdr:rowOff>16622</xdr:rowOff>
    </xdr:to>
    <xdr:sp macro="" textlink="">
      <xdr:nvSpPr>
        <xdr:cNvPr id="17" name="Arrow: Right 16">
          <a:extLst>
            <a:ext uri="{FF2B5EF4-FFF2-40B4-BE49-F238E27FC236}">
              <a16:creationId xmlns:a16="http://schemas.microsoft.com/office/drawing/2014/main" id="{F881D85D-3B21-439F-AE62-7C07C3E5D437}"/>
            </a:ext>
          </a:extLst>
        </xdr:cNvPr>
        <xdr:cNvSpPr/>
      </xdr:nvSpPr>
      <xdr:spPr>
        <a:xfrm>
          <a:off x="13933947" y="4084493"/>
          <a:ext cx="2737746" cy="1068009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6</xdr:col>
      <xdr:colOff>135168</xdr:colOff>
      <xdr:row>17</xdr:row>
      <xdr:rowOff>246399</xdr:rowOff>
    </xdr:from>
    <xdr:to>
      <xdr:col>7</xdr:col>
      <xdr:colOff>1469967</xdr:colOff>
      <xdr:row>23</xdr:row>
      <xdr:rowOff>91786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E3CE54F1-DE15-4446-874D-385390D7AD39}"/>
            </a:ext>
          </a:extLst>
        </xdr:cNvPr>
        <xdr:cNvSpPr txBox="1"/>
      </xdr:nvSpPr>
      <xdr:spPr>
        <a:xfrm>
          <a:off x="13760940" y="5403234"/>
          <a:ext cx="2985568" cy="1698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800" b="1" i="1"/>
            <a:t>if market</a:t>
          </a:r>
          <a:r>
            <a:rPr lang="en-IN" sz="1800" b="1" i="1" baseline="0"/>
            <a:t> conditions remain constant</a:t>
          </a:r>
          <a:endParaRPr lang="en-IN" sz="1800" b="1" i="1"/>
        </a:p>
      </xdr:txBody>
    </xdr:sp>
    <xdr:clientData/>
  </xdr:twoCellAnchor>
  <xdr:twoCellAnchor editAs="absolute">
    <xdr:from>
      <xdr:col>28</xdr:col>
      <xdr:colOff>1989586</xdr:colOff>
      <xdr:row>8</xdr:row>
      <xdr:rowOff>265488</xdr:rowOff>
    </xdr:from>
    <xdr:to>
      <xdr:col>34</xdr:col>
      <xdr:colOff>144260</xdr:colOff>
      <xdr:row>28</xdr:row>
      <xdr:rowOff>37755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497B7060-E885-45F7-B4E0-FC77F03740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25</xdr:col>
      <xdr:colOff>2484120</xdr:colOff>
      <xdr:row>9</xdr:row>
      <xdr:rowOff>248171</xdr:rowOff>
    </xdr:from>
    <xdr:to>
      <xdr:col>28</xdr:col>
      <xdr:colOff>1760740</xdr:colOff>
      <xdr:row>27</xdr:row>
      <xdr:rowOff>209550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48DFF790-1B34-4C67-B73A-96832E8490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25</xdr:col>
      <xdr:colOff>2183996</xdr:colOff>
      <xdr:row>43</xdr:row>
      <xdr:rowOff>248169</xdr:rowOff>
    </xdr:from>
    <xdr:to>
      <xdr:col>33</xdr:col>
      <xdr:colOff>411654</xdr:colOff>
      <xdr:row>58</xdr:row>
      <xdr:rowOff>173355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F5D0C27-2CB9-44EE-9E53-0CA3C94EF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1827936</xdr:colOff>
      <xdr:row>8</xdr:row>
      <xdr:rowOff>211627</xdr:rowOff>
    </xdr:from>
    <xdr:to>
      <xdr:col>2</xdr:col>
      <xdr:colOff>2378307</xdr:colOff>
      <xdr:row>9</xdr:row>
      <xdr:rowOff>169197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9347D0E4-11C4-5FA0-ED50-EB5F06A0CB39}"/>
            </a:ext>
          </a:extLst>
        </xdr:cNvPr>
        <xdr:cNvSpPr txBox="1"/>
      </xdr:nvSpPr>
      <xdr:spPr>
        <a:xfrm>
          <a:off x="2434072" y="2026226"/>
          <a:ext cx="3563735" cy="71957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Current Market Share</a:t>
          </a:r>
        </a:p>
      </xdr:txBody>
    </xdr:sp>
    <xdr:clientData/>
  </xdr:twoCellAnchor>
  <xdr:twoCellAnchor editAs="absolute">
    <xdr:from>
      <xdr:col>7</xdr:col>
      <xdr:colOff>92305</xdr:colOff>
      <xdr:row>8</xdr:row>
      <xdr:rowOff>288519</xdr:rowOff>
    </xdr:from>
    <xdr:to>
      <xdr:col>8</xdr:col>
      <xdr:colOff>1006185</xdr:colOff>
      <xdr:row>9</xdr:row>
      <xdr:rowOff>211799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10808F8-AAA9-43B9-BDDF-F920B35EDF2A}"/>
            </a:ext>
          </a:extLst>
        </xdr:cNvPr>
        <xdr:cNvSpPr txBox="1"/>
      </xdr:nvSpPr>
      <xdr:spPr>
        <a:xfrm>
          <a:off x="15366941" y="2103118"/>
          <a:ext cx="3211484" cy="70052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Projected Market Share</a:t>
          </a:r>
        </a:p>
      </xdr:txBody>
    </xdr:sp>
    <xdr:clientData/>
  </xdr:twoCellAnchor>
  <xdr:twoCellAnchor editAs="absolute">
    <xdr:from>
      <xdr:col>5</xdr:col>
      <xdr:colOff>1883697</xdr:colOff>
      <xdr:row>42</xdr:row>
      <xdr:rowOff>207819</xdr:rowOff>
    </xdr:from>
    <xdr:to>
      <xdr:col>7</xdr:col>
      <xdr:colOff>1050691</xdr:colOff>
      <xdr:row>44</xdr:row>
      <xdr:rowOff>94385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7AF5C402-651C-4E09-BF0D-846195CDCD6E}"/>
            </a:ext>
          </a:extLst>
        </xdr:cNvPr>
        <xdr:cNvSpPr txBox="1"/>
      </xdr:nvSpPr>
      <xdr:spPr>
        <a:xfrm>
          <a:off x="13144325" y="13157836"/>
          <a:ext cx="3177192" cy="51002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Initial CSF</a:t>
          </a:r>
        </a:p>
      </xdr:txBody>
    </xdr:sp>
    <xdr:clientData/>
  </xdr:twoCellAnchor>
  <xdr:twoCellAnchor editAs="absolute">
    <xdr:from>
      <xdr:col>28</xdr:col>
      <xdr:colOff>1439843</xdr:colOff>
      <xdr:row>41</xdr:row>
      <xdr:rowOff>282806</xdr:rowOff>
    </xdr:from>
    <xdr:to>
      <xdr:col>30</xdr:col>
      <xdr:colOff>101839</xdr:colOff>
      <xdr:row>43</xdr:row>
      <xdr:rowOff>175087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5201FC2-A38C-48FA-AA65-3C605B00BA76}"/>
            </a:ext>
          </a:extLst>
        </xdr:cNvPr>
        <xdr:cNvSpPr txBox="1"/>
      </xdr:nvSpPr>
      <xdr:spPr>
        <a:xfrm>
          <a:off x="58149268" y="12900141"/>
          <a:ext cx="3259108" cy="52716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CSF</a:t>
          </a:r>
        </a:p>
      </xdr:txBody>
    </xdr:sp>
    <xdr:clientData/>
  </xdr:twoCellAnchor>
  <xdr:twoCellAnchor editAs="absolute">
    <xdr:from>
      <xdr:col>29</xdr:col>
      <xdr:colOff>64943</xdr:colOff>
      <xdr:row>8</xdr:row>
      <xdr:rowOff>265660</xdr:rowOff>
    </xdr:from>
    <xdr:to>
      <xdr:col>30</xdr:col>
      <xdr:colOff>1170015</xdr:colOff>
      <xdr:row>9</xdr:row>
      <xdr:rowOff>227040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E91AEF5-04C0-4719-9BCB-086355ADBDB9}"/>
            </a:ext>
          </a:extLst>
        </xdr:cNvPr>
        <xdr:cNvSpPr txBox="1"/>
      </xdr:nvSpPr>
      <xdr:spPr>
        <a:xfrm>
          <a:off x="59085307" y="2084069"/>
          <a:ext cx="3402675" cy="72338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Market Share</a:t>
          </a:r>
        </a:p>
      </xdr:txBody>
    </xdr:sp>
    <xdr:clientData/>
  </xdr:twoCellAnchor>
  <xdr:twoCellAnchor editAs="absolute">
    <xdr:from>
      <xdr:col>25</xdr:col>
      <xdr:colOff>2904085</xdr:colOff>
      <xdr:row>8</xdr:row>
      <xdr:rowOff>248169</xdr:rowOff>
    </xdr:from>
    <xdr:to>
      <xdr:col>27</xdr:col>
      <xdr:colOff>2141739</xdr:colOff>
      <xdr:row>9</xdr:row>
      <xdr:rowOff>190499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48B939B4-4676-4960-A4EF-43EEFB6E8B66}"/>
            </a:ext>
          </a:extLst>
        </xdr:cNvPr>
        <xdr:cNvSpPr txBox="1"/>
      </xdr:nvSpPr>
      <xdr:spPr>
        <a:xfrm>
          <a:off x="51874015" y="2051338"/>
          <a:ext cx="4683356" cy="71957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Market Share Potential</a:t>
          </a:r>
        </a:p>
      </xdr:txBody>
    </xdr:sp>
    <xdr:clientData/>
  </xdr:twoCellAnchor>
  <xdr:twoCellAnchor editAs="absolute">
    <xdr:from>
      <xdr:col>21</xdr:col>
      <xdr:colOff>1431866</xdr:colOff>
      <xdr:row>8</xdr:row>
      <xdr:rowOff>190500</xdr:rowOff>
    </xdr:from>
    <xdr:to>
      <xdr:col>23</xdr:col>
      <xdr:colOff>141833</xdr:colOff>
      <xdr:row>8</xdr:row>
      <xdr:rowOff>723381</xdr:rowOff>
    </xdr:to>
    <xdr:sp macro="[0]!Supermarket_Price_Reset" textlink="">
      <xdr:nvSpPr>
        <xdr:cNvPr id="10" name="Rectangle 9">
          <a:extLst>
            <a:ext uri="{FF2B5EF4-FFF2-40B4-BE49-F238E27FC236}">
              <a16:creationId xmlns:a16="http://schemas.microsoft.com/office/drawing/2014/main" id="{95A36040-6FA1-A3F8-86D8-4758DA36B501}"/>
            </a:ext>
          </a:extLst>
        </xdr:cNvPr>
        <xdr:cNvSpPr/>
      </xdr:nvSpPr>
      <xdr:spPr>
        <a:xfrm>
          <a:off x="41677242" y="2008909"/>
          <a:ext cx="3191740" cy="532881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Price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20</xdr:col>
      <xdr:colOff>634712</xdr:colOff>
      <xdr:row>19</xdr:row>
      <xdr:rowOff>59574</xdr:rowOff>
    </xdr:from>
    <xdr:to>
      <xdr:col>21</xdr:col>
      <xdr:colOff>1874348</xdr:colOff>
      <xdr:row>21</xdr:row>
      <xdr:rowOff>284884</xdr:rowOff>
    </xdr:to>
    <xdr:sp macro="[0]!Supermarket_Financials_Reset" textlink="">
      <xdr:nvSpPr>
        <xdr:cNvPr id="16" name="Rectangle 15">
          <a:extLst>
            <a:ext uri="{FF2B5EF4-FFF2-40B4-BE49-F238E27FC236}">
              <a16:creationId xmlns:a16="http://schemas.microsoft.com/office/drawing/2014/main" id="{46CF0ED1-AEB0-485D-95B9-D9FEF90123D9}"/>
            </a:ext>
          </a:extLst>
        </xdr:cNvPr>
        <xdr:cNvSpPr/>
      </xdr:nvSpPr>
      <xdr:spPr>
        <a:xfrm>
          <a:off x="39021328" y="5826529"/>
          <a:ext cx="3109826" cy="860194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Financials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1541491</xdr:colOff>
      <xdr:row>8</xdr:row>
      <xdr:rowOff>130926</xdr:rowOff>
    </xdr:from>
    <xdr:to>
      <xdr:col>5</xdr:col>
      <xdr:colOff>1658562</xdr:colOff>
      <xdr:row>28</xdr:row>
      <xdr:rowOff>15243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F5FD8C2F-787E-476D-BAF0-BA8AB6793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</xdr:col>
      <xdr:colOff>2151930</xdr:colOff>
      <xdr:row>44</xdr:row>
      <xdr:rowOff>207817</xdr:rowOff>
    </xdr:from>
    <xdr:to>
      <xdr:col>11</xdr:col>
      <xdr:colOff>476223</xdr:colOff>
      <xdr:row>59</xdr:row>
      <xdr:rowOff>133003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D2509FB-3EFE-4783-955A-AB017C146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364458</xdr:colOff>
      <xdr:row>8</xdr:row>
      <xdr:rowOff>59748</xdr:rowOff>
    </xdr:from>
    <xdr:to>
      <xdr:col>12</xdr:col>
      <xdr:colOff>744336</xdr:colOff>
      <xdr:row>27</xdr:row>
      <xdr:rowOff>246437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63D2D-5E22-465E-91E5-A620CB9A0F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34</xdr:col>
      <xdr:colOff>742949</xdr:colOff>
      <xdr:row>4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FEBA350-E45C-4252-8922-15A4803DF436}"/>
            </a:ext>
          </a:extLst>
        </xdr:cNvPr>
        <xdr:cNvGrpSpPr/>
      </xdr:nvGrpSpPr>
      <xdr:grpSpPr>
        <a:xfrm>
          <a:off x="0" y="0"/>
          <a:ext cx="71283714" cy="692727"/>
          <a:chOff x="380999" y="53072"/>
          <a:chExt cx="34077884" cy="818716"/>
        </a:xfrm>
        <a:solidFill>
          <a:srgbClr val="388087"/>
        </a:solidFill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421B39B9-FE22-8FCC-6FC3-F5A26F629A92}"/>
              </a:ext>
            </a:extLst>
          </xdr:cNvPr>
          <xdr:cNvGrpSpPr/>
        </xdr:nvGrpSpPr>
        <xdr:grpSpPr>
          <a:xfrm>
            <a:off x="380999" y="53072"/>
            <a:ext cx="34077884" cy="818716"/>
            <a:chOff x="380999" y="53072"/>
            <a:chExt cx="34077884" cy="818716"/>
          </a:xfrm>
          <a:grpFill/>
        </xdr:grpSpPr>
        <xdr:sp macro="" textlink="">
          <xdr:nvSpPr>
            <xdr:cNvPr id="6" name="Rectangle: Rounded Corners 5">
              <a:extLst>
                <a:ext uri="{FF2B5EF4-FFF2-40B4-BE49-F238E27FC236}">
                  <a16:creationId xmlns:a16="http://schemas.microsoft.com/office/drawing/2014/main" id="{987B5670-9840-508D-29B9-245C2E03E482}"/>
                </a:ext>
              </a:extLst>
            </xdr:cNvPr>
            <xdr:cNvSpPr/>
          </xdr:nvSpPr>
          <xdr:spPr>
            <a:xfrm>
              <a:off x="380999" y="72571"/>
              <a:ext cx="34077884" cy="799217"/>
            </a:xfrm>
            <a:prstGeom prst="roundRect">
              <a:avLst>
                <a:gd name="adj" fmla="val 48334"/>
              </a:avLst>
            </a:prstGeom>
            <a:grpFill/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36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Strategic Scenario Planner </a:t>
              </a:r>
            </a:p>
          </xdr:txBody>
        </xdr:sp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9A78D46-5A86-7F73-ECCC-CBEB5317718B}"/>
                </a:ext>
              </a:extLst>
            </xdr:cNvPr>
            <xdr:cNvSpPr txBox="1"/>
          </xdr:nvSpPr>
          <xdr:spPr>
            <a:xfrm>
              <a:off x="893428" y="149629"/>
              <a:ext cx="3510644" cy="468818"/>
            </a:xfrm>
            <a:prstGeom prst="rect">
              <a:avLst/>
            </a:prstGeom>
            <a:grp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24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Period</a:t>
              </a:r>
              <a:r>
                <a:rPr kumimoji="0" lang="en-IN" sz="24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: Last 12 Months</a:t>
              </a:r>
            </a:p>
          </xdr:txBody>
        </xdr:sp>
        <xdr:pic>
          <xdr:nvPicPr>
            <xdr:cNvPr id="8" name="Graphic 7" descr="Daily calendar with solid fill">
              <a:extLst>
                <a:ext uri="{FF2B5EF4-FFF2-40B4-BE49-F238E27FC236}">
                  <a16:creationId xmlns:a16="http://schemas.microsoft.com/office/drawing/2014/main" id="{302312C9-8185-8550-A607-77CC0B7CE9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634999" y="53072"/>
              <a:ext cx="574068" cy="568833"/>
            </a:xfrm>
            <a:prstGeom prst="rect">
              <a:avLst/>
            </a:prstGeom>
          </xdr:spPr>
        </xdr:pic>
      </xdr:grp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BA4603EB-D04D-8EA3-7EEC-402D0E01965B}"/>
              </a:ext>
            </a:extLst>
          </xdr:cNvPr>
          <xdr:cNvSpPr txBox="1"/>
        </xdr:nvSpPr>
        <xdr:spPr>
          <a:xfrm>
            <a:off x="23059063" y="173161"/>
            <a:ext cx="9047843" cy="521841"/>
          </a:xfrm>
          <a:prstGeom prst="rect">
            <a:avLst/>
          </a:prstGeom>
          <a:grp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2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Directions to Use</a:t>
            </a:r>
            <a:r>
              <a:rPr kumimoji="0" lang="en-IN" sz="2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: Please provide inputs in the cells highlighted below</a:t>
            </a:r>
          </a:p>
        </xdr:txBody>
      </xdr:sp>
    </xdr:grpSp>
    <xdr:clientData/>
  </xdr:twoCellAnchor>
  <xdr:twoCellAnchor editAs="absolute">
    <xdr:from>
      <xdr:col>6</xdr:col>
      <xdr:colOff>440402</xdr:colOff>
      <xdr:row>30</xdr:row>
      <xdr:rowOff>246956</xdr:rowOff>
    </xdr:from>
    <xdr:to>
      <xdr:col>6</xdr:col>
      <xdr:colOff>1348742</xdr:colOff>
      <xdr:row>34</xdr:row>
      <xdr:rowOff>53767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75739217-9280-4893-8F68-3181CF4D233A}"/>
            </a:ext>
          </a:extLst>
        </xdr:cNvPr>
        <xdr:cNvSpPr/>
      </xdr:nvSpPr>
      <xdr:spPr>
        <a:xfrm>
          <a:off x="14104967" y="9537641"/>
          <a:ext cx="915960" cy="1064111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6</xdr:col>
      <xdr:colOff>94905</xdr:colOff>
      <xdr:row>34</xdr:row>
      <xdr:rowOff>266660</xdr:rowOff>
    </xdr:from>
    <xdr:to>
      <xdr:col>6</xdr:col>
      <xdr:colOff>1520365</xdr:colOff>
      <xdr:row>39</xdr:row>
      <xdr:rowOff>95596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9F817CB3-D595-4563-8E5F-6F663B8BF1BA}"/>
            </a:ext>
          </a:extLst>
        </xdr:cNvPr>
        <xdr:cNvSpPr txBox="1"/>
      </xdr:nvSpPr>
      <xdr:spPr>
        <a:xfrm>
          <a:off x="13767090" y="10810835"/>
          <a:ext cx="1421650" cy="139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800" b="1" i="1"/>
            <a:t>if market</a:t>
          </a:r>
          <a:r>
            <a:rPr lang="en-IN" sz="1800" b="1" i="1" baseline="0"/>
            <a:t> conditions remain constant</a:t>
          </a:r>
          <a:endParaRPr lang="en-IN" sz="1800" b="1" i="1"/>
        </a:p>
      </xdr:txBody>
    </xdr:sp>
    <xdr:clientData/>
  </xdr:twoCellAnchor>
  <xdr:twoCellAnchor editAs="absolute">
    <xdr:from>
      <xdr:col>6</xdr:col>
      <xdr:colOff>287220</xdr:colOff>
      <xdr:row>13</xdr:row>
      <xdr:rowOff>187902</xdr:rowOff>
    </xdr:from>
    <xdr:to>
      <xdr:col>7</xdr:col>
      <xdr:colOff>1387532</xdr:colOff>
      <xdr:row>17</xdr:row>
      <xdr:rowOff>16622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4A11F560-5308-481C-98F5-CB3A4197F65A}"/>
            </a:ext>
          </a:extLst>
        </xdr:cNvPr>
        <xdr:cNvSpPr/>
      </xdr:nvSpPr>
      <xdr:spPr>
        <a:xfrm>
          <a:off x="13951785" y="4131252"/>
          <a:ext cx="2727182" cy="1089830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6</xdr:col>
      <xdr:colOff>135168</xdr:colOff>
      <xdr:row>17</xdr:row>
      <xdr:rowOff>246399</xdr:rowOff>
    </xdr:from>
    <xdr:to>
      <xdr:col>7</xdr:col>
      <xdr:colOff>1469967</xdr:colOff>
      <xdr:row>23</xdr:row>
      <xdr:rowOff>91786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421842C-2C56-445B-8137-157F43077F7E}"/>
            </a:ext>
          </a:extLst>
        </xdr:cNvPr>
        <xdr:cNvSpPr txBox="1"/>
      </xdr:nvSpPr>
      <xdr:spPr>
        <a:xfrm>
          <a:off x="13799733" y="5450859"/>
          <a:ext cx="2954049" cy="17313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800" b="1" i="1"/>
            <a:t>if market</a:t>
          </a:r>
          <a:r>
            <a:rPr lang="en-IN" sz="1800" b="1" i="1" baseline="0"/>
            <a:t> conditions remain constant</a:t>
          </a:r>
          <a:endParaRPr lang="en-IN" sz="1800" b="1" i="1"/>
        </a:p>
      </xdr:txBody>
    </xdr:sp>
    <xdr:clientData/>
  </xdr:twoCellAnchor>
  <xdr:twoCellAnchor editAs="absolute">
    <xdr:from>
      <xdr:col>28</xdr:col>
      <xdr:colOff>2001016</xdr:colOff>
      <xdr:row>8</xdr:row>
      <xdr:rowOff>265488</xdr:rowOff>
    </xdr:from>
    <xdr:to>
      <xdr:col>34</xdr:col>
      <xdr:colOff>132830</xdr:colOff>
      <xdr:row>28</xdr:row>
      <xdr:rowOff>37755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B51ACE8-1EB9-4CC2-86FC-A724F424B3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25</xdr:col>
      <xdr:colOff>2495550</xdr:colOff>
      <xdr:row>9</xdr:row>
      <xdr:rowOff>248171</xdr:rowOff>
    </xdr:from>
    <xdr:to>
      <xdr:col>28</xdr:col>
      <xdr:colOff>1772170</xdr:colOff>
      <xdr:row>27</xdr:row>
      <xdr:rowOff>209550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2974086-5B43-48EC-9B05-0CAC1FBBF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25</xdr:col>
      <xdr:colOff>2191616</xdr:colOff>
      <xdr:row>43</xdr:row>
      <xdr:rowOff>248169</xdr:rowOff>
    </xdr:from>
    <xdr:to>
      <xdr:col>33</xdr:col>
      <xdr:colOff>402129</xdr:colOff>
      <xdr:row>58</xdr:row>
      <xdr:rowOff>173355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532DCC6-5BB9-4712-849F-9A97687D27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1827936</xdr:colOff>
      <xdr:row>8</xdr:row>
      <xdr:rowOff>211627</xdr:rowOff>
    </xdr:from>
    <xdr:to>
      <xdr:col>2</xdr:col>
      <xdr:colOff>2378307</xdr:colOff>
      <xdr:row>9</xdr:row>
      <xdr:rowOff>169197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442DFA0-F96C-43D7-B3EE-44F8E1111BB5}"/>
            </a:ext>
          </a:extLst>
        </xdr:cNvPr>
        <xdr:cNvSpPr txBox="1"/>
      </xdr:nvSpPr>
      <xdr:spPr>
        <a:xfrm>
          <a:off x="2437536" y="2065192"/>
          <a:ext cx="3564081" cy="72719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Current Market Share</a:t>
          </a:r>
        </a:p>
      </xdr:txBody>
    </xdr:sp>
    <xdr:clientData/>
  </xdr:twoCellAnchor>
  <xdr:twoCellAnchor editAs="absolute">
    <xdr:from>
      <xdr:col>7</xdr:col>
      <xdr:colOff>92305</xdr:colOff>
      <xdr:row>8</xdr:row>
      <xdr:rowOff>288519</xdr:rowOff>
    </xdr:from>
    <xdr:to>
      <xdr:col>8</xdr:col>
      <xdr:colOff>1006185</xdr:colOff>
      <xdr:row>9</xdr:row>
      <xdr:rowOff>211799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3B01817A-03B5-426A-8ACC-78A49CFEE9CF}"/>
            </a:ext>
          </a:extLst>
        </xdr:cNvPr>
        <xdr:cNvSpPr txBox="1"/>
      </xdr:nvSpPr>
      <xdr:spPr>
        <a:xfrm>
          <a:off x="15383740" y="2142084"/>
          <a:ext cx="3209405" cy="68528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Projected Market Share</a:t>
          </a:r>
        </a:p>
      </xdr:txBody>
    </xdr:sp>
    <xdr:clientData/>
  </xdr:twoCellAnchor>
  <xdr:twoCellAnchor editAs="absolute">
    <xdr:from>
      <xdr:col>5</xdr:col>
      <xdr:colOff>1883697</xdr:colOff>
      <xdr:row>42</xdr:row>
      <xdr:rowOff>207819</xdr:rowOff>
    </xdr:from>
    <xdr:to>
      <xdr:col>7</xdr:col>
      <xdr:colOff>1050691</xdr:colOff>
      <xdr:row>44</xdr:row>
      <xdr:rowOff>94385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CE084EC1-009D-43EC-8014-FBDD4F369072}"/>
            </a:ext>
          </a:extLst>
        </xdr:cNvPr>
        <xdr:cNvSpPr txBox="1"/>
      </xdr:nvSpPr>
      <xdr:spPr>
        <a:xfrm>
          <a:off x="13165107" y="13270404"/>
          <a:ext cx="3169399" cy="51521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Initial CSF</a:t>
          </a:r>
        </a:p>
      </xdr:txBody>
    </xdr:sp>
    <xdr:clientData/>
  </xdr:twoCellAnchor>
  <xdr:twoCellAnchor editAs="absolute">
    <xdr:from>
      <xdr:col>28</xdr:col>
      <xdr:colOff>1428413</xdr:colOff>
      <xdr:row>41</xdr:row>
      <xdr:rowOff>282806</xdr:rowOff>
    </xdr:from>
    <xdr:to>
      <xdr:col>30</xdr:col>
      <xdr:colOff>94219</xdr:colOff>
      <xdr:row>43</xdr:row>
      <xdr:rowOff>175087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AEAA366B-F68E-4D0E-841D-93AADADAAC37}"/>
            </a:ext>
          </a:extLst>
        </xdr:cNvPr>
        <xdr:cNvSpPr txBox="1"/>
      </xdr:nvSpPr>
      <xdr:spPr>
        <a:xfrm>
          <a:off x="58054538" y="13031066"/>
          <a:ext cx="3251141" cy="51331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CSF</a:t>
          </a:r>
        </a:p>
      </xdr:txBody>
    </xdr:sp>
    <xdr:clientData/>
  </xdr:twoCellAnchor>
  <xdr:twoCellAnchor editAs="absolute">
    <xdr:from>
      <xdr:col>29</xdr:col>
      <xdr:colOff>59228</xdr:colOff>
      <xdr:row>8</xdr:row>
      <xdr:rowOff>265660</xdr:rowOff>
    </xdr:from>
    <xdr:to>
      <xdr:col>30</xdr:col>
      <xdr:colOff>1164300</xdr:colOff>
      <xdr:row>9</xdr:row>
      <xdr:rowOff>227040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EBCFF369-76F2-4927-9806-A41DF839752D}"/>
            </a:ext>
          </a:extLst>
        </xdr:cNvPr>
        <xdr:cNvSpPr txBox="1"/>
      </xdr:nvSpPr>
      <xdr:spPr>
        <a:xfrm>
          <a:off x="58975163" y="2123035"/>
          <a:ext cx="3400597" cy="72338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Market Share</a:t>
          </a:r>
        </a:p>
      </xdr:txBody>
    </xdr:sp>
    <xdr:clientData/>
  </xdr:twoCellAnchor>
  <xdr:twoCellAnchor editAs="absolute">
    <xdr:from>
      <xdr:col>25</xdr:col>
      <xdr:colOff>2915515</xdr:colOff>
      <xdr:row>8</xdr:row>
      <xdr:rowOff>248169</xdr:rowOff>
    </xdr:from>
    <xdr:to>
      <xdr:col>27</xdr:col>
      <xdr:colOff>2153169</xdr:colOff>
      <xdr:row>9</xdr:row>
      <xdr:rowOff>190499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89CF84A2-826B-4E77-B9A6-399A87A36D4B}"/>
            </a:ext>
          </a:extLst>
        </xdr:cNvPr>
        <xdr:cNvSpPr txBox="1"/>
      </xdr:nvSpPr>
      <xdr:spPr>
        <a:xfrm>
          <a:off x="51788290" y="2101734"/>
          <a:ext cx="4676429" cy="7081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Market Share Potential</a:t>
          </a:r>
        </a:p>
      </xdr:txBody>
    </xdr:sp>
    <xdr:clientData/>
  </xdr:twoCellAnchor>
  <xdr:twoCellAnchor editAs="absolute">
    <xdr:from>
      <xdr:col>21</xdr:col>
      <xdr:colOff>1431866</xdr:colOff>
      <xdr:row>8</xdr:row>
      <xdr:rowOff>190500</xdr:rowOff>
    </xdr:from>
    <xdr:to>
      <xdr:col>23</xdr:col>
      <xdr:colOff>136118</xdr:colOff>
      <xdr:row>8</xdr:row>
      <xdr:rowOff>723381</xdr:rowOff>
    </xdr:to>
    <xdr:sp macro="[0]!Tesco_Price_Reset" textlink="">
      <xdr:nvSpPr>
        <xdr:cNvPr id="22" name="Rectangle 21">
          <a:extLst>
            <a:ext uri="{FF2B5EF4-FFF2-40B4-BE49-F238E27FC236}">
              <a16:creationId xmlns:a16="http://schemas.microsoft.com/office/drawing/2014/main" id="{32977AE1-9B54-441D-BE10-517216943C86}"/>
            </a:ext>
          </a:extLst>
        </xdr:cNvPr>
        <xdr:cNvSpPr/>
      </xdr:nvSpPr>
      <xdr:spPr>
        <a:xfrm>
          <a:off x="41585456" y="2047875"/>
          <a:ext cx="3207672" cy="532881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Price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20</xdr:col>
      <xdr:colOff>627092</xdr:colOff>
      <xdr:row>19</xdr:row>
      <xdr:rowOff>59574</xdr:rowOff>
    </xdr:from>
    <xdr:to>
      <xdr:col>21</xdr:col>
      <xdr:colOff>1883873</xdr:colOff>
      <xdr:row>21</xdr:row>
      <xdr:rowOff>284884</xdr:rowOff>
    </xdr:to>
    <xdr:sp macro="[0]!Tesco_Financials_Reset" textlink="">
      <xdr:nvSpPr>
        <xdr:cNvPr id="23" name="Rectangle 22">
          <a:extLst>
            <a:ext uri="{FF2B5EF4-FFF2-40B4-BE49-F238E27FC236}">
              <a16:creationId xmlns:a16="http://schemas.microsoft.com/office/drawing/2014/main" id="{A939A7E3-1567-42C1-8AE8-752920445570}"/>
            </a:ext>
          </a:extLst>
        </xdr:cNvPr>
        <xdr:cNvSpPr/>
      </xdr:nvSpPr>
      <xdr:spPr>
        <a:xfrm>
          <a:off x="38940452" y="5885064"/>
          <a:ext cx="3093201" cy="861580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Financials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1541491</xdr:colOff>
      <xdr:row>8</xdr:row>
      <xdr:rowOff>130926</xdr:rowOff>
    </xdr:from>
    <xdr:to>
      <xdr:col>5</xdr:col>
      <xdr:colOff>1658562</xdr:colOff>
      <xdr:row>28</xdr:row>
      <xdr:rowOff>15243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9BB871F0-0818-493F-B005-006A4DEE6A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</xdr:col>
      <xdr:colOff>2151930</xdr:colOff>
      <xdr:row>44</xdr:row>
      <xdr:rowOff>207817</xdr:rowOff>
    </xdr:from>
    <xdr:to>
      <xdr:col>11</xdr:col>
      <xdr:colOff>476223</xdr:colOff>
      <xdr:row>59</xdr:row>
      <xdr:rowOff>133003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45DD3B2E-B8A6-4826-8FA7-35134885E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FCD4A-814E-4BA7-9734-FE417110CDC8}">
  <sheetPr codeName="Sheet1">
    <tabColor theme="9" tint="0.79998168889431442"/>
  </sheetPr>
  <dimension ref="B1:O200"/>
  <sheetViews>
    <sheetView workbookViewId="0">
      <selection activeCell="S11" sqref="S11:T11"/>
    </sheetView>
  </sheetViews>
  <sheetFormatPr defaultRowHeight="14.4" x14ac:dyDescent="0.3"/>
  <cols>
    <col min="1" max="1" width="3.77734375" customWidth="1"/>
    <col min="5" max="5" width="8" bestFit="1" customWidth="1"/>
    <col min="6" max="6" width="19.33203125" bestFit="1" customWidth="1"/>
    <col min="7" max="7" width="15.88671875" bestFit="1" customWidth="1"/>
    <col min="8" max="10" width="14.33203125" bestFit="1" customWidth="1"/>
    <col min="11" max="11" width="16.88671875" bestFit="1" customWidth="1"/>
    <col min="12" max="12" width="15.88671875" bestFit="1" customWidth="1"/>
    <col min="14" max="14" width="21.6640625" bestFit="1" customWidth="1"/>
    <col min="15" max="15" width="15.44140625" bestFit="1" customWidth="1"/>
  </cols>
  <sheetData>
    <row r="1" spans="2:15" ht="18" x14ac:dyDescent="0.35">
      <c r="D1" s="82" t="s">
        <v>80</v>
      </c>
    </row>
    <row r="2" spans="2:15" x14ac:dyDescent="0.3">
      <c r="B2" t="s">
        <v>30</v>
      </c>
      <c r="D2" t="s">
        <v>8</v>
      </c>
      <c r="E2" s="1" t="s">
        <v>0</v>
      </c>
      <c r="F2" s="1" t="s">
        <v>1</v>
      </c>
      <c r="G2" s="1" t="s">
        <v>2</v>
      </c>
      <c r="H2" s="1" t="s">
        <v>3</v>
      </c>
      <c r="I2" s="1" t="s">
        <v>4</v>
      </c>
      <c r="J2" s="1" t="s">
        <v>5</v>
      </c>
      <c r="K2" s="1" t="s">
        <v>6</v>
      </c>
      <c r="L2" s="1" t="s">
        <v>7</v>
      </c>
      <c r="N2" t="s">
        <v>77</v>
      </c>
      <c r="O2" t="s">
        <v>78</v>
      </c>
    </row>
    <row r="3" spans="2:15" x14ac:dyDescent="0.3">
      <c r="B3" s="21">
        <v>14.839759539999999</v>
      </c>
      <c r="D3" s="2" t="str">
        <f>E3&amp;F3</f>
        <v>SupermarketHEINZ</v>
      </c>
      <c r="E3" s="1" t="s">
        <v>104</v>
      </c>
      <c r="F3" s="1" t="s">
        <v>105</v>
      </c>
      <c r="G3" s="80">
        <v>10370792.859999999</v>
      </c>
      <c r="H3" s="80">
        <v>1861485.9469999999</v>
      </c>
      <c r="I3" s="81">
        <v>1.80150803570915</v>
      </c>
      <c r="J3" s="81">
        <v>10.0366412671957</v>
      </c>
      <c r="K3" s="80">
        <v>31269816.949999999</v>
      </c>
      <c r="L3" s="80">
        <v>5779870.2759999996</v>
      </c>
      <c r="N3" t="str" cm="1">
        <f t="array" ref="N3:N10">_xlfn.UNIQUE($F$3:$F$200)</f>
        <v>HEINZ</v>
      </c>
      <c r="O3" s="2">
        <v>1</v>
      </c>
    </row>
    <row r="4" spans="2:15" x14ac:dyDescent="0.3">
      <c r="D4" s="2" t="str">
        <f t="shared" ref="D4:D67" si="0">E4&amp;F4</f>
        <v>SupermarketRESTOFCATEGORY</v>
      </c>
      <c r="E4" s="1" t="s">
        <v>104</v>
      </c>
      <c r="F4" s="1" t="s">
        <v>106</v>
      </c>
      <c r="G4" s="80">
        <v>6068408.5599999996</v>
      </c>
      <c r="H4" s="80">
        <v>948228.99899999995</v>
      </c>
      <c r="I4" s="81">
        <v>1.87705591346284</v>
      </c>
      <c r="J4" s="81">
        <v>12.012649038227201</v>
      </c>
      <c r="K4" s="80">
        <v>16900700.66</v>
      </c>
      <c r="L4" s="80">
        <v>2647817.2549999999</v>
      </c>
      <c r="N4" t="str">
        <v>RESTOFCATEGORY</v>
      </c>
      <c r="O4" s="2">
        <v>7</v>
      </c>
    </row>
    <row r="5" spans="2:15" x14ac:dyDescent="0.3">
      <c r="D5" s="2" t="str">
        <f t="shared" si="0"/>
        <v>SupermarketHP</v>
      </c>
      <c r="E5" s="1" t="s">
        <v>104</v>
      </c>
      <c r="F5" s="1" t="s">
        <v>107</v>
      </c>
      <c r="G5" s="80">
        <v>3072978.15</v>
      </c>
      <c r="H5" s="80">
        <v>539981.71499999997</v>
      </c>
      <c r="I5" s="81">
        <v>1.7183790863642501</v>
      </c>
      <c r="J5" s="81">
        <v>9.7791114756808</v>
      </c>
      <c r="K5" s="80">
        <v>10011191.27</v>
      </c>
      <c r="L5" s="80">
        <v>1836525.405</v>
      </c>
      <c r="N5" t="str">
        <v>HP</v>
      </c>
      <c r="O5" s="2">
        <v>2</v>
      </c>
    </row>
    <row r="6" spans="2:15" x14ac:dyDescent="0.3">
      <c r="D6" s="2" t="str">
        <f t="shared" si="0"/>
        <v>SupermarketLEVI ROOTS</v>
      </c>
      <c r="E6" s="1" t="s">
        <v>104</v>
      </c>
      <c r="F6" s="1" t="s">
        <v>108</v>
      </c>
      <c r="G6" s="80">
        <v>2594154.92</v>
      </c>
      <c r="H6" s="80">
        <v>393730.76</v>
      </c>
      <c r="I6" s="81">
        <v>1.72388811437717</v>
      </c>
      <c r="J6" s="81">
        <v>11.358098700343</v>
      </c>
      <c r="K6" s="80">
        <v>8086606.7999999998</v>
      </c>
      <c r="L6" s="80">
        <v>1335182.57</v>
      </c>
      <c r="N6" t="str">
        <v>LEVI ROOTS</v>
      </c>
      <c r="O6" s="2">
        <v>5</v>
      </c>
    </row>
    <row r="7" spans="2:15" x14ac:dyDescent="0.3">
      <c r="D7" s="2" t="str">
        <f t="shared" si="0"/>
        <v>SupermarketPRIVATE LABEL</v>
      </c>
      <c r="E7" s="1" t="s">
        <v>104</v>
      </c>
      <c r="F7" s="1" t="s">
        <v>97</v>
      </c>
      <c r="G7" s="80">
        <v>5826222.1200000001</v>
      </c>
      <c r="H7" s="80">
        <v>2373530.9300000002</v>
      </c>
      <c r="I7" s="81">
        <v>1.74895354357841</v>
      </c>
      <c r="J7" s="81">
        <v>4.2930941803437701</v>
      </c>
      <c r="K7" s="80">
        <v>17165324.5</v>
      </c>
      <c r="L7" s="80">
        <v>6681493.2050000001</v>
      </c>
      <c r="N7" t="str">
        <v>PRIVATE LABEL</v>
      </c>
      <c r="O7" s="2">
        <v>4</v>
      </c>
    </row>
    <row r="8" spans="2:15" x14ac:dyDescent="0.3">
      <c r="D8" s="2" t="str">
        <f t="shared" si="0"/>
        <v>SupermarketSWEET BABY RAYS</v>
      </c>
      <c r="E8" s="1" t="s">
        <v>104</v>
      </c>
      <c r="F8" s="1" t="s">
        <v>109</v>
      </c>
      <c r="G8" s="80">
        <v>2728645.28</v>
      </c>
      <c r="H8" s="80">
        <v>396452.58</v>
      </c>
      <c r="I8" s="81">
        <v>1.8259663503240999</v>
      </c>
      <c r="J8" s="81">
        <v>12.5674915856284</v>
      </c>
      <c r="K8" s="80">
        <v>6872285.0999999996</v>
      </c>
      <c r="L8" s="80">
        <v>1044286.2</v>
      </c>
      <c r="N8" t="str">
        <v>SWEET BABY RAYS</v>
      </c>
      <c r="O8" s="2">
        <v>6</v>
      </c>
    </row>
    <row r="9" spans="2:15" x14ac:dyDescent="0.3">
      <c r="D9" s="2" t="str">
        <f t="shared" si="0"/>
        <v>SupermarketBULLS EYE</v>
      </c>
      <c r="E9" s="1" t="s">
        <v>104</v>
      </c>
      <c r="F9" s="1" t="s">
        <v>110</v>
      </c>
      <c r="G9" s="80">
        <v>2200221.7999999998</v>
      </c>
      <c r="H9" s="80">
        <v>320271.11800000002</v>
      </c>
      <c r="I9" s="81">
        <v>1.68474349145409</v>
      </c>
      <c r="J9" s="81">
        <v>11.573973265067901</v>
      </c>
      <c r="K9" s="80">
        <v>6630632.8600000003</v>
      </c>
      <c r="L9" s="80">
        <v>1014866.3149999999</v>
      </c>
      <c r="N9" t="str">
        <v>BULLS EYE</v>
      </c>
      <c r="O9" s="2">
        <v>3</v>
      </c>
    </row>
    <row r="10" spans="2:15" x14ac:dyDescent="0.3">
      <c r="D10" s="2" t="str">
        <f t="shared" si="0"/>
        <v>Supermarket</v>
      </c>
      <c r="E10" s="1" t="s">
        <v>104</v>
      </c>
      <c r="F10" s="1"/>
      <c r="G10" s="80"/>
      <c r="H10" s="80"/>
      <c r="I10" s="81"/>
      <c r="J10" s="81"/>
      <c r="K10" s="80"/>
      <c r="L10" s="80"/>
      <c r="N10">
        <v>0</v>
      </c>
    </row>
    <row r="11" spans="2:15" x14ac:dyDescent="0.3">
      <c r="D11" s="2" t="str">
        <f t="shared" si="0"/>
        <v>Supermarket</v>
      </c>
      <c r="E11" s="1" t="s">
        <v>104</v>
      </c>
      <c r="F11" s="1"/>
      <c r="G11" s="80"/>
      <c r="H11" s="80"/>
      <c r="I11" s="81"/>
      <c r="J11" s="81"/>
      <c r="K11" s="80"/>
      <c r="L11" s="80"/>
    </row>
    <row r="12" spans="2:15" x14ac:dyDescent="0.3">
      <c r="D12" s="2" t="str">
        <f t="shared" si="0"/>
        <v>Supermarket</v>
      </c>
      <c r="E12" s="1" t="s">
        <v>104</v>
      </c>
      <c r="F12" s="1"/>
      <c r="G12" s="80"/>
      <c r="H12" s="80"/>
      <c r="I12" s="81"/>
      <c r="J12" s="81"/>
      <c r="K12" s="80"/>
      <c r="L12" s="80"/>
    </row>
    <row r="13" spans="2:15" x14ac:dyDescent="0.3">
      <c r="D13" s="2" t="str">
        <f t="shared" si="0"/>
        <v>Supermarket</v>
      </c>
      <c r="E13" s="1" t="s">
        <v>104</v>
      </c>
      <c r="F13" s="1"/>
      <c r="G13" s="80"/>
      <c r="H13" s="80"/>
      <c r="I13" s="81"/>
      <c r="J13" s="81"/>
      <c r="K13" s="80"/>
      <c r="L13" s="80"/>
    </row>
    <row r="14" spans="2:15" x14ac:dyDescent="0.3">
      <c r="D14" s="2" t="str">
        <f t="shared" si="0"/>
        <v>Supermarket</v>
      </c>
      <c r="E14" s="1" t="s">
        <v>104</v>
      </c>
      <c r="F14" s="1"/>
      <c r="G14" s="80"/>
      <c r="H14" s="80"/>
      <c r="I14" s="81"/>
      <c r="J14" s="81"/>
      <c r="K14" s="80"/>
      <c r="L14" s="80"/>
    </row>
    <row r="15" spans="2:15" x14ac:dyDescent="0.3">
      <c r="D15" s="2" t="str">
        <f t="shared" si="0"/>
        <v>Supermarket</v>
      </c>
      <c r="E15" s="1" t="s">
        <v>104</v>
      </c>
      <c r="F15" s="1"/>
      <c r="G15" s="80"/>
      <c r="H15" s="80"/>
      <c r="I15" s="81"/>
      <c r="J15" s="81"/>
      <c r="K15" s="80"/>
      <c r="L15" s="80"/>
    </row>
    <row r="16" spans="2:15" x14ac:dyDescent="0.3">
      <c r="D16" s="2" t="str">
        <f t="shared" si="0"/>
        <v>Supermarket</v>
      </c>
      <c r="E16" s="1" t="s">
        <v>104</v>
      </c>
      <c r="F16" s="1"/>
      <c r="G16" s="80"/>
      <c r="H16" s="80"/>
      <c r="I16" s="81"/>
      <c r="J16" s="81"/>
      <c r="K16" s="80"/>
      <c r="L16" s="80"/>
    </row>
    <row r="17" spans="4:12" x14ac:dyDescent="0.3">
      <c r="D17" s="2" t="str">
        <f t="shared" si="0"/>
        <v>Supermarket</v>
      </c>
      <c r="E17" s="1" t="s">
        <v>104</v>
      </c>
      <c r="F17" s="1"/>
      <c r="G17" s="80"/>
      <c r="H17" s="80"/>
      <c r="I17" s="81"/>
      <c r="J17" s="81"/>
      <c r="K17" s="80"/>
      <c r="L17" s="80"/>
    </row>
    <row r="18" spans="4:12" x14ac:dyDescent="0.3">
      <c r="D18" s="2" t="str">
        <f t="shared" si="0"/>
        <v>Supermarket</v>
      </c>
      <c r="E18" s="1" t="s">
        <v>104</v>
      </c>
      <c r="F18" s="1"/>
      <c r="G18" s="80"/>
      <c r="H18" s="80"/>
      <c r="I18" s="81"/>
      <c r="J18" s="81"/>
      <c r="K18" s="80"/>
      <c r="L18" s="80"/>
    </row>
    <row r="19" spans="4:12" x14ac:dyDescent="0.3">
      <c r="D19" s="2" t="str">
        <f t="shared" si="0"/>
        <v>Supermarket</v>
      </c>
      <c r="E19" s="1" t="s">
        <v>104</v>
      </c>
      <c r="F19" s="1"/>
      <c r="G19" s="80"/>
      <c r="H19" s="80"/>
      <c r="I19" s="81"/>
      <c r="J19" s="81"/>
      <c r="K19" s="80"/>
      <c r="L19" s="80"/>
    </row>
    <row r="20" spans="4:12" x14ac:dyDescent="0.3">
      <c r="D20" s="2" t="str">
        <f t="shared" si="0"/>
        <v>Supermarket</v>
      </c>
      <c r="E20" s="1" t="s">
        <v>104</v>
      </c>
      <c r="F20" s="1"/>
      <c r="G20" s="80"/>
      <c r="H20" s="80"/>
      <c r="I20" s="81"/>
      <c r="J20" s="81"/>
      <c r="K20" s="80"/>
      <c r="L20" s="80"/>
    </row>
    <row r="21" spans="4:12" x14ac:dyDescent="0.3">
      <c r="D21" s="2" t="str">
        <f t="shared" si="0"/>
        <v>Supermarket</v>
      </c>
      <c r="E21" s="1" t="s">
        <v>104</v>
      </c>
      <c r="F21" s="1"/>
      <c r="G21" s="80"/>
      <c r="H21" s="80"/>
      <c r="I21" s="81"/>
      <c r="J21" s="81"/>
      <c r="K21" s="80"/>
      <c r="L21" s="80"/>
    </row>
    <row r="22" spans="4:12" x14ac:dyDescent="0.3">
      <c r="D22" s="2" t="str">
        <f t="shared" si="0"/>
        <v>Supermarket</v>
      </c>
      <c r="E22" s="1" t="s">
        <v>104</v>
      </c>
      <c r="F22" s="1"/>
      <c r="G22" s="80"/>
      <c r="H22" s="80"/>
      <c r="I22" s="81"/>
      <c r="J22" s="81"/>
      <c r="K22" s="80"/>
      <c r="L22" s="80"/>
    </row>
    <row r="23" spans="4:12" x14ac:dyDescent="0.3">
      <c r="D23" s="2" t="str">
        <f t="shared" si="0"/>
        <v>Supermarket</v>
      </c>
      <c r="E23" s="1" t="s">
        <v>104</v>
      </c>
      <c r="F23" s="1"/>
      <c r="G23" s="80"/>
      <c r="H23" s="80"/>
      <c r="I23" s="81"/>
      <c r="J23" s="81"/>
      <c r="K23" s="80"/>
      <c r="L23" s="80"/>
    </row>
    <row r="24" spans="4:12" x14ac:dyDescent="0.3">
      <c r="D24" s="2" t="str">
        <f t="shared" si="0"/>
        <v>Supermarket</v>
      </c>
      <c r="E24" s="1" t="s">
        <v>104</v>
      </c>
      <c r="F24" s="1"/>
      <c r="G24" s="80"/>
      <c r="H24" s="80"/>
      <c r="I24" s="81"/>
      <c r="J24" s="81"/>
      <c r="K24" s="80"/>
      <c r="L24" s="80"/>
    </row>
    <row r="25" spans="4:12" x14ac:dyDescent="0.3">
      <c r="D25" s="2" t="str">
        <f t="shared" si="0"/>
        <v>Supermarket</v>
      </c>
      <c r="E25" s="1" t="s">
        <v>104</v>
      </c>
      <c r="F25" s="1"/>
      <c r="G25" s="80"/>
      <c r="H25" s="80"/>
      <c r="I25" s="81"/>
      <c r="J25" s="81"/>
      <c r="K25" s="80"/>
      <c r="L25" s="80"/>
    </row>
    <row r="26" spans="4:12" x14ac:dyDescent="0.3">
      <c r="D26" s="2" t="str">
        <f t="shared" si="0"/>
        <v>Supermarket</v>
      </c>
      <c r="E26" s="1" t="s">
        <v>104</v>
      </c>
      <c r="F26" s="1"/>
      <c r="G26" s="80"/>
      <c r="H26" s="80"/>
      <c r="I26" s="81"/>
      <c r="J26" s="81"/>
      <c r="K26" s="80"/>
      <c r="L26" s="80"/>
    </row>
    <row r="27" spans="4:12" x14ac:dyDescent="0.3">
      <c r="D27" s="2" t="str">
        <f t="shared" si="0"/>
        <v>Supermarket</v>
      </c>
      <c r="E27" s="1" t="s">
        <v>104</v>
      </c>
      <c r="F27" s="1"/>
      <c r="G27" s="80"/>
      <c r="H27" s="80"/>
      <c r="I27" s="81"/>
      <c r="J27" s="81"/>
      <c r="K27" s="80"/>
      <c r="L27" s="80"/>
    </row>
    <row r="28" spans="4:12" x14ac:dyDescent="0.3">
      <c r="D28" s="2" t="str">
        <f t="shared" si="0"/>
        <v>Supermarket</v>
      </c>
      <c r="E28" s="1" t="s">
        <v>104</v>
      </c>
      <c r="F28" s="1"/>
      <c r="G28" s="80"/>
      <c r="H28" s="80"/>
      <c r="I28" s="81"/>
      <c r="J28" s="81"/>
      <c r="K28" s="80"/>
      <c r="L28" s="80"/>
    </row>
    <row r="29" spans="4:12" x14ac:dyDescent="0.3">
      <c r="D29" s="2" t="str">
        <f t="shared" si="0"/>
        <v>Supermarket</v>
      </c>
      <c r="E29" s="1" t="s">
        <v>104</v>
      </c>
      <c r="F29" s="1"/>
      <c r="G29" s="80"/>
      <c r="H29" s="80"/>
      <c r="I29" s="81"/>
      <c r="J29" s="81"/>
      <c r="K29" s="80"/>
      <c r="L29" s="80"/>
    </row>
    <row r="30" spans="4:12" x14ac:dyDescent="0.3">
      <c r="D30" s="2" t="str">
        <f t="shared" si="0"/>
        <v>Supermarket</v>
      </c>
      <c r="E30" s="1" t="s">
        <v>104</v>
      </c>
      <c r="F30" s="1"/>
      <c r="G30" s="80"/>
      <c r="H30" s="80"/>
      <c r="I30" s="81"/>
      <c r="J30" s="81"/>
      <c r="K30" s="80"/>
      <c r="L30" s="80"/>
    </row>
    <row r="31" spans="4:12" x14ac:dyDescent="0.3">
      <c r="D31" s="2" t="str">
        <f t="shared" si="0"/>
        <v>Supermarket</v>
      </c>
      <c r="E31" s="1" t="s">
        <v>104</v>
      </c>
      <c r="F31" s="1"/>
      <c r="G31" s="80"/>
      <c r="H31" s="80"/>
      <c r="I31" s="81"/>
      <c r="J31" s="81"/>
      <c r="K31" s="80"/>
      <c r="L31" s="80"/>
    </row>
    <row r="32" spans="4:12" x14ac:dyDescent="0.3">
      <c r="D32" s="2" t="str">
        <f t="shared" si="0"/>
        <v>Supermarket</v>
      </c>
      <c r="E32" s="1" t="s">
        <v>104</v>
      </c>
      <c r="F32" s="1"/>
      <c r="G32" s="80"/>
      <c r="H32" s="80"/>
      <c r="I32" s="81"/>
      <c r="J32" s="81"/>
      <c r="K32" s="80"/>
      <c r="L32" s="80"/>
    </row>
    <row r="33" spans="4:12" x14ac:dyDescent="0.3">
      <c r="D33" s="2" t="str">
        <f t="shared" si="0"/>
        <v>Supermarket</v>
      </c>
      <c r="E33" s="1" t="s">
        <v>104</v>
      </c>
      <c r="F33" s="1"/>
      <c r="G33" s="80"/>
      <c r="H33" s="80"/>
      <c r="I33" s="81"/>
      <c r="J33" s="81"/>
      <c r="K33" s="80"/>
      <c r="L33" s="80"/>
    </row>
    <row r="34" spans="4:12" x14ac:dyDescent="0.3">
      <c r="D34" s="2" t="str">
        <f t="shared" si="0"/>
        <v>Supermarket</v>
      </c>
      <c r="E34" s="1" t="s">
        <v>104</v>
      </c>
      <c r="F34" s="1"/>
      <c r="G34" s="80"/>
      <c r="H34" s="80"/>
      <c r="I34" s="81"/>
      <c r="J34" s="81"/>
      <c r="K34" s="80"/>
      <c r="L34" s="80"/>
    </row>
    <row r="35" spans="4:12" x14ac:dyDescent="0.3">
      <c r="D35" s="2" t="str">
        <f t="shared" si="0"/>
        <v>Supermarket</v>
      </c>
      <c r="E35" s="1" t="s">
        <v>104</v>
      </c>
      <c r="F35" s="1"/>
      <c r="G35" s="80"/>
      <c r="H35" s="80"/>
      <c r="I35" s="81"/>
      <c r="J35" s="81"/>
      <c r="K35" s="80"/>
      <c r="L35" s="80"/>
    </row>
    <row r="36" spans="4:12" x14ac:dyDescent="0.3">
      <c r="D36" s="2" t="str">
        <f t="shared" si="0"/>
        <v>Supermarket</v>
      </c>
      <c r="E36" s="1" t="s">
        <v>104</v>
      </c>
      <c r="F36" s="1"/>
      <c r="G36" s="80"/>
      <c r="H36" s="80"/>
      <c r="I36" s="81"/>
      <c r="J36" s="81"/>
      <c r="K36" s="80"/>
      <c r="L36" s="80"/>
    </row>
    <row r="37" spans="4:12" x14ac:dyDescent="0.3">
      <c r="D37" s="2" t="str">
        <f t="shared" si="0"/>
        <v>Supermarket</v>
      </c>
      <c r="E37" s="1" t="s">
        <v>104</v>
      </c>
      <c r="F37" s="1"/>
      <c r="G37" s="80"/>
      <c r="H37" s="80"/>
      <c r="I37" s="81"/>
      <c r="J37" s="81"/>
      <c r="K37" s="80"/>
      <c r="L37" s="80"/>
    </row>
    <row r="38" spans="4:12" x14ac:dyDescent="0.3">
      <c r="D38" s="2" t="str">
        <f t="shared" si="0"/>
        <v>Supermarket</v>
      </c>
      <c r="E38" s="1" t="s">
        <v>104</v>
      </c>
      <c r="F38" s="1"/>
      <c r="G38" s="80"/>
      <c r="H38" s="80"/>
      <c r="I38" s="81"/>
      <c r="J38" s="81"/>
      <c r="K38" s="80"/>
      <c r="L38" s="80"/>
    </row>
    <row r="39" spans="4:12" x14ac:dyDescent="0.3">
      <c r="D39" s="2" t="str">
        <f t="shared" si="0"/>
        <v>Supermarket</v>
      </c>
      <c r="E39" s="1" t="s">
        <v>104</v>
      </c>
      <c r="F39" s="1"/>
      <c r="G39" s="80"/>
      <c r="H39" s="80"/>
      <c r="I39" s="81"/>
      <c r="J39" s="81"/>
      <c r="K39" s="80"/>
      <c r="L39" s="80"/>
    </row>
    <row r="40" spans="4:12" x14ac:dyDescent="0.3">
      <c r="D40" s="2" t="str">
        <f t="shared" si="0"/>
        <v>Supermarket</v>
      </c>
      <c r="E40" s="1" t="s">
        <v>104</v>
      </c>
      <c r="F40" s="1"/>
      <c r="G40" s="80"/>
      <c r="H40" s="80"/>
      <c r="I40" s="81"/>
      <c r="J40" s="81"/>
      <c r="K40" s="80"/>
      <c r="L40" s="80"/>
    </row>
    <row r="41" spans="4:12" x14ac:dyDescent="0.3">
      <c r="D41" s="2" t="str">
        <f t="shared" si="0"/>
        <v>Supermarket</v>
      </c>
      <c r="E41" s="1" t="s">
        <v>104</v>
      </c>
      <c r="F41" s="1"/>
      <c r="G41" s="80"/>
      <c r="H41" s="80"/>
      <c r="I41" s="81"/>
      <c r="J41" s="81"/>
      <c r="K41" s="80"/>
      <c r="L41" s="80"/>
    </row>
    <row r="42" spans="4:12" x14ac:dyDescent="0.3">
      <c r="D42" s="2" t="str">
        <f t="shared" si="0"/>
        <v>Supermarket</v>
      </c>
      <c r="E42" s="1" t="s">
        <v>104</v>
      </c>
      <c r="F42" s="1"/>
      <c r="G42" s="80"/>
      <c r="H42" s="80"/>
      <c r="I42" s="81"/>
      <c r="J42" s="81"/>
      <c r="K42" s="80"/>
      <c r="L42" s="80"/>
    </row>
    <row r="43" spans="4:12" x14ac:dyDescent="0.3">
      <c r="D43" s="2" t="str">
        <f t="shared" si="0"/>
        <v>Supermarket</v>
      </c>
      <c r="E43" s="1" t="s">
        <v>104</v>
      </c>
      <c r="F43" s="1"/>
      <c r="G43" s="80"/>
      <c r="H43" s="80"/>
      <c r="I43" s="81"/>
      <c r="J43" s="81"/>
      <c r="K43" s="80"/>
      <c r="L43" s="80"/>
    </row>
    <row r="44" spans="4:12" x14ac:dyDescent="0.3">
      <c r="D44" s="2" t="str">
        <f t="shared" si="0"/>
        <v>Supermarket</v>
      </c>
      <c r="E44" s="1" t="s">
        <v>104</v>
      </c>
      <c r="F44" s="1"/>
      <c r="G44" s="80"/>
      <c r="H44" s="80"/>
      <c r="I44" s="81"/>
      <c r="J44" s="81"/>
      <c r="K44" s="80"/>
      <c r="L44" s="80"/>
    </row>
    <row r="45" spans="4:12" x14ac:dyDescent="0.3">
      <c r="D45" s="2" t="str">
        <f t="shared" si="0"/>
        <v>Supermarket</v>
      </c>
      <c r="E45" s="1" t="s">
        <v>104</v>
      </c>
      <c r="F45" s="1"/>
      <c r="G45" s="80"/>
      <c r="H45" s="80"/>
      <c r="I45" s="81"/>
      <c r="J45" s="81"/>
      <c r="K45" s="80"/>
      <c r="L45" s="80"/>
    </row>
    <row r="46" spans="4:12" x14ac:dyDescent="0.3">
      <c r="D46" s="2" t="str">
        <f t="shared" si="0"/>
        <v>Supermarket</v>
      </c>
      <c r="E46" s="1" t="s">
        <v>104</v>
      </c>
      <c r="F46" s="1"/>
      <c r="G46" s="80"/>
      <c r="H46" s="80"/>
      <c r="I46" s="81"/>
      <c r="J46" s="81"/>
      <c r="K46" s="80"/>
      <c r="L46" s="80"/>
    </row>
    <row r="47" spans="4:12" x14ac:dyDescent="0.3">
      <c r="D47" s="2" t="str">
        <f t="shared" si="0"/>
        <v>Supermarket</v>
      </c>
      <c r="E47" s="1" t="s">
        <v>104</v>
      </c>
      <c r="F47" s="1"/>
      <c r="G47" s="80"/>
      <c r="H47" s="80"/>
      <c r="I47" s="81"/>
      <c r="J47" s="81"/>
      <c r="K47" s="80"/>
      <c r="L47" s="80"/>
    </row>
    <row r="48" spans="4:12" x14ac:dyDescent="0.3">
      <c r="D48" s="2" t="str">
        <f t="shared" si="0"/>
        <v>Supermarket</v>
      </c>
      <c r="E48" s="1" t="s">
        <v>104</v>
      </c>
      <c r="F48" s="1"/>
      <c r="G48" s="80"/>
      <c r="H48" s="80"/>
      <c r="I48" s="81"/>
      <c r="J48" s="81"/>
      <c r="K48" s="80"/>
      <c r="L48" s="80"/>
    </row>
    <row r="49" spans="4:12" x14ac:dyDescent="0.3">
      <c r="D49" s="2" t="str">
        <f t="shared" si="0"/>
        <v>Supermarket</v>
      </c>
      <c r="E49" s="1" t="s">
        <v>104</v>
      </c>
      <c r="F49" s="1"/>
      <c r="G49" s="80"/>
      <c r="H49" s="80"/>
      <c r="I49" s="81"/>
      <c r="J49" s="81"/>
      <c r="K49" s="80"/>
      <c r="L49" s="80"/>
    </row>
    <row r="50" spans="4:12" x14ac:dyDescent="0.3">
      <c r="D50" s="2" t="str">
        <f t="shared" si="0"/>
        <v>Supermarket</v>
      </c>
      <c r="E50" s="1" t="s">
        <v>104</v>
      </c>
      <c r="F50" s="1"/>
      <c r="G50" s="80"/>
      <c r="H50" s="80"/>
      <c r="I50" s="81"/>
      <c r="J50" s="81"/>
      <c r="K50" s="80"/>
      <c r="L50" s="80"/>
    </row>
    <row r="51" spans="4:12" x14ac:dyDescent="0.3">
      <c r="D51" s="2" t="str">
        <f t="shared" si="0"/>
        <v>Supermarket</v>
      </c>
      <c r="E51" s="1" t="s">
        <v>104</v>
      </c>
      <c r="F51" s="1"/>
      <c r="G51" s="80"/>
      <c r="H51" s="80"/>
      <c r="I51" s="81"/>
      <c r="J51" s="81"/>
      <c r="K51" s="80"/>
      <c r="L51" s="80"/>
    </row>
    <row r="52" spans="4:12" x14ac:dyDescent="0.3">
      <c r="D52" s="2" t="str">
        <f t="shared" si="0"/>
        <v>Supermarket</v>
      </c>
      <c r="E52" s="1" t="s">
        <v>104</v>
      </c>
      <c r="F52" s="1"/>
      <c r="G52" s="80"/>
      <c r="H52" s="80"/>
      <c r="I52" s="81"/>
      <c r="J52" s="81"/>
      <c r="K52" s="80"/>
      <c r="L52" s="80"/>
    </row>
    <row r="53" spans="4:12" x14ac:dyDescent="0.3">
      <c r="D53" s="2" t="str">
        <f t="shared" si="0"/>
        <v>Supermarket</v>
      </c>
      <c r="E53" s="1" t="s">
        <v>104</v>
      </c>
      <c r="F53" s="1"/>
      <c r="G53" s="80"/>
      <c r="H53" s="80"/>
      <c r="I53" s="81"/>
      <c r="J53" s="81"/>
      <c r="K53" s="80"/>
      <c r="L53" s="80"/>
    </row>
    <row r="54" spans="4:12" x14ac:dyDescent="0.3">
      <c r="D54" s="2" t="str">
        <f t="shared" si="0"/>
        <v>Supermarket</v>
      </c>
      <c r="E54" s="1" t="s">
        <v>104</v>
      </c>
      <c r="F54" s="1"/>
      <c r="G54" s="80"/>
      <c r="H54" s="80"/>
      <c r="I54" s="81"/>
      <c r="J54" s="81"/>
      <c r="K54" s="80"/>
      <c r="L54" s="80"/>
    </row>
    <row r="55" spans="4:12" x14ac:dyDescent="0.3">
      <c r="D55" s="2" t="str">
        <f t="shared" si="0"/>
        <v>Supermarket</v>
      </c>
      <c r="E55" s="1" t="s">
        <v>104</v>
      </c>
      <c r="F55" s="1"/>
      <c r="G55" s="80"/>
      <c r="H55" s="80"/>
      <c r="I55" s="81"/>
      <c r="J55" s="81"/>
      <c r="K55" s="80"/>
      <c r="L55" s="80"/>
    </row>
    <row r="56" spans="4:12" x14ac:dyDescent="0.3">
      <c r="D56" s="2" t="str">
        <f t="shared" si="0"/>
        <v>Supermarket</v>
      </c>
      <c r="E56" s="1" t="s">
        <v>104</v>
      </c>
      <c r="F56" s="1"/>
      <c r="G56" s="80"/>
      <c r="H56" s="80"/>
      <c r="I56" s="81"/>
      <c r="J56" s="81"/>
      <c r="K56" s="80"/>
      <c r="L56" s="80"/>
    </row>
    <row r="57" spans="4:12" x14ac:dyDescent="0.3">
      <c r="D57" s="2" t="str">
        <f t="shared" si="0"/>
        <v>Supermarket</v>
      </c>
      <c r="E57" s="1" t="s">
        <v>104</v>
      </c>
      <c r="F57" s="1"/>
      <c r="G57" s="80"/>
      <c r="H57" s="80"/>
      <c r="I57" s="81"/>
      <c r="J57" s="81"/>
      <c r="K57" s="80"/>
      <c r="L57" s="80"/>
    </row>
    <row r="58" spans="4:12" x14ac:dyDescent="0.3">
      <c r="D58" s="2" t="str">
        <f t="shared" si="0"/>
        <v>Supermarket</v>
      </c>
      <c r="E58" s="1" t="s">
        <v>104</v>
      </c>
      <c r="F58" s="1"/>
      <c r="G58" s="80"/>
      <c r="H58" s="80"/>
      <c r="I58" s="81"/>
      <c r="J58" s="81"/>
      <c r="K58" s="80"/>
      <c r="L58" s="80"/>
    </row>
    <row r="59" spans="4:12" x14ac:dyDescent="0.3">
      <c r="D59" s="2" t="str">
        <f t="shared" si="0"/>
        <v>Supermarket</v>
      </c>
      <c r="E59" s="1" t="s">
        <v>104</v>
      </c>
      <c r="F59" s="1"/>
      <c r="G59" s="80"/>
      <c r="H59" s="80"/>
      <c r="I59" s="81"/>
      <c r="J59" s="81"/>
      <c r="K59" s="80"/>
      <c r="L59" s="80"/>
    </row>
    <row r="60" spans="4:12" x14ac:dyDescent="0.3">
      <c r="D60" s="2" t="str">
        <f t="shared" si="0"/>
        <v>Supermarket</v>
      </c>
      <c r="E60" s="1" t="s">
        <v>104</v>
      </c>
      <c r="F60" s="1"/>
      <c r="G60" s="80"/>
      <c r="H60" s="80"/>
      <c r="I60" s="81"/>
      <c r="J60" s="81"/>
      <c r="K60" s="80"/>
      <c r="L60" s="80"/>
    </row>
    <row r="61" spans="4:12" x14ac:dyDescent="0.3">
      <c r="D61" s="2" t="str">
        <f t="shared" si="0"/>
        <v>Supermarket</v>
      </c>
      <c r="E61" s="1" t="s">
        <v>104</v>
      </c>
      <c r="F61" s="1"/>
      <c r="G61" s="80"/>
      <c r="H61" s="80"/>
      <c r="I61" s="81"/>
      <c r="J61" s="81"/>
      <c r="K61" s="80"/>
      <c r="L61" s="80"/>
    </row>
    <row r="62" spans="4:12" x14ac:dyDescent="0.3">
      <c r="D62" s="2" t="str">
        <f t="shared" si="0"/>
        <v>Supermarket</v>
      </c>
      <c r="E62" s="1" t="s">
        <v>104</v>
      </c>
      <c r="F62" s="1"/>
      <c r="G62" s="80"/>
      <c r="H62" s="80"/>
      <c r="I62" s="81"/>
      <c r="J62" s="81"/>
      <c r="K62" s="80"/>
      <c r="L62" s="80"/>
    </row>
    <row r="63" spans="4:12" x14ac:dyDescent="0.3">
      <c r="D63" s="2" t="str">
        <f t="shared" si="0"/>
        <v>Supermarket</v>
      </c>
      <c r="E63" s="1" t="s">
        <v>104</v>
      </c>
      <c r="F63" s="1"/>
      <c r="G63" s="80"/>
      <c r="H63" s="80"/>
      <c r="I63" s="81"/>
      <c r="J63" s="81"/>
      <c r="K63" s="80"/>
      <c r="L63" s="80"/>
    </row>
    <row r="64" spans="4:12" x14ac:dyDescent="0.3">
      <c r="D64" s="2" t="str">
        <f t="shared" si="0"/>
        <v>Supermarket</v>
      </c>
      <c r="E64" s="1" t="s">
        <v>104</v>
      </c>
      <c r="F64" s="1"/>
      <c r="G64" s="80"/>
      <c r="H64" s="80"/>
      <c r="I64" s="81"/>
      <c r="J64" s="81"/>
      <c r="K64" s="80"/>
      <c r="L64" s="80"/>
    </row>
    <row r="65" spans="4:12" x14ac:dyDescent="0.3">
      <c r="D65" s="2" t="str">
        <f t="shared" si="0"/>
        <v>Supermarket</v>
      </c>
      <c r="E65" s="1" t="s">
        <v>104</v>
      </c>
      <c r="F65" s="1"/>
      <c r="G65" s="80"/>
      <c r="H65" s="80"/>
      <c r="I65" s="81"/>
      <c r="J65" s="81"/>
      <c r="K65" s="80"/>
      <c r="L65" s="80"/>
    </row>
    <row r="66" spans="4:12" x14ac:dyDescent="0.3">
      <c r="D66" s="2" t="str">
        <f t="shared" si="0"/>
        <v>Supermarket</v>
      </c>
      <c r="E66" s="1" t="s">
        <v>104</v>
      </c>
      <c r="F66" s="1"/>
      <c r="G66" s="80"/>
      <c r="H66" s="80"/>
      <c r="I66" s="81"/>
      <c r="J66" s="81"/>
      <c r="K66" s="80"/>
      <c r="L66" s="80"/>
    </row>
    <row r="67" spans="4:12" x14ac:dyDescent="0.3">
      <c r="D67" s="2" t="str">
        <f t="shared" si="0"/>
        <v>Supermarket</v>
      </c>
      <c r="E67" s="1" t="s">
        <v>104</v>
      </c>
      <c r="F67" s="1"/>
      <c r="G67" s="80"/>
      <c r="H67" s="80"/>
      <c r="I67" s="81"/>
      <c r="J67" s="81"/>
      <c r="K67" s="80"/>
      <c r="L67" s="80"/>
    </row>
    <row r="68" spans="4:12" x14ac:dyDescent="0.3">
      <c r="D68" s="2" t="str">
        <f t="shared" ref="D68:D131" si="1">E68&amp;F68</f>
        <v>Supermarket</v>
      </c>
      <c r="E68" s="1" t="s">
        <v>104</v>
      </c>
      <c r="F68" s="1"/>
      <c r="G68" s="80"/>
      <c r="H68" s="80"/>
      <c r="I68" s="81"/>
      <c r="J68" s="81"/>
      <c r="K68" s="80"/>
      <c r="L68" s="80"/>
    </row>
    <row r="69" spans="4:12" x14ac:dyDescent="0.3">
      <c r="D69" s="2" t="str">
        <f t="shared" si="1"/>
        <v>Supermarket</v>
      </c>
      <c r="E69" s="1" t="s">
        <v>104</v>
      </c>
      <c r="F69" s="1"/>
      <c r="G69" s="80"/>
      <c r="H69" s="80"/>
      <c r="I69" s="81"/>
      <c r="J69" s="81"/>
      <c r="K69" s="80"/>
      <c r="L69" s="80"/>
    </row>
    <row r="70" spans="4:12" x14ac:dyDescent="0.3">
      <c r="D70" s="2" t="str">
        <f t="shared" si="1"/>
        <v>Supermarket</v>
      </c>
      <c r="E70" s="1" t="s">
        <v>104</v>
      </c>
      <c r="F70" s="1"/>
      <c r="G70" s="80"/>
      <c r="H70" s="80"/>
      <c r="I70" s="81"/>
      <c r="J70" s="81"/>
      <c r="K70" s="80"/>
      <c r="L70" s="80"/>
    </row>
    <row r="71" spans="4:12" x14ac:dyDescent="0.3">
      <c r="D71" s="2" t="str">
        <f t="shared" si="1"/>
        <v>Supermarket</v>
      </c>
      <c r="E71" s="1" t="s">
        <v>104</v>
      </c>
      <c r="F71" s="1"/>
      <c r="G71" s="80"/>
      <c r="H71" s="80"/>
      <c r="I71" s="81"/>
      <c r="J71" s="81"/>
      <c r="K71" s="80"/>
      <c r="L71" s="80"/>
    </row>
    <row r="72" spans="4:12" x14ac:dyDescent="0.3">
      <c r="D72" s="2" t="str">
        <f t="shared" si="1"/>
        <v>Supermarket</v>
      </c>
      <c r="E72" s="1" t="s">
        <v>104</v>
      </c>
      <c r="F72" s="1"/>
      <c r="G72" s="80"/>
      <c r="H72" s="80"/>
      <c r="I72" s="81"/>
      <c r="J72" s="81"/>
      <c r="K72" s="80"/>
      <c r="L72" s="80"/>
    </row>
    <row r="73" spans="4:12" x14ac:dyDescent="0.3">
      <c r="D73" s="2" t="str">
        <f t="shared" si="1"/>
        <v>Supermarket</v>
      </c>
      <c r="E73" s="1" t="s">
        <v>104</v>
      </c>
      <c r="F73" s="1"/>
      <c r="G73" s="80"/>
      <c r="H73" s="80"/>
      <c r="I73" s="81"/>
      <c r="J73" s="81"/>
      <c r="K73" s="80"/>
      <c r="L73" s="80"/>
    </row>
    <row r="74" spans="4:12" x14ac:dyDescent="0.3">
      <c r="D74" s="2" t="str">
        <f t="shared" si="1"/>
        <v>Supermarket</v>
      </c>
      <c r="E74" s="1" t="s">
        <v>104</v>
      </c>
      <c r="F74" s="1"/>
      <c r="G74" s="80"/>
      <c r="H74" s="80"/>
      <c r="I74" s="81"/>
      <c r="J74" s="81"/>
      <c r="K74" s="80"/>
      <c r="L74" s="80"/>
    </row>
    <row r="75" spans="4:12" x14ac:dyDescent="0.3">
      <c r="D75" s="2" t="str">
        <f t="shared" si="1"/>
        <v>Supermarket</v>
      </c>
      <c r="E75" s="1" t="s">
        <v>104</v>
      </c>
      <c r="F75" s="1"/>
      <c r="G75" s="80"/>
      <c r="H75" s="80"/>
      <c r="I75" s="81"/>
      <c r="J75" s="81"/>
      <c r="K75" s="80"/>
      <c r="L75" s="80"/>
    </row>
    <row r="76" spans="4:12" x14ac:dyDescent="0.3">
      <c r="D76" s="2" t="str">
        <f t="shared" si="1"/>
        <v>Supermarket</v>
      </c>
      <c r="E76" s="1" t="s">
        <v>104</v>
      </c>
      <c r="F76" s="1"/>
      <c r="G76" s="80"/>
      <c r="H76" s="80"/>
      <c r="I76" s="81"/>
      <c r="J76" s="81"/>
      <c r="K76" s="80"/>
      <c r="L76" s="80"/>
    </row>
    <row r="77" spans="4:12" x14ac:dyDescent="0.3">
      <c r="D77" s="2" t="str">
        <f t="shared" si="1"/>
        <v>Supermarket</v>
      </c>
      <c r="E77" s="1" t="s">
        <v>104</v>
      </c>
      <c r="F77" s="1"/>
      <c r="G77" s="80"/>
      <c r="H77" s="80"/>
      <c r="I77" s="81"/>
      <c r="J77" s="81"/>
      <c r="K77" s="80"/>
      <c r="L77" s="80"/>
    </row>
    <row r="78" spans="4:12" x14ac:dyDescent="0.3">
      <c r="D78" s="2" t="str">
        <f t="shared" si="1"/>
        <v>Supermarket</v>
      </c>
      <c r="E78" s="1" t="s">
        <v>104</v>
      </c>
      <c r="F78" s="1"/>
      <c r="G78" s="80"/>
      <c r="H78" s="80"/>
      <c r="I78" s="81"/>
      <c r="J78" s="81"/>
      <c r="K78" s="80"/>
      <c r="L78" s="80"/>
    </row>
    <row r="79" spans="4:12" x14ac:dyDescent="0.3">
      <c r="D79" s="2" t="str">
        <f t="shared" si="1"/>
        <v>Supermarket</v>
      </c>
      <c r="E79" s="1" t="s">
        <v>104</v>
      </c>
      <c r="F79" s="1"/>
      <c r="G79" s="80"/>
      <c r="H79" s="80"/>
      <c r="I79" s="81"/>
      <c r="J79" s="81"/>
      <c r="K79" s="80"/>
      <c r="L79" s="80"/>
    </row>
    <row r="80" spans="4:12" x14ac:dyDescent="0.3">
      <c r="D80" s="2" t="str">
        <f t="shared" si="1"/>
        <v>Supermarket</v>
      </c>
      <c r="E80" s="1" t="s">
        <v>104</v>
      </c>
      <c r="F80" s="1"/>
      <c r="G80" s="80"/>
      <c r="H80" s="80"/>
      <c r="I80" s="81"/>
      <c r="J80" s="81"/>
      <c r="K80" s="80"/>
      <c r="L80" s="80"/>
    </row>
    <row r="81" spans="4:12" x14ac:dyDescent="0.3">
      <c r="D81" s="2" t="str">
        <f t="shared" si="1"/>
        <v>Supermarket</v>
      </c>
      <c r="E81" s="1" t="s">
        <v>104</v>
      </c>
      <c r="F81" s="1"/>
      <c r="G81" s="80"/>
      <c r="H81" s="80"/>
      <c r="I81" s="81"/>
      <c r="J81" s="81"/>
      <c r="K81" s="80"/>
      <c r="L81" s="80"/>
    </row>
    <row r="82" spans="4:12" x14ac:dyDescent="0.3">
      <c r="D82" s="2" t="str">
        <f t="shared" si="1"/>
        <v>Supermarket</v>
      </c>
      <c r="E82" s="1" t="s">
        <v>104</v>
      </c>
      <c r="F82" s="1"/>
      <c r="G82" s="80"/>
      <c r="H82" s="80"/>
      <c r="I82" s="81"/>
      <c r="J82" s="81"/>
      <c r="K82" s="80"/>
      <c r="L82" s="80"/>
    </row>
    <row r="83" spans="4:12" x14ac:dyDescent="0.3">
      <c r="D83" s="2" t="str">
        <f t="shared" si="1"/>
        <v>Supermarket</v>
      </c>
      <c r="E83" s="1" t="s">
        <v>104</v>
      </c>
      <c r="F83" s="1"/>
      <c r="G83" s="80"/>
      <c r="H83" s="80"/>
      <c r="I83" s="81"/>
      <c r="J83" s="81"/>
      <c r="K83" s="80"/>
      <c r="L83" s="80"/>
    </row>
    <row r="84" spans="4:12" x14ac:dyDescent="0.3">
      <c r="D84" s="2" t="str">
        <f t="shared" si="1"/>
        <v>Supermarket</v>
      </c>
      <c r="E84" s="1" t="s">
        <v>104</v>
      </c>
      <c r="F84" s="1"/>
      <c r="G84" s="80"/>
      <c r="H84" s="80"/>
      <c r="I84" s="81"/>
      <c r="J84" s="81"/>
      <c r="K84" s="80"/>
      <c r="L84" s="80"/>
    </row>
    <row r="85" spans="4:12" x14ac:dyDescent="0.3">
      <c r="D85" s="2" t="str">
        <f t="shared" si="1"/>
        <v>Supermarket</v>
      </c>
      <c r="E85" s="1" t="s">
        <v>104</v>
      </c>
      <c r="F85" s="1"/>
      <c r="G85" s="80"/>
      <c r="H85" s="80"/>
      <c r="I85" s="81"/>
      <c r="J85" s="81"/>
      <c r="K85" s="80"/>
      <c r="L85" s="80"/>
    </row>
    <row r="86" spans="4:12" x14ac:dyDescent="0.3">
      <c r="D86" s="2" t="str">
        <f t="shared" si="1"/>
        <v>Supermarket</v>
      </c>
      <c r="E86" s="1" t="s">
        <v>104</v>
      </c>
      <c r="F86" s="1"/>
      <c r="G86" s="80"/>
      <c r="H86" s="80"/>
      <c r="I86" s="81"/>
      <c r="J86" s="81"/>
      <c r="K86" s="80"/>
      <c r="L86" s="80"/>
    </row>
    <row r="87" spans="4:12" x14ac:dyDescent="0.3">
      <c r="D87" s="2" t="str">
        <f t="shared" si="1"/>
        <v>Supermarket</v>
      </c>
      <c r="E87" s="1" t="s">
        <v>104</v>
      </c>
      <c r="F87" s="1"/>
      <c r="G87" s="80"/>
      <c r="H87" s="80"/>
      <c r="I87" s="81"/>
      <c r="J87" s="81"/>
      <c r="K87" s="80"/>
      <c r="L87" s="80"/>
    </row>
    <row r="88" spans="4:12" x14ac:dyDescent="0.3">
      <c r="D88" s="2" t="str">
        <f t="shared" si="1"/>
        <v>Supermarket</v>
      </c>
      <c r="E88" s="1" t="s">
        <v>104</v>
      </c>
      <c r="F88" s="1"/>
      <c r="G88" s="80"/>
      <c r="H88" s="80"/>
      <c r="I88" s="81"/>
      <c r="J88" s="81"/>
      <c r="K88" s="80"/>
      <c r="L88" s="80"/>
    </row>
    <row r="89" spans="4:12" x14ac:dyDescent="0.3">
      <c r="D89" s="2" t="str">
        <f t="shared" si="1"/>
        <v>Supermarket</v>
      </c>
      <c r="E89" s="1" t="s">
        <v>104</v>
      </c>
      <c r="F89" s="1"/>
      <c r="G89" s="80"/>
      <c r="H89" s="80"/>
      <c r="I89" s="81"/>
      <c r="J89" s="81"/>
      <c r="K89" s="80"/>
      <c r="L89" s="80"/>
    </row>
    <row r="90" spans="4:12" x14ac:dyDescent="0.3">
      <c r="D90" s="2" t="str">
        <f t="shared" si="1"/>
        <v>Supermarket</v>
      </c>
      <c r="E90" s="1" t="s">
        <v>104</v>
      </c>
      <c r="F90" s="1"/>
      <c r="G90" s="80"/>
      <c r="H90" s="80"/>
      <c r="I90" s="81"/>
      <c r="J90" s="81"/>
      <c r="K90" s="80"/>
      <c r="L90" s="80"/>
    </row>
    <row r="91" spans="4:12" x14ac:dyDescent="0.3">
      <c r="D91" s="2" t="str">
        <f t="shared" si="1"/>
        <v>Supermarket</v>
      </c>
      <c r="E91" s="1" t="s">
        <v>104</v>
      </c>
      <c r="F91" s="1"/>
      <c r="G91" s="80"/>
      <c r="H91" s="80"/>
      <c r="I91" s="81"/>
      <c r="J91" s="81"/>
      <c r="K91" s="80"/>
      <c r="L91" s="80"/>
    </row>
    <row r="92" spans="4:12" x14ac:dyDescent="0.3">
      <c r="D92" s="2" t="str">
        <f t="shared" si="1"/>
        <v>Supermarket</v>
      </c>
      <c r="E92" s="1" t="s">
        <v>104</v>
      </c>
      <c r="F92" s="1"/>
      <c r="G92" s="80"/>
      <c r="H92" s="80"/>
      <c r="I92" s="81"/>
      <c r="J92" s="81"/>
      <c r="K92" s="80"/>
      <c r="L92" s="80"/>
    </row>
    <row r="93" spans="4:12" x14ac:dyDescent="0.3">
      <c r="D93" s="2" t="str">
        <f t="shared" si="1"/>
        <v>Supermarket</v>
      </c>
      <c r="E93" s="1" t="s">
        <v>104</v>
      </c>
      <c r="F93" s="1"/>
      <c r="G93" s="80"/>
      <c r="H93" s="80"/>
      <c r="I93" s="81"/>
      <c r="J93" s="81"/>
      <c r="K93" s="80"/>
      <c r="L93" s="80"/>
    </row>
    <row r="94" spans="4:12" x14ac:dyDescent="0.3">
      <c r="D94" s="2" t="str">
        <f t="shared" si="1"/>
        <v>Supermarket</v>
      </c>
      <c r="E94" s="1" t="s">
        <v>104</v>
      </c>
      <c r="F94" s="1"/>
      <c r="G94" s="80"/>
      <c r="H94" s="80"/>
      <c r="I94" s="81"/>
      <c r="J94" s="81"/>
      <c r="K94" s="80"/>
      <c r="L94" s="80"/>
    </row>
    <row r="95" spans="4:12" x14ac:dyDescent="0.3">
      <c r="D95" s="2" t="str">
        <f t="shared" si="1"/>
        <v>Supermarket</v>
      </c>
      <c r="E95" s="1" t="s">
        <v>104</v>
      </c>
      <c r="F95" s="1"/>
      <c r="G95" s="80"/>
      <c r="H95" s="80"/>
      <c r="I95" s="81"/>
      <c r="J95" s="81"/>
      <c r="K95" s="80"/>
      <c r="L95" s="80"/>
    </row>
    <row r="96" spans="4:12" x14ac:dyDescent="0.3">
      <c r="D96" s="2" t="str">
        <f t="shared" si="1"/>
        <v>Supermarket</v>
      </c>
      <c r="E96" s="1" t="s">
        <v>104</v>
      </c>
      <c r="F96" s="1"/>
      <c r="G96" s="80"/>
      <c r="H96" s="80"/>
      <c r="I96" s="81"/>
      <c r="J96" s="81"/>
      <c r="K96" s="80"/>
      <c r="L96" s="80"/>
    </row>
    <row r="97" spans="4:12" x14ac:dyDescent="0.3">
      <c r="D97" s="2" t="str">
        <f t="shared" si="1"/>
        <v>Supermarket</v>
      </c>
      <c r="E97" s="1" t="s">
        <v>104</v>
      </c>
      <c r="F97" s="1"/>
      <c r="G97" s="80"/>
      <c r="H97" s="80"/>
      <c r="I97" s="81"/>
      <c r="J97" s="81"/>
      <c r="K97" s="80"/>
      <c r="L97" s="80"/>
    </row>
    <row r="98" spans="4:12" x14ac:dyDescent="0.3">
      <c r="D98" s="2" t="str">
        <f t="shared" si="1"/>
        <v>Supermarket</v>
      </c>
      <c r="E98" s="1" t="s">
        <v>104</v>
      </c>
      <c r="F98" s="1"/>
      <c r="G98" s="80"/>
      <c r="H98" s="80"/>
      <c r="I98" s="81"/>
      <c r="J98" s="81"/>
      <c r="K98" s="80"/>
      <c r="L98" s="80"/>
    </row>
    <row r="99" spans="4:12" x14ac:dyDescent="0.3">
      <c r="D99" s="2" t="str">
        <f t="shared" si="1"/>
        <v>Supermarket</v>
      </c>
      <c r="E99" s="1" t="s">
        <v>104</v>
      </c>
      <c r="F99" s="1"/>
      <c r="G99" s="80"/>
      <c r="H99" s="80"/>
      <c r="I99" s="81"/>
      <c r="J99" s="81"/>
      <c r="K99" s="80"/>
      <c r="L99" s="80"/>
    </row>
    <row r="100" spans="4:12" x14ac:dyDescent="0.3">
      <c r="D100" s="2" t="str">
        <f t="shared" si="1"/>
        <v>Supermarket</v>
      </c>
      <c r="E100" s="1" t="s">
        <v>104</v>
      </c>
      <c r="F100" s="1"/>
      <c r="G100" s="80"/>
      <c r="H100" s="80"/>
      <c r="I100" s="81"/>
      <c r="J100" s="81"/>
      <c r="K100" s="80"/>
      <c r="L100" s="80"/>
    </row>
    <row r="101" spans="4:12" x14ac:dyDescent="0.3">
      <c r="D101" s="2" t="str">
        <f t="shared" si="1"/>
        <v>Supermarket</v>
      </c>
      <c r="E101" s="1" t="s">
        <v>104</v>
      </c>
      <c r="F101" s="1"/>
      <c r="G101" s="80"/>
      <c r="H101" s="80"/>
      <c r="I101" s="81"/>
      <c r="J101" s="81"/>
      <c r="K101" s="80"/>
      <c r="L101" s="80"/>
    </row>
    <row r="102" spans="4:12" x14ac:dyDescent="0.3">
      <c r="D102" s="2" t="str">
        <f t="shared" si="1"/>
        <v>Supermarket</v>
      </c>
      <c r="E102" s="1" t="s">
        <v>104</v>
      </c>
      <c r="F102" s="1"/>
      <c r="G102" s="80"/>
      <c r="H102" s="80"/>
      <c r="I102" s="81"/>
      <c r="J102" s="81"/>
      <c r="K102" s="80"/>
      <c r="L102" s="80"/>
    </row>
    <row r="103" spans="4:12" x14ac:dyDescent="0.3">
      <c r="D103" s="2" t="str">
        <f t="shared" si="1"/>
        <v>Supermarket</v>
      </c>
      <c r="E103" s="1" t="s">
        <v>104</v>
      </c>
      <c r="F103" s="1"/>
      <c r="G103" s="80"/>
      <c r="H103" s="80"/>
      <c r="I103" s="81"/>
      <c r="J103" s="81"/>
      <c r="K103" s="80"/>
      <c r="L103" s="80"/>
    </row>
    <row r="104" spans="4:12" x14ac:dyDescent="0.3">
      <c r="D104" s="2" t="str">
        <f t="shared" si="1"/>
        <v>Supermarket</v>
      </c>
      <c r="E104" s="1" t="s">
        <v>104</v>
      </c>
      <c r="F104" s="1"/>
      <c r="G104" s="80"/>
      <c r="H104" s="80"/>
      <c r="I104" s="81"/>
      <c r="J104" s="81"/>
      <c r="K104" s="80"/>
      <c r="L104" s="80"/>
    </row>
    <row r="105" spans="4:12" x14ac:dyDescent="0.3">
      <c r="D105" s="2" t="str">
        <f t="shared" si="1"/>
        <v>Supermarket</v>
      </c>
      <c r="E105" s="1" t="s">
        <v>104</v>
      </c>
      <c r="F105" s="1"/>
      <c r="G105" s="80"/>
      <c r="H105" s="80"/>
      <c r="I105" s="81"/>
      <c r="J105" s="81"/>
      <c r="K105" s="80"/>
      <c r="L105" s="80"/>
    </row>
    <row r="106" spans="4:12" x14ac:dyDescent="0.3">
      <c r="D106" s="2" t="str">
        <f t="shared" si="1"/>
        <v>Supermarket</v>
      </c>
      <c r="E106" s="1" t="s">
        <v>104</v>
      </c>
      <c r="F106" s="1"/>
      <c r="G106" s="80"/>
      <c r="H106" s="80"/>
      <c r="I106" s="81"/>
      <c r="J106" s="81"/>
      <c r="K106" s="80"/>
      <c r="L106" s="80"/>
    </row>
    <row r="107" spans="4:12" x14ac:dyDescent="0.3">
      <c r="D107" s="2" t="str">
        <f t="shared" si="1"/>
        <v>Supermarket</v>
      </c>
      <c r="E107" s="1" t="s">
        <v>104</v>
      </c>
      <c r="F107" s="1"/>
      <c r="G107" s="80"/>
      <c r="H107" s="80"/>
      <c r="I107" s="81"/>
      <c r="J107" s="81"/>
      <c r="K107" s="80"/>
      <c r="L107" s="80"/>
    </row>
    <row r="108" spans="4:12" x14ac:dyDescent="0.3">
      <c r="D108" s="2" t="str">
        <f t="shared" si="1"/>
        <v>Supermarket</v>
      </c>
      <c r="E108" s="1" t="s">
        <v>104</v>
      </c>
      <c r="F108" s="1"/>
      <c r="G108" s="80"/>
      <c r="H108" s="80"/>
      <c r="I108" s="81"/>
      <c r="J108" s="81"/>
      <c r="K108" s="80"/>
      <c r="L108" s="80"/>
    </row>
    <row r="109" spans="4:12" x14ac:dyDescent="0.3">
      <c r="D109" s="2" t="str">
        <f t="shared" si="1"/>
        <v>Supermarket</v>
      </c>
      <c r="E109" s="1" t="s">
        <v>104</v>
      </c>
      <c r="F109" s="1"/>
      <c r="G109" s="80"/>
      <c r="H109" s="80"/>
      <c r="I109" s="81"/>
      <c r="J109" s="81"/>
      <c r="K109" s="80"/>
      <c r="L109" s="80"/>
    </row>
    <row r="110" spans="4:12" x14ac:dyDescent="0.3">
      <c r="D110" s="2" t="str">
        <f t="shared" si="1"/>
        <v>Supermarket</v>
      </c>
      <c r="E110" s="1" t="s">
        <v>104</v>
      </c>
      <c r="F110" s="1"/>
      <c r="G110" s="80"/>
      <c r="H110" s="80"/>
      <c r="I110" s="81"/>
      <c r="J110" s="81"/>
      <c r="K110" s="80"/>
      <c r="L110" s="80"/>
    </row>
    <row r="111" spans="4:12" x14ac:dyDescent="0.3">
      <c r="D111" s="2" t="str">
        <f t="shared" si="1"/>
        <v>Supermarket</v>
      </c>
      <c r="E111" s="1" t="s">
        <v>104</v>
      </c>
      <c r="F111" s="1"/>
      <c r="G111" s="80"/>
      <c r="H111" s="80"/>
      <c r="I111" s="81"/>
      <c r="J111" s="81"/>
      <c r="K111" s="80"/>
      <c r="L111" s="80"/>
    </row>
    <row r="112" spans="4:12" x14ac:dyDescent="0.3">
      <c r="D112" s="2" t="str">
        <f t="shared" si="1"/>
        <v>Supermarket</v>
      </c>
      <c r="E112" s="1" t="s">
        <v>104</v>
      </c>
      <c r="F112" s="1"/>
      <c r="G112" s="80"/>
      <c r="H112" s="80"/>
      <c r="I112" s="81"/>
      <c r="J112" s="81"/>
      <c r="K112" s="80"/>
      <c r="L112" s="80"/>
    </row>
    <row r="113" spans="4:12" x14ac:dyDescent="0.3">
      <c r="D113" s="2" t="str">
        <f t="shared" si="1"/>
        <v>Supermarket</v>
      </c>
      <c r="E113" s="1" t="s">
        <v>104</v>
      </c>
      <c r="F113" s="1"/>
      <c r="G113" s="80"/>
      <c r="H113" s="80"/>
      <c r="I113" s="81"/>
      <c r="J113" s="81"/>
      <c r="K113" s="80"/>
      <c r="L113" s="80"/>
    </row>
    <row r="114" spans="4:12" x14ac:dyDescent="0.3">
      <c r="D114" s="2" t="str">
        <f t="shared" si="1"/>
        <v>Supermarket</v>
      </c>
      <c r="E114" s="1" t="s">
        <v>104</v>
      </c>
      <c r="F114" s="1"/>
      <c r="G114" s="80"/>
      <c r="H114" s="80"/>
      <c r="I114" s="81"/>
      <c r="J114" s="81"/>
      <c r="K114" s="80"/>
      <c r="L114" s="80"/>
    </row>
    <row r="115" spans="4:12" x14ac:dyDescent="0.3">
      <c r="D115" s="2" t="str">
        <f t="shared" si="1"/>
        <v>Supermarket</v>
      </c>
      <c r="E115" s="1" t="s">
        <v>104</v>
      </c>
      <c r="F115" s="1"/>
      <c r="G115" s="80"/>
      <c r="H115" s="80"/>
      <c r="I115" s="81"/>
      <c r="J115" s="81"/>
      <c r="K115" s="80"/>
      <c r="L115" s="80"/>
    </row>
    <row r="116" spans="4:12" x14ac:dyDescent="0.3">
      <c r="D116" s="2" t="str">
        <f t="shared" si="1"/>
        <v>Supermarket</v>
      </c>
      <c r="E116" s="1" t="s">
        <v>104</v>
      </c>
      <c r="F116" s="1"/>
      <c r="G116" s="80"/>
      <c r="H116" s="80"/>
      <c r="I116" s="81"/>
      <c r="J116" s="81"/>
      <c r="K116" s="80"/>
      <c r="L116" s="80"/>
    </row>
    <row r="117" spans="4:12" x14ac:dyDescent="0.3">
      <c r="D117" s="2" t="str">
        <f t="shared" si="1"/>
        <v>Supermarket</v>
      </c>
      <c r="E117" s="1" t="s">
        <v>104</v>
      </c>
      <c r="F117" s="1"/>
      <c r="G117" s="80"/>
      <c r="H117" s="80"/>
      <c r="I117" s="81"/>
      <c r="J117" s="81"/>
      <c r="K117" s="80"/>
      <c r="L117" s="80"/>
    </row>
    <row r="118" spans="4:12" x14ac:dyDescent="0.3">
      <c r="D118" s="2" t="str">
        <f t="shared" si="1"/>
        <v>Supermarket</v>
      </c>
      <c r="E118" s="1" t="s">
        <v>104</v>
      </c>
      <c r="F118" s="1"/>
      <c r="G118" s="80"/>
      <c r="H118" s="80"/>
      <c r="I118" s="81"/>
      <c r="J118" s="81"/>
      <c r="K118" s="80"/>
      <c r="L118" s="80"/>
    </row>
    <row r="119" spans="4:12" x14ac:dyDescent="0.3">
      <c r="D119" s="2" t="str">
        <f t="shared" si="1"/>
        <v>Supermarket</v>
      </c>
      <c r="E119" s="1" t="s">
        <v>104</v>
      </c>
      <c r="F119" s="1"/>
      <c r="G119" s="80"/>
      <c r="H119" s="80"/>
      <c r="I119" s="81"/>
      <c r="J119" s="81"/>
      <c r="K119" s="80"/>
      <c r="L119" s="80"/>
    </row>
    <row r="120" spans="4:12" x14ac:dyDescent="0.3">
      <c r="D120" s="2" t="str">
        <f t="shared" si="1"/>
        <v>Supermarket</v>
      </c>
      <c r="E120" s="1" t="s">
        <v>104</v>
      </c>
      <c r="F120" s="1"/>
      <c r="G120" s="80"/>
      <c r="H120" s="80"/>
      <c r="I120" s="81"/>
      <c r="J120" s="81"/>
      <c r="K120" s="80"/>
      <c r="L120" s="80"/>
    </row>
    <row r="121" spans="4:12" x14ac:dyDescent="0.3">
      <c r="D121" s="2" t="str">
        <f t="shared" si="1"/>
        <v>Supermarket</v>
      </c>
      <c r="E121" s="1" t="s">
        <v>104</v>
      </c>
      <c r="F121" s="1"/>
      <c r="G121" s="80"/>
      <c r="H121" s="80"/>
      <c r="I121" s="81"/>
      <c r="J121" s="81"/>
      <c r="K121" s="80"/>
      <c r="L121" s="80"/>
    </row>
    <row r="122" spans="4:12" x14ac:dyDescent="0.3">
      <c r="D122" s="2" t="str">
        <f t="shared" si="1"/>
        <v>Supermarket</v>
      </c>
      <c r="E122" s="1" t="s">
        <v>104</v>
      </c>
      <c r="F122" s="1"/>
      <c r="G122" s="80"/>
      <c r="H122" s="80"/>
      <c r="I122" s="81"/>
      <c r="J122" s="81"/>
      <c r="K122" s="80"/>
      <c r="L122" s="80"/>
    </row>
    <row r="123" spans="4:12" x14ac:dyDescent="0.3">
      <c r="D123" s="2" t="str">
        <f t="shared" si="1"/>
        <v>Supermarket</v>
      </c>
      <c r="E123" s="1" t="s">
        <v>104</v>
      </c>
      <c r="F123" s="1"/>
      <c r="G123" s="80"/>
      <c r="H123" s="80"/>
      <c r="I123" s="81"/>
      <c r="J123" s="81"/>
      <c r="K123" s="80"/>
      <c r="L123" s="80"/>
    </row>
    <row r="124" spans="4:12" x14ac:dyDescent="0.3">
      <c r="D124" s="2" t="str">
        <f t="shared" si="1"/>
        <v>Supermarket</v>
      </c>
      <c r="E124" s="1" t="s">
        <v>104</v>
      </c>
      <c r="F124" s="1"/>
      <c r="G124" s="80"/>
      <c r="H124" s="80"/>
      <c r="I124" s="81"/>
      <c r="J124" s="81"/>
      <c r="K124" s="80"/>
      <c r="L124" s="80"/>
    </row>
    <row r="125" spans="4:12" x14ac:dyDescent="0.3">
      <c r="D125" s="2" t="str">
        <f t="shared" si="1"/>
        <v>Supermarket</v>
      </c>
      <c r="E125" s="1" t="s">
        <v>104</v>
      </c>
      <c r="F125" s="1"/>
      <c r="G125" s="80"/>
      <c r="H125" s="80"/>
      <c r="I125" s="81"/>
      <c r="J125" s="81"/>
      <c r="K125" s="80"/>
      <c r="L125" s="80"/>
    </row>
    <row r="126" spans="4:12" x14ac:dyDescent="0.3">
      <c r="D126" s="2" t="str">
        <f t="shared" si="1"/>
        <v>Supermarket</v>
      </c>
      <c r="E126" s="1" t="s">
        <v>104</v>
      </c>
      <c r="F126" s="1"/>
      <c r="G126" s="80"/>
      <c r="H126" s="80"/>
      <c r="I126" s="81"/>
      <c r="J126" s="81"/>
      <c r="K126" s="80"/>
      <c r="L126" s="80"/>
    </row>
    <row r="127" spans="4:12" x14ac:dyDescent="0.3">
      <c r="D127" s="2" t="str">
        <f t="shared" si="1"/>
        <v>Supermarket</v>
      </c>
      <c r="E127" s="1" t="s">
        <v>104</v>
      </c>
      <c r="F127" s="1"/>
      <c r="G127" s="80"/>
      <c r="H127" s="80"/>
      <c r="I127" s="81"/>
      <c r="J127" s="81"/>
      <c r="K127" s="80"/>
      <c r="L127" s="80"/>
    </row>
    <row r="128" spans="4:12" x14ac:dyDescent="0.3">
      <c r="D128" s="2" t="str">
        <f t="shared" si="1"/>
        <v>Supermarket</v>
      </c>
      <c r="E128" s="1" t="s">
        <v>104</v>
      </c>
      <c r="F128" s="1"/>
      <c r="G128" s="80"/>
      <c r="H128" s="80"/>
      <c r="I128" s="81"/>
      <c r="J128" s="81"/>
      <c r="K128" s="80"/>
      <c r="L128" s="80"/>
    </row>
    <row r="129" spans="4:12" x14ac:dyDescent="0.3">
      <c r="D129" s="2" t="str">
        <f t="shared" si="1"/>
        <v>Supermarket</v>
      </c>
      <c r="E129" s="1" t="s">
        <v>104</v>
      </c>
      <c r="F129" s="1"/>
      <c r="G129" s="80"/>
      <c r="H129" s="80"/>
      <c r="I129" s="81"/>
      <c r="J129" s="81"/>
      <c r="K129" s="80"/>
      <c r="L129" s="80"/>
    </row>
    <row r="130" spans="4:12" x14ac:dyDescent="0.3">
      <c r="D130" s="2" t="str">
        <f t="shared" si="1"/>
        <v>Supermarket</v>
      </c>
      <c r="E130" s="1" t="s">
        <v>104</v>
      </c>
      <c r="F130" s="1"/>
      <c r="G130" s="80"/>
      <c r="H130" s="80"/>
      <c r="I130" s="81"/>
      <c r="J130" s="81"/>
      <c r="K130" s="80"/>
      <c r="L130" s="80"/>
    </row>
    <row r="131" spans="4:12" x14ac:dyDescent="0.3">
      <c r="D131" s="2" t="str">
        <f t="shared" si="1"/>
        <v>Supermarket</v>
      </c>
      <c r="E131" s="1" t="s">
        <v>104</v>
      </c>
      <c r="F131" s="1"/>
      <c r="G131" s="80"/>
      <c r="H131" s="80"/>
      <c r="I131" s="81"/>
      <c r="J131" s="81"/>
      <c r="K131" s="80"/>
      <c r="L131" s="80"/>
    </row>
    <row r="132" spans="4:12" x14ac:dyDescent="0.3">
      <c r="D132" s="2" t="str">
        <f t="shared" ref="D132:D195" si="2">E132&amp;F132</f>
        <v>Supermarket</v>
      </c>
      <c r="E132" s="1" t="s">
        <v>104</v>
      </c>
      <c r="F132" s="1"/>
      <c r="G132" s="80"/>
      <c r="H132" s="80"/>
      <c r="I132" s="81"/>
      <c r="J132" s="81"/>
      <c r="K132" s="80"/>
      <c r="L132" s="80"/>
    </row>
    <row r="133" spans="4:12" x14ac:dyDescent="0.3">
      <c r="D133" s="2" t="str">
        <f t="shared" si="2"/>
        <v>Supermarket</v>
      </c>
      <c r="E133" s="1" t="s">
        <v>104</v>
      </c>
      <c r="F133" s="1"/>
      <c r="G133" s="80"/>
      <c r="H133" s="80"/>
      <c r="I133" s="81"/>
      <c r="J133" s="81"/>
      <c r="K133" s="80"/>
      <c r="L133" s="80"/>
    </row>
    <row r="134" spans="4:12" x14ac:dyDescent="0.3">
      <c r="D134" s="2" t="str">
        <f t="shared" si="2"/>
        <v>Supermarket</v>
      </c>
      <c r="E134" s="1" t="s">
        <v>104</v>
      </c>
      <c r="F134" s="1"/>
      <c r="G134" s="80"/>
      <c r="H134" s="80"/>
      <c r="I134" s="81"/>
      <c r="J134" s="81"/>
      <c r="K134" s="80"/>
      <c r="L134" s="80"/>
    </row>
    <row r="135" spans="4:12" x14ac:dyDescent="0.3">
      <c r="D135" s="2" t="str">
        <f t="shared" si="2"/>
        <v>Supermarket</v>
      </c>
      <c r="E135" s="1" t="s">
        <v>104</v>
      </c>
      <c r="F135" s="1"/>
      <c r="G135" s="80"/>
      <c r="H135" s="80"/>
      <c r="I135" s="81"/>
      <c r="J135" s="81"/>
      <c r="K135" s="80"/>
      <c r="L135" s="80"/>
    </row>
    <row r="136" spans="4:12" x14ac:dyDescent="0.3">
      <c r="D136" s="2" t="str">
        <f t="shared" si="2"/>
        <v>Supermarket</v>
      </c>
      <c r="E136" s="1" t="s">
        <v>104</v>
      </c>
      <c r="F136" s="1"/>
      <c r="G136" s="80"/>
      <c r="H136" s="80"/>
      <c r="I136" s="81"/>
      <c r="J136" s="81"/>
      <c r="K136" s="80"/>
      <c r="L136" s="80"/>
    </row>
    <row r="137" spans="4:12" x14ac:dyDescent="0.3">
      <c r="D137" s="2" t="str">
        <f t="shared" si="2"/>
        <v>Supermarket</v>
      </c>
      <c r="E137" s="1" t="s">
        <v>104</v>
      </c>
      <c r="F137" s="1"/>
      <c r="G137" s="80"/>
      <c r="H137" s="80"/>
      <c r="I137" s="81"/>
      <c r="J137" s="81"/>
      <c r="K137" s="80"/>
      <c r="L137" s="80"/>
    </row>
    <row r="138" spans="4:12" x14ac:dyDescent="0.3">
      <c r="D138" s="2" t="str">
        <f t="shared" si="2"/>
        <v>Supermarket</v>
      </c>
      <c r="E138" s="1" t="s">
        <v>104</v>
      </c>
      <c r="F138" s="1"/>
      <c r="G138" s="80"/>
      <c r="H138" s="80"/>
      <c r="I138" s="81"/>
      <c r="J138" s="81"/>
      <c r="K138" s="80"/>
      <c r="L138" s="80"/>
    </row>
    <row r="139" spans="4:12" x14ac:dyDescent="0.3">
      <c r="D139" s="2" t="str">
        <f t="shared" si="2"/>
        <v>Supermarket</v>
      </c>
      <c r="E139" s="1" t="s">
        <v>104</v>
      </c>
      <c r="F139" s="1"/>
      <c r="G139" s="80"/>
      <c r="H139" s="80"/>
      <c r="I139" s="81"/>
      <c r="J139" s="81"/>
      <c r="K139" s="80"/>
      <c r="L139" s="80"/>
    </row>
    <row r="140" spans="4:12" x14ac:dyDescent="0.3">
      <c r="D140" s="2" t="str">
        <f t="shared" si="2"/>
        <v>Supermarket</v>
      </c>
      <c r="E140" s="1" t="s">
        <v>104</v>
      </c>
      <c r="F140" s="1"/>
      <c r="G140" s="80"/>
      <c r="H140" s="80"/>
      <c r="I140" s="81"/>
      <c r="J140" s="81"/>
      <c r="K140" s="80"/>
      <c r="L140" s="80"/>
    </row>
    <row r="141" spans="4:12" x14ac:dyDescent="0.3">
      <c r="D141" s="2" t="str">
        <f t="shared" si="2"/>
        <v>Supermarket</v>
      </c>
      <c r="E141" s="1" t="s">
        <v>104</v>
      </c>
      <c r="F141" s="1"/>
      <c r="G141" s="80"/>
      <c r="H141" s="80"/>
      <c r="I141" s="81"/>
      <c r="J141" s="81"/>
      <c r="K141" s="80"/>
      <c r="L141" s="80"/>
    </row>
    <row r="142" spans="4:12" x14ac:dyDescent="0.3">
      <c r="D142" s="2" t="str">
        <f t="shared" si="2"/>
        <v>Supermarket</v>
      </c>
      <c r="E142" s="1" t="s">
        <v>104</v>
      </c>
      <c r="F142" s="1"/>
      <c r="G142" s="80"/>
      <c r="H142" s="80"/>
      <c r="I142" s="81"/>
      <c r="J142" s="81"/>
      <c r="K142" s="80"/>
      <c r="L142" s="80"/>
    </row>
    <row r="143" spans="4:12" x14ac:dyDescent="0.3">
      <c r="D143" s="2" t="str">
        <f t="shared" si="2"/>
        <v>Supermarket</v>
      </c>
      <c r="E143" s="1" t="s">
        <v>104</v>
      </c>
      <c r="F143" s="1"/>
      <c r="G143" s="80"/>
      <c r="H143" s="80"/>
      <c r="I143" s="81"/>
      <c r="J143" s="81"/>
      <c r="K143" s="80"/>
      <c r="L143" s="80"/>
    </row>
    <row r="144" spans="4:12" x14ac:dyDescent="0.3">
      <c r="D144" s="2" t="str">
        <f t="shared" si="2"/>
        <v>Supermarket</v>
      </c>
      <c r="E144" s="1" t="s">
        <v>104</v>
      </c>
      <c r="F144" s="1"/>
      <c r="G144" s="80"/>
      <c r="H144" s="80"/>
      <c r="I144" s="81"/>
      <c r="J144" s="81"/>
      <c r="K144" s="80"/>
      <c r="L144" s="80"/>
    </row>
    <row r="145" spans="4:12" x14ac:dyDescent="0.3">
      <c r="D145" s="2" t="str">
        <f t="shared" si="2"/>
        <v>Supermarket</v>
      </c>
      <c r="E145" s="1" t="s">
        <v>104</v>
      </c>
      <c r="F145" s="1"/>
      <c r="G145" s="80"/>
      <c r="H145" s="80"/>
      <c r="I145" s="81"/>
      <c r="J145" s="81"/>
      <c r="K145" s="80"/>
      <c r="L145" s="80"/>
    </row>
    <row r="146" spans="4:12" x14ac:dyDescent="0.3">
      <c r="D146" s="2" t="str">
        <f t="shared" si="2"/>
        <v>Supermarket</v>
      </c>
      <c r="E146" s="1" t="s">
        <v>104</v>
      </c>
      <c r="F146" s="1"/>
      <c r="G146" s="80"/>
      <c r="H146" s="80"/>
      <c r="I146" s="81"/>
      <c r="J146" s="81"/>
      <c r="K146" s="80"/>
      <c r="L146" s="80"/>
    </row>
    <row r="147" spans="4:12" x14ac:dyDescent="0.3">
      <c r="D147" s="2" t="str">
        <f t="shared" si="2"/>
        <v>Supermarket</v>
      </c>
      <c r="E147" s="1" t="s">
        <v>104</v>
      </c>
      <c r="F147" s="1"/>
      <c r="G147" s="80"/>
      <c r="H147" s="80"/>
      <c r="I147" s="81"/>
      <c r="J147" s="81"/>
      <c r="K147" s="80"/>
      <c r="L147" s="80"/>
    </row>
    <row r="148" spans="4:12" x14ac:dyDescent="0.3">
      <c r="D148" s="2" t="str">
        <f t="shared" si="2"/>
        <v>Supermarket</v>
      </c>
      <c r="E148" s="1" t="s">
        <v>104</v>
      </c>
      <c r="F148" s="1"/>
      <c r="G148" s="80"/>
      <c r="H148" s="80"/>
      <c r="I148" s="81"/>
      <c r="J148" s="81"/>
      <c r="K148" s="80"/>
      <c r="L148" s="80"/>
    </row>
    <row r="149" spans="4:12" x14ac:dyDescent="0.3">
      <c r="D149" s="2" t="str">
        <f t="shared" si="2"/>
        <v>Supermarket</v>
      </c>
      <c r="E149" s="1" t="s">
        <v>104</v>
      </c>
      <c r="F149" s="1"/>
      <c r="G149" s="80"/>
      <c r="H149" s="80"/>
      <c r="I149" s="81"/>
      <c r="J149" s="81"/>
      <c r="K149" s="80"/>
      <c r="L149" s="80"/>
    </row>
    <row r="150" spans="4:12" x14ac:dyDescent="0.3">
      <c r="D150" s="2" t="str">
        <f t="shared" si="2"/>
        <v>Supermarket</v>
      </c>
      <c r="E150" s="1" t="s">
        <v>104</v>
      </c>
      <c r="F150" s="1"/>
      <c r="G150" s="80"/>
      <c r="H150" s="80"/>
      <c r="I150" s="81"/>
      <c r="J150" s="81"/>
      <c r="K150" s="80"/>
      <c r="L150" s="80"/>
    </row>
    <row r="151" spans="4:12" x14ac:dyDescent="0.3">
      <c r="D151" s="2" t="str">
        <f t="shared" si="2"/>
        <v>Supermarket</v>
      </c>
      <c r="E151" s="1" t="s">
        <v>104</v>
      </c>
      <c r="F151" s="1"/>
      <c r="G151" s="80"/>
      <c r="H151" s="80"/>
      <c r="I151" s="81"/>
      <c r="J151" s="81"/>
      <c r="K151" s="80"/>
      <c r="L151" s="80"/>
    </row>
    <row r="152" spans="4:12" x14ac:dyDescent="0.3">
      <c r="D152" s="2" t="str">
        <f t="shared" si="2"/>
        <v>Supermarket</v>
      </c>
      <c r="E152" s="1" t="s">
        <v>104</v>
      </c>
      <c r="F152" s="1"/>
      <c r="G152" s="80"/>
      <c r="H152" s="80"/>
      <c r="I152" s="81"/>
      <c r="J152" s="81"/>
      <c r="K152" s="80"/>
      <c r="L152" s="80"/>
    </row>
    <row r="153" spans="4:12" x14ac:dyDescent="0.3">
      <c r="D153" s="2" t="str">
        <f t="shared" si="2"/>
        <v>Supermarket</v>
      </c>
      <c r="E153" s="1" t="s">
        <v>104</v>
      </c>
      <c r="F153" s="1"/>
      <c r="G153" s="80"/>
      <c r="H153" s="80"/>
      <c r="I153" s="81"/>
      <c r="J153" s="81"/>
      <c r="K153" s="80"/>
      <c r="L153" s="80"/>
    </row>
    <row r="154" spans="4:12" x14ac:dyDescent="0.3">
      <c r="D154" s="2" t="str">
        <f t="shared" si="2"/>
        <v>Supermarket</v>
      </c>
      <c r="E154" s="1" t="s">
        <v>104</v>
      </c>
      <c r="F154" s="1"/>
      <c r="G154" s="80"/>
      <c r="H154" s="80"/>
      <c r="I154" s="81"/>
      <c r="J154" s="81"/>
      <c r="K154" s="80"/>
      <c r="L154" s="80"/>
    </row>
    <row r="155" spans="4:12" x14ac:dyDescent="0.3">
      <c r="D155" s="2" t="str">
        <f t="shared" si="2"/>
        <v>Supermarket</v>
      </c>
      <c r="E155" s="1" t="s">
        <v>104</v>
      </c>
      <c r="F155" s="1"/>
      <c r="G155" s="80"/>
      <c r="H155" s="80"/>
      <c r="I155" s="81"/>
      <c r="J155" s="81"/>
      <c r="K155" s="80"/>
      <c r="L155" s="80"/>
    </row>
    <row r="156" spans="4:12" x14ac:dyDescent="0.3">
      <c r="D156" s="2" t="str">
        <f t="shared" si="2"/>
        <v>Supermarket</v>
      </c>
      <c r="E156" s="1" t="s">
        <v>104</v>
      </c>
      <c r="F156" s="1"/>
      <c r="G156" s="80"/>
      <c r="H156" s="80"/>
      <c r="I156" s="81"/>
      <c r="J156" s="81"/>
      <c r="K156" s="80"/>
      <c r="L156" s="80"/>
    </row>
    <row r="157" spans="4:12" x14ac:dyDescent="0.3">
      <c r="D157" s="2" t="str">
        <f t="shared" si="2"/>
        <v>Supermarket</v>
      </c>
      <c r="E157" s="1" t="s">
        <v>104</v>
      </c>
      <c r="F157" s="1"/>
      <c r="G157" s="80"/>
      <c r="H157" s="80"/>
      <c r="I157" s="81"/>
      <c r="J157" s="81"/>
      <c r="K157" s="80"/>
      <c r="L157" s="80"/>
    </row>
    <row r="158" spans="4:12" x14ac:dyDescent="0.3">
      <c r="D158" s="2" t="str">
        <f t="shared" si="2"/>
        <v>Supermarket</v>
      </c>
      <c r="E158" s="1" t="s">
        <v>104</v>
      </c>
      <c r="F158" s="1"/>
      <c r="G158" s="80"/>
      <c r="H158" s="80"/>
      <c r="I158" s="81"/>
      <c r="J158" s="81"/>
      <c r="K158" s="80"/>
      <c r="L158" s="80"/>
    </row>
    <row r="159" spans="4:12" x14ac:dyDescent="0.3">
      <c r="D159" s="2" t="str">
        <f t="shared" si="2"/>
        <v>Supermarket</v>
      </c>
      <c r="E159" s="1" t="s">
        <v>104</v>
      </c>
      <c r="F159" s="1"/>
      <c r="G159" s="80"/>
      <c r="H159" s="80"/>
      <c r="I159" s="81"/>
      <c r="J159" s="81"/>
      <c r="K159" s="80"/>
      <c r="L159" s="80"/>
    </row>
    <row r="160" spans="4:12" x14ac:dyDescent="0.3">
      <c r="D160" s="2" t="str">
        <f t="shared" si="2"/>
        <v>Supermarket</v>
      </c>
      <c r="E160" s="1" t="s">
        <v>104</v>
      </c>
      <c r="F160" s="1"/>
      <c r="G160" s="80"/>
      <c r="H160" s="80"/>
      <c r="I160" s="81"/>
      <c r="J160" s="81"/>
      <c r="K160" s="80"/>
      <c r="L160" s="80"/>
    </row>
    <row r="161" spans="4:12" x14ac:dyDescent="0.3">
      <c r="D161" s="2" t="str">
        <f t="shared" si="2"/>
        <v>Supermarket</v>
      </c>
      <c r="E161" s="1" t="s">
        <v>104</v>
      </c>
      <c r="F161" s="1"/>
      <c r="G161" s="80"/>
      <c r="H161" s="80"/>
      <c r="I161" s="81"/>
      <c r="J161" s="81"/>
      <c r="K161" s="80"/>
      <c r="L161" s="80"/>
    </row>
    <row r="162" spans="4:12" x14ac:dyDescent="0.3">
      <c r="D162" s="2" t="str">
        <f t="shared" si="2"/>
        <v>Supermarket</v>
      </c>
      <c r="E162" s="1" t="s">
        <v>104</v>
      </c>
      <c r="F162" s="1"/>
      <c r="G162" s="80"/>
      <c r="H162" s="80"/>
      <c r="I162" s="81"/>
      <c r="J162" s="81"/>
      <c r="K162" s="80"/>
      <c r="L162" s="80"/>
    </row>
    <row r="163" spans="4:12" x14ac:dyDescent="0.3">
      <c r="D163" s="2" t="str">
        <f t="shared" si="2"/>
        <v>Supermarket</v>
      </c>
      <c r="E163" s="1" t="s">
        <v>104</v>
      </c>
      <c r="F163" s="1"/>
      <c r="G163" s="80"/>
      <c r="H163" s="80"/>
      <c r="I163" s="81"/>
      <c r="J163" s="81"/>
      <c r="K163" s="80"/>
      <c r="L163" s="80"/>
    </row>
    <row r="164" spans="4:12" x14ac:dyDescent="0.3">
      <c r="D164" s="2" t="str">
        <f t="shared" si="2"/>
        <v>Supermarket</v>
      </c>
      <c r="E164" s="1" t="s">
        <v>104</v>
      </c>
      <c r="F164" s="1"/>
      <c r="G164" s="80"/>
      <c r="H164" s="80"/>
      <c r="I164" s="81"/>
      <c r="J164" s="81"/>
      <c r="K164" s="80"/>
      <c r="L164" s="80"/>
    </row>
    <row r="165" spans="4:12" x14ac:dyDescent="0.3">
      <c r="D165" s="2" t="str">
        <f t="shared" si="2"/>
        <v>Supermarket</v>
      </c>
      <c r="E165" s="1" t="s">
        <v>104</v>
      </c>
      <c r="F165" s="1"/>
      <c r="G165" s="80"/>
      <c r="H165" s="80"/>
      <c r="I165" s="81"/>
      <c r="J165" s="81"/>
      <c r="K165" s="80"/>
      <c r="L165" s="80"/>
    </row>
    <row r="166" spans="4:12" x14ac:dyDescent="0.3">
      <c r="D166" s="2" t="str">
        <f t="shared" si="2"/>
        <v>Supermarket</v>
      </c>
      <c r="E166" s="1" t="s">
        <v>104</v>
      </c>
      <c r="F166" s="1"/>
      <c r="G166" s="80"/>
      <c r="H166" s="80"/>
      <c r="I166" s="81"/>
      <c r="J166" s="81"/>
      <c r="K166" s="80"/>
      <c r="L166" s="80"/>
    </row>
    <row r="167" spans="4:12" x14ac:dyDescent="0.3">
      <c r="D167" s="2" t="str">
        <f t="shared" si="2"/>
        <v>Supermarket</v>
      </c>
      <c r="E167" s="1" t="s">
        <v>104</v>
      </c>
      <c r="F167" s="1"/>
      <c r="G167" s="80"/>
      <c r="H167" s="80"/>
      <c r="I167" s="81"/>
      <c r="J167" s="81"/>
      <c r="K167" s="80"/>
      <c r="L167" s="80"/>
    </row>
    <row r="168" spans="4:12" x14ac:dyDescent="0.3">
      <c r="D168" s="2" t="str">
        <f t="shared" si="2"/>
        <v>Supermarket</v>
      </c>
      <c r="E168" s="1" t="s">
        <v>104</v>
      </c>
      <c r="F168" s="1"/>
      <c r="G168" s="80"/>
      <c r="H168" s="80"/>
      <c r="I168" s="81"/>
      <c r="J168" s="81"/>
      <c r="K168" s="80"/>
      <c r="L168" s="80"/>
    </row>
    <row r="169" spans="4:12" x14ac:dyDescent="0.3">
      <c r="D169" s="2" t="str">
        <f t="shared" si="2"/>
        <v>Supermarket</v>
      </c>
      <c r="E169" s="1" t="s">
        <v>104</v>
      </c>
      <c r="F169" s="1"/>
      <c r="G169" s="80"/>
      <c r="H169" s="80"/>
      <c r="I169" s="81"/>
      <c r="J169" s="81"/>
      <c r="K169" s="80"/>
      <c r="L169" s="80"/>
    </row>
    <row r="170" spans="4:12" x14ac:dyDescent="0.3">
      <c r="D170" s="2" t="str">
        <f t="shared" si="2"/>
        <v>Supermarket</v>
      </c>
      <c r="E170" s="1" t="s">
        <v>104</v>
      </c>
      <c r="F170" s="1"/>
      <c r="G170" s="80"/>
      <c r="H170" s="80"/>
      <c r="I170" s="81"/>
      <c r="J170" s="81"/>
      <c r="K170" s="80"/>
      <c r="L170" s="80"/>
    </row>
    <row r="171" spans="4:12" x14ac:dyDescent="0.3">
      <c r="D171" s="2" t="str">
        <f t="shared" si="2"/>
        <v>Supermarket</v>
      </c>
      <c r="E171" s="1" t="s">
        <v>104</v>
      </c>
      <c r="F171" s="1"/>
      <c r="G171" s="80"/>
      <c r="H171" s="80"/>
      <c r="I171" s="81"/>
      <c r="J171" s="81"/>
      <c r="K171" s="80"/>
      <c r="L171" s="80"/>
    </row>
    <row r="172" spans="4:12" x14ac:dyDescent="0.3">
      <c r="D172" s="2" t="str">
        <f t="shared" si="2"/>
        <v>Supermarket</v>
      </c>
      <c r="E172" s="1" t="s">
        <v>104</v>
      </c>
      <c r="F172" s="1"/>
      <c r="G172" s="80"/>
      <c r="H172" s="80"/>
      <c r="I172" s="81"/>
      <c r="J172" s="81"/>
      <c r="K172" s="80"/>
      <c r="L172" s="80"/>
    </row>
    <row r="173" spans="4:12" x14ac:dyDescent="0.3">
      <c r="D173" s="2" t="str">
        <f t="shared" si="2"/>
        <v>Supermarket</v>
      </c>
      <c r="E173" s="1" t="s">
        <v>104</v>
      </c>
      <c r="F173" s="1"/>
      <c r="G173" s="80"/>
      <c r="H173" s="80"/>
      <c r="I173" s="81"/>
      <c r="J173" s="81"/>
      <c r="K173" s="80"/>
      <c r="L173" s="80"/>
    </row>
    <row r="174" spans="4:12" x14ac:dyDescent="0.3">
      <c r="D174" s="2" t="str">
        <f t="shared" si="2"/>
        <v>Supermarket</v>
      </c>
      <c r="E174" s="1" t="s">
        <v>104</v>
      </c>
      <c r="F174" s="1"/>
      <c r="G174" s="80"/>
      <c r="H174" s="80"/>
      <c r="I174" s="81"/>
      <c r="J174" s="81"/>
      <c r="K174" s="80"/>
      <c r="L174" s="80"/>
    </row>
    <row r="175" spans="4:12" x14ac:dyDescent="0.3">
      <c r="D175" s="2" t="str">
        <f t="shared" si="2"/>
        <v>Supermarket</v>
      </c>
      <c r="E175" s="1" t="s">
        <v>104</v>
      </c>
      <c r="F175" s="1"/>
      <c r="G175" s="80"/>
      <c r="H175" s="80"/>
      <c r="I175" s="81"/>
      <c r="J175" s="81"/>
      <c r="K175" s="80"/>
      <c r="L175" s="80"/>
    </row>
    <row r="176" spans="4:12" x14ac:dyDescent="0.3">
      <c r="D176" s="2" t="str">
        <f t="shared" si="2"/>
        <v>Supermarket</v>
      </c>
      <c r="E176" s="1" t="s">
        <v>104</v>
      </c>
      <c r="F176" s="1"/>
      <c r="G176" s="80"/>
      <c r="H176" s="80"/>
      <c r="I176" s="81"/>
      <c r="J176" s="81"/>
      <c r="K176" s="80"/>
      <c r="L176" s="80"/>
    </row>
    <row r="177" spans="4:12" x14ac:dyDescent="0.3">
      <c r="D177" s="2" t="str">
        <f t="shared" si="2"/>
        <v>Supermarket</v>
      </c>
      <c r="E177" s="1" t="s">
        <v>104</v>
      </c>
      <c r="F177" s="1"/>
      <c r="G177" s="80"/>
      <c r="H177" s="80"/>
      <c r="I177" s="81"/>
      <c r="J177" s="81"/>
      <c r="K177" s="80"/>
      <c r="L177" s="80"/>
    </row>
    <row r="178" spans="4:12" x14ac:dyDescent="0.3">
      <c r="D178" s="2" t="str">
        <f t="shared" si="2"/>
        <v>Supermarket</v>
      </c>
      <c r="E178" s="1" t="s">
        <v>104</v>
      </c>
      <c r="F178" s="1"/>
      <c r="G178" s="80"/>
      <c r="H178" s="80"/>
      <c r="I178" s="81"/>
      <c r="J178" s="81"/>
      <c r="K178" s="80"/>
      <c r="L178" s="80"/>
    </row>
    <row r="179" spans="4:12" x14ac:dyDescent="0.3">
      <c r="D179" s="2" t="str">
        <f t="shared" si="2"/>
        <v>Supermarket</v>
      </c>
      <c r="E179" s="1" t="s">
        <v>104</v>
      </c>
      <c r="F179" s="1"/>
      <c r="G179" s="80"/>
      <c r="H179" s="80"/>
      <c r="I179" s="81"/>
      <c r="J179" s="81"/>
      <c r="K179" s="80"/>
      <c r="L179" s="80"/>
    </row>
    <row r="180" spans="4:12" x14ac:dyDescent="0.3">
      <c r="D180" s="2" t="str">
        <f t="shared" si="2"/>
        <v>Supermarket</v>
      </c>
      <c r="E180" s="1" t="s">
        <v>104</v>
      </c>
      <c r="F180" s="1"/>
      <c r="G180" s="80"/>
      <c r="H180" s="80"/>
      <c r="I180" s="81"/>
      <c r="J180" s="81"/>
      <c r="K180" s="80"/>
      <c r="L180" s="80"/>
    </row>
    <row r="181" spans="4:12" x14ac:dyDescent="0.3">
      <c r="D181" s="2" t="str">
        <f t="shared" si="2"/>
        <v>Supermarket</v>
      </c>
      <c r="E181" s="1" t="s">
        <v>104</v>
      </c>
      <c r="F181" s="1"/>
      <c r="G181" s="80"/>
      <c r="H181" s="80"/>
      <c r="I181" s="81"/>
      <c r="J181" s="81"/>
      <c r="K181" s="80"/>
      <c r="L181" s="80"/>
    </row>
    <row r="182" spans="4:12" x14ac:dyDescent="0.3">
      <c r="D182" s="2" t="str">
        <f t="shared" si="2"/>
        <v>Supermarket</v>
      </c>
      <c r="E182" s="1" t="s">
        <v>104</v>
      </c>
      <c r="F182" s="1"/>
      <c r="G182" s="80"/>
      <c r="H182" s="80"/>
      <c r="I182" s="81"/>
      <c r="J182" s="81"/>
      <c r="K182" s="80"/>
      <c r="L182" s="80"/>
    </row>
    <row r="183" spans="4:12" x14ac:dyDescent="0.3">
      <c r="D183" s="2" t="str">
        <f t="shared" si="2"/>
        <v>Supermarket</v>
      </c>
      <c r="E183" s="1" t="s">
        <v>104</v>
      </c>
      <c r="F183" s="1"/>
      <c r="G183" s="80"/>
      <c r="H183" s="80"/>
      <c r="I183" s="81"/>
      <c r="J183" s="81"/>
      <c r="K183" s="80"/>
      <c r="L183" s="80"/>
    </row>
    <row r="184" spans="4:12" x14ac:dyDescent="0.3">
      <c r="D184" s="2" t="str">
        <f t="shared" si="2"/>
        <v>Supermarket</v>
      </c>
      <c r="E184" s="1" t="s">
        <v>104</v>
      </c>
      <c r="F184" s="1"/>
      <c r="G184" s="80"/>
      <c r="H184" s="80"/>
      <c r="I184" s="81"/>
      <c r="J184" s="81"/>
      <c r="K184" s="80"/>
      <c r="L184" s="80"/>
    </row>
    <row r="185" spans="4:12" x14ac:dyDescent="0.3">
      <c r="D185" s="2" t="str">
        <f t="shared" si="2"/>
        <v>Supermarket</v>
      </c>
      <c r="E185" s="1" t="s">
        <v>104</v>
      </c>
      <c r="F185" s="1"/>
      <c r="G185" s="80"/>
      <c r="H185" s="80"/>
      <c r="I185" s="81"/>
      <c r="J185" s="81"/>
      <c r="K185" s="80"/>
      <c r="L185" s="80"/>
    </row>
    <row r="186" spans="4:12" x14ac:dyDescent="0.3">
      <c r="D186" s="2" t="str">
        <f t="shared" si="2"/>
        <v>Supermarket</v>
      </c>
      <c r="E186" s="1" t="s">
        <v>104</v>
      </c>
      <c r="F186" s="1"/>
      <c r="G186" s="80"/>
      <c r="H186" s="80"/>
      <c r="I186" s="81"/>
      <c r="J186" s="81"/>
      <c r="K186" s="80"/>
      <c r="L186" s="80"/>
    </row>
    <row r="187" spans="4:12" x14ac:dyDescent="0.3">
      <c r="D187" s="2" t="str">
        <f t="shared" si="2"/>
        <v>Supermarket</v>
      </c>
      <c r="E187" s="1" t="s">
        <v>104</v>
      </c>
      <c r="F187" s="1"/>
      <c r="G187" s="80"/>
      <c r="H187" s="80"/>
      <c r="I187" s="81"/>
      <c r="J187" s="81"/>
      <c r="K187" s="80"/>
      <c r="L187" s="80"/>
    </row>
    <row r="188" spans="4:12" x14ac:dyDescent="0.3">
      <c r="D188" s="2" t="str">
        <f t="shared" si="2"/>
        <v>Supermarket</v>
      </c>
      <c r="E188" s="1" t="s">
        <v>104</v>
      </c>
      <c r="F188" s="1"/>
      <c r="G188" s="80"/>
      <c r="H188" s="80"/>
      <c r="I188" s="81"/>
      <c r="J188" s="81"/>
      <c r="K188" s="80"/>
      <c r="L188" s="80"/>
    </row>
    <row r="189" spans="4:12" x14ac:dyDescent="0.3">
      <c r="D189" s="2" t="str">
        <f t="shared" si="2"/>
        <v>Supermarket</v>
      </c>
      <c r="E189" s="1" t="s">
        <v>104</v>
      </c>
      <c r="F189" s="1"/>
      <c r="G189" s="80"/>
      <c r="H189" s="80"/>
      <c r="I189" s="81"/>
      <c r="J189" s="81"/>
      <c r="K189" s="80"/>
      <c r="L189" s="80"/>
    </row>
    <row r="190" spans="4:12" x14ac:dyDescent="0.3">
      <c r="D190" s="2" t="str">
        <f t="shared" si="2"/>
        <v>Supermarket</v>
      </c>
      <c r="E190" s="1" t="s">
        <v>104</v>
      </c>
      <c r="F190" s="1"/>
      <c r="G190" s="80"/>
      <c r="H190" s="80"/>
      <c r="I190" s="81"/>
      <c r="J190" s="81"/>
      <c r="K190" s="80"/>
      <c r="L190" s="80"/>
    </row>
    <row r="191" spans="4:12" x14ac:dyDescent="0.3">
      <c r="D191" s="2" t="str">
        <f t="shared" si="2"/>
        <v>Supermarket</v>
      </c>
      <c r="E191" s="1" t="s">
        <v>104</v>
      </c>
      <c r="F191" s="1"/>
      <c r="G191" s="80"/>
      <c r="H191" s="80"/>
      <c r="I191" s="81"/>
      <c r="J191" s="81"/>
      <c r="K191" s="80"/>
      <c r="L191" s="80"/>
    </row>
    <row r="192" spans="4:12" x14ac:dyDescent="0.3">
      <c r="D192" s="2" t="str">
        <f t="shared" si="2"/>
        <v>Supermarket</v>
      </c>
      <c r="E192" s="1" t="s">
        <v>104</v>
      </c>
      <c r="F192" s="1"/>
      <c r="G192" s="80"/>
      <c r="H192" s="80"/>
      <c r="I192" s="81"/>
      <c r="J192" s="81"/>
      <c r="K192" s="80"/>
      <c r="L192" s="80"/>
    </row>
    <row r="193" spans="4:12" x14ac:dyDescent="0.3">
      <c r="D193" s="2" t="str">
        <f t="shared" si="2"/>
        <v>Supermarket</v>
      </c>
      <c r="E193" s="1" t="s">
        <v>104</v>
      </c>
      <c r="F193" s="1"/>
      <c r="G193" s="80"/>
      <c r="H193" s="80"/>
      <c r="I193" s="81"/>
      <c r="J193" s="81"/>
      <c r="K193" s="80"/>
      <c r="L193" s="80"/>
    </row>
    <row r="194" spans="4:12" x14ac:dyDescent="0.3">
      <c r="D194" s="2" t="str">
        <f t="shared" si="2"/>
        <v>Supermarket</v>
      </c>
      <c r="E194" s="1" t="s">
        <v>104</v>
      </c>
      <c r="F194" s="1"/>
      <c r="G194" s="80"/>
      <c r="H194" s="80"/>
      <c r="I194" s="81"/>
      <c r="J194" s="81"/>
      <c r="K194" s="80"/>
      <c r="L194" s="80"/>
    </row>
    <row r="195" spans="4:12" x14ac:dyDescent="0.3">
      <c r="D195" s="2" t="str">
        <f t="shared" si="2"/>
        <v>Supermarket</v>
      </c>
      <c r="E195" s="1" t="s">
        <v>104</v>
      </c>
      <c r="F195" s="1"/>
      <c r="G195" s="80"/>
      <c r="H195" s="80"/>
      <c r="I195" s="81"/>
      <c r="J195" s="81"/>
      <c r="K195" s="80"/>
      <c r="L195" s="80"/>
    </row>
    <row r="196" spans="4:12" x14ac:dyDescent="0.3">
      <c r="D196" s="2" t="str">
        <f t="shared" ref="D196:D200" si="3">E196&amp;F196</f>
        <v>Supermarket</v>
      </c>
      <c r="E196" s="1" t="s">
        <v>104</v>
      </c>
      <c r="F196" s="1"/>
      <c r="G196" s="80"/>
      <c r="H196" s="80"/>
      <c r="I196" s="81"/>
      <c r="J196" s="81"/>
      <c r="K196" s="80"/>
      <c r="L196" s="80"/>
    </row>
    <row r="197" spans="4:12" x14ac:dyDescent="0.3">
      <c r="D197" s="2" t="str">
        <f t="shared" si="3"/>
        <v>Supermarket</v>
      </c>
      <c r="E197" s="1" t="s">
        <v>104</v>
      </c>
      <c r="F197" s="1"/>
      <c r="G197" s="80"/>
      <c r="H197" s="80"/>
      <c r="I197" s="81"/>
      <c r="J197" s="81"/>
      <c r="K197" s="80"/>
      <c r="L197" s="80"/>
    </row>
    <row r="198" spans="4:12" x14ac:dyDescent="0.3">
      <c r="D198" s="2" t="str">
        <f t="shared" si="3"/>
        <v>Supermarket</v>
      </c>
      <c r="E198" s="1" t="s">
        <v>104</v>
      </c>
      <c r="F198" s="1"/>
      <c r="G198" s="80"/>
      <c r="H198" s="80"/>
      <c r="I198" s="81"/>
      <c r="J198" s="81"/>
      <c r="K198" s="80"/>
      <c r="L198" s="80"/>
    </row>
    <row r="199" spans="4:12" x14ac:dyDescent="0.3">
      <c r="D199" s="2" t="str">
        <f t="shared" si="3"/>
        <v>Supermarket</v>
      </c>
      <c r="E199" s="1" t="s">
        <v>104</v>
      </c>
      <c r="F199" s="1"/>
      <c r="G199" s="80"/>
      <c r="H199" s="80"/>
      <c r="I199" s="81"/>
      <c r="J199" s="81"/>
      <c r="K199" s="80"/>
      <c r="L199" s="80"/>
    </row>
    <row r="200" spans="4:12" x14ac:dyDescent="0.3">
      <c r="D200" s="2" t="str">
        <f t="shared" si="3"/>
        <v>Supermarket</v>
      </c>
      <c r="E200" s="1" t="s">
        <v>104</v>
      </c>
      <c r="F200" s="1"/>
      <c r="G200" s="80"/>
      <c r="H200" s="80"/>
      <c r="I200" s="81"/>
      <c r="J200" s="81"/>
      <c r="K200" s="80"/>
      <c r="L200" s="8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369C-27F8-43F4-AB6A-BF232DBC070F}">
  <sheetPr codeName="Sheet2">
    <tabColor theme="9" tint="0.79998168889431442"/>
  </sheetPr>
  <dimension ref="B1:BE24"/>
  <sheetViews>
    <sheetView workbookViewId="0">
      <selection activeCell="S11" sqref="S11:T11"/>
    </sheetView>
  </sheetViews>
  <sheetFormatPr defaultRowHeight="14.4" x14ac:dyDescent="0.3"/>
  <cols>
    <col min="1" max="1" width="3.77734375" customWidth="1"/>
    <col min="2" max="2" width="23.77734375" bestFit="1" customWidth="1"/>
    <col min="3" max="3" width="10.6640625" bestFit="1" customWidth="1"/>
    <col min="4" max="4" width="19.33203125" bestFit="1" customWidth="1"/>
    <col min="5" max="5" width="8" bestFit="1" customWidth="1"/>
    <col min="6" max="6" width="19.33203125" bestFit="1" customWidth="1"/>
    <col min="7" max="7" width="14.109375" bestFit="1" customWidth="1"/>
    <col min="8" max="10" width="12" bestFit="1" customWidth="1"/>
    <col min="11" max="11" width="15.109375" bestFit="1" customWidth="1"/>
    <col min="12" max="12" width="13.109375" bestFit="1" customWidth="1"/>
    <col min="13" max="13" width="11.88671875" bestFit="1" customWidth="1"/>
    <col min="14" max="14" width="8.21875" bestFit="1" customWidth="1"/>
    <col min="15" max="15" width="8.5546875" bestFit="1" customWidth="1"/>
    <col min="16" max="16" width="9" bestFit="1" customWidth="1"/>
    <col min="17" max="17" width="9.5546875" bestFit="1" customWidth="1"/>
    <col min="18" max="18" width="16.6640625" bestFit="1" customWidth="1"/>
    <col min="19" max="22" width="12.44140625" bestFit="1" customWidth="1"/>
    <col min="23" max="23" width="16.88671875" bestFit="1" customWidth="1"/>
    <col min="24" max="24" width="16.6640625" bestFit="1" customWidth="1"/>
    <col min="25" max="25" width="6.109375" bestFit="1" customWidth="1"/>
    <col min="26" max="26" width="13" bestFit="1" customWidth="1"/>
    <col min="27" max="27" width="14.109375" bestFit="1" customWidth="1"/>
    <col min="28" max="28" width="12" bestFit="1" customWidth="1"/>
    <col min="29" max="30" width="13" bestFit="1" customWidth="1"/>
    <col min="31" max="31" width="10.77734375" bestFit="1" customWidth="1"/>
    <col min="32" max="32" width="12.109375" bestFit="1" customWidth="1"/>
    <col min="33" max="33" width="13.77734375" bestFit="1" customWidth="1"/>
    <col min="34" max="34" width="13.33203125" bestFit="1" customWidth="1"/>
    <col min="35" max="35" width="13.21875" bestFit="1" customWidth="1"/>
    <col min="36" max="36" width="18.5546875" bestFit="1" customWidth="1"/>
    <col min="37" max="37" width="20.109375" bestFit="1" customWidth="1"/>
    <col min="38" max="38" width="18.5546875" bestFit="1" customWidth="1"/>
    <col min="39" max="39" width="17.21875" bestFit="1" customWidth="1"/>
    <col min="40" max="41" width="13.88671875" bestFit="1" customWidth="1"/>
    <col min="42" max="42" width="14.109375" bestFit="1" customWidth="1"/>
    <col min="43" max="45" width="12.44140625" bestFit="1" customWidth="1"/>
    <col min="46" max="46" width="14.109375" bestFit="1" customWidth="1"/>
    <col min="47" max="48" width="12" bestFit="1" customWidth="1"/>
    <col min="49" max="49" width="13.109375" bestFit="1" customWidth="1"/>
    <col min="50" max="50" width="15.21875" customWidth="1"/>
    <col min="51" max="51" width="18.33203125" bestFit="1" customWidth="1"/>
    <col min="52" max="57" width="15.21875" customWidth="1"/>
    <col min="58" max="75" width="12" bestFit="1" customWidth="1"/>
  </cols>
  <sheetData>
    <row r="1" spans="2:57" x14ac:dyDescent="0.3">
      <c r="B1" s="85" t="s">
        <v>88</v>
      </c>
      <c r="I1" s="15" t="s">
        <v>93</v>
      </c>
      <c r="P1" s="15" t="s">
        <v>89</v>
      </c>
      <c r="Y1" s="15" t="s">
        <v>90</v>
      </c>
      <c r="AR1" s="15" t="s">
        <v>92</v>
      </c>
      <c r="AS1" s="15" t="s">
        <v>91</v>
      </c>
      <c r="AX1" s="15" t="s">
        <v>94</v>
      </c>
      <c r="AY1" s="4"/>
      <c r="AZ1" s="4"/>
    </row>
    <row r="2" spans="2:57" x14ac:dyDescent="0.3">
      <c r="B2" s="83" t="str">
        <f>"L0_"&amp;B3</f>
        <v>L0_Graph_Colour</v>
      </c>
      <c r="D2" s="4" t="str">
        <f t="shared" ref="D2:F2" si="0">"L0_"&amp;D3</f>
        <v>L0_Key_Brand</v>
      </c>
      <c r="E2" s="4" t="str">
        <f t="shared" si="0"/>
        <v>L0_Channel</v>
      </c>
      <c r="F2" s="4" t="str">
        <f t="shared" si="0"/>
        <v>L0_Brand</v>
      </c>
      <c r="G2" s="4" t="str">
        <f>"L0_"&amp;G3</f>
        <v>L0_RSV</v>
      </c>
      <c r="H2" s="4" t="str">
        <f t="shared" ref="H2:AY2" si="1">"L0_"&amp;H3</f>
        <v>L0_Vol</v>
      </c>
      <c r="I2" s="4" t="str">
        <f t="shared" si="1"/>
        <v>L0_CSF</v>
      </c>
      <c r="J2" s="4" t="str">
        <f t="shared" si="1"/>
        <v>L0_MCV</v>
      </c>
      <c r="K2" s="4" t="str">
        <f t="shared" si="1"/>
        <v>L0_RSV_Total</v>
      </c>
      <c r="L2" s="4" t="str">
        <f t="shared" si="1"/>
        <v>L0_Volume_Total</v>
      </c>
      <c r="M2" s="4" t="str">
        <f t="shared" si="1"/>
        <v>L0_Current Price</v>
      </c>
      <c r="N2" s="4" t="str">
        <f t="shared" si="1"/>
        <v>L0_Price_FP</v>
      </c>
      <c r="O2" s="4" t="str">
        <f t="shared" si="1"/>
        <v>L0_Elasticity</v>
      </c>
      <c r="P2" s="4" t="str">
        <f t="shared" si="1"/>
        <v>L0_Val Share</v>
      </c>
      <c r="Q2" s="4" t="str">
        <f t="shared" si="1"/>
        <v>L0_Vol. Share</v>
      </c>
      <c r="R2" s="4" t="str">
        <f t="shared" si="1"/>
        <v>L0_NSV_to_RSV_o</v>
      </c>
      <c r="S2" s="4" t="str">
        <f t="shared" si="1"/>
        <v>L0_NSV_to_GM_o</v>
      </c>
      <c r="T2" s="4" t="str">
        <f t="shared" si="1"/>
        <v>L0_NSV_o</v>
      </c>
      <c r="U2" s="4" t="str">
        <f t="shared" si="1"/>
        <v>L0_GM_o</v>
      </c>
      <c r="V2" s="4" t="str">
        <f t="shared" si="1"/>
        <v>L0_Fixed Cost</v>
      </c>
      <c r="W2" s="4" t="str">
        <f t="shared" si="1"/>
        <v>L0_Fixed Cost per Unit</v>
      </c>
      <c r="X2" s="4" t="str">
        <f t="shared" si="1"/>
        <v>L0_TPV</v>
      </c>
      <c r="Y2" s="4" t="str">
        <f t="shared" si="1"/>
        <v>L0_PVS</v>
      </c>
      <c r="Z2" s="4" t="str">
        <f t="shared" si="1"/>
        <v>L0_MS Headroom</v>
      </c>
      <c r="AA2" s="4" t="str">
        <f t="shared" si="1"/>
        <v>L0_RSV_i</v>
      </c>
      <c r="AB2" s="4" t="str">
        <f t="shared" si="1"/>
        <v>L0_Vol_i</v>
      </c>
      <c r="AC2" s="4" t="str">
        <f t="shared" si="1"/>
        <v>L0_NSV_i</v>
      </c>
      <c r="AD2" s="4" t="str">
        <f t="shared" si="1"/>
        <v>L0_GM_i</v>
      </c>
      <c r="AE2" s="4" t="str">
        <f t="shared" si="1"/>
        <v>L0_Vol_Share_i</v>
      </c>
      <c r="AF2" s="4" t="str">
        <f t="shared" si="1"/>
        <v>L0_New Price</v>
      </c>
      <c r="AG2" s="4" t="str">
        <f t="shared" si="1"/>
        <v>L0_NSV_to_RSV</v>
      </c>
      <c r="AH2" s="4" t="str">
        <f t="shared" si="1"/>
        <v>L0_NSV_to_GM</v>
      </c>
      <c r="AI2" s="4" t="str">
        <f t="shared" si="1"/>
        <v>L0_Price_Chng</v>
      </c>
      <c r="AJ2" s="4" t="str">
        <f t="shared" si="1"/>
        <v>L0_Revised_New_Vol</v>
      </c>
      <c r="AK2" s="4" t="str">
        <f t="shared" si="1"/>
        <v>L0_New Category Price</v>
      </c>
      <c r="AL2" s="4" t="str">
        <f t="shared" si="1"/>
        <v>L0_Chg Category Price</v>
      </c>
      <c r="AM2" s="4" t="str">
        <f t="shared" si="1"/>
        <v>L0_Chng in Cat Vol.</v>
      </c>
      <c r="AN2" s="4" t="str">
        <f t="shared" si="1"/>
        <v>L0_New Cat Vol</v>
      </c>
      <c r="AO2" s="4" t="str">
        <f t="shared" si="1"/>
        <v>L0_New Cat Val</v>
      </c>
      <c r="AP2" s="4" t="str">
        <f t="shared" si="1"/>
        <v>L0_TPV_n</v>
      </c>
      <c r="AQ2" s="4" t="str">
        <f t="shared" si="1"/>
        <v>L0_TPV_Share</v>
      </c>
      <c r="AR2" s="4" t="str">
        <f t="shared" si="1"/>
        <v>L0_PVS_N</v>
      </c>
      <c r="AS2" s="4" t="str">
        <f t="shared" si="1"/>
        <v>L0_MSP_N</v>
      </c>
      <c r="AT2" s="4" t="str">
        <f t="shared" si="1"/>
        <v>L0_RSV_N</v>
      </c>
      <c r="AU2" s="4" t="str">
        <f t="shared" si="1"/>
        <v>L0_New Vol</v>
      </c>
      <c r="AV2" s="4" t="str">
        <f t="shared" si="1"/>
        <v>L0_New NSV</v>
      </c>
      <c r="AW2" s="4" t="str">
        <f t="shared" si="1"/>
        <v>L0_New GP</v>
      </c>
      <c r="AX2" s="4" t="str">
        <f t="shared" si="1"/>
        <v>L0_Final CSF</v>
      </c>
      <c r="AY2" s="4" t="str">
        <f t="shared" si="1"/>
        <v>L0_Simulated Vol Share</v>
      </c>
      <c r="AZ2" s="70" t="str">
        <f t="shared" ref="AZ2" si="2">"L0_"&amp;AZ3</f>
        <v>L0_Current RPI_1</v>
      </c>
      <c r="BA2" s="70" t="str">
        <f t="shared" ref="BA2:BB2" si="3">"L0_"&amp;BA3</f>
        <v>L0_Current RPI_2</v>
      </c>
      <c r="BB2" s="70" t="str">
        <f t="shared" si="3"/>
        <v>L0_Current RPI_3</v>
      </c>
      <c r="BC2" s="70" t="str">
        <f t="shared" ref="BC2" si="4">"L0_"&amp;BC3</f>
        <v>L0_Proposed RPI_1</v>
      </c>
      <c r="BD2" s="70" t="str">
        <f t="shared" ref="BD2:BE2" si="5">"L0_"&amp;BD3</f>
        <v>L0_Proposed RPI_2</v>
      </c>
      <c r="BE2" s="70" t="str">
        <f t="shared" si="5"/>
        <v>L0_Proposed RPI_3</v>
      </c>
    </row>
    <row r="3" spans="2:57" x14ac:dyDescent="0.3">
      <c r="B3" s="83" t="s">
        <v>82</v>
      </c>
      <c r="D3" s="4" t="s">
        <v>38</v>
      </c>
      <c r="E3" s="4" t="s">
        <v>0</v>
      </c>
      <c r="F3" s="4" t="s">
        <v>1</v>
      </c>
      <c r="G3" s="6" t="s">
        <v>2</v>
      </c>
      <c r="H3" s="6" t="s">
        <v>3</v>
      </c>
      <c r="I3" s="6" t="s">
        <v>4</v>
      </c>
      <c r="J3" s="6" t="s">
        <v>5</v>
      </c>
      <c r="K3" s="6" t="s">
        <v>6</v>
      </c>
      <c r="L3" s="6" t="s">
        <v>7</v>
      </c>
      <c r="M3" s="5" t="s">
        <v>9</v>
      </c>
      <c r="N3" s="5" t="s">
        <v>11</v>
      </c>
      <c r="O3" s="5" t="s">
        <v>10</v>
      </c>
      <c r="P3" s="5" t="s">
        <v>18</v>
      </c>
      <c r="Q3" s="5" t="s">
        <v>17</v>
      </c>
      <c r="R3" s="5" t="s">
        <v>24</v>
      </c>
      <c r="S3" s="5" t="s">
        <v>25</v>
      </c>
      <c r="T3" s="9" t="s">
        <v>26</v>
      </c>
      <c r="U3" s="9" t="s">
        <v>27</v>
      </c>
      <c r="V3" s="9" t="s">
        <v>43</v>
      </c>
      <c r="W3" s="9" t="s">
        <v>44</v>
      </c>
      <c r="X3" s="5" t="s">
        <v>20</v>
      </c>
      <c r="Y3" s="5" t="s">
        <v>21</v>
      </c>
      <c r="Z3" s="5" t="s">
        <v>22</v>
      </c>
      <c r="AA3" s="5" t="s">
        <v>64</v>
      </c>
      <c r="AB3" s="5" t="s">
        <v>23</v>
      </c>
      <c r="AC3" s="5" t="s">
        <v>19</v>
      </c>
      <c r="AD3" s="5" t="s">
        <v>65</v>
      </c>
      <c r="AE3" s="117" t="s">
        <v>100</v>
      </c>
      <c r="AF3" s="5" t="s">
        <v>12</v>
      </c>
      <c r="AG3" s="23" t="s">
        <v>15</v>
      </c>
      <c r="AH3" s="23" t="s">
        <v>16</v>
      </c>
      <c r="AI3" s="5" t="s">
        <v>13</v>
      </c>
      <c r="AJ3" s="5" t="s">
        <v>14</v>
      </c>
      <c r="AK3" s="14" t="s">
        <v>28</v>
      </c>
      <c r="AL3" s="14" t="s">
        <v>79</v>
      </c>
      <c r="AM3" s="15" t="s">
        <v>29</v>
      </c>
      <c r="AN3" s="15" t="s">
        <v>31</v>
      </c>
      <c r="AO3" s="15" t="s">
        <v>32</v>
      </c>
      <c r="AP3" s="4" t="s">
        <v>33</v>
      </c>
      <c r="AQ3" s="4" t="s">
        <v>34</v>
      </c>
      <c r="AR3" s="4" t="s">
        <v>40</v>
      </c>
      <c r="AS3" s="4" t="s">
        <v>41</v>
      </c>
      <c r="AT3" s="4" t="s">
        <v>42</v>
      </c>
      <c r="AU3" s="4" t="s">
        <v>35</v>
      </c>
      <c r="AV3" s="4" t="s">
        <v>36</v>
      </c>
      <c r="AW3" s="4" t="s">
        <v>37</v>
      </c>
      <c r="AX3" s="4" t="s">
        <v>66</v>
      </c>
      <c r="AY3" s="87" t="s">
        <v>95</v>
      </c>
      <c r="AZ3" s="70" t="s">
        <v>68</v>
      </c>
      <c r="BA3" s="70" t="s">
        <v>69</v>
      </c>
      <c r="BB3" s="70" t="s">
        <v>101</v>
      </c>
      <c r="BC3" s="70" t="s">
        <v>70</v>
      </c>
      <c r="BD3" s="70" t="s">
        <v>71</v>
      </c>
      <c r="BE3" s="70" t="s">
        <v>102</v>
      </c>
    </row>
    <row r="4" spans="2:57" ht="14.4" customHeight="1" x14ac:dyDescent="0.3">
      <c r="B4" s="84" t="s">
        <v>83</v>
      </c>
      <c r="C4" s="4">
        <v>1</v>
      </c>
      <c r="D4" s="78" t="str">
        <f>IFERROR(E4&amp;F4,"")</f>
        <v>SupermarketHEINZ</v>
      </c>
      <c r="E4" s="3" t="s">
        <v>104</v>
      </c>
      <c r="F4" s="79" t="str">
        <f>IFERROR(INDEX('Input - Supermarket'!$N$3:$N$200,MATCH('Calculations - Supermarket'!$C4,'Input - Supermarket'!$O$3:$O$200,0)),"")</f>
        <v>HEINZ</v>
      </c>
      <c r="G4" s="16">
        <f>IFERROR(INDEX('Input - Supermarket'!G$2:G$200,MATCH('Calculations - Supermarket'!$D4,'Input - Supermarket'!$D$2:$D$200,0)),"")</f>
        <v>10370792.859999999</v>
      </c>
      <c r="H4" s="16">
        <f>IFERROR(INDEX('Input - Supermarket'!H$2:H$200,MATCH('Calculations - Supermarket'!$D4,'Input - Supermarket'!$D$2:$D$200,0)),"")</f>
        <v>1861485.9469999999</v>
      </c>
      <c r="I4" s="20">
        <f>IFERROR(INDEX('Input - Supermarket'!I$2:I$200,MATCH('Calculations - Supermarket'!$D4,'Input - Supermarket'!$D$2:$D$200,0)),"")</f>
        <v>1.80150803570915</v>
      </c>
      <c r="J4" s="20">
        <f>IFERROR(INDEX('Input - Supermarket'!J$2:J$200,MATCH('Calculations - Supermarket'!$D4,'Input - Supermarket'!$D$2:$D$200,0)),"")</f>
        <v>10.0366412671957</v>
      </c>
      <c r="K4" s="16">
        <f>IFERROR(INDEX('Input - Supermarket'!K$2:K$200,MATCH('Calculations - Supermarket'!$D4,'Input - Supermarket'!$D$2:$D$200,0)),"")</f>
        <v>31269816.949999999</v>
      </c>
      <c r="L4" s="16">
        <f>IFERROR(INDEX('Input - Supermarket'!L$2:L$200,MATCH('Calculations - Supermarket'!$D4,'Input - Supermarket'!$D$2:$D$200,0)),"")</f>
        <v>5779870.2759999996</v>
      </c>
      <c r="M4" s="17">
        <f>IFERROR(G4/H4,"")</f>
        <v>5.5712442399652451</v>
      </c>
      <c r="N4" s="17">
        <f t="shared" ref="N4:N24" si="6">IFERROR(K4/L4,"")</f>
        <v>5.4101243551854417</v>
      </c>
      <c r="O4" s="17">
        <f>IFERROR((M4/(M4-J4)*5),"")</f>
        <v>-6.2382406379446431</v>
      </c>
      <c r="P4" s="9">
        <f t="shared" ref="P4:P23" si="7">IFERROR(G4/SUM(G$4:G$23),"")</f>
        <v>0.31559170892391725</v>
      </c>
      <c r="Q4" s="9">
        <f t="shared" ref="Q4:Q23" si="8">IFERROR(H4/SUM(H$4:H$23),"")</f>
        <v>0.27239867668007739</v>
      </c>
      <c r="R4" s="8">
        <f>IFERROR(INDEX(Supermarket!$U$12:$U$55,MATCH('Calculations - Supermarket'!$D4,Supermarket!$Q$12:$Q$55,0)),"-")</f>
        <v>0.8</v>
      </c>
      <c r="S4" s="8">
        <f>IFERROR(INDEX(Supermarket!$V$12:$V$55,MATCH('Calculations - Supermarket'!$D4,Supermarket!$Q$12:$Q$55,0)),"-")</f>
        <v>0.3</v>
      </c>
      <c r="T4">
        <f>IFERROR(R4*G4,"-")</f>
        <v>8296634.2879999997</v>
      </c>
      <c r="U4">
        <f>IFERROR(S4*T4,"-")</f>
        <v>2488990.2863999996</v>
      </c>
      <c r="V4">
        <f>IFERROR(T4-U4,"-")</f>
        <v>5807644.0016000001</v>
      </c>
      <c r="W4">
        <f t="shared" ref="W4:W23" si="9">IFERROR(V4/H4,"-")</f>
        <v>3.1198967743805377</v>
      </c>
      <c r="X4" s="10">
        <f t="shared" ref="X4:X23" si="10">IFERROR((J4+M4)*H4*0.5,"-")</f>
        <v>14526929.766982531</v>
      </c>
      <c r="Y4" s="7">
        <f>IFERROR(X4/$X$24,"")</f>
        <v>0.31729679782200643</v>
      </c>
      <c r="Z4" s="11">
        <f>IFERROR(Y4-P4,"-")</f>
        <v>1.7050888980891798E-3</v>
      </c>
      <c r="AA4">
        <f>IFERROR(Y4*$G$24,"-")</f>
        <v>10426824.508709222</v>
      </c>
      <c r="AB4" s="13">
        <f t="shared" ref="AB4:AB23" si="11">IFERROR(AA4/M4,"-")</f>
        <v>1871543.2423358031</v>
      </c>
      <c r="AC4" s="13">
        <f>IFERROR(R4*AA4,"-")</f>
        <v>8341459.6069673784</v>
      </c>
      <c r="AD4" s="13">
        <f>IFERROR(AC4-(W4)*AB4,"-")</f>
        <v>2502437.8820902137</v>
      </c>
      <c r="AE4" s="9">
        <f>IFERROR(AB4/$AB$24,"")</f>
        <v>0.2746402023240167</v>
      </c>
      <c r="AF4" s="10">
        <f>IFERROR(INDEX(Supermarket!$T$12:$T$55,MATCH('Calculations - Supermarket'!$D4,Supermarket!$Q$12:$Q$55,0)),"-")</f>
        <v>5.5712442399652451</v>
      </c>
      <c r="AG4" s="22">
        <f>R4</f>
        <v>0.8</v>
      </c>
      <c r="AH4" s="22">
        <f>S4</f>
        <v>0.3</v>
      </c>
      <c r="AI4" s="9">
        <f t="shared" ref="AI4:AI23" si="12">IFERROR((AF4-M4)/M4,"")</f>
        <v>0</v>
      </c>
      <c r="AJ4" s="4">
        <f t="shared" ref="AJ4:AJ23" si="13">IFERROR(MAX((1+AI4*O4/5)*H4,0),"")</f>
        <v>1861485.9469999999</v>
      </c>
      <c r="AK4" s="15">
        <f>SUMPRODUCT(AF$4:AF$23,AJ$4:AJ$23)/SUM(AJ$4:AJ$23)</f>
        <v>4.8087434349991076</v>
      </c>
      <c r="AL4" s="18">
        <f>$AK4/$M$24-1</f>
        <v>0</v>
      </c>
      <c r="AM4" s="18">
        <f>$AL4*$O$24/5</f>
        <v>0</v>
      </c>
      <c r="AN4" s="19">
        <f>(1+$AM4)*$H$24</f>
        <v>6833682.0490000006</v>
      </c>
      <c r="AO4" s="19">
        <f>AN4*AK4</f>
        <v>32861423.690000001</v>
      </c>
      <c r="AP4" s="16">
        <f t="shared" ref="AP4:AP23" si="14">IFERROR(0.5*(J4+AF4)*AJ4,"-")</f>
        <v>14526929.766982531</v>
      </c>
      <c r="AQ4" s="11">
        <f>IFERROR(AP4/AP$24,"")</f>
        <v>0.31729679782200643</v>
      </c>
      <c r="AR4" s="9">
        <f>IFERROR(AQ4*$P$24,"")</f>
        <v>0.31729679782200643</v>
      </c>
      <c r="AS4" s="11">
        <f>IFERROR(AR4-P4,"")</f>
        <v>1.7050888980891798E-3</v>
      </c>
      <c r="AT4" s="13">
        <f>IFERROR(AR4*AO$4,"-")</f>
        <v>10426824.508709222</v>
      </c>
      <c r="AU4" s="13">
        <f t="shared" ref="AU4:AU23" si="15">IFERROR(AT4/AF4,"-")</f>
        <v>1871543.2423358031</v>
      </c>
      <c r="AV4" s="4">
        <f>IFERROR(AT4*AG4,"-")</f>
        <v>8341459.6069673784</v>
      </c>
      <c r="AW4" s="13">
        <f t="shared" ref="AW4:AW23" si="16">IFERROR(AV4-(W4*AU4),"-")</f>
        <v>2502437.8820902137</v>
      </c>
      <c r="AX4">
        <f t="shared" ref="AX4:AX23" si="17">IFERROR(J4/AF4,"")</f>
        <v>1.8015080357091491</v>
      </c>
      <c r="AY4" s="9">
        <f>IFERROR(AU4/$AU$24,"-")</f>
        <v>0.2746402023240167</v>
      </c>
      <c r="AZ4" s="16">
        <f>IFERROR(100*$M$4/$M4,"")</f>
        <v>99.999999999999986</v>
      </c>
      <c r="BA4" s="16">
        <f>IFERROR(100*$M$5/$M4,"")</f>
        <v>102.14761250123759</v>
      </c>
      <c r="BB4" s="16">
        <f>IFERROR(100*$M$6/$M4,"")</f>
        <v>123.30948657819616</v>
      </c>
      <c r="BC4" s="16">
        <f>IFERROR(100*$AF$4/$AF4,"")</f>
        <v>99.999999999999986</v>
      </c>
      <c r="BD4" s="16">
        <f>IFERROR(100*$AF$5/$AF4,"")</f>
        <v>102.14761250123759</v>
      </c>
      <c r="BE4" s="16">
        <f>IFERROR(100*$AF$6/$AF4,"")</f>
        <v>123.30948657819616</v>
      </c>
    </row>
    <row r="5" spans="2:57" ht="14.4" customHeight="1" x14ac:dyDescent="0.3">
      <c r="B5" s="84" t="s">
        <v>84</v>
      </c>
      <c r="C5" s="4">
        <v>2</v>
      </c>
      <c r="D5" s="78" t="str">
        <f t="shared" ref="D5:D24" si="18">IFERROR(E5&amp;F5,"")</f>
        <v>SupermarketHP</v>
      </c>
      <c r="E5" s="3" t="s">
        <v>104</v>
      </c>
      <c r="F5" s="79" t="str">
        <f>IFERROR(INDEX('Input - Supermarket'!$N$3:$N$200,MATCH('Calculations - Supermarket'!$C5,'Input - Supermarket'!$O$3:$O$200,0)),"")</f>
        <v>HP</v>
      </c>
      <c r="G5" s="16">
        <f>IFERROR(INDEX('Input - Supermarket'!G$2:G$200,MATCH('Calculations - Supermarket'!$D5,'Input - Supermarket'!$D$2:$D$200,0)),"")</f>
        <v>3072978.15</v>
      </c>
      <c r="H5" s="16">
        <f>IFERROR(INDEX('Input - Supermarket'!H$2:H$200,MATCH('Calculations - Supermarket'!$D5,'Input - Supermarket'!$D$2:$D$200,0)),"")</f>
        <v>539981.71499999997</v>
      </c>
      <c r="I5" s="20">
        <f>IFERROR(INDEX('Input - Supermarket'!I$2:I$200,MATCH('Calculations - Supermarket'!$D5,'Input - Supermarket'!$D$2:$D$200,0)),"")</f>
        <v>1.7183790863642501</v>
      </c>
      <c r="J5" s="20">
        <f>IFERROR(INDEX('Input - Supermarket'!J$2:J$200,MATCH('Calculations - Supermarket'!$D5,'Input - Supermarket'!$D$2:$D$200,0)),"")</f>
        <v>9.7791114756808</v>
      </c>
      <c r="K5" s="16">
        <f>IFERROR(INDEX('Input - Supermarket'!K$2:K$200,MATCH('Calculations - Supermarket'!$D5,'Input - Supermarket'!$D$2:$D$200,0)),"")</f>
        <v>10011191.27</v>
      </c>
      <c r="L5" s="16">
        <f>IFERROR(INDEX('Input - Supermarket'!L$2:L$200,MATCH('Calculations - Supermarket'!$D5,'Input - Supermarket'!$D$2:$D$200,0)),"")</f>
        <v>1836525.405</v>
      </c>
      <c r="M5" s="17">
        <f t="shared" ref="M5:M24" si="19">IFERROR(G5/H5,"")</f>
        <v>5.6908929777372181</v>
      </c>
      <c r="N5" s="17">
        <f t="shared" si="6"/>
        <v>5.4511586078494787</v>
      </c>
      <c r="O5" s="17">
        <f t="shared" ref="O5:O24" si="20">IFERROR((M5/(M5-J5)*5),"")</f>
        <v>-6.9601135318474281</v>
      </c>
      <c r="P5" s="9">
        <f t="shared" si="7"/>
        <v>9.3513238470405408E-2</v>
      </c>
      <c r="Q5" s="9">
        <f t="shared" si="8"/>
        <v>7.901768199458703E-2</v>
      </c>
      <c r="R5" s="8">
        <f>IFERROR(INDEX(Supermarket!$U$12:$U$55,MATCH('Calculations - Supermarket'!$D5,Supermarket!$Q$12:$Q$55,0)),"-")</f>
        <v>0.8</v>
      </c>
      <c r="S5" s="8">
        <f>IFERROR(INDEX(Supermarket!$V$12:$V$55,MATCH('Calculations - Supermarket'!$D5,Supermarket!$Q$12:$Q$55,0)),"-")</f>
        <v>0.3</v>
      </c>
      <c r="T5">
        <f t="shared" ref="T5:T23" si="21">IFERROR(R5*G5,"-")</f>
        <v>2458382.52</v>
      </c>
      <c r="U5">
        <f t="shared" ref="U5:U23" si="22">IFERROR(S5*T5,"-")</f>
        <v>737514.75599999994</v>
      </c>
      <c r="V5">
        <f t="shared" ref="V5:V23" si="23">IFERROR(T5-U5,"-")</f>
        <v>1720867.764</v>
      </c>
      <c r="W5">
        <f t="shared" si="9"/>
        <v>3.1869000675328425</v>
      </c>
      <c r="X5" s="10">
        <f t="shared" si="10"/>
        <v>4176759.7679071492</v>
      </c>
      <c r="Y5" s="7">
        <f t="shared" ref="Y5:Y23" si="24">IFERROR(X5/$X$24,"")</f>
        <v>9.122867122555138E-2</v>
      </c>
      <c r="Z5" s="11">
        <f t="shared" ref="Z5:Z23" si="25">IFERROR(Y5-P5,"-")</f>
        <v>-2.2845672448540272E-3</v>
      </c>
      <c r="AA5">
        <f t="shared" ref="AA5:AA23" si="26">IFERROR(Y5*$G$24,"-")</f>
        <v>2997904.0178185557</v>
      </c>
      <c r="AB5" s="13">
        <f t="shared" si="11"/>
        <v>526789.73748871416</v>
      </c>
      <c r="AC5" s="13">
        <f t="shared" ref="AC5:AC23" si="27">IFERROR(R5*AA5,"-")</f>
        <v>2398323.2142548445</v>
      </c>
      <c r="AD5" s="13">
        <f t="shared" ref="AD5:AD23" si="28">IFERROR(AC5-(W5)*AB5,"-")</f>
        <v>719496.96427645301</v>
      </c>
      <c r="AE5" s="9">
        <f t="shared" ref="AE5:AE23" si="29">IFERROR(AB5/$AB$24,"")</f>
        <v>7.7303925879665669E-2</v>
      </c>
      <c r="AF5" s="10">
        <f>IFERROR(INDEX(Supermarket!$T$12:$T$55,MATCH('Calculations - Supermarket'!$D5,Supermarket!$Q$12:$Q$55,0)),"-")</f>
        <v>5.6908929777372181</v>
      </c>
      <c r="AG5" s="22">
        <f t="shared" ref="AG5:AG23" si="30">R5</f>
        <v>0.8</v>
      </c>
      <c r="AH5" s="22">
        <f t="shared" ref="AH5:AH23" si="31">S5</f>
        <v>0.3</v>
      </c>
      <c r="AI5" s="9">
        <f t="shared" si="12"/>
        <v>0</v>
      </c>
      <c r="AJ5" s="4">
        <f t="shared" si="13"/>
        <v>539981.71499999997</v>
      </c>
      <c r="AP5" s="16">
        <f t="shared" si="14"/>
        <v>4176759.7679071492</v>
      </c>
      <c r="AQ5" s="11">
        <f t="shared" ref="AQ5:AQ24" si="32">IFERROR(AP5/AP$24,"")</f>
        <v>9.122867122555138E-2</v>
      </c>
      <c r="AR5" s="9">
        <f t="shared" ref="AR5:AR24" si="33">IFERROR(AQ5*$P$24,"")</f>
        <v>9.122867122555138E-2</v>
      </c>
      <c r="AS5" s="11">
        <f t="shared" ref="AS5:AS24" si="34">IFERROR(AR5-P5,"")</f>
        <v>-2.2845672448540272E-3</v>
      </c>
      <c r="AT5" s="13">
        <f t="shared" ref="AT5:AT23" si="35">IFERROR(AR5*AO$4,"-")</f>
        <v>2997904.0178185557</v>
      </c>
      <c r="AU5" s="13">
        <f t="shared" si="15"/>
        <v>526789.73748871416</v>
      </c>
      <c r="AV5" s="4">
        <f t="shared" ref="AV5:AV23" si="36">IFERROR(AT5*AG5,"-")</f>
        <v>2398323.2142548445</v>
      </c>
      <c r="AW5" s="13">
        <f t="shared" si="16"/>
        <v>719496.96427645301</v>
      </c>
      <c r="AX5">
        <f t="shared" si="17"/>
        <v>1.7183790863642487</v>
      </c>
      <c r="AY5" s="9">
        <f t="shared" ref="AY5:AY23" si="37">IFERROR(AU5/$AU$24,"-")</f>
        <v>7.7303925879665669E-2</v>
      </c>
      <c r="AZ5" s="16">
        <f t="shared" ref="AZ5:AZ24" si="38">IFERROR(100*$M$4/$M5,"")</f>
        <v>97.897540188507506</v>
      </c>
      <c r="BA5" s="16">
        <f t="shared" ref="BA5:BA24" si="39">IFERROR(100*$M$5/$M5,"")</f>
        <v>100</v>
      </c>
      <c r="BB5" s="16">
        <f t="shared" ref="BB5:BB24" si="40">IFERROR(100*$M$6/$M5,"")</f>
        <v>120.71695417913186</v>
      </c>
      <c r="BC5" s="16">
        <f t="shared" ref="BC5:BC24" si="41">IFERROR(100*$AF$4/$AF5,"")</f>
        <v>97.897540188507506</v>
      </c>
      <c r="BD5" s="16">
        <f t="shared" ref="BD5:BD24" si="42">IFERROR(100*$AF$5/$AF5,"")</f>
        <v>100</v>
      </c>
      <c r="BE5" s="16">
        <f t="shared" ref="BE5:BE24" si="43">IFERROR(100*$AF$6/$AF5,"")</f>
        <v>120.71695417913186</v>
      </c>
    </row>
    <row r="6" spans="2:57" ht="14.4" customHeight="1" x14ac:dyDescent="0.3">
      <c r="B6" s="84" t="s">
        <v>85</v>
      </c>
      <c r="C6" s="4">
        <v>3</v>
      </c>
      <c r="D6" s="78" t="str">
        <f t="shared" si="18"/>
        <v>SupermarketBULLS EYE</v>
      </c>
      <c r="E6" s="3" t="s">
        <v>104</v>
      </c>
      <c r="F6" s="79" t="str">
        <f>IFERROR(INDEX('Input - Supermarket'!$N$3:$N$200,MATCH('Calculations - Supermarket'!$C6,'Input - Supermarket'!$O$3:$O$200,0)),"")</f>
        <v>BULLS EYE</v>
      </c>
      <c r="G6" s="16">
        <f>IFERROR(INDEX('Input - Supermarket'!G$2:G$200,MATCH('Calculations - Supermarket'!$D6,'Input - Supermarket'!$D$2:$D$200,0)),"")</f>
        <v>2200221.7999999998</v>
      </c>
      <c r="H6" s="16">
        <f>IFERROR(INDEX('Input - Supermarket'!H$2:H$200,MATCH('Calculations - Supermarket'!$D6,'Input - Supermarket'!$D$2:$D$200,0)),"")</f>
        <v>320271.11800000002</v>
      </c>
      <c r="I6" s="20">
        <f>IFERROR(INDEX('Input - Supermarket'!I$2:I$200,MATCH('Calculations - Supermarket'!$D6,'Input - Supermarket'!$D$2:$D$200,0)),"")</f>
        <v>1.68474349145409</v>
      </c>
      <c r="J6" s="20">
        <f>IFERROR(INDEX('Input - Supermarket'!J$2:J$200,MATCH('Calculations - Supermarket'!$D6,'Input - Supermarket'!$D$2:$D$200,0)),"")</f>
        <v>11.573973265067901</v>
      </c>
      <c r="K6" s="16">
        <f>IFERROR(INDEX('Input - Supermarket'!K$2:K$200,MATCH('Calculations - Supermarket'!$D6,'Input - Supermarket'!$D$2:$D$200,0)),"")</f>
        <v>6630632.8600000003</v>
      </c>
      <c r="L6" s="16">
        <f>IFERROR(INDEX('Input - Supermarket'!L$2:L$200,MATCH('Calculations - Supermarket'!$D6,'Input - Supermarket'!$D$2:$D$200,0)),"")</f>
        <v>1014866.3149999999</v>
      </c>
      <c r="M6" s="17">
        <f t="shared" si="19"/>
        <v>6.8698726683184708</v>
      </c>
      <c r="N6" s="17">
        <f t="shared" si="6"/>
        <v>6.5335037354156356</v>
      </c>
      <c r="O6" s="17">
        <f t="shared" si="20"/>
        <v>-7.3020044183000739</v>
      </c>
      <c r="P6" s="9">
        <f t="shared" si="7"/>
        <v>6.6954548918997242E-2</v>
      </c>
      <c r="Q6" s="9">
        <f t="shared" si="8"/>
        <v>4.6866552424233217E-2</v>
      </c>
      <c r="R6" s="8">
        <f>IFERROR(INDEX(Supermarket!$U$12:$U$55,MATCH('Calculations - Supermarket'!$D6,Supermarket!$Q$12:$Q$55,0)),"-")</f>
        <v>0.8</v>
      </c>
      <c r="S6" s="8">
        <f>IFERROR(INDEX(Supermarket!$V$12:$V$55,MATCH('Calculations - Supermarket'!$D6,Supermarket!$Q$12:$Q$55,0)),"-")</f>
        <v>0.3</v>
      </c>
      <c r="T6">
        <f t="shared" si="21"/>
        <v>1760177.44</v>
      </c>
      <c r="U6">
        <f t="shared" si="22"/>
        <v>528053.23199999996</v>
      </c>
      <c r="V6">
        <f t="shared" si="23"/>
        <v>1232124.2080000001</v>
      </c>
      <c r="W6">
        <f t="shared" si="9"/>
        <v>3.8471286942583443</v>
      </c>
      <c r="X6" s="10">
        <f t="shared" si="10"/>
        <v>2953515.5786527032</v>
      </c>
      <c r="Y6" s="7">
        <f t="shared" si="24"/>
        <v>6.4510605506876609E-2</v>
      </c>
      <c r="Z6" s="11">
        <f t="shared" si="25"/>
        <v>-2.4439434121206333E-3</v>
      </c>
      <c r="AA6">
        <f t="shared" si="26"/>
        <v>2119910.3400599197</v>
      </c>
      <c r="AB6" s="13">
        <f t="shared" si="11"/>
        <v>308580.73248376627</v>
      </c>
      <c r="AC6" s="13">
        <f t="shared" si="27"/>
        <v>1695928.272047936</v>
      </c>
      <c r="AD6" s="13">
        <f t="shared" si="28"/>
        <v>508778.48161438084</v>
      </c>
      <c r="AE6" s="9">
        <f t="shared" si="29"/>
        <v>4.5282776740367049E-2</v>
      </c>
      <c r="AF6" s="10">
        <f>IFERROR(INDEX(Supermarket!$T$12:$T$55,MATCH('Calculations - Supermarket'!$D6,Supermarket!$Q$12:$Q$55,0)),"-")</f>
        <v>6.8698726683184708</v>
      </c>
      <c r="AG6" s="22">
        <f t="shared" si="30"/>
        <v>0.8</v>
      </c>
      <c r="AH6" s="22">
        <f t="shared" si="31"/>
        <v>0.3</v>
      </c>
      <c r="AI6" s="9">
        <f t="shared" si="12"/>
        <v>0</v>
      </c>
      <c r="AJ6" s="4">
        <f t="shared" si="13"/>
        <v>320271.11800000002</v>
      </c>
      <c r="AP6" s="16">
        <f t="shared" si="14"/>
        <v>2953515.5786527032</v>
      </c>
      <c r="AQ6" s="11">
        <f t="shared" si="32"/>
        <v>6.4510605506876609E-2</v>
      </c>
      <c r="AR6" s="9">
        <f t="shared" si="33"/>
        <v>6.4510605506876609E-2</v>
      </c>
      <c r="AS6" s="11">
        <f t="shared" si="34"/>
        <v>-2.4439434121206333E-3</v>
      </c>
      <c r="AT6" s="13">
        <f t="shared" si="35"/>
        <v>2119910.3400599197</v>
      </c>
      <c r="AU6" s="13">
        <f t="shared" si="15"/>
        <v>308580.73248376627</v>
      </c>
      <c r="AV6" s="4">
        <f t="shared" si="36"/>
        <v>1695928.272047936</v>
      </c>
      <c r="AW6" s="13">
        <f t="shared" si="16"/>
        <v>508778.48161438084</v>
      </c>
      <c r="AX6">
        <f t="shared" si="17"/>
        <v>1.6847434914540922</v>
      </c>
      <c r="AY6" s="9">
        <f t="shared" si="37"/>
        <v>4.5282776740367049E-2</v>
      </c>
      <c r="AZ6" s="16">
        <f t="shared" si="38"/>
        <v>81.096761307643135</v>
      </c>
      <c r="BA6" s="16">
        <f t="shared" si="39"/>
        <v>82.838405491584894</v>
      </c>
      <c r="BB6" s="16">
        <f t="shared" si="40"/>
        <v>99.999999999999986</v>
      </c>
      <c r="BC6" s="16">
        <f t="shared" si="41"/>
        <v>81.096761307643135</v>
      </c>
      <c r="BD6" s="16">
        <f t="shared" si="42"/>
        <v>82.838405491584894</v>
      </c>
      <c r="BE6" s="16">
        <f t="shared" si="43"/>
        <v>99.999999999999986</v>
      </c>
    </row>
    <row r="7" spans="2:57" ht="14.4" customHeight="1" x14ac:dyDescent="0.3">
      <c r="B7" s="84" t="s">
        <v>86</v>
      </c>
      <c r="C7" s="4">
        <v>4</v>
      </c>
      <c r="D7" s="78" t="str">
        <f t="shared" si="18"/>
        <v>SupermarketPRIVATE LABEL</v>
      </c>
      <c r="E7" s="3" t="s">
        <v>104</v>
      </c>
      <c r="F7" s="79" t="str">
        <f>IFERROR(INDEX('Input - Supermarket'!$N$3:$N$200,MATCH('Calculations - Supermarket'!$C7,'Input - Supermarket'!$O$3:$O$200,0)),"")</f>
        <v>PRIVATE LABEL</v>
      </c>
      <c r="G7" s="16">
        <f>IFERROR(INDEX('Input - Supermarket'!G$2:G$200,MATCH('Calculations - Supermarket'!$D7,'Input - Supermarket'!$D$2:$D$200,0)),"")</f>
        <v>5826222.1200000001</v>
      </c>
      <c r="H7" s="16">
        <f>IFERROR(INDEX('Input - Supermarket'!H$2:H$200,MATCH('Calculations - Supermarket'!$D7,'Input - Supermarket'!$D$2:$D$200,0)),"")</f>
        <v>2373530.9300000002</v>
      </c>
      <c r="I7" s="20">
        <f>IFERROR(INDEX('Input - Supermarket'!I$2:I$200,MATCH('Calculations - Supermarket'!$D7,'Input - Supermarket'!$D$2:$D$200,0)),"")</f>
        <v>1.74895354357841</v>
      </c>
      <c r="J7" s="20">
        <f>IFERROR(INDEX('Input - Supermarket'!J$2:J$200,MATCH('Calculations - Supermarket'!$D7,'Input - Supermarket'!$D$2:$D$200,0)),"")</f>
        <v>4.2930941803437701</v>
      </c>
      <c r="K7" s="16">
        <f>IFERROR(INDEX('Input - Supermarket'!K$2:K$200,MATCH('Calculations - Supermarket'!$D7,'Input - Supermarket'!$D$2:$D$200,0)),"")</f>
        <v>17165324.5</v>
      </c>
      <c r="L7" s="16">
        <f>IFERROR(INDEX('Input - Supermarket'!L$2:L$200,MATCH('Calculations - Supermarket'!$D7,'Input - Supermarket'!$D$2:$D$200,0)),"")</f>
        <v>6681493.2050000001</v>
      </c>
      <c r="M7" s="17">
        <f t="shared" si="19"/>
        <v>2.4546645027288521</v>
      </c>
      <c r="N7" s="17">
        <f t="shared" si="6"/>
        <v>2.5690850792386608</v>
      </c>
      <c r="O7" s="17">
        <f t="shared" si="20"/>
        <v>-6.6759814982790218</v>
      </c>
      <c r="P7" s="9">
        <f t="shared" si="7"/>
        <v>0.17729670433521014</v>
      </c>
      <c r="Q7" s="9">
        <f t="shared" si="8"/>
        <v>0.34732826505256098</v>
      </c>
      <c r="R7" s="8">
        <f>IFERROR(INDEX(Supermarket!$U$12:$U$55,MATCH('Calculations - Supermarket'!$D7,Supermarket!$Q$12:$Q$55,0)),"-")</f>
        <v>0</v>
      </c>
      <c r="S7" s="8">
        <f>IFERROR(INDEX(Supermarket!$V$12:$V$55,MATCH('Calculations - Supermarket'!$D7,Supermarket!$Q$12:$Q$55,0)),"-")</f>
        <v>0</v>
      </c>
      <c r="T7">
        <f t="shared" si="21"/>
        <v>0</v>
      </c>
      <c r="U7">
        <f t="shared" si="22"/>
        <v>0</v>
      </c>
      <c r="V7">
        <f t="shared" si="23"/>
        <v>0</v>
      </c>
      <c r="W7">
        <f t="shared" si="9"/>
        <v>0</v>
      </c>
      <c r="X7" s="10">
        <f t="shared" si="10"/>
        <v>8008006.9712244682</v>
      </c>
      <c r="Y7" s="7">
        <f t="shared" si="24"/>
        <v>0.17491066658014245</v>
      </c>
      <c r="Z7" s="11">
        <f t="shared" si="25"/>
        <v>-2.3860377550676826E-3</v>
      </c>
      <c r="AA7">
        <f t="shared" si="26"/>
        <v>5747813.5223903852</v>
      </c>
      <c r="AB7" s="13">
        <f t="shared" si="11"/>
        <v>2341588.2357855979</v>
      </c>
      <c r="AC7" s="13">
        <f t="shared" si="27"/>
        <v>0</v>
      </c>
      <c r="AD7" s="13">
        <f t="shared" si="28"/>
        <v>0</v>
      </c>
      <c r="AE7" s="9">
        <f t="shared" si="29"/>
        <v>0.34361710287445563</v>
      </c>
      <c r="AF7" s="10">
        <f>IFERROR(INDEX(Supermarket!$T$12:$T$55,MATCH('Calculations - Supermarket'!$D7,Supermarket!$Q$12:$Q$55,0)),"-")</f>
        <v>2.4546645027288521</v>
      </c>
      <c r="AG7" s="22">
        <f t="shared" si="30"/>
        <v>0</v>
      </c>
      <c r="AH7" s="22">
        <f t="shared" si="31"/>
        <v>0</v>
      </c>
      <c r="AI7" s="9">
        <f t="shared" si="12"/>
        <v>0</v>
      </c>
      <c r="AJ7" s="4">
        <f t="shared" si="13"/>
        <v>2373530.9300000002</v>
      </c>
      <c r="AP7" s="16">
        <f t="shared" si="14"/>
        <v>8008006.9712244682</v>
      </c>
      <c r="AQ7" s="11">
        <f t="shared" si="32"/>
        <v>0.17491066658014245</v>
      </c>
      <c r="AR7" s="9">
        <f t="shared" si="33"/>
        <v>0.17491066658014245</v>
      </c>
      <c r="AS7" s="11">
        <f t="shared" si="34"/>
        <v>-2.3860377550676826E-3</v>
      </c>
      <c r="AT7" s="13">
        <f t="shared" si="35"/>
        <v>5747813.5223903852</v>
      </c>
      <c r="AU7" s="13">
        <f t="shared" si="15"/>
        <v>2341588.2357855979</v>
      </c>
      <c r="AV7" s="4">
        <f t="shared" si="36"/>
        <v>0</v>
      </c>
      <c r="AW7" s="13">
        <f t="shared" si="16"/>
        <v>0</v>
      </c>
      <c r="AX7">
        <f t="shared" si="17"/>
        <v>1.7489535435784136</v>
      </c>
      <c r="AY7" s="9">
        <f t="shared" si="37"/>
        <v>0.34361710287445563</v>
      </c>
      <c r="AZ7" s="16">
        <f t="shared" si="38"/>
        <v>226.96560909939785</v>
      </c>
      <c r="BA7" s="16">
        <f t="shared" si="39"/>
        <v>231.83995089392658</v>
      </c>
      <c r="BB7" s="16">
        <f t="shared" si="40"/>
        <v>279.87012728954318</v>
      </c>
      <c r="BC7" s="16">
        <f t="shared" si="41"/>
        <v>226.96560909939785</v>
      </c>
      <c r="BD7" s="16">
        <f t="shared" si="42"/>
        <v>231.83995089392658</v>
      </c>
      <c r="BE7" s="16">
        <f t="shared" si="43"/>
        <v>279.87012728954318</v>
      </c>
    </row>
    <row r="8" spans="2:57" ht="14.4" customHeight="1" x14ac:dyDescent="0.3">
      <c r="B8" s="84" t="s">
        <v>87</v>
      </c>
      <c r="C8" s="4">
        <v>5</v>
      </c>
      <c r="D8" s="78" t="str">
        <f t="shared" si="18"/>
        <v>SupermarketLEVI ROOTS</v>
      </c>
      <c r="E8" s="3" t="s">
        <v>104</v>
      </c>
      <c r="F8" s="79" t="str">
        <f>IFERROR(INDEX('Input - Supermarket'!$N$3:$N$200,MATCH('Calculations - Supermarket'!$C8,'Input - Supermarket'!$O$3:$O$200,0)),"")</f>
        <v>LEVI ROOTS</v>
      </c>
      <c r="G8" s="16">
        <f>IFERROR(INDEX('Input - Supermarket'!G$2:G$200,MATCH('Calculations - Supermarket'!$D8,'Input - Supermarket'!$D$2:$D$200,0)),"")</f>
        <v>2594154.92</v>
      </c>
      <c r="H8" s="16">
        <f>IFERROR(INDEX('Input - Supermarket'!H$2:H$200,MATCH('Calculations - Supermarket'!$D8,'Input - Supermarket'!$D$2:$D$200,0)),"")</f>
        <v>393730.76</v>
      </c>
      <c r="I8" s="20">
        <f>IFERROR(INDEX('Input - Supermarket'!I$2:I$200,MATCH('Calculations - Supermarket'!$D8,'Input - Supermarket'!$D$2:$D$200,0)),"")</f>
        <v>1.72388811437717</v>
      </c>
      <c r="J8" s="20">
        <f>IFERROR(INDEX('Input - Supermarket'!J$2:J$200,MATCH('Calculations - Supermarket'!$D8,'Input - Supermarket'!$D$2:$D$200,0)),"")</f>
        <v>11.358098700343</v>
      </c>
      <c r="K8" s="16">
        <f>IFERROR(INDEX('Input - Supermarket'!K$2:K$200,MATCH('Calculations - Supermarket'!$D8,'Input - Supermarket'!$D$2:$D$200,0)),"")</f>
        <v>8086606.7999999998</v>
      </c>
      <c r="L8" s="16">
        <f>IFERROR(INDEX('Input - Supermarket'!L$2:L$200,MATCH('Calculations - Supermarket'!$D8,'Input - Supermarket'!$D$2:$D$200,0)),"")</f>
        <v>1335182.57</v>
      </c>
      <c r="M8" s="17">
        <f t="shared" si="19"/>
        <v>6.5886519000953845</v>
      </c>
      <c r="N8" s="17">
        <f t="shared" si="6"/>
        <v>6.0565550971804551</v>
      </c>
      <c r="O8" s="17">
        <f t="shared" si="20"/>
        <v>-6.9071447654613971</v>
      </c>
      <c r="P8" s="9">
        <f t="shared" si="7"/>
        <v>7.8942255955557469E-2</v>
      </c>
      <c r="Q8" s="9">
        <f t="shared" si="8"/>
        <v>5.7616195365369126E-2</v>
      </c>
      <c r="R8" s="8">
        <f>IFERROR(INDEX(Supermarket!$U$12:$U$55,MATCH('Calculations - Supermarket'!$D8,Supermarket!$Q$12:$Q$55,0)),"-")</f>
        <v>0</v>
      </c>
      <c r="S8" s="8">
        <f>IFERROR(INDEX(Supermarket!$V$12:$V$55,MATCH('Calculations - Supermarket'!$D8,Supermarket!$Q$12:$Q$55,0)),"-")</f>
        <v>0</v>
      </c>
      <c r="T8">
        <f t="shared" si="21"/>
        <v>0</v>
      </c>
      <c r="U8">
        <f t="shared" si="22"/>
        <v>0</v>
      </c>
      <c r="V8">
        <f t="shared" si="23"/>
        <v>0</v>
      </c>
      <c r="W8">
        <f t="shared" si="9"/>
        <v>0</v>
      </c>
      <c r="X8" s="10">
        <f t="shared" si="10"/>
        <v>3533093.8767205309</v>
      </c>
      <c r="Y8" s="7">
        <f t="shared" si="24"/>
        <v>7.7169738648830852E-2</v>
      </c>
      <c r="Z8" s="11">
        <f t="shared" si="25"/>
        <v>-1.7725173067266176E-3</v>
      </c>
      <c r="AA8">
        <f t="shared" si="26"/>
        <v>2535907.4777857987</v>
      </c>
      <c r="AB8" s="13">
        <f t="shared" si="11"/>
        <v>384890.18941023218</v>
      </c>
      <c r="AC8" s="13">
        <f t="shared" si="27"/>
        <v>0</v>
      </c>
      <c r="AD8" s="13">
        <f t="shared" si="28"/>
        <v>0</v>
      </c>
      <c r="AE8" s="9">
        <f t="shared" si="29"/>
        <v>5.6480832021934567E-2</v>
      </c>
      <c r="AF8" s="10">
        <f>IFERROR(INDEX(Supermarket!$T$12:$T$55,MATCH('Calculations - Supermarket'!$D8,Supermarket!$Q$12:$Q$55,0)),"-")</f>
        <v>6.5886519000953845</v>
      </c>
      <c r="AG8" s="22">
        <f t="shared" si="30"/>
        <v>0</v>
      </c>
      <c r="AH8" s="22">
        <f t="shared" si="31"/>
        <v>0</v>
      </c>
      <c r="AI8" s="9">
        <f t="shared" si="12"/>
        <v>0</v>
      </c>
      <c r="AJ8" s="4">
        <f t="shared" si="13"/>
        <v>393730.76</v>
      </c>
      <c r="AP8" s="16">
        <f t="shared" si="14"/>
        <v>3533093.8767205309</v>
      </c>
      <c r="AQ8" s="11">
        <f t="shared" si="32"/>
        <v>7.7169738648830852E-2</v>
      </c>
      <c r="AR8" s="9">
        <f t="shared" si="33"/>
        <v>7.7169738648830852E-2</v>
      </c>
      <c r="AS8" s="11">
        <f t="shared" si="34"/>
        <v>-1.7725173067266176E-3</v>
      </c>
      <c r="AT8" s="13">
        <f t="shared" si="35"/>
        <v>2535907.4777857987</v>
      </c>
      <c r="AU8" s="13">
        <f t="shared" si="15"/>
        <v>384890.18941023218</v>
      </c>
      <c r="AV8" s="4">
        <f t="shared" si="36"/>
        <v>0</v>
      </c>
      <c r="AW8" s="13">
        <f t="shared" si="16"/>
        <v>0</v>
      </c>
      <c r="AX8">
        <f t="shared" si="17"/>
        <v>1.7238881143771714</v>
      </c>
      <c r="AY8" s="9">
        <f t="shared" si="37"/>
        <v>5.6480832021934567E-2</v>
      </c>
      <c r="AZ8" s="16">
        <f t="shared" si="38"/>
        <v>84.558181619590329</v>
      </c>
      <c r="BA8" s="16">
        <f t="shared" si="39"/>
        <v>86.374163698871854</v>
      </c>
      <c r="BB8" s="16">
        <f t="shared" si="40"/>
        <v>104.26825961497548</v>
      </c>
      <c r="BC8" s="16">
        <f t="shared" si="41"/>
        <v>84.558181619590329</v>
      </c>
      <c r="BD8" s="16">
        <f t="shared" si="42"/>
        <v>86.374163698871854</v>
      </c>
      <c r="BE8" s="16">
        <f t="shared" si="43"/>
        <v>104.26825961497548</v>
      </c>
    </row>
    <row r="9" spans="2:57" ht="14.4" customHeight="1" x14ac:dyDescent="0.3">
      <c r="B9" s="84" t="s">
        <v>98</v>
      </c>
      <c r="C9" s="4">
        <v>6</v>
      </c>
      <c r="D9" s="78" t="str">
        <f t="shared" si="18"/>
        <v>SupermarketSWEET BABY RAYS</v>
      </c>
      <c r="E9" s="3" t="s">
        <v>104</v>
      </c>
      <c r="F9" s="79" t="str">
        <f>IFERROR(INDEX('Input - Supermarket'!$N$3:$N$200,MATCH('Calculations - Supermarket'!$C9,'Input - Supermarket'!$O$3:$O$200,0)),"")</f>
        <v>SWEET BABY RAYS</v>
      </c>
      <c r="G9" s="16">
        <f>IFERROR(INDEX('Input - Supermarket'!G$2:G$200,MATCH('Calculations - Supermarket'!$D9,'Input - Supermarket'!$D$2:$D$200,0)),"")</f>
        <v>2728645.28</v>
      </c>
      <c r="H9" s="16">
        <f>IFERROR(INDEX('Input - Supermarket'!H$2:H$200,MATCH('Calculations - Supermarket'!$D9,'Input - Supermarket'!$D$2:$D$200,0)),"")</f>
        <v>396452.58</v>
      </c>
      <c r="I9" s="20">
        <f>IFERROR(INDEX('Input - Supermarket'!I$2:I$200,MATCH('Calculations - Supermarket'!$D9,'Input - Supermarket'!$D$2:$D$200,0)),"")</f>
        <v>1.8259663503240999</v>
      </c>
      <c r="J9" s="20">
        <f>IFERROR(INDEX('Input - Supermarket'!J$2:J$200,MATCH('Calculations - Supermarket'!$D9,'Input - Supermarket'!$D$2:$D$200,0)),"")</f>
        <v>12.5674915856284</v>
      </c>
      <c r="K9" s="16">
        <f>IFERROR(INDEX('Input - Supermarket'!K$2:K$200,MATCH('Calculations - Supermarket'!$D9,'Input - Supermarket'!$D$2:$D$200,0)),"")</f>
        <v>6872285.0999999996</v>
      </c>
      <c r="L9" s="16">
        <f>IFERROR(INDEX('Input - Supermarket'!L$2:L$200,MATCH('Calculations - Supermarket'!$D9,'Input - Supermarket'!$D$2:$D$200,0)),"")</f>
        <v>1044286.2</v>
      </c>
      <c r="M9" s="17">
        <f t="shared" si="19"/>
        <v>6.8826523464672613</v>
      </c>
      <c r="N9" s="17">
        <f t="shared" si="6"/>
        <v>6.5808445041215711</v>
      </c>
      <c r="O9" s="17">
        <f t="shared" si="20"/>
        <v>-6.0535153738866976</v>
      </c>
      <c r="P9" s="9">
        <f t="shared" si="7"/>
        <v>8.3034907609019659E-2</v>
      </c>
      <c r="Q9" s="9">
        <f t="shared" si="8"/>
        <v>5.8014490161715157E-2</v>
      </c>
      <c r="R9" s="8">
        <f>IFERROR(INDEX(Supermarket!$U$12:$U$55,MATCH('Calculations - Supermarket'!$D9,Supermarket!$Q$12:$Q$55,0)),"-")</f>
        <v>0</v>
      </c>
      <c r="S9" s="8">
        <f>IFERROR(INDEX(Supermarket!$V$12:$V$55,MATCH('Calculations - Supermarket'!$D9,Supermarket!$Q$12:$Q$55,0)),"-")</f>
        <v>0</v>
      </c>
      <c r="T9">
        <f t="shared" si="21"/>
        <v>0</v>
      </c>
      <c r="U9">
        <f t="shared" si="22"/>
        <v>0</v>
      </c>
      <c r="V9">
        <f t="shared" si="23"/>
        <v>0</v>
      </c>
      <c r="W9">
        <f t="shared" si="9"/>
        <v>0</v>
      </c>
      <c r="X9" s="10">
        <f t="shared" si="10"/>
        <v>3855529.871625335</v>
      </c>
      <c r="Y9" s="7">
        <f t="shared" si="24"/>
        <v>8.4212376723558593E-2</v>
      </c>
      <c r="Z9" s="11">
        <f t="shared" si="25"/>
        <v>1.1774691145389343E-3</v>
      </c>
      <c r="AA9">
        <f t="shared" si="26"/>
        <v>2767338.5914547532</v>
      </c>
      <c r="AB9" s="13">
        <f t="shared" si="11"/>
        <v>402074.44051350019</v>
      </c>
      <c r="AC9" s="13">
        <f t="shared" si="27"/>
        <v>0</v>
      </c>
      <c r="AD9" s="13">
        <f t="shared" si="28"/>
        <v>0</v>
      </c>
      <c r="AE9" s="9">
        <f t="shared" si="29"/>
        <v>5.9002540360288541E-2</v>
      </c>
      <c r="AF9" s="10">
        <f>IFERROR(INDEX(Supermarket!$T$12:$T$55,MATCH('Calculations - Supermarket'!$D9,Supermarket!$Q$12:$Q$55,0)),"-")</f>
        <v>6.8826523464672613</v>
      </c>
      <c r="AG9" s="22">
        <f t="shared" si="30"/>
        <v>0</v>
      </c>
      <c r="AH9" s="22">
        <f t="shared" si="31"/>
        <v>0</v>
      </c>
      <c r="AI9" s="9">
        <f t="shared" si="12"/>
        <v>0</v>
      </c>
      <c r="AJ9" s="4">
        <f t="shared" si="13"/>
        <v>396452.58</v>
      </c>
      <c r="AP9" s="16">
        <f t="shared" si="14"/>
        <v>3855529.871625335</v>
      </c>
      <c r="AQ9" s="11">
        <f t="shared" si="32"/>
        <v>8.4212376723558593E-2</v>
      </c>
      <c r="AR9" s="9">
        <f t="shared" si="33"/>
        <v>8.4212376723558593E-2</v>
      </c>
      <c r="AS9" s="11">
        <f t="shared" si="34"/>
        <v>1.1774691145389343E-3</v>
      </c>
      <c r="AT9" s="13">
        <f t="shared" si="35"/>
        <v>2767338.5914547532</v>
      </c>
      <c r="AU9" s="13">
        <f t="shared" si="15"/>
        <v>402074.44051350019</v>
      </c>
      <c r="AV9" s="4">
        <f t="shared" si="36"/>
        <v>0</v>
      </c>
      <c r="AW9" s="13">
        <f t="shared" si="16"/>
        <v>0</v>
      </c>
      <c r="AX9">
        <f t="shared" si="17"/>
        <v>1.8259663503240959</v>
      </c>
      <c r="AY9" s="9">
        <f t="shared" si="37"/>
        <v>5.9002540360288541E-2</v>
      </c>
      <c r="AZ9" s="16">
        <f t="shared" si="38"/>
        <v>80.94618120330982</v>
      </c>
      <c r="BA9" s="16">
        <f t="shared" si="39"/>
        <v>82.684591510106543</v>
      </c>
      <c r="BB9" s="16">
        <f t="shared" si="40"/>
        <v>99.814320446457671</v>
      </c>
      <c r="BC9" s="16">
        <f t="shared" si="41"/>
        <v>80.94618120330982</v>
      </c>
      <c r="BD9" s="16">
        <f t="shared" si="42"/>
        <v>82.684591510106543</v>
      </c>
      <c r="BE9" s="16">
        <f t="shared" si="43"/>
        <v>99.814320446457671</v>
      </c>
    </row>
    <row r="10" spans="2:57" x14ac:dyDescent="0.3">
      <c r="B10" s="84" t="s">
        <v>99</v>
      </c>
      <c r="C10" s="4">
        <v>7</v>
      </c>
      <c r="D10" s="78" t="str">
        <f t="shared" si="18"/>
        <v>SupermarketRESTOFCATEGORY</v>
      </c>
      <c r="E10" s="3" t="s">
        <v>104</v>
      </c>
      <c r="F10" s="79" t="str">
        <f>IFERROR(INDEX('Input - Supermarket'!$N$3:$N$200,MATCH('Calculations - Supermarket'!$C10,'Input - Supermarket'!$O$3:$O$200,0)),"")</f>
        <v>RESTOFCATEGORY</v>
      </c>
      <c r="G10" s="16">
        <f>IFERROR(INDEX('Input - Supermarket'!G$2:G$200,MATCH('Calculations - Supermarket'!$D10,'Input - Supermarket'!$D$2:$D$200,0)),"")</f>
        <v>6068408.5599999996</v>
      </c>
      <c r="H10" s="16">
        <f>IFERROR(INDEX('Input - Supermarket'!H$2:H$200,MATCH('Calculations - Supermarket'!$D10,'Input - Supermarket'!$D$2:$D$200,0)),"")</f>
        <v>948228.99899999995</v>
      </c>
      <c r="I10" s="20">
        <f>IFERROR(INDEX('Input - Supermarket'!I$2:I$200,MATCH('Calculations - Supermarket'!$D10,'Input - Supermarket'!$D$2:$D$200,0)),"")</f>
        <v>1.87705591346284</v>
      </c>
      <c r="J10" s="20">
        <f>IFERROR(INDEX('Input - Supermarket'!J$2:J$200,MATCH('Calculations - Supermarket'!$D10,'Input - Supermarket'!$D$2:$D$200,0)),"")</f>
        <v>12.012649038227201</v>
      </c>
      <c r="K10" s="16">
        <f>IFERROR(INDEX('Input - Supermarket'!K$2:K$200,MATCH('Calculations - Supermarket'!$D10,'Input - Supermarket'!$D$2:$D$200,0)),"")</f>
        <v>16900700.66</v>
      </c>
      <c r="L10" s="16">
        <f>IFERROR(INDEX('Input - Supermarket'!L$2:L$200,MATCH('Calculations - Supermarket'!$D10,'Input - Supermarket'!$D$2:$D$200,0)),"")</f>
        <v>2647817.2549999999</v>
      </c>
      <c r="M10" s="17">
        <f t="shared" si="19"/>
        <v>6.3997289329895297</v>
      </c>
      <c r="N10" s="17">
        <f t="shared" si="6"/>
        <v>6.3828803245713424</v>
      </c>
      <c r="O10" s="17">
        <f t="shared" si="20"/>
        <v>-5.7008908135158132</v>
      </c>
      <c r="P10" s="9">
        <f t="shared" si="7"/>
        <v>0.18466663578689274</v>
      </c>
      <c r="Q10" s="9">
        <f t="shared" si="8"/>
        <v>0.13875813832145703</v>
      </c>
      <c r="R10" s="8">
        <f>IFERROR(INDEX(Supermarket!$U$12:$U$55,MATCH('Calculations - Supermarket'!$D10,Supermarket!$Q$12:$Q$55,0)),"-")</f>
        <v>0</v>
      </c>
      <c r="S10" s="8">
        <f>IFERROR(INDEX(Supermarket!$V$12:$V$55,MATCH('Calculations - Supermarket'!$D10,Supermarket!$Q$12:$Q$55,0)),"-")</f>
        <v>0</v>
      </c>
      <c r="T10">
        <f t="shared" si="21"/>
        <v>0</v>
      </c>
      <c r="U10">
        <f t="shared" si="22"/>
        <v>0</v>
      </c>
      <c r="V10">
        <f t="shared" si="23"/>
        <v>0</v>
      </c>
      <c r="W10">
        <f t="shared" si="9"/>
        <v>0</v>
      </c>
      <c r="X10" s="10">
        <f t="shared" si="10"/>
        <v>8729575.3664282449</v>
      </c>
      <c r="Y10" s="7">
        <f t="shared" si="24"/>
        <v>0.1906711434930338</v>
      </c>
      <c r="Z10" s="11">
        <f t="shared" si="25"/>
        <v>6.0045077061410546E-3</v>
      </c>
      <c r="AA10">
        <f t="shared" si="26"/>
        <v>6265725.23178137</v>
      </c>
      <c r="AB10" s="13">
        <f t="shared" si="11"/>
        <v>979061.03483267967</v>
      </c>
      <c r="AC10" s="13">
        <f t="shared" si="27"/>
        <v>0</v>
      </c>
      <c r="AD10" s="13">
        <f t="shared" si="28"/>
        <v>0</v>
      </c>
      <c r="AE10" s="9">
        <f t="shared" si="29"/>
        <v>0.14367261979927182</v>
      </c>
      <c r="AF10" s="10">
        <f>IFERROR(INDEX(Supermarket!$T$12:$T$55,MATCH('Calculations - Supermarket'!$D10,Supermarket!$Q$12:$Q$55,0)),"-")</f>
        <v>6.3997289329895297</v>
      </c>
      <c r="AG10" s="22">
        <f t="shared" si="30"/>
        <v>0</v>
      </c>
      <c r="AH10" s="22">
        <f t="shared" si="31"/>
        <v>0</v>
      </c>
      <c r="AI10" s="9">
        <f t="shared" si="12"/>
        <v>0</v>
      </c>
      <c r="AJ10" s="4">
        <f t="shared" si="13"/>
        <v>948228.99899999995</v>
      </c>
      <c r="AP10" s="16">
        <f t="shared" si="14"/>
        <v>8729575.3664282449</v>
      </c>
      <c r="AQ10" s="11">
        <f t="shared" si="32"/>
        <v>0.1906711434930338</v>
      </c>
      <c r="AR10" s="9">
        <f t="shared" si="33"/>
        <v>0.1906711434930338</v>
      </c>
      <c r="AS10" s="11">
        <f t="shared" si="34"/>
        <v>6.0045077061410546E-3</v>
      </c>
      <c r="AT10" s="13">
        <f t="shared" si="35"/>
        <v>6265725.23178137</v>
      </c>
      <c r="AU10" s="13">
        <f t="shared" si="15"/>
        <v>979061.03483267967</v>
      </c>
      <c r="AV10" s="4">
        <f t="shared" si="36"/>
        <v>0</v>
      </c>
      <c r="AW10" s="13">
        <f t="shared" si="16"/>
        <v>0</v>
      </c>
      <c r="AX10">
        <f t="shared" si="17"/>
        <v>1.8770559134628357</v>
      </c>
      <c r="AY10" s="9">
        <f t="shared" si="37"/>
        <v>0.14367261979927182</v>
      </c>
      <c r="AZ10" s="16">
        <f t="shared" si="38"/>
        <v>87.05437836978399</v>
      </c>
      <c r="BA10" s="16">
        <f t="shared" si="39"/>
        <v>88.923969082528146</v>
      </c>
      <c r="BB10" s="16">
        <f t="shared" si="40"/>
        <v>107.34630701162089</v>
      </c>
      <c r="BC10" s="16">
        <f t="shared" si="41"/>
        <v>87.05437836978399</v>
      </c>
      <c r="BD10" s="16">
        <f t="shared" si="42"/>
        <v>88.923969082528146</v>
      </c>
      <c r="BE10" s="16">
        <f t="shared" si="43"/>
        <v>107.34630701162089</v>
      </c>
    </row>
    <row r="11" spans="2:57" x14ac:dyDescent="0.3">
      <c r="B11" s="84" t="str">
        <f>""</f>
        <v/>
      </c>
      <c r="C11" s="4">
        <v>8</v>
      </c>
      <c r="D11" s="78" t="str">
        <f t="shared" si="18"/>
        <v/>
      </c>
      <c r="E11" s="3"/>
      <c r="F11" s="79" t="str">
        <f>IFERROR(INDEX('Input - Supermarket'!$N$3:$N$200,MATCH('Calculations - Supermarket'!$C11,'Input - Supermarket'!$O$3:$O$200,0)),"")</f>
        <v/>
      </c>
      <c r="G11" s="16" t="str">
        <f>IFERROR(INDEX('Input - Supermarket'!G$2:G$200,MATCH('Calculations - Supermarket'!$D11,'Input - Supermarket'!$D$2:$D$200,0)),"")</f>
        <v/>
      </c>
      <c r="H11" s="16" t="str">
        <f>IFERROR(INDEX('Input - Supermarket'!H$2:H$200,MATCH('Calculations - Supermarket'!$D11,'Input - Supermarket'!$D$2:$D$200,0)),"")</f>
        <v/>
      </c>
      <c r="I11" s="20" t="str">
        <f>IFERROR(INDEX('Input - Supermarket'!I$2:I$200,MATCH('Calculations - Supermarket'!$D11,'Input - Supermarket'!$D$2:$D$200,0)),"")</f>
        <v/>
      </c>
      <c r="J11" s="20" t="str">
        <f>IFERROR(INDEX('Input - Supermarket'!J$2:J$200,MATCH('Calculations - Supermarket'!$D11,'Input - Supermarket'!$D$2:$D$200,0)),"")</f>
        <v/>
      </c>
      <c r="K11" s="16" t="str">
        <f>IFERROR(INDEX('Input - Supermarket'!K$2:K$200,MATCH('Calculations - Supermarket'!$D11,'Input - Supermarket'!$D$2:$D$200,0)),"")</f>
        <v/>
      </c>
      <c r="L11" s="16" t="str">
        <f>IFERROR(INDEX('Input - Supermarket'!L$2:L$200,MATCH('Calculations - Supermarket'!$D11,'Input - Supermarket'!$D$2:$D$200,0)),"")</f>
        <v/>
      </c>
      <c r="M11" s="17" t="str">
        <f t="shared" si="19"/>
        <v/>
      </c>
      <c r="N11" s="17" t="str">
        <f t="shared" si="6"/>
        <v/>
      </c>
      <c r="O11" s="17" t="str">
        <f t="shared" si="20"/>
        <v/>
      </c>
      <c r="P11" s="9" t="str">
        <f t="shared" si="7"/>
        <v/>
      </c>
      <c r="Q11" s="9" t="str">
        <f t="shared" si="8"/>
        <v/>
      </c>
      <c r="R11" s="8" t="str">
        <f>IFERROR(INDEX(Supermarket!$U$12:$U$55,MATCH('Calculations - Supermarket'!$D11,Supermarket!$Q$12:$Q$55,0)),"-")</f>
        <v>-</v>
      </c>
      <c r="S11" s="8" t="str">
        <f>IFERROR(INDEX(Supermarket!$V$12:$V$55,MATCH('Calculations - Supermarket'!$D11,Supermarket!$Q$12:$Q$55,0)),"-")</f>
        <v>-</v>
      </c>
      <c r="T11" t="str">
        <f t="shared" si="21"/>
        <v>-</v>
      </c>
      <c r="U11" t="str">
        <f t="shared" si="22"/>
        <v>-</v>
      </c>
      <c r="V11" t="str">
        <f t="shared" si="23"/>
        <v>-</v>
      </c>
      <c r="W11" t="str">
        <f t="shared" si="9"/>
        <v>-</v>
      </c>
      <c r="X11" s="10" t="str">
        <f t="shared" si="10"/>
        <v>-</v>
      </c>
      <c r="Y11" s="7" t="str">
        <f t="shared" si="24"/>
        <v/>
      </c>
      <c r="Z11" s="11" t="str">
        <f t="shared" si="25"/>
        <v>-</v>
      </c>
      <c r="AA11" t="str">
        <f t="shared" si="26"/>
        <v>-</v>
      </c>
      <c r="AB11" s="13" t="str">
        <f t="shared" si="11"/>
        <v>-</v>
      </c>
      <c r="AC11" s="13" t="str">
        <f t="shared" si="27"/>
        <v>-</v>
      </c>
      <c r="AD11" s="13" t="str">
        <f t="shared" si="28"/>
        <v>-</v>
      </c>
      <c r="AE11" s="9" t="str">
        <f t="shared" si="29"/>
        <v/>
      </c>
      <c r="AF11" s="10" t="str">
        <f>IFERROR(INDEX(Supermarket!$T$12:$T$55,MATCH('Calculations - Supermarket'!$D11,Supermarket!$Q$12:$Q$55,0)),"-")</f>
        <v>-</v>
      </c>
      <c r="AG11" s="22" t="str">
        <f t="shared" si="30"/>
        <v>-</v>
      </c>
      <c r="AH11" s="22" t="str">
        <f t="shared" si="31"/>
        <v>-</v>
      </c>
      <c r="AI11" s="9" t="str">
        <f t="shared" si="12"/>
        <v/>
      </c>
      <c r="AJ11" s="4" t="str">
        <f t="shared" si="13"/>
        <v/>
      </c>
      <c r="AP11" s="16" t="str">
        <f t="shared" si="14"/>
        <v>-</v>
      </c>
      <c r="AQ11" s="11" t="str">
        <f t="shared" si="32"/>
        <v/>
      </c>
      <c r="AR11" s="9" t="str">
        <f t="shared" si="33"/>
        <v/>
      </c>
      <c r="AS11" s="11" t="str">
        <f t="shared" si="34"/>
        <v/>
      </c>
      <c r="AT11" s="13" t="str">
        <f t="shared" si="35"/>
        <v>-</v>
      </c>
      <c r="AU11" s="13" t="str">
        <f t="shared" si="15"/>
        <v>-</v>
      </c>
      <c r="AV11" s="4" t="str">
        <f t="shared" si="36"/>
        <v>-</v>
      </c>
      <c r="AW11" s="13" t="str">
        <f t="shared" si="16"/>
        <v>-</v>
      </c>
      <c r="AX11" t="str">
        <f t="shared" si="17"/>
        <v/>
      </c>
      <c r="AY11" s="9" t="str">
        <f t="shared" si="37"/>
        <v>-</v>
      </c>
      <c r="AZ11" s="16" t="str">
        <f t="shared" si="38"/>
        <v/>
      </c>
      <c r="BA11" s="16" t="str">
        <f t="shared" si="39"/>
        <v/>
      </c>
      <c r="BB11" s="16" t="str">
        <f t="shared" si="40"/>
        <v/>
      </c>
      <c r="BC11" s="16" t="str">
        <f t="shared" si="41"/>
        <v/>
      </c>
      <c r="BD11" s="16" t="str">
        <f t="shared" si="42"/>
        <v/>
      </c>
      <c r="BE11" s="16" t="str">
        <f t="shared" si="43"/>
        <v/>
      </c>
    </row>
    <row r="12" spans="2:57" x14ac:dyDescent="0.3">
      <c r="B12" s="84" t="str">
        <f>""</f>
        <v/>
      </c>
      <c r="C12" s="4">
        <v>9</v>
      </c>
      <c r="D12" s="78" t="str">
        <f t="shared" si="18"/>
        <v/>
      </c>
      <c r="E12" s="3"/>
      <c r="F12" s="79" t="str">
        <f>IFERROR(INDEX('Input - Supermarket'!$N$3:$N$200,MATCH('Calculations - Supermarket'!$C12,'Input - Supermarket'!$O$3:$O$200,0)),"")</f>
        <v/>
      </c>
      <c r="G12" s="16" t="str">
        <f>IFERROR(INDEX('Input - Supermarket'!G$2:G$200,MATCH('Calculations - Supermarket'!$D12,'Input - Supermarket'!$D$2:$D$200,0)),"")</f>
        <v/>
      </c>
      <c r="H12" s="16" t="str">
        <f>IFERROR(INDEX('Input - Supermarket'!H$2:H$200,MATCH('Calculations - Supermarket'!$D12,'Input - Supermarket'!$D$2:$D$200,0)),"")</f>
        <v/>
      </c>
      <c r="I12" s="20" t="str">
        <f>IFERROR(INDEX('Input - Supermarket'!I$2:I$200,MATCH('Calculations - Supermarket'!$D12,'Input - Supermarket'!$D$2:$D$200,0)),"")</f>
        <v/>
      </c>
      <c r="J12" s="20" t="str">
        <f>IFERROR(INDEX('Input - Supermarket'!J$2:J$200,MATCH('Calculations - Supermarket'!$D12,'Input - Supermarket'!$D$2:$D$200,0)),"")</f>
        <v/>
      </c>
      <c r="K12" s="16" t="str">
        <f>IFERROR(INDEX('Input - Supermarket'!K$2:K$200,MATCH('Calculations - Supermarket'!$D12,'Input - Supermarket'!$D$2:$D$200,0)),"")</f>
        <v/>
      </c>
      <c r="L12" s="16" t="str">
        <f>IFERROR(INDEX('Input - Supermarket'!L$2:L$200,MATCH('Calculations - Supermarket'!$D12,'Input - Supermarket'!$D$2:$D$200,0)),"")</f>
        <v/>
      </c>
      <c r="M12" s="17" t="str">
        <f t="shared" si="19"/>
        <v/>
      </c>
      <c r="N12" s="17" t="str">
        <f t="shared" si="6"/>
        <v/>
      </c>
      <c r="O12" s="17" t="str">
        <f t="shared" si="20"/>
        <v/>
      </c>
      <c r="P12" s="9" t="str">
        <f t="shared" si="7"/>
        <v/>
      </c>
      <c r="Q12" s="9" t="str">
        <f t="shared" si="8"/>
        <v/>
      </c>
      <c r="R12" s="8" t="str">
        <f>IFERROR(INDEX(Supermarket!$U$12:$U$55,MATCH('Calculations - Supermarket'!$D12,Supermarket!$Q$12:$Q$55,0)),"-")</f>
        <v>-</v>
      </c>
      <c r="S12" s="8" t="str">
        <f>IFERROR(INDEX(Supermarket!$V$12:$V$55,MATCH('Calculations - Supermarket'!$D12,Supermarket!$Q$12:$Q$55,0)),"-")</f>
        <v>-</v>
      </c>
      <c r="T12" t="str">
        <f t="shared" si="21"/>
        <v>-</v>
      </c>
      <c r="U12" t="str">
        <f t="shared" si="22"/>
        <v>-</v>
      </c>
      <c r="V12" t="str">
        <f t="shared" si="23"/>
        <v>-</v>
      </c>
      <c r="W12" t="str">
        <f t="shared" si="9"/>
        <v>-</v>
      </c>
      <c r="X12" s="10" t="str">
        <f t="shared" si="10"/>
        <v>-</v>
      </c>
      <c r="Y12" s="7" t="str">
        <f t="shared" si="24"/>
        <v/>
      </c>
      <c r="Z12" s="11" t="str">
        <f t="shared" si="25"/>
        <v>-</v>
      </c>
      <c r="AA12" t="str">
        <f t="shared" si="26"/>
        <v>-</v>
      </c>
      <c r="AB12" s="13" t="str">
        <f t="shared" si="11"/>
        <v>-</v>
      </c>
      <c r="AC12" s="13" t="str">
        <f t="shared" si="27"/>
        <v>-</v>
      </c>
      <c r="AD12" s="13" t="str">
        <f t="shared" si="28"/>
        <v>-</v>
      </c>
      <c r="AE12" s="9" t="str">
        <f t="shared" si="29"/>
        <v/>
      </c>
      <c r="AF12" s="10" t="str">
        <f>IFERROR(INDEX(Supermarket!$T$12:$T$55,MATCH('Calculations - Supermarket'!$D12,Supermarket!$Q$12:$Q$55,0)),"-")</f>
        <v>-</v>
      </c>
      <c r="AG12" s="22" t="str">
        <f t="shared" si="30"/>
        <v>-</v>
      </c>
      <c r="AH12" s="22" t="str">
        <f t="shared" si="31"/>
        <v>-</v>
      </c>
      <c r="AI12" s="9" t="str">
        <f t="shared" si="12"/>
        <v/>
      </c>
      <c r="AJ12" s="4" t="str">
        <f t="shared" si="13"/>
        <v/>
      </c>
      <c r="AP12" s="16" t="str">
        <f t="shared" si="14"/>
        <v>-</v>
      </c>
      <c r="AQ12" s="11" t="str">
        <f t="shared" si="32"/>
        <v/>
      </c>
      <c r="AR12" s="9" t="str">
        <f t="shared" si="33"/>
        <v/>
      </c>
      <c r="AS12" s="11" t="str">
        <f t="shared" si="34"/>
        <v/>
      </c>
      <c r="AT12" s="13" t="str">
        <f t="shared" si="35"/>
        <v>-</v>
      </c>
      <c r="AU12" s="13" t="str">
        <f t="shared" si="15"/>
        <v>-</v>
      </c>
      <c r="AV12" s="4" t="str">
        <f t="shared" si="36"/>
        <v>-</v>
      </c>
      <c r="AW12" s="13" t="str">
        <f t="shared" si="16"/>
        <v>-</v>
      </c>
      <c r="AX12" t="str">
        <f t="shared" si="17"/>
        <v/>
      </c>
      <c r="AY12" s="9" t="str">
        <f t="shared" si="37"/>
        <v>-</v>
      </c>
      <c r="AZ12" s="16" t="str">
        <f t="shared" si="38"/>
        <v/>
      </c>
      <c r="BA12" s="16" t="str">
        <f t="shared" si="39"/>
        <v/>
      </c>
      <c r="BB12" s="16" t="str">
        <f t="shared" si="40"/>
        <v/>
      </c>
      <c r="BC12" s="16" t="str">
        <f t="shared" si="41"/>
        <v/>
      </c>
      <c r="BD12" s="16" t="str">
        <f t="shared" si="42"/>
        <v/>
      </c>
      <c r="BE12" s="16" t="str">
        <f t="shared" si="43"/>
        <v/>
      </c>
    </row>
    <row r="13" spans="2:57" x14ac:dyDescent="0.3">
      <c r="B13" s="84" t="str">
        <f>""</f>
        <v/>
      </c>
      <c r="C13" s="4">
        <v>10</v>
      </c>
      <c r="D13" s="78" t="str">
        <f t="shared" si="18"/>
        <v/>
      </c>
      <c r="E13" s="3"/>
      <c r="F13" s="79" t="str">
        <f>IFERROR(INDEX('Input - Supermarket'!$N$3:$N$200,MATCH('Calculations - Supermarket'!$C13,'Input - Supermarket'!$O$3:$O$200,0)),"")</f>
        <v/>
      </c>
      <c r="G13" s="16" t="str">
        <f>IFERROR(INDEX('Input - Supermarket'!G$2:G$200,MATCH('Calculations - Supermarket'!$D13,'Input - Supermarket'!$D$2:$D$200,0)),"")</f>
        <v/>
      </c>
      <c r="H13" s="16" t="str">
        <f>IFERROR(INDEX('Input - Supermarket'!H$2:H$200,MATCH('Calculations - Supermarket'!$D13,'Input - Supermarket'!$D$2:$D$200,0)),"")</f>
        <v/>
      </c>
      <c r="I13" s="20" t="str">
        <f>IFERROR(INDEX('Input - Supermarket'!I$2:I$200,MATCH('Calculations - Supermarket'!$D13,'Input - Supermarket'!$D$2:$D$200,0)),"")</f>
        <v/>
      </c>
      <c r="J13" s="20" t="str">
        <f>IFERROR(INDEX('Input - Supermarket'!J$2:J$200,MATCH('Calculations - Supermarket'!$D13,'Input - Supermarket'!$D$2:$D$200,0)),"")</f>
        <v/>
      </c>
      <c r="K13" s="16" t="str">
        <f>IFERROR(INDEX('Input - Supermarket'!K$2:K$200,MATCH('Calculations - Supermarket'!$D13,'Input - Supermarket'!$D$2:$D$200,0)),"")</f>
        <v/>
      </c>
      <c r="L13" s="16" t="str">
        <f>IFERROR(INDEX('Input - Supermarket'!L$2:L$200,MATCH('Calculations - Supermarket'!$D13,'Input - Supermarket'!$D$2:$D$200,0)),"")</f>
        <v/>
      </c>
      <c r="M13" s="17" t="str">
        <f t="shared" si="19"/>
        <v/>
      </c>
      <c r="N13" s="17" t="str">
        <f t="shared" si="6"/>
        <v/>
      </c>
      <c r="O13" s="17" t="str">
        <f t="shared" si="20"/>
        <v/>
      </c>
      <c r="P13" s="9" t="str">
        <f t="shared" si="7"/>
        <v/>
      </c>
      <c r="Q13" s="9" t="str">
        <f t="shared" si="8"/>
        <v/>
      </c>
      <c r="R13" s="8" t="str">
        <f>IFERROR(INDEX(Supermarket!$U$12:$U$55,MATCH('Calculations - Supermarket'!$D13,Supermarket!$Q$12:$Q$55,0)),"-")</f>
        <v>-</v>
      </c>
      <c r="S13" s="8" t="str">
        <f>IFERROR(INDEX(Supermarket!$V$12:$V$55,MATCH('Calculations - Supermarket'!$D13,Supermarket!$Q$12:$Q$55,0)),"-")</f>
        <v>-</v>
      </c>
      <c r="T13" t="str">
        <f t="shared" si="21"/>
        <v>-</v>
      </c>
      <c r="U13" t="str">
        <f t="shared" si="22"/>
        <v>-</v>
      </c>
      <c r="V13" t="str">
        <f t="shared" si="23"/>
        <v>-</v>
      </c>
      <c r="W13" t="str">
        <f t="shared" si="9"/>
        <v>-</v>
      </c>
      <c r="X13" s="10" t="str">
        <f t="shared" si="10"/>
        <v>-</v>
      </c>
      <c r="Y13" s="7" t="str">
        <f t="shared" si="24"/>
        <v/>
      </c>
      <c r="Z13" s="11" t="str">
        <f t="shared" si="25"/>
        <v>-</v>
      </c>
      <c r="AA13" t="str">
        <f t="shared" si="26"/>
        <v>-</v>
      </c>
      <c r="AB13" s="13" t="str">
        <f t="shared" si="11"/>
        <v>-</v>
      </c>
      <c r="AC13" s="13" t="str">
        <f t="shared" si="27"/>
        <v>-</v>
      </c>
      <c r="AD13" s="13" t="str">
        <f t="shared" si="28"/>
        <v>-</v>
      </c>
      <c r="AE13" s="9" t="str">
        <f t="shared" si="29"/>
        <v/>
      </c>
      <c r="AF13" s="10" t="str">
        <f>IFERROR(INDEX(Supermarket!$T$12:$T$55,MATCH('Calculations - Supermarket'!$D13,Supermarket!$Q$12:$Q$55,0)),"-")</f>
        <v>-</v>
      </c>
      <c r="AG13" s="22" t="str">
        <f t="shared" si="30"/>
        <v>-</v>
      </c>
      <c r="AH13" s="22" t="str">
        <f t="shared" si="31"/>
        <v>-</v>
      </c>
      <c r="AI13" s="9" t="str">
        <f t="shared" si="12"/>
        <v/>
      </c>
      <c r="AJ13" s="4" t="str">
        <f t="shared" si="13"/>
        <v/>
      </c>
      <c r="AP13" s="16" t="str">
        <f t="shared" si="14"/>
        <v>-</v>
      </c>
      <c r="AQ13" s="11" t="str">
        <f t="shared" si="32"/>
        <v/>
      </c>
      <c r="AR13" s="9" t="str">
        <f t="shared" si="33"/>
        <v/>
      </c>
      <c r="AS13" s="11" t="str">
        <f t="shared" si="34"/>
        <v/>
      </c>
      <c r="AT13" s="13" t="str">
        <f t="shared" si="35"/>
        <v>-</v>
      </c>
      <c r="AU13" s="13" t="str">
        <f t="shared" si="15"/>
        <v>-</v>
      </c>
      <c r="AV13" s="4" t="str">
        <f t="shared" si="36"/>
        <v>-</v>
      </c>
      <c r="AW13" s="13" t="str">
        <f t="shared" si="16"/>
        <v>-</v>
      </c>
      <c r="AX13" t="str">
        <f t="shared" si="17"/>
        <v/>
      </c>
      <c r="AY13" s="9" t="str">
        <f t="shared" si="37"/>
        <v>-</v>
      </c>
      <c r="AZ13" s="16" t="str">
        <f t="shared" si="38"/>
        <v/>
      </c>
      <c r="BA13" s="16" t="str">
        <f t="shared" si="39"/>
        <v/>
      </c>
      <c r="BB13" s="16" t="str">
        <f t="shared" si="40"/>
        <v/>
      </c>
      <c r="BC13" s="16" t="str">
        <f t="shared" si="41"/>
        <v/>
      </c>
      <c r="BD13" s="16" t="str">
        <f t="shared" si="42"/>
        <v/>
      </c>
      <c r="BE13" s="16" t="str">
        <f t="shared" si="43"/>
        <v/>
      </c>
    </row>
    <row r="14" spans="2:57" x14ac:dyDescent="0.3">
      <c r="B14" s="84" t="str">
        <f>""</f>
        <v/>
      </c>
      <c r="C14" s="4">
        <v>11</v>
      </c>
      <c r="D14" s="78" t="str">
        <f t="shared" si="18"/>
        <v/>
      </c>
      <c r="E14" s="3"/>
      <c r="F14" s="79" t="str">
        <f>IFERROR(INDEX('Input - Supermarket'!$N$3:$N$200,MATCH('Calculations - Supermarket'!$C14,'Input - Supermarket'!$O$3:$O$200,0)),"")</f>
        <v/>
      </c>
      <c r="G14" s="16" t="str">
        <f>IFERROR(INDEX('Input - Supermarket'!G$2:G$200,MATCH('Calculations - Supermarket'!$D14,'Input - Supermarket'!$D$2:$D$200,0)),"")</f>
        <v/>
      </c>
      <c r="H14" s="16" t="str">
        <f>IFERROR(INDEX('Input - Supermarket'!H$2:H$200,MATCH('Calculations - Supermarket'!$D14,'Input - Supermarket'!$D$2:$D$200,0)),"")</f>
        <v/>
      </c>
      <c r="I14" s="20" t="str">
        <f>IFERROR(INDEX('Input - Supermarket'!I$2:I$200,MATCH('Calculations - Supermarket'!$D14,'Input - Supermarket'!$D$2:$D$200,0)),"")</f>
        <v/>
      </c>
      <c r="J14" s="20" t="str">
        <f>IFERROR(INDEX('Input - Supermarket'!J$2:J$200,MATCH('Calculations - Supermarket'!$D14,'Input - Supermarket'!$D$2:$D$200,0)),"")</f>
        <v/>
      </c>
      <c r="K14" s="16" t="str">
        <f>IFERROR(INDEX('Input - Supermarket'!K$2:K$200,MATCH('Calculations - Supermarket'!$D14,'Input - Supermarket'!$D$2:$D$200,0)),"")</f>
        <v/>
      </c>
      <c r="L14" s="16" t="str">
        <f>IFERROR(INDEX('Input - Supermarket'!L$2:L$200,MATCH('Calculations - Supermarket'!$D14,'Input - Supermarket'!$D$2:$D$200,0)),"")</f>
        <v/>
      </c>
      <c r="M14" s="17" t="str">
        <f t="shared" si="19"/>
        <v/>
      </c>
      <c r="N14" s="17" t="str">
        <f t="shared" si="6"/>
        <v/>
      </c>
      <c r="O14" s="17" t="str">
        <f t="shared" si="20"/>
        <v/>
      </c>
      <c r="P14" s="9" t="str">
        <f t="shared" si="7"/>
        <v/>
      </c>
      <c r="Q14" s="9" t="str">
        <f t="shared" si="8"/>
        <v/>
      </c>
      <c r="R14" s="8" t="str">
        <f>IFERROR(INDEX(Supermarket!$U$12:$U$55,MATCH('Calculations - Supermarket'!$D14,Supermarket!$Q$12:$Q$55,0)),"-")</f>
        <v>-</v>
      </c>
      <c r="S14" s="8" t="str">
        <f>IFERROR(INDEX(Supermarket!$V$12:$V$55,MATCH('Calculations - Supermarket'!$D14,Supermarket!$Q$12:$Q$55,0)),"-")</f>
        <v>-</v>
      </c>
      <c r="T14" t="str">
        <f t="shared" si="21"/>
        <v>-</v>
      </c>
      <c r="U14" t="str">
        <f t="shared" si="22"/>
        <v>-</v>
      </c>
      <c r="V14" t="str">
        <f t="shared" si="23"/>
        <v>-</v>
      </c>
      <c r="W14" t="str">
        <f t="shared" si="9"/>
        <v>-</v>
      </c>
      <c r="X14" s="10" t="str">
        <f t="shared" si="10"/>
        <v>-</v>
      </c>
      <c r="Y14" s="7" t="str">
        <f t="shared" si="24"/>
        <v/>
      </c>
      <c r="Z14" s="11" t="str">
        <f t="shared" si="25"/>
        <v>-</v>
      </c>
      <c r="AA14" t="str">
        <f t="shared" si="26"/>
        <v>-</v>
      </c>
      <c r="AB14" s="13" t="str">
        <f t="shared" si="11"/>
        <v>-</v>
      </c>
      <c r="AC14" s="13" t="str">
        <f t="shared" si="27"/>
        <v>-</v>
      </c>
      <c r="AD14" s="13" t="str">
        <f t="shared" si="28"/>
        <v>-</v>
      </c>
      <c r="AE14" s="9" t="str">
        <f t="shared" si="29"/>
        <v/>
      </c>
      <c r="AF14" s="10" t="str">
        <f>IFERROR(INDEX(Supermarket!$T$12:$T$55,MATCH('Calculations - Supermarket'!$D14,Supermarket!$Q$12:$Q$55,0)),"-")</f>
        <v>-</v>
      </c>
      <c r="AG14" s="22" t="str">
        <f t="shared" si="30"/>
        <v>-</v>
      </c>
      <c r="AH14" s="22" t="str">
        <f t="shared" si="31"/>
        <v>-</v>
      </c>
      <c r="AI14" s="9" t="str">
        <f t="shared" si="12"/>
        <v/>
      </c>
      <c r="AJ14" s="4" t="str">
        <f t="shared" si="13"/>
        <v/>
      </c>
      <c r="AP14" s="16" t="str">
        <f t="shared" si="14"/>
        <v>-</v>
      </c>
      <c r="AQ14" s="11" t="str">
        <f t="shared" si="32"/>
        <v/>
      </c>
      <c r="AR14" s="9" t="str">
        <f t="shared" si="33"/>
        <v/>
      </c>
      <c r="AS14" s="11" t="str">
        <f t="shared" si="34"/>
        <v/>
      </c>
      <c r="AT14" s="13" t="str">
        <f t="shared" si="35"/>
        <v>-</v>
      </c>
      <c r="AU14" s="13" t="str">
        <f t="shared" si="15"/>
        <v>-</v>
      </c>
      <c r="AV14" s="4" t="str">
        <f t="shared" si="36"/>
        <v>-</v>
      </c>
      <c r="AW14" s="13" t="str">
        <f t="shared" si="16"/>
        <v>-</v>
      </c>
      <c r="AX14" t="str">
        <f t="shared" si="17"/>
        <v/>
      </c>
      <c r="AY14" s="9" t="str">
        <f t="shared" si="37"/>
        <v>-</v>
      </c>
      <c r="AZ14" s="16" t="str">
        <f t="shared" si="38"/>
        <v/>
      </c>
      <c r="BA14" s="16" t="str">
        <f t="shared" si="39"/>
        <v/>
      </c>
      <c r="BB14" s="16" t="str">
        <f t="shared" si="40"/>
        <v/>
      </c>
      <c r="BC14" s="16" t="str">
        <f t="shared" si="41"/>
        <v/>
      </c>
      <c r="BD14" s="16" t="str">
        <f t="shared" si="42"/>
        <v/>
      </c>
      <c r="BE14" s="16" t="str">
        <f t="shared" si="43"/>
        <v/>
      </c>
    </row>
    <row r="15" spans="2:57" x14ac:dyDescent="0.3">
      <c r="B15" s="84" t="str">
        <f>""</f>
        <v/>
      </c>
      <c r="C15" s="4">
        <v>12</v>
      </c>
      <c r="D15" s="78" t="str">
        <f t="shared" si="18"/>
        <v/>
      </c>
      <c r="E15" s="3"/>
      <c r="F15" s="79" t="str">
        <f>IFERROR(INDEX('Input - Supermarket'!$N$3:$N$200,MATCH('Calculations - Supermarket'!$C15,'Input - Supermarket'!$O$3:$O$200,0)),"")</f>
        <v/>
      </c>
      <c r="G15" s="16" t="str">
        <f>IFERROR(INDEX('Input - Supermarket'!G$2:G$200,MATCH('Calculations - Supermarket'!$D15,'Input - Supermarket'!$D$2:$D$200,0)),"")</f>
        <v/>
      </c>
      <c r="H15" s="16" t="str">
        <f>IFERROR(INDEX('Input - Supermarket'!H$2:H$200,MATCH('Calculations - Supermarket'!$D15,'Input - Supermarket'!$D$2:$D$200,0)),"")</f>
        <v/>
      </c>
      <c r="I15" s="20" t="str">
        <f>IFERROR(INDEX('Input - Supermarket'!I$2:I$200,MATCH('Calculations - Supermarket'!$D15,'Input - Supermarket'!$D$2:$D$200,0)),"")</f>
        <v/>
      </c>
      <c r="J15" s="20" t="str">
        <f>IFERROR(INDEX('Input - Supermarket'!J$2:J$200,MATCH('Calculations - Supermarket'!$D15,'Input - Supermarket'!$D$2:$D$200,0)),"")</f>
        <v/>
      </c>
      <c r="K15" s="16" t="str">
        <f>IFERROR(INDEX('Input - Supermarket'!K$2:K$200,MATCH('Calculations - Supermarket'!$D15,'Input - Supermarket'!$D$2:$D$200,0)),"")</f>
        <v/>
      </c>
      <c r="L15" s="16" t="str">
        <f>IFERROR(INDEX('Input - Supermarket'!L$2:L$200,MATCH('Calculations - Supermarket'!$D15,'Input - Supermarket'!$D$2:$D$200,0)),"")</f>
        <v/>
      </c>
      <c r="M15" s="17" t="str">
        <f t="shared" si="19"/>
        <v/>
      </c>
      <c r="N15" s="17" t="str">
        <f t="shared" si="6"/>
        <v/>
      </c>
      <c r="O15" s="17" t="str">
        <f t="shared" si="20"/>
        <v/>
      </c>
      <c r="P15" s="9" t="str">
        <f t="shared" si="7"/>
        <v/>
      </c>
      <c r="Q15" s="9" t="str">
        <f t="shared" si="8"/>
        <v/>
      </c>
      <c r="R15" s="8" t="str">
        <f>IFERROR(INDEX(Supermarket!$U$12:$U$55,MATCH('Calculations - Supermarket'!$D15,Supermarket!$Q$12:$Q$55,0)),"-")</f>
        <v>-</v>
      </c>
      <c r="S15" s="8" t="str">
        <f>IFERROR(INDEX(Supermarket!$V$12:$V$55,MATCH('Calculations - Supermarket'!$D15,Supermarket!$Q$12:$Q$55,0)),"-")</f>
        <v>-</v>
      </c>
      <c r="T15" t="str">
        <f t="shared" si="21"/>
        <v>-</v>
      </c>
      <c r="U15" t="str">
        <f t="shared" si="22"/>
        <v>-</v>
      </c>
      <c r="V15" t="str">
        <f t="shared" si="23"/>
        <v>-</v>
      </c>
      <c r="W15" t="str">
        <f t="shared" si="9"/>
        <v>-</v>
      </c>
      <c r="X15" s="10" t="str">
        <f t="shared" si="10"/>
        <v>-</v>
      </c>
      <c r="Y15" s="7" t="str">
        <f t="shared" si="24"/>
        <v/>
      </c>
      <c r="Z15" s="11" t="str">
        <f t="shared" si="25"/>
        <v>-</v>
      </c>
      <c r="AA15" t="str">
        <f t="shared" si="26"/>
        <v>-</v>
      </c>
      <c r="AB15" s="13" t="str">
        <f t="shared" si="11"/>
        <v>-</v>
      </c>
      <c r="AC15" s="13" t="str">
        <f t="shared" si="27"/>
        <v>-</v>
      </c>
      <c r="AD15" s="13" t="str">
        <f t="shared" si="28"/>
        <v>-</v>
      </c>
      <c r="AE15" s="9" t="str">
        <f t="shared" si="29"/>
        <v/>
      </c>
      <c r="AF15" s="10" t="str">
        <f>IFERROR(INDEX(Supermarket!$T$12:$T$55,MATCH('Calculations - Supermarket'!$D15,Supermarket!$Q$12:$Q$55,0)),"-")</f>
        <v>-</v>
      </c>
      <c r="AG15" s="22" t="str">
        <f t="shared" si="30"/>
        <v>-</v>
      </c>
      <c r="AH15" s="22" t="str">
        <f t="shared" si="31"/>
        <v>-</v>
      </c>
      <c r="AI15" s="9" t="str">
        <f t="shared" si="12"/>
        <v/>
      </c>
      <c r="AJ15" s="4" t="str">
        <f t="shared" si="13"/>
        <v/>
      </c>
      <c r="AP15" s="16" t="str">
        <f t="shared" si="14"/>
        <v>-</v>
      </c>
      <c r="AQ15" s="11" t="str">
        <f t="shared" si="32"/>
        <v/>
      </c>
      <c r="AR15" s="9" t="str">
        <f t="shared" si="33"/>
        <v/>
      </c>
      <c r="AS15" s="11" t="str">
        <f t="shared" si="34"/>
        <v/>
      </c>
      <c r="AT15" s="13" t="str">
        <f t="shared" si="35"/>
        <v>-</v>
      </c>
      <c r="AU15" s="13" t="str">
        <f t="shared" si="15"/>
        <v>-</v>
      </c>
      <c r="AV15" s="4" t="str">
        <f t="shared" si="36"/>
        <v>-</v>
      </c>
      <c r="AW15" s="13" t="str">
        <f t="shared" si="16"/>
        <v>-</v>
      </c>
      <c r="AX15" t="str">
        <f t="shared" si="17"/>
        <v/>
      </c>
      <c r="AY15" s="9" t="str">
        <f t="shared" si="37"/>
        <v>-</v>
      </c>
      <c r="AZ15" s="16" t="str">
        <f t="shared" si="38"/>
        <v/>
      </c>
      <c r="BA15" s="16" t="str">
        <f t="shared" si="39"/>
        <v/>
      </c>
      <c r="BB15" s="16" t="str">
        <f t="shared" si="40"/>
        <v/>
      </c>
      <c r="BC15" s="16" t="str">
        <f t="shared" si="41"/>
        <v/>
      </c>
      <c r="BD15" s="16" t="str">
        <f t="shared" si="42"/>
        <v/>
      </c>
      <c r="BE15" s="16" t="str">
        <f t="shared" si="43"/>
        <v/>
      </c>
    </row>
    <row r="16" spans="2:57" x14ac:dyDescent="0.3">
      <c r="B16" s="84" t="str">
        <f>""</f>
        <v/>
      </c>
      <c r="C16" s="4">
        <v>13</v>
      </c>
      <c r="D16" s="78" t="str">
        <f t="shared" si="18"/>
        <v/>
      </c>
      <c r="E16" s="3"/>
      <c r="F16" s="79" t="str">
        <f>IFERROR(INDEX('Input - Supermarket'!$N$3:$N$200,MATCH('Calculations - Supermarket'!$C16,'Input - Supermarket'!$O$3:$O$200,0)),"")</f>
        <v/>
      </c>
      <c r="G16" s="16" t="str">
        <f>IFERROR(INDEX('Input - Supermarket'!G$2:G$200,MATCH('Calculations - Supermarket'!$D16,'Input - Supermarket'!$D$2:$D$200,0)),"")</f>
        <v/>
      </c>
      <c r="H16" s="16" t="str">
        <f>IFERROR(INDEX('Input - Supermarket'!H$2:H$200,MATCH('Calculations - Supermarket'!$D16,'Input - Supermarket'!$D$2:$D$200,0)),"")</f>
        <v/>
      </c>
      <c r="I16" s="20" t="str">
        <f>IFERROR(INDEX('Input - Supermarket'!I$2:I$200,MATCH('Calculations - Supermarket'!$D16,'Input - Supermarket'!$D$2:$D$200,0)),"")</f>
        <v/>
      </c>
      <c r="J16" s="20" t="str">
        <f>IFERROR(INDEX('Input - Supermarket'!J$2:J$200,MATCH('Calculations - Supermarket'!$D16,'Input - Supermarket'!$D$2:$D$200,0)),"")</f>
        <v/>
      </c>
      <c r="K16" s="16" t="str">
        <f>IFERROR(INDEX('Input - Supermarket'!K$2:K$200,MATCH('Calculations - Supermarket'!$D16,'Input - Supermarket'!$D$2:$D$200,0)),"")</f>
        <v/>
      </c>
      <c r="L16" s="16" t="str">
        <f>IFERROR(INDEX('Input - Supermarket'!L$2:L$200,MATCH('Calculations - Supermarket'!$D16,'Input - Supermarket'!$D$2:$D$200,0)),"")</f>
        <v/>
      </c>
      <c r="M16" s="17" t="str">
        <f t="shared" si="19"/>
        <v/>
      </c>
      <c r="N16" s="17" t="str">
        <f t="shared" si="6"/>
        <v/>
      </c>
      <c r="O16" s="17" t="str">
        <f t="shared" si="20"/>
        <v/>
      </c>
      <c r="P16" s="9" t="str">
        <f t="shared" si="7"/>
        <v/>
      </c>
      <c r="Q16" s="9" t="str">
        <f t="shared" si="8"/>
        <v/>
      </c>
      <c r="R16" s="8" t="str">
        <f>IFERROR(INDEX(Supermarket!$U$12:$U$55,MATCH('Calculations - Supermarket'!$D16,Supermarket!$Q$12:$Q$55,0)),"-")</f>
        <v>-</v>
      </c>
      <c r="S16" s="8" t="str">
        <f>IFERROR(INDEX(Supermarket!$V$12:$V$55,MATCH('Calculations - Supermarket'!$D16,Supermarket!$Q$12:$Q$55,0)),"-")</f>
        <v>-</v>
      </c>
      <c r="T16" t="str">
        <f t="shared" si="21"/>
        <v>-</v>
      </c>
      <c r="U16" t="str">
        <f t="shared" si="22"/>
        <v>-</v>
      </c>
      <c r="V16" t="str">
        <f t="shared" si="23"/>
        <v>-</v>
      </c>
      <c r="W16" t="str">
        <f t="shared" si="9"/>
        <v>-</v>
      </c>
      <c r="X16" s="10" t="str">
        <f t="shared" si="10"/>
        <v>-</v>
      </c>
      <c r="Y16" s="7" t="str">
        <f t="shared" si="24"/>
        <v/>
      </c>
      <c r="Z16" s="11" t="str">
        <f t="shared" si="25"/>
        <v>-</v>
      </c>
      <c r="AA16" t="str">
        <f t="shared" si="26"/>
        <v>-</v>
      </c>
      <c r="AB16" s="13" t="str">
        <f t="shared" si="11"/>
        <v>-</v>
      </c>
      <c r="AC16" s="13" t="str">
        <f t="shared" si="27"/>
        <v>-</v>
      </c>
      <c r="AD16" s="13" t="str">
        <f t="shared" si="28"/>
        <v>-</v>
      </c>
      <c r="AE16" s="9" t="str">
        <f t="shared" si="29"/>
        <v/>
      </c>
      <c r="AF16" s="10" t="str">
        <f>IFERROR(INDEX(Supermarket!$T$12:$T$55,MATCH('Calculations - Supermarket'!$D16,Supermarket!$Q$12:$Q$55,0)),"-")</f>
        <v>-</v>
      </c>
      <c r="AG16" s="22" t="str">
        <f t="shared" si="30"/>
        <v>-</v>
      </c>
      <c r="AH16" s="22" t="str">
        <f t="shared" si="31"/>
        <v>-</v>
      </c>
      <c r="AI16" s="9" t="str">
        <f t="shared" si="12"/>
        <v/>
      </c>
      <c r="AJ16" s="4" t="str">
        <f t="shared" si="13"/>
        <v/>
      </c>
      <c r="AP16" s="16" t="str">
        <f t="shared" si="14"/>
        <v>-</v>
      </c>
      <c r="AQ16" s="11" t="str">
        <f t="shared" si="32"/>
        <v/>
      </c>
      <c r="AR16" s="9" t="str">
        <f t="shared" si="33"/>
        <v/>
      </c>
      <c r="AS16" s="11" t="str">
        <f t="shared" si="34"/>
        <v/>
      </c>
      <c r="AT16" s="13" t="str">
        <f t="shared" si="35"/>
        <v>-</v>
      </c>
      <c r="AU16" s="13" t="str">
        <f t="shared" si="15"/>
        <v>-</v>
      </c>
      <c r="AV16" s="4" t="str">
        <f t="shared" si="36"/>
        <v>-</v>
      </c>
      <c r="AW16" s="13" t="str">
        <f t="shared" si="16"/>
        <v>-</v>
      </c>
      <c r="AX16" t="str">
        <f t="shared" si="17"/>
        <v/>
      </c>
      <c r="AY16" s="9" t="str">
        <f t="shared" si="37"/>
        <v>-</v>
      </c>
      <c r="AZ16" s="16" t="str">
        <f t="shared" si="38"/>
        <v/>
      </c>
      <c r="BA16" s="16" t="str">
        <f t="shared" si="39"/>
        <v/>
      </c>
      <c r="BB16" s="16" t="str">
        <f t="shared" si="40"/>
        <v/>
      </c>
      <c r="BC16" s="16" t="str">
        <f t="shared" si="41"/>
        <v/>
      </c>
      <c r="BD16" s="16" t="str">
        <f t="shared" si="42"/>
        <v/>
      </c>
      <c r="BE16" s="16" t="str">
        <f t="shared" si="43"/>
        <v/>
      </c>
    </row>
    <row r="17" spans="2:57" x14ac:dyDescent="0.3">
      <c r="B17" s="84" t="str">
        <f>""</f>
        <v/>
      </c>
      <c r="C17" s="4">
        <v>14</v>
      </c>
      <c r="D17" s="78" t="str">
        <f t="shared" si="18"/>
        <v/>
      </c>
      <c r="E17" s="3"/>
      <c r="F17" s="79" t="str">
        <f>IFERROR(INDEX('Input - Supermarket'!$N$3:$N$200,MATCH('Calculations - Supermarket'!$C17,'Input - Supermarket'!$O$3:$O$200,0)),"")</f>
        <v/>
      </c>
      <c r="G17" s="16" t="str">
        <f>IFERROR(INDEX('Input - Supermarket'!G$2:G$200,MATCH('Calculations - Supermarket'!$D17,'Input - Supermarket'!$D$2:$D$200,0)),"")</f>
        <v/>
      </c>
      <c r="H17" s="16" t="str">
        <f>IFERROR(INDEX('Input - Supermarket'!H$2:H$200,MATCH('Calculations - Supermarket'!$D17,'Input - Supermarket'!$D$2:$D$200,0)),"")</f>
        <v/>
      </c>
      <c r="I17" s="20" t="str">
        <f>IFERROR(INDEX('Input - Supermarket'!I$2:I$200,MATCH('Calculations - Supermarket'!$D17,'Input - Supermarket'!$D$2:$D$200,0)),"")</f>
        <v/>
      </c>
      <c r="J17" s="20" t="str">
        <f>IFERROR(INDEX('Input - Supermarket'!J$2:J$200,MATCH('Calculations - Supermarket'!$D17,'Input - Supermarket'!$D$2:$D$200,0)),"")</f>
        <v/>
      </c>
      <c r="K17" s="16" t="str">
        <f>IFERROR(INDEX('Input - Supermarket'!K$2:K$200,MATCH('Calculations - Supermarket'!$D17,'Input - Supermarket'!$D$2:$D$200,0)),"")</f>
        <v/>
      </c>
      <c r="L17" s="16" t="str">
        <f>IFERROR(INDEX('Input - Supermarket'!L$2:L$200,MATCH('Calculations - Supermarket'!$D17,'Input - Supermarket'!$D$2:$D$200,0)),"")</f>
        <v/>
      </c>
      <c r="M17" s="17" t="str">
        <f t="shared" si="19"/>
        <v/>
      </c>
      <c r="N17" s="17" t="str">
        <f t="shared" si="6"/>
        <v/>
      </c>
      <c r="O17" s="17" t="str">
        <f t="shared" si="20"/>
        <v/>
      </c>
      <c r="P17" s="9" t="str">
        <f t="shared" si="7"/>
        <v/>
      </c>
      <c r="Q17" s="9" t="str">
        <f t="shared" si="8"/>
        <v/>
      </c>
      <c r="R17" s="8" t="str">
        <f>IFERROR(INDEX(Supermarket!$U$12:$U$55,MATCH('Calculations - Supermarket'!$D17,Supermarket!$Q$12:$Q$55,0)),"-")</f>
        <v>-</v>
      </c>
      <c r="S17" s="8" t="str">
        <f>IFERROR(INDEX(Supermarket!$V$12:$V$55,MATCH('Calculations - Supermarket'!$D17,Supermarket!$Q$12:$Q$55,0)),"-")</f>
        <v>-</v>
      </c>
      <c r="T17" t="str">
        <f t="shared" si="21"/>
        <v>-</v>
      </c>
      <c r="U17" t="str">
        <f t="shared" si="22"/>
        <v>-</v>
      </c>
      <c r="V17" t="str">
        <f t="shared" si="23"/>
        <v>-</v>
      </c>
      <c r="W17" t="str">
        <f t="shared" si="9"/>
        <v>-</v>
      </c>
      <c r="X17" s="10" t="str">
        <f t="shared" si="10"/>
        <v>-</v>
      </c>
      <c r="Y17" s="7" t="str">
        <f t="shared" si="24"/>
        <v/>
      </c>
      <c r="Z17" s="11" t="str">
        <f t="shared" si="25"/>
        <v>-</v>
      </c>
      <c r="AA17" t="str">
        <f t="shared" si="26"/>
        <v>-</v>
      </c>
      <c r="AB17" s="13" t="str">
        <f t="shared" si="11"/>
        <v>-</v>
      </c>
      <c r="AC17" s="13" t="str">
        <f t="shared" si="27"/>
        <v>-</v>
      </c>
      <c r="AD17" s="13" t="str">
        <f t="shared" si="28"/>
        <v>-</v>
      </c>
      <c r="AE17" s="9" t="str">
        <f t="shared" si="29"/>
        <v/>
      </c>
      <c r="AF17" s="10" t="str">
        <f>IFERROR(INDEX(Supermarket!$T$12:$T$55,MATCH('Calculations - Supermarket'!$D17,Supermarket!$Q$12:$Q$55,0)),"-")</f>
        <v>-</v>
      </c>
      <c r="AG17" s="22" t="str">
        <f t="shared" si="30"/>
        <v>-</v>
      </c>
      <c r="AH17" s="22" t="str">
        <f t="shared" si="31"/>
        <v>-</v>
      </c>
      <c r="AI17" s="9" t="str">
        <f t="shared" si="12"/>
        <v/>
      </c>
      <c r="AJ17" s="4" t="str">
        <f t="shared" si="13"/>
        <v/>
      </c>
      <c r="AP17" s="16" t="str">
        <f t="shared" si="14"/>
        <v>-</v>
      </c>
      <c r="AQ17" s="11" t="str">
        <f t="shared" si="32"/>
        <v/>
      </c>
      <c r="AR17" s="9" t="str">
        <f t="shared" si="33"/>
        <v/>
      </c>
      <c r="AS17" s="11" t="str">
        <f t="shared" si="34"/>
        <v/>
      </c>
      <c r="AT17" s="13" t="str">
        <f t="shared" si="35"/>
        <v>-</v>
      </c>
      <c r="AU17" s="13" t="str">
        <f t="shared" si="15"/>
        <v>-</v>
      </c>
      <c r="AV17" s="4" t="str">
        <f t="shared" si="36"/>
        <v>-</v>
      </c>
      <c r="AW17" s="13" t="str">
        <f t="shared" si="16"/>
        <v>-</v>
      </c>
      <c r="AX17" t="str">
        <f t="shared" si="17"/>
        <v/>
      </c>
      <c r="AY17" s="9" t="str">
        <f t="shared" si="37"/>
        <v>-</v>
      </c>
      <c r="AZ17" s="16" t="str">
        <f t="shared" si="38"/>
        <v/>
      </c>
      <c r="BA17" s="16" t="str">
        <f t="shared" si="39"/>
        <v/>
      </c>
      <c r="BB17" s="16" t="str">
        <f t="shared" si="40"/>
        <v/>
      </c>
      <c r="BC17" s="16" t="str">
        <f t="shared" si="41"/>
        <v/>
      </c>
      <c r="BD17" s="16" t="str">
        <f t="shared" si="42"/>
        <v/>
      </c>
      <c r="BE17" s="16" t="str">
        <f t="shared" si="43"/>
        <v/>
      </c>
    </row>
    <row r="18" spans="2:57" x14ac:dyDescent="0.3">
      <c r="B18" s="84" t="str">
        <f>""</f>
        <v/>
      </c>
      <c r="C18" s="4">
        <v>15</v>
      </c>
      <c r="D18" s="78" t="str">
        <f t="shared" si="18"/>
        <v/>
      </c>
      <c r="E18" s="3"/>
      <c r="F18" s="79" t="str">
        <f>IFERROR(INDEX('Input - Supermarket'!$N$3:$N$200,MATCH('Calculations - Supermarket'!$C18,'Input - Supermarket'!$O$3:$O$200,0)),"")</f>
        <v/>
      </c>
      <c r="G18" s="16" t="str">
        <f>IFERROR(INDEX('Input - Supermarket'!G$2:G$200,MATCH('Calculations - Supermarket'!$D18,'Input - Supermarket'!$D$2:$D$200,0)),"")</f>
        <v/>
      </c>
      <c r="H18" s="16" t="str">
        <f>IFERROR(INDEX('Input - Supermarket'!H$2:H$200,MATCH('Calculations - Supermarket'!$D18,'Input - Supermarket'!$D$2:$D$200,0)),"")</f>
        <v/>
      </c>
      <c r="I18" s="20" t="str">
        <f>IFERROR(INDEX('Input - Supermarket'!I$2:I$200,MATCH('Calculations - Supermarket'!$D18,'Input - Supermarket'!$D$2:$D$200,0)),"")</f>
        <v/>
      </c>
      <c r="J18" s="20" t="str">
        <f>IFERROR(INDEX('Input - Supermarket'!J$2:J$200,MATCH('Calculations - Supermarket'!$D18,'Input - Supermarket'!$D$2:$D$200,0)),"")</f>
        <v/>
      </c>
      <c r="K18" s="16" t="str">
        <f>IFERROR(INDEX('Input - Supermarket'!K$2:K$200,MATCH('Calculations - Supermarket'!$D18,'Input - Supermarket'!$D$2:$D$200,0)),"")</f>
        <v/>
      </c>
      <c r="L18" s="16" t="str">
        <f>IFERROR(INDEX('Input - Supermarket'!L$2:L$200,MATCH('Calculations - Supermarket'!$D18,'Input - Supermarket'!$D$2:$D$200,0)),"")</f>
        <v/>
      </c>
      <c r="M18" s="17" t="str">
        <f t="shared" si="19"/>
        <v/>
      </c>
      <c r="N18" s="17" t="str">
        <f t="shared" si="6"/>
        <v/>
      </c>
      <c r="O18" s="17" t="str">
        <f t="shared" si="20"/>
        <v/>
      </c>
      <c r="P18" s="9" t="str">
        <f t="shared" si="7"/>
        <v/>
      </c>
      <c r="Q18" s="9" t="str">
        <f t="shared" si="8"/>
        <v/>
      </c>
      <c r="R18" s="8" t="str">
        <f>IFERROR(INDEX(Supermarket!$U$12:$U$55,MATCH('Calculations - Supermarket'!$D18,Supermarket!$Q$12:$Q$55,0)),"-")</f>
        <v>-</v>
      </c>
      <c r="S18" s="8" t="str">
        <f>IFERROR(INDEX(Supermarket!$V$12:$V$55,MATCH('Calculations - Supermarket'!$D18,Supermarket!$Q$12:$Q$55,0)),"-")</f>
        <v>-</v>
      </c>
      <c r="T18" t="str">
        <f t="shared" si="21"/>
        <v>-</v>
      </c>
      <c r="U18" t="str">
        <f t="shared" si="22"/>
        <v>-</v>
      </c>
      <c r="V18" t="str">
        <f t="shared" si="23"/>
        <v>-</v>
      </c>
      <c r="W18" t="str">
        <f t="shared" si="9"/>
        <v>-</v>
      </c>
      <c r="X18" s="10" t="str">
        <f t="shared" si="10"/>
        <v>-</v>
      </c>
      <c r="Y18" s="7" t="str">
        <f t="shared" si="24"/>
        <v/>
      </c>
      <c r="Z18" s="11" t="str">
        <f t="shared" si="25"/>
        <v>-</v>
      </c>
      <c r="AA18" t="str">
        <f t="shared" si="26"/>
        <v>-</v>
      </c>
      <c r="AB18" s="13" t="str">
        <f t="shared" si="11"/>
        <v>-</v>
      </c>
      <c r="AC18" s="13" t="str">
        <f t="shared" si="27"/>
        <v>-</v>
      </c>
      <c r="AD18" s="13" t="str">
        <f t="shared" si="28"/>
        <v>-</v>
      </c>
      <c r="AE18" s="9" t="str">
        <f t="shared" si="29"/>
        <v/>
      </c>
      <c r="AF18" s="10" t="str">
        <f>IFERROR(INDEX(Supermarket!$T$12:$T$55,MATCH('Calculations - Supermarket'!$D18,Supermarket!$Q$12:$Q$55,0)),"-")</f>
        <v>-</v>
      </c>
      <c r="AG18" s="22" t="str">
        <f t="shared" si="30"/>
        <v>-</v>
      </c>
      <c r="AH18" s="22" t="str">
        <f t="shared" si="31"/>
        <v>-</v>
      </c>
      <c r="AI18" s="9" t="str">
        <f t="shared" si="12"/>
        <v/>
      </c>
      <c r="AJ18" s="4" t="str">
        <f t="shared" si="13"/>
        <v/>
      </c>
      <c r="AP18" s="16" t="str">
        <f t="shared" si="14"/>
        <v>-</v>
      </c>
      <c r="AQ18" s="11" t="str">
        <f t="shared" si="32"/>
        <v/>
      </c>
      <c r="AR18" s="9" t="str">
        <f t="shared" si="33"/>
        <v/>
      </c>
      <c r="AS18" s="11" t="str">
        <f t="shared" si="34"/>
        <v/>
      </c>
      <c r="AT18" s="13" t="str">
        <f t="shared" si="35"/>
        <v>-</v>
      </c>
      <c r="AU18" s="13" t="str">
        <f t="shared" si="15"/>
        <v>-</v>
      </c>
      <c r="AV18" s="4" t="str">
        <f t="shared" si="36"/>
        <v>-</v>
      </c>
      <c r="AW18" s="13" t="str">
        <f t="shared" si="16"/>
        <v>-</v>
      </c>
      <c r="AX18" t="str">
        <f t="shared" si="17"/>
        <v/>
      </c>
      <c r="AY18" s="9" t="str">
        <f t="shared" si="37"/>
        <v>-</v>
      </c>
      <c r="AZ18" s="16" t="str">
        <f t="shared" si="38"/>
        <v/>
      </c>
      <c r="BA18" s="16" t="str">
        <f t="shared" si="39"/>
        <v/>
      </c>
      <c r="BB18" s="16" t="str">
        <f t="shared" si="40"/>
        <v/>
      </c>
      <c r="BC18" s="16" t="str">
        <f t="shared" si="41"/>
        <v/>
      </c>
      <c r="BD18" s="16" t="str">
        <f t="shared" si="42"/>
        <v/>
      </c>
      <c r="BE18" s="16" t="str">
        <f t="shared" si="43"/>
        <v/>
      </c>
    </row>
    <row r="19" spans="2:57" x14ac:dyDescent="0.3">
      <c r="B19" s="84" t="str">
        <f>""</f>
        <v/>
      </c>
      <c r="C19" s="4">
        <v>16</v>
      </c>
      <c r="D19" s="78" t="str">
        <f t="shared" si="18"/>
        <v/>
      </c>
      <c r="E19" s="3"/>
      <c r="F19" s="79" t="str">
        <f>IFERROR(INDEX('Input - Supermarket'!$N$3:$N$200,MATCH('Calculations - Supermarket'!$C19,'Input - Supermarket'!$O$3:$O$200,0)),"")</f>
        <v/>
      </c>
      <c r="G19" s="16" t="str">
        <f>IFERROR(INDEX('Input - Supermarket'!G$2:G$200,MATCH('Calculations - Supermarket'!$D19,'Input - Supermarket'!$D$2:$D$200,0)),"")</f>
        <v/>
      </c>
      <c r="H19" s="16" t="str">
        <f>IFERROR(INDEX('Input - Supermarket'!H$2:H$200,MATCH('Calculations - Supermarket'!$D19,'Input - Supermarket'!$D$2:$D$200,0)),"")</f>
        <v/>
      </c>
      <c r="I19" s="20" t="str">
        <f>IFERROR(INDEX('Input - Supermarket'!I$2:I$200,MATCH('Calculations - Supermarket'!$D19,'Input - Supermarket'!$D$2:$D$200,0)),"")</f>
        <v/>
      </c>
      <c r="J19" s="20" t="str">
        <f>IFERROR(INDEX('Input - Supermarket'!J$2:J$200,MATCH('Calculations - Supermarket'!$D19,'Input - Supermarket'!$D$2:$D$200,0)),"")</f>
        <v/>
      </c>
      <c r="K19" s="16" t="str">
        <f>IFERROR(INDEX('Input - Supermarket'!K$2:K$200,MATCH('Calculations - Supermarket'!$D19,'Input - Supermarket'!$D$2:$D$200,0)),"")</f>
        <v/>
      </c>
      <c r="L19" s="16" t="str">
        <f>IFERROR(INDEX('Input - Supermarket'!L$2:L$200,MATCH('Calculations - Supermarket'!$D19,'Input - Supermarket'!$D$2:$D$200,0)),"")</f>
        <v/>
      </c>
      <c r="M19" s="17" t="str">
        <f t="shared" si="19"/>
        <v/>
      </c>
      <c r="N19" s="17" t="str">
        <f t="shared" si="6"/>
        <v/>
      </c>
      <c r="O19" s="17" t="str">
        <f t="shared" si="20"/>
        <v/>
      </c>
      <c r="P19" s="9" t="str">
        <f t="shared" si="7"/>
        <v/>
      </c>
      <c r="Q19" s="9" t="str">
        <f t="shared" si="8"/>
        <v/>
      </c>
      <c r="R19" s="8" t="str">
        <f>IFERROR(INDEX(Supermarket!$U$12:$U$55,MATCH('Calculations - Supermarket'!$D19,Supermarket!$Q$12:$Q$55,0)),"-")</f>
        <v>-</v>
      </c>
      <c r="S19" s="8" t="str">
        <f>IFERROR(INDEX(Supermarket!$V$12:$V$55,MATCH('Calculations - Supermarket'!$D19,Supermarket!$Q$12:$Q$55,0)),"-")</f>
        <v>-</v>
      </c>
      <c r="T19" t="str">
        <f t="shared" si="21"/>
        <v>-</v>
      </c>
      <c r="U19" t="str">
        <f t="shared" si="22"/>
        <v>-</v>
      </c>
      <c r="V19" t="str">
        <f t="shared" si="23"/>
        <v>-</v>
      </c>
      <c r="W19" t="str">
        <f t="shared" si="9"/>
        <v>-</v>
      </c>
      <c r="X19" s="10" t="str">
        <f t="shared" si="10"/>
        <v>-</v>
      </c>
      <c r="Y19" s="7" t="str">
        <f t="shared" si="24"/>
        <v/>
      </c>
      <c r="Z19" s="11" t="str">
        <f t="shared" si="25"/>
        <v>-</v>
      </c>
      <c r="AA19" t="str">
        <f t="shared" si="26"/>
        <v>-</v>
      </c>
      <c r="AB19" s="13" t="str">
        <f t="shared" si="11"/>
        <v>-</v>
      </c>
      <c r="AC19" s="13" t="str">
        <f t="shared" si="27"/>
        <v>-</v>
      </c>
      <c r="AD19" s="13" t="str">
        <f t="shared" si="28"/>
        <v>-</v>
      </c>
      <c r="AE19" s="9" t="str">
        <f t="shared" si="29"/>
        <v/>
      </c>
      <c r="AF19" s="10" t="str">
        <f>IFERROR(INDEX(Supermarket!$T$12:$T$55,MATCH('Calculations - Supermarket'!$D19,Supermarket!$Q$12:$Q$55,0)),"-")</f>
        <v>-</v>
      </c>
      <c r="AG19" s="22" t="str">
        <f t="shared" si="30"/>
        <v>-</v>
      </c>
      <c r="AH19" s="22" t="str">
        <f t="shared" si="31"/>
        <v>-</v>
      </c>
      <c r="AI19" s="9" t="str">
        <f t="shared" si="12"/>
        <v/>
      </c>
      <c r="AJ19" s="4" t="str">
        <f t="shared" si="13"/>
        <v/>
      </c>
      <c r="AP19" s="16" t="str">
        <f t="shared" si="14"/>
        <v>-</v>
      </c>
      <c r="AQ19" s="11" t="str">
        <f t="shared" si="32"/>
        <v/>
      </c>
      <c r="AR19" s="9" t="str">
        <f t="shared" si="33"/>
        <v/>
      </c>
      <c r="AS19" s="11" t="str">
        <f t="shared" si="34"/>
        <v/>
      </c>
      <c r="AT19" s="13" t="str">
        <f t="shared" si="35"/>
        <v>-</v>
      </c>
      <c r="AU19" s="13" t="str">
        <f t="shared" si="15"/>
        <v>-</v>
      </c>
      <c r="AV19" s="4" t="str">
        <f t="shared" si="36"/>
        <v>-</v>
      </c>
      <c r="AW19" s="13" t="str">
        <f t="shared" si="16"/>
        <v>-</v>
      </c>
      <c r="AX19" t="str">
        <f t="shared" si="17"/>
        <v/>
      </c>
      <c r="AY19" s="9" t="str">
        <f t="shared" si="37"/>
        <v>-</v>
      </c>
      <c r="AZ19" s="16" t="str">
        <f t="shared" si="38"/>
        <v/>
      </c>
      <c r="BA19" s="16" t="str">
        <f t="shared" si="39"/>
        <v/>
      </c>
      <c r="BB19" s="16" t="str">
        <f t="shared" si="40"/>
        <v/>
      </c>
      <c r="BC19" s="16" t="str">
        <f t="shared" si="41"/>
        <v/>
      </c>
      <c r="BD19" s="16" t="str">
        <f t="shared" si="42"/>
        <v/>
      </c>
      <c r="BE19" s="16" t="str">
        <f t="shared" si="43"/>
        <v/>
      </c>
    </row>
    <row r="20" spans="2:57" x14ac:dyDescent="0.3">
      <c r="B20" s="84" t="str">
        <f>""</f>
        <v/>
      </c>
      <c r="C20" s="4">
        <v>17</v>
      </c>
      <c r="D20" s="78" t="str">
        <f t="shared" si="18"/>
        <v/>
      </c>
      <c r="E20" s="3"/>
      <c r="F20" s="79" t="str">
        <f>IFERROR(INDEX('Input - Supermarket'!$N$3:$N$200,MATCH('Calculations - Supermarket'!$C20,'Input - Supermarket'!$O$3:$O$200,0)),"")</f>
        <v/>
      </c>
      <c r="G20" s="16" t="str">
        <f>IFERROR(INDEX('Input - Supermarket'!G$2:G$200,MATCH('Calculations - Supermarket'!$D20,'Input - Supermarket'!$D$2:$D$200,0)),"")</f>
        <v/>
      </c>
      <c r="H20" s="16" t="str">
        <f>IFERROR(INDEX('Input - Supermarket'!H$2:H$200,MATCH('Calculations - Supermarket'!$D20,'Input - Supermarket'!$D$2:$D$200,0)),"")</f>
        <v/>
      </c>
      <c r="I20" s="20" t="str">
        <f>IFERROR(INDEX('Input - Supermarket'!I$2:I$200,MATCH('Calculations - Supermarket'!$D20,'Input - Supermarket'!$D$2:$D$200,0)),"")</f>
        <v/>
      </c>
      <c r="J20" s="20" t="str">
        <f>IFERROR(INDEX('Input - Supermarket'!J$2:J$200,MATCH('Calculations - Supermarket'!$D20,'Input - Supermarket'!$D$2:$D$200,0)),"")</f>
        <v/>
      </c>
      <c r="K20" s="16" t="str">
        <f>IFERROR(INDEX('Input - Supermarket'!K$2:K$200,MATCH('Calculations - Supermarket'!$D20,'Input - Supermarket'!$D$2:$D$200,0)),"")</f>
        <v/>
      </c>
      <c r="L20" s="16" t="str">
        <f>IFERROR(INDEX('Input - Supermarket'!L$2:L$200,MATCH('Calculations - Supermarket'!$D20,'Input - Supermarket'!$D$2:$D$200,0)),"")</f>
        <v/>
      </c>
      <c r="M20" s="17" t="str">
        <f t="shared" si="19"/>
        <v/>
      </c>
      <c r="N20" s="17" t="str">
        <f t="shared" si="6"/>
        <v/>
      </c>
      <c r="O20" s="17" t="str">
        <f t="shared" si="20"/>
        <v/>
      </c>
      <c r="P20" s="9" t="str">
        <f t="shared" si="7"/>
        <v/>
      </c>
      <c r="Q20" s="9" t="str">
        <f t="shared" si="8"/>
        <v/>
      </c>
      <c r="R20" s="8" t="str">
        <f>IFERROR(INDEX(Supermarket!$U$12:$U$55,MATCH('Calculations - Supermarket'!$D20,Supermarket!$Q$12:$Q$55,0)),"-")</f>
        <v>-</v>
      </c>
      <c r="S20" s="8" t="str">
        <f>IFERROR(INDEX(Supermarket!$V$12:$V$55,MATCH('Calculations - Supermarket'!$D20,Supermarket!$Q$12:$Q$55,0)),"-")</f>
        <v>-</v>
      </c>
      <c r="T20" t="str">
        <f t="shared" si="21"/>
        <v>-</v>
      </c>
      <c r="U20" t="str">
        <f t="shared" si="22"/>
        <v>-</v>
      </c>
      <c r="V20" t="str">
        <f t="shared" si="23"/>
        <v>-</v>
      </c>
      <c r="W20" t="str">
        <f t="shared" si="9"/>
        <v>-</v>
      </c>
      <c r="X20" s="10" t="str">
        <f t="shared" si="10"/>
        <v>-</v>
      </c>
      <c r="Y20" s="7" t="str">
        <f t="shared" si="24"/>
        <v/>
      </c>
      <c r="Z20" s="11" t="str">
        <f t="shared" si="25"/>
        <v>-</v>
      </c>
      <c r="AA20" t="str">
        <f t="shared" si="26"/>
        <v>-</v>
      </c>
      <c r="AB20" s="13" t="str">
        <f t="shared" si="11"/>
        <v>-</v>
      </c>
      <c r="AC20" s="13" t="str">
        <f t="shared" si="27"/>
        <v>-</v>
      </c>
      <c r="AD20" s="13" t="str">
        <f t="shared" si="28"/>
        <v>-</v>
      </c>
      <c r="AE20" s="9" t="str">
        <f t="shared" si="29"/>
        <v/>
      </c>
      <c r="AF20" s="10" t="str">
        <f>IFERROR(INDEX(Supermarket!$T$12:$T$55,MATCH('Calculations - Supermarket'!$D20,Supermarket!$Q$12:$Q$55,0)),"-")</f>
        <v>-</v>
      </c>
      <c r="AG20" s="22" t="str">
        <f t="shared" si="30"/>
        <v>-</v>
      </c>
      <c r="AH20" s="22" t="str">
        <f t="shared" si="31"/>
        <v>-</v>
      </c>
      <c r="AI20" s="9" t="str">
        <f t="shared" si="12"/>
        <v/>
      </c>
      <c r="AJ20" s="4" t="str">
        <f t="shared" si="13"/>
        <v/>
      </c>
      <c r="AP20" s="16" t="str">
        <f t="shared" si="14"/>
        <v>-</v>
      </c>
      <c r="AQ20" s="11" t="str">
        <f t="shared" si="32"/>
        <v/>
      </c>
      <c r="AR20" s="9" t="str">
        <f t="shared" si="33"/>
        <v/>
      </c>
      <c r="AS20" s="11" t="str">
        <f t="shared" si="34"/>
        <v/>
      </c>
      <c r="AT20" s="13" t="str">
        <f t="shared" si="35"/>
        <v>-</v>
      </c>
      <c r="AU20" s="13" t="str">
        <f t="shared" si="15"/>
        <v>-</v>
      </c>
      <c r="AV20" s="4" t="str">
        <f t="shared" si="36"/>
        <v>-</v>
      </c>
      <c r="AW20" s="13" t="str">
        <f t="shared" si="16"/>
        <v>-</v>
      </c>
      <c r="AX20" t="str">
        <f t="shared" si="17"/>
        <v/>
      </c>
      <c r="AY20" s="9" t="str">
        <f t="shared" si="37"/>
        <v>-</v>
      </c>
      <c r="AZ20" s="16" t="str">
        <f t="shared" si="38"/>
        <v/>
      </c>
      <c r="BA20" s="16" t="str">
        <f t="shared" si="39"/>
        <v/>
      </c>
      <c r="BB20" s="16" t="str">
        <f t="shared" si="40"/>
        <v/>
      </c>
      <c r="BC20" s="16" t="str">
        <f t="shared" si="41"/>
        <v/>
      </c>
      <c r="BD20" s="16" t="str">
        <f t="shared" si="42"/>
        <v/>
      </c>
      <c r="BE20" s="16" t="str">
        <f t="shared" si="43"/>
        <v/>
      </c>
    </row>
    <row r="21" spans="2:57" x14ac:dyDescent="0.3">
      <c r="B21" s="84" t="str">
        <f>""</f>
        <v/>
      </c>
      <c r="C21" s="4">
        <v>18</v>
      </c>
      <c r="D21" s="78" t="str">
        <f t="shared" si="18"/>
        <v/>
      </c>
      <c r="E21" s="3"/>
      <c r="F21" s="79" t="str">
        <f>IFERROR(INDEX('Input - Supermarket'!$N$3:$N$200,MATCH('Calculations - Supermarket'!$C21,'Input - Supermarket'!$O$3:$O$200,0)),"")</f>
        <v/>
      </c>
      <c r="G21" s="16" t="str">
        <f>IFERROR(INDEX('Input - Supermarket'!G$2:G$200,MATCH('Calculations - Supermarket'!$D21,'Input - Supermarket'!$D$2:$D$200,0)),"")</f>
        <v/>
      </c>
      <c r="H21" s="16" t="str">
        <f>IFERROR(INDEX('Input - Supermarket'!H$2:H$200,MATCH('Calculations - Supermarket'!$D21,'Input - Supermarket'!$D$2:$D$200,0)),"")</f>
        <v/>
      </c>
      <c r="I21" s="20" t="str">
        <f>IFERROR(INDEX('Input - Supermarket'!I$2:I$200,MATCH('Calculations - Supermarket'!$D21,'Input - Supermarket'!$D$2:$D$200,0)),"")</f>
        <v/>
      </c>
      <c r="J21" s="20" t="str">
        <f>IFERROR(INDEX('Input - Supermarket'!J$2:J$200,MATCH('Calculations - Supermarket'!$D21,'Input - Supermarket'!$D$2:$D$200,0)),"")</f>
        <v/>
      </c>
      <c r="K21" s="16" t="str">
        <f>IFERROR(INDEX('Input - Supermarket'!K$2:K$200,MATCH('Calculations - Supermarket'!$D21,'Input - Supermarket'!$D$2:$D$200,0)),"")</f>
        <v/>
      </c>
      <c r="L21" s="16" t="str">
        <f>IFERROR(INDEX('Input - Supermarket'!L$2:L$200,MATCH('Calculations - Supermarket'!$D21,'Input - Supermarket'!$D$2:$D$200,0)),"")</f>
        <v/>
      </c>
      <c r="M21" s="17" t="str">
        <f t="shared" si="19"/>
        <v/>
      </c>
      <c r="N21" s="17" t="str">
        <f t="shared" si="6"/>
        <v/>
      </c>
      <c r="O21" s="17" t="str">
        <f t="shared" si="20"/>
        <v/>
      </c>
      <c r="P21" s="9" t="str">
        <f t="shared" si="7"/>
        <v/>
      </c>
      <c r="Q21" s="9" t="str">
        <f t="shared" si="8"/>
        <v/>
      </c>
      <c r="R21" s="8" t="str">
        <f>IFERROR(INDEX(Supermarket!$U$12:$U$55,MATCH('Calculations - Supermarket'!$D21,Supermarket!$Q$12:$Q$55,0)),"-")</f>
        <v>-</v>
      </c>
      <c r="S21" s="8" t="str">
        <f>IFERROR(INDEX(Supermarket!$V$12:$V$55,MATCH('Calculations - Supermarket'!$D21,Supermarket!$Q$12:$Q$55,0)),"-")</f>
        <v>-</v>
      </c>
      <c r="T21" t="str">
        <f t="shared" si="21"/>
        <v>-</v>
      </c>
      <c r="U21" t="str">
        <f t="shared" si="22"/>
        <v>-</v>
      </c>
      <c r="V21" t="str">
        <f t="shared" si="23"/>
        <v>-</v>
      </c>
      <c r="W21" t="str">
        <f t="shared" si="9"/>
        <v>-</v>
      </c>
      <c r="X21" s="10" t="str">
        <f t="shared" si="10"/>
        <v>-</v>
      </c>
      <c r="Y21" s="7" t="str">
        <f t="shared" si="24"/>
        <v/>
      </c>
      <c r="Z21" s="11" t="str">
        <f t="shared" si="25"/>
        <v>-</v>
      </c>
      <c r="AA21" t="str">
        <f t="shared" si="26"/>
        <v>-</v>
      </c>
      <c r="AB21" s="13" t="str">
        <f t="shared" si="11"/>
        <v>-</v>
      </c>
      <c r="AC21" s="13" t="str">
        <f t="shared" si="27"/>
        <v>-</v>
      </c>
      <c r="AD21" s="13" t="str">
        <f t="shared" si="28"/>
        <v>-</v>
      </c>
      <c r="AE21" s="9" t="str">
        <f t="shared" si="29"/>
        <v/>
      </c>
      <c r="AF21" s="10" t="str">
        <f>IFERROR(INDEX(Supermarket!$T$12:$T$55,MATCH('Calculations - Supermarket'!$D21,Supermarket!$Q$12:$Q$55,0)),"-")</f>
        <v>-</v>
      </c>
      <c r="AG21" s="22" t="str">
        <f t="shared" si="30"/>
        <v>-</v>
      </c>
      <c r="AH21" s="22" t="str">
        <f t="shared" si="31"/>
        <v>-</v>
      </c>
      <c r="AI21" s="9" t="str">
        <f t="shared" si="12"/>
        <v/>
      </c>
      <c r="AJ21" s="4" t="str">
        <f t="shared" si="13"/>
        <v/>
      </c>
      <c r="AP21" s="16" t="str">
        <f t="shared" si="14"/>
        <v>-</v>
      </c>
      <c r="AQ21" s="11" t="str">
        <f t="shared" si="32"/>
        <v/>
      </c>
      <c r="AR21" s="9" t="str">
        <f t="shared" si="33"/>
        <v/>
      </c>
      <c r="AS21" s="11" t="str">
        <f t="shared" si="34"/>
        <v/>
      </c>
      <c r="AT21" s="13" t="str">
        <f t="shared" si="35"/>
        <v>-</v>
      </c>
      <c r="AU21" s="13" t="str">
        <f t="shared" si="15"/>
        <v>-</v>
      </c>
      <c r="AV21" s="4" t="str">
        <f t="shared" si="36"/>
        <v>-</v>
      </c>
      <c r="AW21" s="13" t="str">
        <f t="shared" si="16"/>
        <v>-</v>
      </c>
      <c r="AX21" t="str">
        <f t="shared" si="17"/>
        <v/>
      </c>
      <c r="AY21" s="9" t="str">
        <f t="shared" si="37"/>
        <v>-</v>
      </c>
      <c r="AZ21" s="16" t="str">
        <f t="shared" si="38"/>
        <v/>
      </c>
      <c r="BA21" s="16" t="str">
        <f t="shared" si="39"/>
        <v/>
      </c>
      <c r="BB21" s="16" t="str">
        <f t="shared" si="40"/>
        <v/>
      </c>
      <c r="BC21" s="16" t="str">
        <f t="shared" si="41"/>
        <v/>
      </c>
      <c r="BD21" s="16" t="str">
        <f t="shared" si="42"/>
        <v/>
      </c>
      <c r="BE21" s="16" t="str">
        <f t="shared" si="43"/>
        <v/>
      </c>
    </row>
    <row r="22" spans="2:57" x14ac:dyDescent="0.3">
      <c r="B22" s="84" t="str">
        <f>""</f>
        <v/>
      </c>
      <c r="C22" s="4">
        <v>19</v>
      </c>
      <c r="D22" s="78" t="str">
        <f t="shared" si="18"/>
        <v/>
      </c>
      <c r="E22" s="3"/>
      <c r="F22" s="79" t="str">
        <f>IFERROR(INDEX('Input - Supermarket'!$N$3:$N$200,MATCH('Calculations - Supermarket'!$C22,'Input - Supermarket'!$O$3:$O$200,0)),"")</f>
        <v/>
      </c>
      <c r="G22" s="16" t="str">
        <f>IFERROR(INDEX('Input - Supermarket'!G$2:G$200,MATCH('Calculations - Supermarket'!$D22,'Input - Supermarket'!$D$2:$D$200,0)),"")</f>
        <v/>
      </c>
      <c r="H22" s="16" t="str">
        <f>IFERROR(INDEX('Input - Supermarket'!H$2:H$200,MATCH('Calculations - Supermarket'!$D22,'Input - Supermarket'!$D$2:$D$200,0)),"")</f>
        <v/>
      </c>
      <c r="I22" s="20" t="str">
        <f>IFERROR(INDEX('Input - Supermarket'!I$2:I$200,MATCH('Calculations - Supermarket'!$D22,'Input - Supermarket'!$D$2:$D$200,0)),"")</f>
        <v/>
      </c>
      <c r="J22" s="20" t="str">
        <f>IFERROR(INDEX('Input - Supermarket'!J$2:J$200,MATCH('Calculations - Supermarket'!$D22,'Input - Supermarket'!$D$2:$D$200,0)),"")</f>
        <v/>
      </c>
      <c r="K22" s="16" t="str">
        <f>IFERROR(INDEX('Input - Supermarket'!K$2:K$200,MATCH('Calculations - Supermarket'!$D22,'Input - Supermarket'!$D$2:$D$200,0)),"")</f>
        <v/>
      </c>
      <c r="L22" s="16" t="str">
        <f>IFERROR(INDEX('Input - Supermarket'!L$2:L$200,MATCH('Calculations - Supermarket'!$D22,'Input - Supermarket'!$D$2:$D$200,0)),"")</f>
        <v/>
      </c>
      <c r="M22" s="17" t="str">
        <f t="shared" si="19"/>
        <v/>
      </c>
      <c r="N22" s="17" t="str">
        <f t="shared" si="6"/>
        <v/>
      </c>
      <c r="O22" s="17" t="str">
        <f t="shared" si="20"/>
        <v/>
      </c>
      <c r="P22" s="9" t="str">
        <f t="shared" si="7"/>
        <v/>
      </c>
      <c r="Q22" s="9" t="str">
        <f t="shared" si="8"/>
        <v/>
      </c>
      <c r="R22" s="8" t="str">
        <f>IFERROR(INDEX(Supermarket!$U$12:$U$55,MATCH('Calculations - Supermarket'!$D22,Supermarket!$Q$12:$Q$55,0)),"-")</f>
        <v>-</v>
      </c>
      <c r="S22" s="8" t="str">
        <f>IFERROR(INDEX(Supermarket!$V$12:$V$55,MATCH('Calculations - Supermarket'!$D22,Supermarket!$Q$12:$Q$55,0)),"-")</f>
        <v>-</v>
      </c>
      <c r="T22" t="str">
        <f t="shared" si="21"/>
        <v>-</v>
      </c>
      <c r="U22" t="str">
        <f t="shared" si="22"/>
        <v>-</v>
      </c>
      <c r="V22" t="str">
        <f t="shared" si="23"/>
        <v>-</v>
      </c>
      <c r="W22" t="str">
        <f t="shared" si="9"/>
        <v>-</v>
      </c>
      <c r="X22" s="10" t="str">
        <f t="shared" si="10"/>
        <v>-</v>
      </c>
      <c r="Y22" s="7" t="str">
        <f t="shared" si="24"/>
        <v/>
      </c>
      <c r="Z22" s="11" t="str">
        <f t="shared" si="25"/>
        <v>-</v>
      </c>
      <c r="AA22" t="str">
        <f t="shared" si="26"/>
        <v>-</v>
      </c>
      <c r="AB22" s="13" t="str">
        <f t="shared" si="11"/>
        <v>-</v>
      </c>
      <c r="AC22" s="13" t="str">
        <f t="shared" si="27"/>
        <v>-</v>
      </c>
      <c r="AD22" s="13" t="str">
        <f t="shared" si="28"/>
        <v>-</v>
      </c>
      <c r="AE22" s="9" t="str">
        <f t="shared" si="29"/>
        <v/>
      </c>
      <c r="AF22" s="10" t="str">
        <f>IFERROR(INDEX(Supermarket!$T$12:$T$55,MATCH('Calculations - Supermarket'!$D22,Supermarket!$Q$12:$Q$55,0)),"-")</f>
        <v>-</v>
      </c>
      <c r="AG22" s="22" t="str">
        <f t="shared" si="30"/>
        <v>-</v>
      </c>
      <c r="AH22" s="22" t="str">
        <f t="shared" si="31"/>
        <v>-</v>
      </c>
      <c r="AI22" s="9" t="str">
        <f t="shared" si="12"/>
        <v/>
      </c>
      <c r="AJ22" s="4" t="str">
        <f t="shared" si="13"/>
        <v/>
      </c>
      <c r="AP22" s="16" t="str">
        <f t="shared" si="14"/>
        <v>-</v>
      </c>
      <c r="AQ22" s="11" t="str">
        <f t="shared" si="32"/>
        <v/>
      </c>
      <c r="AR22" s="9" t="str">
        <f t="shared" si="33"/>
        <v/>
      </c>
      <c r="AS22" s="11" t="str">
        <f t="shared" si="34"/>
        <v/>
      </c>
      <c r="AT22" s="13" t="str">
        <f t="shared" si="35"/>
        <v>-</v>
      </c>
      <c r="AU22" s="13" t="str">
        <f t="shared" si="15"/>
        <v>-</v>
      </c>
      <c r="AV22" s="4" t="str">
        <f t="shared" si="36"/>
        <v>-</v>
      </c>
      <c r="AW22" s="13" t="str">
        <f t="shared" si="16"/>
        <v>-</v>
      </c>
      <c r="AX22" t="str">
        <f t="shared" si="17"/>
        <v/>
      </c>
      <c r="AY22" s="9" t="str">
        <f t="shared" si="37"/>
        <v>-</v>
      </c>
      <c r="AZ22" s="16" t="str">
        <f t="shared" si="38"/>
        <v/>
      </c>
      <c r="BA22" s="16" t="str">
        <f t="shared" si="39"/>
        <v/>
      </c>
      <c r="BB22" s="16" t="str">
        <f t="shared" si="40"/>
        <v/>
      </c>
      <c r="BC22" s="16" t="str">
        <f t="shared" si="41"/>
        <v/>
      </c>
      <c r="BD22" s="16" t="str">
        <f t="shared" si="42"/>
        <v/>
      </c>
      <c r="BE22" s="16" t="str">
        <f t="shared" si="43"/>
        <v/>
      </c>
    </row>
    <row r="23" spans="2:57" x14ac:dyDescent="0.3">
      <c r="B23" s="84" t="str">
        <f>""</f>
        <v/>
      </c>
      <c r="C23" s="4">
        <v>20</v>
      </c>
      <c r="D23" s="78" t="str">
        <f t="shared" si="18"/>
        <v/>
      </c>
      <c r="E23" s="3"/>
      <c r="F23" s="79" t="str">
        <f>IFERROR(INDEX('Input - Supermarket'!$N$3:$N$200,MATCH('Calculations - Supermarket'!$C23,'Input - Supermarket'!$O$3:$O$200,0)),"")</f>
        <v/>
      </c>
      <c r="G23" s="16" t="str">
        <f>IFERROR(INDEX('Input - Supermarket'!G$2:G$200,MATCH('Calculations - Supermarket'!$D23,'Input - Supermarket'!$D$2:$D$200,0)),"")</f>
        <v/>
      </c>
      <c r="H23" s="16" t="str">
        <f>IFERROR(INDEX('Input - Supermarket'!H$2:H$200,MATCH('Calculations - Supermarket'!$D23,'Input - Supermarket'!$D$2:$D$200,0)),"")</f>
        <v/>
      </c>
      <c r="I23" s="20" t="str">
        <f>IFERROR(INDEX('Input - Supermarket'!I$2:I$200,MATCH('Calculations - Supermarket'!$D23,'Input - Supermarket'!$D$2:$D$200,0)),"")</f>
        <v/>
      </c>
      <c r="J23" s="20" t="str">
        <f>IFERROR(INDEX('Input - Supermarket'!J$2:J$200,MATCH('Calculations - Supermarket'!$D23,'Input - Supermarket'!$D$2:$D$200,0)),"")</f>
        <v/>
      </c>
      <c r="K23" s="16" t="str">
        <f>IFERROR(INDEX('Input - Supermarket'!K$2:K$200,MATCH('Calculations - Supermarket'!$D23,'Input - Supermarket'!$D$2:$D$200,0)),"")</f>
        <v/>
      </c>
      <c r="L23" s="16" t="str">
        <f>IFERROR(INDEX('Input - Supermarket'!L$2:L$200,MATCH('Calculations - Supermarket'!$D23,'Input - Supermarket'!$D$2:$D$200,0)),"")</f>
        <v/>
      </c>
      <c r="M23" s="17" t="str">
        <f t="shared" si="19"/>
        <v/>
      </c>
      <c r="N23" s="17" t="str">
        <f t="shared" si="6"/>
        <v/>
      </c>
      <c r="O23" s="17" t="str">
        <f t="shared" si="20"/>
        <v/>
      </c>
      <c r="P23" s="9" t="str">
        <f t="shared" si="7"/>
        <v/>
      </c>
      <c r="Q23" s="9" t="str">
        <f t="shared" si="8"/>
        <v/>
      </c>
      <c r="R23" s="8" t="str">
        <f>IFERROR(INDEX(Supermarket!$U$12:$U$55,MATCH('Calculations - Supermarket'!$D23,Supermarket!$Q$12:$Q$55,0)),"-")</f>
        <v>-</v>
      </c>
      <c r="S23" s="8" t="str">
        <f>IFERROR(INDEX(Supermarket!$V$12:$V$55,MATCH('Calculations - Supermarket'!$D23,Supermarket!$Q$12:$Q$55,0)),"-")</f>
        <v>-</v>
      </c>
      <c r="T23" t="str">
        <f t="shared" si="21"/>
        <v>-</v>
      </c>
      <c r="U23" t="str">
        <f t="shared" si="22"/>
        <v>-</v>
      </c>
      <c r="V23" t="str">
        <f t="shared" si="23"/>
        <v>-</v>
      </c>
      <c r="W23" t="str">
        <f t="shared" si="9"/>
        <v>-</v>
      </c>
      <c r="X23" s="10" t="str">
        <f t="shared" si="10"/>
        <v>-</v>
      </c>
      <c r="Y23" s="7" t="str">
        <f t="shared" si="24"/>
        <v/>
      </c>
      <c r="Z23" s="11" t="str">
        <f t="shared" si="25"/>
        <v>-</v>
      </c>
      <c r="AA23" t="str">
        <f t="shared" si="26"/>
        <v>-</v>
      </c>
      <c r="AB23" s="13" t="str">
        <f t="shared" si="11"/>
        <v>-</v>
      </c>
      <c r="AC23" s="13" t="str">
        <f t="shared" si="27"/>
        <v>-</v>
      </c>
      <c r="AD23" s="13" t="str">
        <f t="shared" si="28"/>
        <v>-</v>
      </c>
      <c r="AE23" s="9" t="str">
        <f t="shared" si="29"/>
        <v/>
      </c>
      <c r="AF23" s="10" t="str">
        <f>IFERROR(INDEX(Supermarket!$T$12:$T$55,MATCH('Calculations - Supermarket'!$D23,Supermarket!$Q$12:$Q$55,0)),"-")</f>
        <v>-</v>
      </c>
      <c r="AG23" s="22" t="str">
        <f t="shared" si="30"/>
        <v>-</v>
      </c>
      <c r="AH23" s="22" t="str">
        <f t="shared" si="31"/>
        <v>-</v>
      </c>
      <c r="AI23" s="9" t="str">
        <f t="shared" si="12"/>
        <v/>
      </c>
      <c r="AJ23" s="4" t="str">
        <f t="shared" si="13"/>
        <v/>
      </c>
      <c r="AP23" s="16" t="str">
        <f t="shared" si="14"/>
        <v>-</v>
      </c>
      <c r="AQ23" s="11" t="str">
        <f t="shared" si="32"/>
        <v/>
      </c>
      <c r="AR23" s="9" t="str">
        <f t="shared" si="33"/>
        <v/>
      </c>
      <c r="AS23" s="11" t="str">
        <f t="shared" si="34"/>
        <v/>
      </c>
      <c r="AT23" s="13" t="str">
        <f t="shared" si="35"/>
        <v>-</v>
      </c>
      <c r="AU23" s="13" t="str">
        <f t="shared" si="15"/>
        <v>-</v>
      </c>
      <c r="AV23" s="4" t="str">
        <f t="shared" si="36"/>
        <v>-</v>
      </c>
      <c r="AW23" s="13" t="str">
        <f t="shared" si="16"/>
        <v>-</v>
      </c>
      <c r="AX23" t="str">
        <f t="shared" si="17"/>
        <v/>
      </c>
      <c r="AY23" s="9" t="str">
        <f t="shared" si="37"/>
        <v>-</v>
      </c>
      <c r="AZ23" s="16" t="str">
        <f t="shared" si="38"/>
        <v/>
      </c>
      <c r="BA23" s="16" t="str">
        <f t="shared" si="39"/>
        <v/>
      </c>
      <c r="BB23" s="16" t="str">
        <f t="shared" si="40"/>
        <v/>
      </c>
      <c r="BC23" s="16" t="str">
        <f t="shared" si="41"/>
        <v/>
      </c>
      <c r="BD23" s="16" t="str">
        <f t="shared" si="42"/>
        <v/>
      </c>
      <c r="BE23" s="16" t="str">
        <f t="shared" si="43"/>
        <v/>
      </c>
    </row>
    <row r="24" spans="2:57" x14ac:dyDescent="0.3">
      <c r="D24" s="78" t="str">
        <f t="shared" si="18"/>
        <v>SupermarketTOTAL CATEGORY</v>
      </c>
      <c r="E24" s="79" t="str">
        <f>E4</f>
        <v>Supermarket</v>
      </c>
      <c r="F24" s="3" t="s">
        <v>39</v>
      </c>
      <c r="G24" s="16">
        <f>SUM(G4:G23)</f>
        <v>32861423.690000001</v>
      </c>
      <c r="H24" s="16">
        <f>SUM(H4:H23)</f>
        <v>6833682.0490000006</v>
      </c>
      <c r="I24" s="20" t="str">
        <f>IFERROR(INDEX('Input - Supermarket'!I$2:I$200,MATCH('Calculations - Supermarket'!$D24,'Input - Supermarket'!$D$2:$D$200,0)),"")</f>
        <v/>
      </c>
      <c r="J24" s="20">
        <f>'Input - Supermarket'!B3</f>
        <v>14.839759539999999</v>
      </c>
      <c r="K24" s="16">
        <f t="shared" ref="K24:L24" si="44">SUM(K4:K23)</f>
        <v>96936558.139999986</v>
      </c>
      <c r="L24" s="16">
        <f t="shared" si="44"/>
        <v>20340041.226</v>
      </c>
      <c r="M24" s="17">
        <f t="shared" si="19"/>
        <v>4.8087434349991076</v>
      </c>
      <c r="N24" s="17">
        <f t="shared" si="6"/>
        <v>4.7657994918952866</v>
      </c>
      <c r="O24" s="17">
        <f t="shared" si="20"/>
        <v>-2.3969373514422649</v>
      </c>
      <c r="P24" s="9">
        <f>IFERROR(G24/SUM(G$4:G$23),"")</f>
        <v>1</v>
      </c>
      <c r="Q24" s="8">
        <f t="shared" ref="Q24" si="45">SUM(Q4:Q23)</f>
        <v>0.99999999999999978</v>
      </c>
      <c r="R24" s="16"/>
      <c r="S24" s="16"/>
      <c r="T24" s="16">
        <f t="shared" ref="T24:X24" si="46">SUM(T4:T23)</f>
        <v>12515194.248</v>
      </c>
      <c r="U24" s="16">
        <f t="shared" si="46"/>
        <v>3754558.2743999995</v>
      </c>
      <c r="V24" s="8"/>
      <c r="W24" s="16"/>
      <c r="X24" s="16">
        <f t="shared" si="46"/>
        <v>45783411.199540958</v>
      </c>
      <c r="Y24" s="16"/>
      <c r="AA24" s="16">
        <f t="shared" ref="AA24:AB24" si="47">SUM(AA4:AA23)</f>
        <v>32861423.690000005</v>
      </c>
      <c r="AB24" s="16">
        <f t="shared" si="47"/>
        <v>6814527.6128502935</v>
      </c>
      <c r="AC24" s="16"/>
      <c r="AD24" s="16"/>
      <c r="AF24" s="20">
        <f>AT24/AU24</f>
        <v>4.8222599653177056</v>
      </c>
      <c r="AJ24" s="16">
        <f t="shared" ref="AJ24" si="48">SUM(AJ4:AJ23)</f>
        <v>6833682.0490000006</v>
      </c>
      <c r="AP24" s="12">
        <f>SUM(AP4:AP23)</f>
        <v>45783411.199540958</v>
      </c>
      <c r="AQ24" s="11">
        <f t="shared" si="32"/>
        <v>1</v>
      </c>
      <c r="AR24" s="9">
        <f t="shared" si="33"/>
        <v>1</v>
      </c>
      <c r="AS24" s="11">
        <f t="shared" si="34"/>
        <v>0</v>
      </c>
      <c r="AT24" s="12">
        <f t="shared" ref="AT24" si="49">SUM(AT4:AT23)</f>
        <v>32861423.690000005</v>
      </c>
      <c r="AU24" s="12">
        <f>SUM(AU4:AU23)</f>
        <v>6814527.6128502935</v>
      </c>
      <c r="AZ24" s="16">
        <f t="shared" si="38"/>
        <v>115.85654995474464</v>
      </c>
      <c r="BA24" s="16">
        <f t="shared" si="39"/>
        <v>118.34469970507533</v>
      </c>
      <c r="BB24" s="16">
        <f t="shared" si="40"/>
        <v>142.86211691640699</v>
      </c>
      <c r="BC24" s="16">
        <f t="shared" si="41"/>
        <v>115.53181039666727</v>
      </c>
      <c r="BD24" s="16">
        <f t="shared" si="42"/>
        <v>118.01298599965222</v>
      </c>
      <c r="BE24" s="16">
        <f t="shared" si="43"/>
        <v>142.46168223462547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66831-2FDA-446B-A68E-F1CE0A447F81}">
  <sheetPr codeName="Sheet3">
    <tabColor theme="9" tint="0.79998168889431442"/>
  </sheetPr>
  <dimension ref="A1:AK135"/>
  <sheetViews>
    <sheetView showGridLines="0" tabSelected="1" topLeftCell="L1" zoomScale="55" zoomScaleNormal="55" workbookViewId="0">
      <selection activeCell="S11" sqref="S11:T11"/>
    </sheetView>
  </sheetViews>
  <sheetFormatPr defaultColWidth="15.77734375" defaultRowHeight="14.4" x14ac:dyDescent="0.3"/>
  <cols>
    <col min="1" max="1" width="8.88671875" style="73" customWidth="1"/>
    <col min="2" max="2" width="43.88671875" style="73" bestFit="1" customWidth="1"/>
    <col min="3" max="5" width="37.21875" style="73" bestFit="1" customWidth="1"/>
    <col min="6" max="6" width="34.88671875" style="73" bestFit="1" customWidth="1"/>
    <col min="7" max="7" width="23.5546875" style="73" bestFit="1" customWidth="1"/>
    <col min="8" max="8" width="33.44140625" style="73" bestFit="1" customWidth="1"/>
    <col min="9" max="9" width="20.77734375" style="73" customWidth="1"/>
    <col min="10" max="10" width="33.44140625" style="73" bestFit="1" customWidth="1"/>
    <col min="11" max="11" width="20.77734375" style="73" customWidth="1"/>
    <col min="12" max="12" width="33.44140625" style="73" bestFit="1" customWidth="1"/>
    <col min="13" max="13" width="20.77734375" style="73" customWidth="1"/>
    <col min="14" max="14" width="33.44140625" style="73" bestFit="1" customWidth="1"/>
    <col min="15" max="15" width="20.77734375" style="73" customWidth="1"/>
    <col min="16" max="16" width="27.88671875" style="73" customWidth="1"/>
    <col min="17" max="17" width="23.5546875" style="73" hidden="1" customWidth="1"/>
    <col min="18" max="18" width="23.5546875" style="73" bestFit="1" customWidth="1"/>
    <col min="19" max="19" width="31.6640625" style="73" customWidth="1"/>
    <col min="20" max="20" width="35.21875" style="73" customWidth="1"/>
    <col min="21" max="21" width="26.88671875" style="73" customWidth="1"/>
    <col min="22" max="22" width="34.6640625" style="73" customWidth="1"/>
    <col min="23" max="25" width="30.77734375" style="73" customWidth="1"/>
    <col min="26" max="26" width="45.77734375" style="73" customWidth="1"/>
    <col min="27" max="34" width="33.44140625" style="73" bestFit="1" customWidth="1"/>
    <col min="35" max="16384" width="15.77734375" style="73"/>
  </cols>
  <sheetData>
    <row r="1" spans="1:35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ht="25.05" customHeight="1" x14ac:dyDescent="0.3">
      <c r="A6"/>
      <c r="B6" s="128" t="s">
        <v>103</v>
      </c>
      <c r="C6" s="128"/>
      <c r="D6"/>
      <c r="E6"/>
      <c r="F6"/>
      <c r="G6"/>
      <c r="H6"/>
      <c r="I6"/>
      <c r="J6"/>
      <c r="K6"/>
      <c r="L6"/>
      <c r="M6"/>
      <c r="N6"/>
      <c r="O6"/>
      <c r="P6"/>
      <c r="Q6"/>
      <c r="R6" s="48" t="s">
        <v>60</v>
      </c>
      <c r="S6" s="91" t="s">
        <v>104</v>
      </c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ht="25.05" customHeight="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ht="25.8" x14ac:dyDescent="0.5">
      <c r="A8"/>
      <c r="B8" s="139" t="s">
        <v>45</v>
      </c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  <c r="N8" s="139"/>
      <c r="O8" s="139"/>
      <c r="P8" s="25"/>
      <c r="Q8"/>
      <c r="R8" s="139" t="s">
        <v>46</v>
      </c>
      <c r="S8" s="139"/>
      <c r="T8" s="139"/>
      <c r="U8" s="139"/>
      <c r="V8" s="139"/>
      <c r="W8" s="139"/>
      <c r="X8" s="139"/>
      <c r="Y8"/>
      <c r="Z8" s="139" t="s">
        <v>61</v>
      </c>
      <c r="AA8" s="139"/>
      <c r="AB8" s="139"/>
      <c r="AC8" s="139"/>
      <c r="AD8" s="139"/>
      <c r="AE8" s="139"/>
      <c r="AF8" s="139"/>
      <c r="AG8" s="139"/>
      <c r="AH8" s="139"/>
      <c r="AI8"/>
    </row>
    <row r="9" spans="1:35" ht="60" customHeight="1" x14ac:dyDescent="0.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 s="88" t="s">
        <v>96</v>
      </c>
      <c r="Y9"/>
      <c r="Z9"/>
      <c r="AA9"/>
      <c r="AB9"/>
      <c r="AC9"/>
      <c r="AD9"/>
      <c r="AE9"/>
      <c r="AF9"/>
      <c r="AG9"/>
      <c r="AH9"/>
      <c r="AI9"/>
    </row>
    <row r="10" spans="1:35" ht="30" customHeigh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 s="32"/>
      <c r="S10" s="24" t="s">
        <v>9</v>
      </c>
      <c r="T10" s="24" t="s">
        <v>47</v>
      </c>
      <c r="U10" s="24" t="s">
        <v>48</v>
      </c>
      <c r="V10" s="24" t="s">
        <v>49</v>
      </c>
      <c r="W10" s="24" t="s">
        <v>50</v>
      </c>
      <c r="X10" s="24" t="s">
        <v>17</v>
      </c>
      <c r="Y10"/>
      <c r="Z10"/>
      <c r="AA10"/>
      <c r="AB10"/>
      <c r="AC10"/>
      <c r="AD10"/>
      <c r="AE10"/>
      <c r="AF10"/>
      <c r="AG10"/>
      <c r="AH10"/>
      <c r="AI10"/>
    </row>
    <row r="11" spans="1:35" ht="25.05" customHeight="1" x14ac:dyDescent="0.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 s="36" t="s">
        <v>8</v>
      </c>
      <c r="R11" s="32"/>
      <c r="S11" s="133" t="str">
        <f>'Calculations - Supermarket'!F4</f>
        <v>HEINZ</v>
      </c>
      <c r="T11" s="133"/>
      <c r="U11" s="32"/>
      <c r="V11" s="32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ht="25.05" customHeight="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 t="str">
        <f>$S$6&amp;S11&amp;R12</f>
        <v>SupermarketHEINZ</v>
      </c>
      <c r="R12" s="32"/>
      <c r="S12" s="37">
        <f>INDEX('Calculations - Supermarket'!$M$3:$M$24,MATCH(Q12,'Calculations - Supermarket'!$D$3:$D$24,0))</f>
        <v>5.5712442399652451</v>
      </c>
      <c r="T12" s="38">
        <f>S12</f>
        <v>5.5712442399652451</v>
      </c>
      <c r="U12" s="86">
        <v>0.8</v>
      </c>
      <c r="V12" s="86">
        <v>0.3</v>
      </c>
      <c r="W12" s="31">
        <f>T12/S12-1</f>
        <v>0</v>
      </c>
      <c r="X12" s="89">
        <f>INDEX('Calculations - Supermarket'!$AY$4:$AY$23,MATCH(Supermarket!$Q12,'Calculations - Supermarket'!$D$4:$D$24,0))</f>
        <v>0.2746402023240167</v>
      </c>
      <c r="Y12"/>
      <c r="Z12"/>
      <c r="AA12"/>
      <c r="AB12"/>
      <c r="AC12"/>
      <c r="AD12"/>
      <c r="AE12"/>
      <c r="AF12"/>
      <c r="AG12"/>
      <c r="AH12"/>
      <c r="AI12"/>
    </row>
    <row r="13" spans="1:35" ht="25.05" customHeight="1" x14ac:dyDescent="0.4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 s="39"/>
      <c r="T13" s="39"/>
      <c r="U13" s="39"/>
      <c r="V13" s="39"/>
      <c r="W13"/>
      <c r="X13" s="90"/>
      <c r="Y13"/>
      <c r="Z13"/>
      <c r="AA13"/>
      <c r="AB13"/>
      <c r="AC13"/>
      <c r="AD13"/>
      <c r="AE13"/>
      <c r="AF13"/>
      <c r="AG13"/>
      <c r="AH13"/>
      <c r="AI13"/>
    </row>
    <row r="14" spans="1:35" ht="25.05" customHeigh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 s="32"/>
      <c r="S14" s="131" t="str">
        <f>'Calculations - Supermarket'!F5</f>
        <v>HP</v>
      </c>
      <c r="T14" s="131"/>
      <c r="U14" s="45"/>
      <c r="V14" s="45"/>
      <c r="W14"/>
      <c r="X14" s="90"/>
      <c r="Y14"/>
      <c r="Z14"/>
      <c r="AA14"/>
      <c r="AB14"/>
      <c r="AC14"/>
      <c r="AD14"/>
      <c r="AE14"/>
      <c r="AF14"/>
      <c r="AG14"/>
      <c r="AH14"/>
      <c r="AI14"/>
    </row>
    <row r="15" spans="1:35" ht="25.0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 t="str">
        <f>$S$6&amp;S14&amp;R15</f>
        <v>SupermarketHP</v>
      </c>
      <c r="R15" s="32"/>
      <c r="S15" s="37">
        <f>INDEX('Calculations - Supermarket'!$M$3:$M$24,MATCH(Q15,'Calculations - Supermarket'!$D$3:$D$24,0))</f>
        <v>5.6908929777372181</v>
      </c>
      <c r="T15" s="40">
        <f>S15</f>
        <v>5.6908929777372181</v>
      </c>
      <c r="U15" s="86">
        <v>0.8</v>
      </c>
      <c r="V15" s="86">
        <v>0.3</v>
      </c>
      <c r="W15" s="31">
        <f>T15/S15-1</f>
        <v>0</v>
      </c>
      <c r="X15" s="89">
        <f>INDEX('Calculations - Supermarket'!$AY$4:$AY$23,MATCH(Supermarket!$Q15,'Calculations - Supermarket'!$D$4:$D$24,0))</f>
        <v>7.7303925879665669E-2</v>
      </c>
      <c r="Y15"/>
      <c r="Z15"/>
      <c r="AA15"/>
      <c r="AB15"/>
      <c r="AC15"/>
      <c r="AD15"/>
      <c r="AE15"/>
      <c r="AF15"/>
      <c r="AG15"/>
      <c r="AH15"/>
      <c r="AI15"/>
    </row>
    <row r="16" spans="1:35" ht="25.05" customHeight="1" x14ac:dyDescent="0.4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 s="39"/>
      <c r="T16" s="39"/>
      <c r="U16"/>
      <c r="V16"/>
      <c r="W16"/>
      <c r="X16" s="90"/>
      <c r="Y16"/>
      <c r="Z16"/>
      <c r="AA16"/>
      <c r="AB16"/>
      <c r="AC16"/>
      <c r="AD16"/>
      <c r="AE16"/>
      <c r="AF16"/>
      <c r="AG16"/>
      <c r="AH16"/>
      <c r="AI16"/>
    </row>
    <row r="17" spans="1:37" ht="25.05" customHeigh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33"/>
      <c r="Q17"/>
      <c r="R17" s="32"/>
      <c r="S17" s="132" t="str">
        <f>'Calculations - Supermarket'!F6</f>
        <v>BULLS EYE</v>
      </c>
      <c r="T17" s="132"/>
      <c r="U17" s="32"/>
      <c r="V17" s="32"/>
      <c r="W17"/>
      <c r="X17" s="90"/>
      <c r="Y17"/>
      <c r="Z17"/>
      <c r="AA17"/>
      <c r="AB17"/>
      <c r="AC17"/>
      <c r="AD17"/>
      <c r="AE17"/>
      <c r="AF17"/>
      <c r="AG17"/>
      <c r="AH17"/>
      <c r="AI17"/>
    </row>
    <row r="18" spans="1:37" ht="25.05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34"/>
      <c r="Q18" t="str">
        <f>$S$6&amp;S17&amp;R18</f>
        <v>SupermarketBULLS EYE</v>
      </c>
      <c r="R18" s="32"/>
      <c r="S18" s="37">
        <f>INDEX('Calculations - Supermarket'!$M$3:$M$24,MATCH(Q18,'Calculations - Supermarket'!$D$3:$D$24,0))</f>
        <v>6.8698726683184708</v>
      </c>
      <c r="T18" s="41">
        <f>S18</f>
        <v>6.8698726683184708</v>
      </c>
      <c r="U18" s="86">
        <v>0.8</v>
      </c>
      <c r="V18" s="86">
        <v>0.3</v>
      </c>
      <c r="W18" s="31">
        <f>T18/S18-1</f>
        <v>0</v>
      </c>
      <c r="X18" s="89">
        <f>INDEX('Calculations - Supermarket'!$AY$4:$AY$23,MATCH(Supermarket!$Q18,'Calculations - Supermarket'!$D$4:$D$24,0))</f>
        <v>4.5282776740367049E-2</v>
      </c>
      <c r="Y18"/>
      <c r="Z18"/>
      <c r="AA18"/>
      <c r="AB18"/>
      <c r="AC18"/>
      <c r="AD18"/>
      <c r="AE18"/>
      <c r="AF18"/>
      <c r="AG18"/>
      <c r="AH18"/>
      <c r="AI18"/>
    </row>
    <row r="19" spans="1:37" ht="25.05" customHeight="1" x14ac:dyDescent="0.4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35"/>
      <c r="Q19"/>
      <c r="R19"/>
      <c r="S19" s="39"/>
      <c r="T19" s="3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7" ht="25.0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6"/>
      <c r="Q20"/>
      <c r="R20" s="32"/>
      <c r="S20" s="134" t="str">
        <f>'Calculations - Supermarket'!F7</f>
        <v>PRIVATE LABEL</v>
      </c>
      <c r="T20" s="134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7" ht="25.0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 t="str">
        <f>$S$6&amp;S20&amp;R21</f>
        <v>SupermarketPRIVATE LABEL</v>
      </c>
      <c r="R21" s="32"/>
      <c r="S21" s="37">
        <f>INDEX('Calculations - Supermarket'!$M$3:$M$24,MATCH(Q21,'Calculations - Supermarket'!$D$3:$D$24,0))</f>
        <v>2.4546645027288521</v>
      </c>
      <c r="T21" s="42">
        <f>S21</f>
        <v>2.4546645027288521</v>
      </c>
      <c r="U21"/>
      <c r="V21"/>
      <c r="W21" s="31">
        <f>T21/S21-1</f>
        <v>0</v>
      </c>
      <c r="X21" s="89">
        <f>INDEX('Calculations - Supermarket'!$AY$4:$AY$23,MATCH(Supermarket!$Q21,'Calculations - Supermarket'!$D$4:$D$24,0))</f>
        <v>0.34361710287445563</v>
      </c>
      <c r="Y21"/>
      <c r="Z21"/>
      <c r="AA21"/>
      <c r="AB21"/>
      <c r="AC21"/>
      <c r="AD21"/>
      <c r="AE21"/>
      <c r="AF21"/>
      <c r="AG21"/>
      <c r="AH21"/>
      <c r="AI21"/>
    </row>
    <row r="22" spans="1:37" ht="25.05" customHeight="1" x14ac:dyDescent="0.4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 s="39"/>
      <c r="T22" s="39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7" ht="25.0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 s="32"/>
      <c r="S23" s="141" t="str">
        <f>'Calculations - Supermarket'!F8</f>
        <v>LEVI ROOTS</v>
      </c>
      <c r="T23" s="141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7" ht="25.05" customHeight="1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 t="str">
        <f>$S$6&amp;S23&amp;R24</f>
        <v>SupermarketLEVI ROOTS</v>
      </c>
      <c r="R24" s="32"/>
      <c r="S24" s="37">
        <f>INDEX('Calculations - Supermarket'!$M$3:$M$24,MATCH(Q24,'Calculations - Supermarket'!$D$3:$D$24,0))</f>
        <v>6.5886519000953845</v>
      </c>
      <c r="T24" s="43">
        <f>S24</f>
        <v>6.5886519000953845</v>
      </c>
      <c r="U24"/>
      <c r="V24"/>
      <c r="W24" s="31">
        <f>T24/S24-1</f>
        <v>0</v>
      </c>
      <c r="X24" s="89">
        <f>INDEX('Calculations - Supermarket'!$AY$4:$AY$23,MATCH(Supermarket!$Q24,'Calculations - Supermarket'!$D$4:$D$24,0))</f>
        <v>5.6480832021934567E-2</v>
      </c>
      <c r="Y24"/>
      <c r="Z24"/>
      <c r="AA24"/>
      <c r="AB24"/>
      <c r="AC24"/>
      <c r="AD24"/>
      <c r="AE24"/>
      <c r="AF24"/>
      <c r="AG24"/>
      <c r="AH24"/>
      <c r="AI24"/>
    </row>
    <row r="25" spans="1:37" ht="25.05" customHeight="1" x14ac:dyDescent="0.4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 s="39"/>
      <c r="T25" s="39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7" ht="25.05" customHeight="1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 s="32"/>
      <c r="S26" s="142" t="str">
        <f>'Calculations - Supermarket'!F9</f>
        <v>SWEET BABY RAYS</v>
      </c>
      <c r="T26" s="142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7" ht="25.05" customHeight="1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 t="str">
        <f>$S$6&amp;S26&amp;R27</f>
        <v>SupermarketSWEET BABY RAYS</v>
      </c>
      <c r="R27" s="32"/>
      <c r="S27" s="37">
        <f>INDEX('Calculations - Supermarket'!$M$3:$M$24,MATCH(Q27,'Calculations - Supermarket'!$D$3:$D$24,0))</f>
        <v>6.8826523464672613</v>
      </c>
      <c r="T27" s="93">
        <f>S27</f>
        <v>6.8826523464672613</v>
      </c>
      <c r="U27"/>
      <c r="V27"/>
      <c r="W27" s="31">
        <f>T27/S27-1</f>
        <v>0</v>
      </c>
      <c r="X27" s="89">
        <f>INDEX('Calculations - Supermarket'!$AY$4:$AY$23,MATCH(Supermarket!$Q27,'Calculations - Supermarket'!$D$4:$D$24,0))</f>
        <v>5.9002540360288541E-2</v>
      </c>
      <c r="Y27"/>
      <c r="Z27"/>
      <c r="AA27"/>
      <c r="AB27"/>
      <c r="AC27"/>
      <c r="AD27"/>
      <c r="AE27"/>
      <c r="AF27"/>
      <c r="AG27"/>
      <c r="AH27"/>
      <c r="AI27"/>
    </row>
    <row r="28" spans="1:37" ht="25.05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7" ht="25.05" customHeight="1" x14ac:dyDescent="0.3">
      <c r="A29"/>
      <c r="B29" s="139" t="s">
        <v>73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39"/>
      <c r="P29"/>
      <c r="Q29"/>
      <c r="R29" s="32"/>
      <c r="S29" s="140" t="str">
        <f>'Calculations - Supermarket'!F10</f>
        <v>RESTOFCATEGORY</v>
      </c>
      <c r="T29" s="140"/>
      <c r="U29"/>
      <c r="V29"/>
      <c r="W29"/>
      <c r="X29"/>
      <c r="Y29"/>
      <c r="Z29" s="149" t="s">
        <v>74</v>
      </c>
      <c r="AA29" s="149"/>
      <c r="AB29" s="149"/>
      <c r="AC29" s="149"/>
      <c r="AD29" s="149"/>
      <c r="AE29" s="149"/>
      <c r="AF29" s="149"/>
      <c r="AG29" s="149"/>
      <c r="AH29" s="149"/>
      <c r="AI29"/>
    </row>
    <row r="30" spans="1:37" ht="25.05" customHeight="1" thickBot="1" x14ac:dyDescent="0.5500000000000000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 t="str">
        <f>$S$6&amp;S29&amp;R30</f>
        <v>SupermarketRESTOFCATEGORY</v>
      </c>
      <c r="R30" s="32"/>
      <c r="S30" s="37">
        <f>INDEX('Calculations - Supermarket'!$M$3:$M$24,MATCH(Q30,'Calculations - Supermarket'!$D$3:$D$24,0))</f>
        <v>6.3997289329895297</v>
      </c>
      <c r="T30" s="94">
        <f>S30</f>
        <v>6.3997289329895297</v>
      </c>
      <c r="U30"/>
      <c r="V30"/>
      <c r="W30" s="31">
        <f>T30/S30-1</f>
        <v>0</v>
      </c>
      <c r="X30" s="89">
        <f>INDEX('Calculations - Supermarket'!$AY$4:$AY$23,MATCH(Supermarket!$Q30,'Calculations - Supermarket'!$D$4:$D$24,0))</f>
        <v>0.14367261979927182</v>
      </c>
      <c r="Y30"/>
      <c r="Z30"/>
      <c r="AA30"/>
      <c r="AB30"/>
      <c r="AC30"/>
      <c r="AD30"/>
      <c r="AE30"/>
      <c r="AF30"/>
      <c r="AG30"/>
      <c r="AH30"/>
      <c r="AI30" s="25"/>
      <c r="AJ30" s="74"/>
      <c r="AK30" s="74"/>
    </row>
    <row r="31" spans="1:37" ht="25.05" customHeight="1" x14ac:dyDescent="0.3">
      <c r="A31"/>
      <c r="B31" s="129" t="s">
        <v>51</v>
      </c>
      <c r="C31" s="113" t="str">
        <f>'Calculations - Supermarket'!F4</f>
        <v>HEINZ</v>
      </c>
      <c r="D31" s="64" t="str">
        <f>'Calculations - Supermarket'!F5</f>
        <v>HP</v>
      </c>
      <c r="E31" s="115" t="str">
        <f>'Calculations - Supermarket'!F6</f>
        <v>BULLS EYE</v>
      </c>
      <c r="F31" s="46" t="s">
        <v>111</v>
      </c>
      <c r="G31" s="44"/>
      <c r="H31" s="135" t="str">
        <f>'Calculations - Supermarket'!F4</f>
        <v>HEINZ</v>
      </c>
      <c r="I31" s="136"/>
      <c r="J31" s="137" t="str">
        <f>'Calculations - Supermarket'!F5</f>
        <v>HP</v>
      </c>
      <c r="K31" s="138"/>
      <c r="L31" s="158" t="str">
        <f>'Calculations - Supermarket'!F6</f>
        <v>BULLS EYE</v>
      </c>
      <c r="M31" s="159"/>
      <c r="N31" s="145" t="s">
        <v>111</v>
      </c>
      <c r="O31" s="146"/>
      <c r="P31"/>
      <c r="Q31"/>
      <c r="R31"/>
      <c r="S31"/>
      <c r="T31"/>
      <c r="U31"/>
      <c r="V31"/>
      <c r="W31"/>
      <c r="X31"/>
      <c r="Y31"/>
      <c r="Z31" s="156" t="s">
        <v>63</v>
      </c>
      <c r="AA31" s="135" t="str">
        <f>'Calculations - Supermarket'!F4</f>
        <v>HEINZ</v>
      </c>
      <c r="AB31" s="136"/>
      <c r="AC31" s="137" t="str">
        <f>'Calculations - Supermarket'!F5</f>
        <v>HP</v>
      </c>
      <c r="AD31" s="138"/>
      <c r="AE31" s="158" t="str">
        <f>'Calculations - Supermarket'!F6</f>
        <v>BULLS EYE</v>
      </c>
      <c r="AF31" s="159"/>
      <c r="AG31" s="147" t="s">
        <v>111</v>
      </c>
      <c r="AH31" s="148"/>
      <c r="AI31"/>
    </row>
    <row r="32" spans="1:37" ht="25.05" customHeight="1" thickBot="1" x14ac:dyDescent="0.35">
      <c r="A32"/>
      <c r="B32" s="130"/>
      <c r="C32" s="114" t="s">
        <v>53</v>
      </c>
      <c r="D32" s="65" t="s">
        <v>53</v>
      </c>
      <c r="E32" s="116" t="s">
        <v>53</v>
      </c>
      <c r="F32" s="47" t="s">
        <v>53</v>
      </c>
      <c r="G32" s="44"/>
      <c r="H32" s="56" t="s">
        <v>53</v>
      </c>
      <c r="I32" s="58" t="s">
        <v>62</v>
      </c>
      <c r="J32" s="59" t="s">
        <v>53</v>
      </c>
      <c r="K32" s="60" t="s">
        <v>62</v>
      </c>
      <c r="L32" s="96" t="s">
        <v>53</v>
      </c>
      <c r="M32" s="95" t="s">
        <v>62</v>
      </c>
      <c r="N32" s="97" t="s">
        <v>53</v>
      </c>
      <c r="O32" s="98" t="s">
        <v>62</v>
      </c>
      <c r="P32"/>
      <c r="Q32"/>
      <c r="R32"/>
      <c r="S32"/>
      <c r="T32"/>
      <c r="U32"/>
      <c r="V32"/>
      <c r="W32"/>
      <c r="X32"/>
      <c r="Y32"/>
      <c r="Z32" s="157"/>
      <c r="AA32" s="56" t="s">
        <v>53</v>
      </c>
      <c r="AB32" s="58" t="s">
        <v>62</v>
      </c>
      <c r="AC32" s="59" t="s">
        <v>53</v>
      </c>
      <c r="AD32" s="60" t="s">
        <v>62</v>
      </c>
      <c r="AE32" s="96" t="s">
        <v>53</v>
      </c>
      <c r="AF32" s="95" t="s">
        <v>62</v>
      </c>
      <c r="AG32" s="57" t="s">
        <v>53</v>
      </c>
      <c r="AH32" s="47" t="s">
        <v>62</v>
      </c>
      <c r="AI32"/>
    </row>
    <row r="33" spans="1:35" ht="25.05" customHeight="1" x14ac:dyDescent="0.3">
      <c r="A33"/>
      <c r="B33" s="104" t="s">
        <v>54</v>
      </c>
      <c r="C33" s="105">
        <f>INDEX('Calculations - Supermarket'!$H$4:$H$24,MATCH(Supermarket!C$31,'Calculations - Supermarket'!$F$4:$F$24,0))</f>
        <v>1861485.9469999999</v>
      </c>
      <c r="D33" s="105">
        <f>INDEX('Calculations - Supermarket'!$H$4:$H$24,MATCH(Supermarket!D$31,'Calculations - Supermarket'!$F$4:$F$24,0))</f>
        <v>539981.71499999997</v>
      </c>
      <c r="E33" s="105">
        <f>INDEX('Calculations - Supermarket'!$H$4:$H$24,MATCH(Supermarket!E$31,'Calculations - Supermarket'!$F$4:$F$24,0))</f>
        <v>320271.11800000002</v>
      </c>
      <c r="F33" s="106">
        <f>SUM(C33:E33)</f>
        <v>2721738.7800000003</v>
      </c>
      <c r="G33" s="27"/>
      <c r="H33" s="100">
        <f>INDEX('Calculations - Supermarket'!$AB$4:$AB$24,MATCH(Supermarket!H$31,'Calculations - Supermarket'!$F$4:$F$24,0))</f>
        <v>1871543.2423358031</v>
      </c>
      <c r="I33" s="109">
        <f>H33/C33-1</f>
        <v>5.4028317280674365E-3</v>
      </c>
      <c r="J33" s="100">
        <f>INDEX('Calculations - Supermarket'!$AB$4:$AB$24,MATCH(Supermarket!J$31,'Calculations - Supermarket'!$F$4:$F$24,0))</f>
        <v>526789.73748871416</v>
      </c>
      <c r="K33" s="109">
        <f>J33/D33-1</f>
        <v>-2.4430415224866997E-2</v>
      </c>
      <c r="L33" s="100">
        <f>INDEX('Calculations - Supermarket'!$AB$4:$AB$24,MATCH(Supermarket!L$31,'Calculations - Supermarket'!$F$4:$F$24,0))</f>
        <v>308580.73248376627</v>
      </c>
      <c r="M33" s="109">
        <f>L33/E33-1</f>
        <v>-3.6501529045880887E-2</v>
      </c>
      <c r="N33" s="100">
        <f>H33+J33+L33</f>
        <v>2706913.7123082839</v>
      </c>
      <c r="O33" s="109">
        <f>N33/F33-1</f>
        <v>-5.4469105560954745E-3</v>
      </c>
      <c r="P33"/>
      <c r="Q33"/>
      <c r="R33"/>
      <c r="S33"/>
      <c r="T33"/>
      <c r="U33"/>
      <c r="V33"/>
      <c r="W33"/>
      <c r="X33"/>
      <c r="Y33"/>
      <c r="Z33" s="99" t="s">
        <v>54</v>
      </c>
      <c r="AA33" s="100">
        <f>INDEX('Calculations - Supermarket'!$AU$4:$AU$24,MATCH(Supermarket!AA$31,'Calculations - Supermarket'!$F$4:$F$24,0))</f>
        <v>1871543.2423358031</v>
      </c>
      <c r="AB33" s="109">
        <f>AA33/C33-1</f>
        <v>5.4028317280674365E-3</v>
      </c>
      <c r="AC33" s="100">
        <f>INDEX('Calculations - Supermarket'!$AU$4:$AU$24,MATCH(Supermarket!AC$31,'Calculations - Supermarket'!$F$4:$F$24,0))</f>
        <v>526789.73748871416</v>
      </c>
      <c r="AD33" s="109">
        <f>AC33/D33-1</f>
        <v>-2.4430415224866997E-2</v>
      </c>
      <c r="AE33" s="100">
        <f>INDEX('Calculations - Supermarket'!$AU$4:$AU$24,MATCH(Supermarket!AE$31,'Calculations - Supermarket'!$F$4:$F$24,0))</f>
        <v>308580.73248376627</v>
      </c>
      <c r="AF33" s="109">
        <f>AE33/E33-1</f>
        <v>-3.6501529045880887E-2</v>
      </c>
      <c r="AG33" s="101">
        <f>AA33+AC33+AE33</f>
        <v>2706913.7123082839</v>
      </c>
      <c r="AH33" s="109">
        <f>AG33/F33-1</f>
        <v>-5.4469105560954745E-3</v>
      </c>
      <c r="AI33"/>
    </row>
    <row r="34" spans="1:35" ht="25.05" customHeight="1" x14ac:dyDescent="0.45">
      <c r="A34"/>
      <c r="B34" s="61" t="s">
        <v>2</v>
      </c>
      <c r="C34" s="66">
        <f>INDEX('Calculations - Supermarket'!$G$4:$G$24,MATCH(Supermarket!C$31,'Calculations - Supermarket'!$F$4:$F$24,0))</f>
        <v>10370792.859999999</v>
      </c>
      <c r="D34" s="66">
        <f>INDEX('Calculations - Supermarket'!$G$4:$G$24,MATCH(Supermarket!D$31,'Calculations - Supermarket'!$F$4:$F$24,0))</f>
        <v>3072978.15</v>
      </c>
      <c r="E34" s="66">
        <f>INDEX('Calculations - Supermarket'!$G$4:$G$24,MATCH(Supermarket!E$31,'Calculations - Supermarket'!$F$4:$F$24,0))</f>
        <v>2200221.7999999998</v>
      </c>
      <c r="F34" s="63">
        <f>SUM(C34:E34)</f>
        <v>15643992.809999999</v>
      </c>
      <c r="G34" s="28"/>
      <c r="H34" s="52">
        <f>INDEX('Calculations - Supermarket'!$AA$4:$AA$24,MATCH(Supermarket!H$31,'Calculations - Supermarket'!$F$4:$F$24,0))</f>
        <v>10426824.508709222</v>
      </c>
      <c r="I34" s="110">
        <f>H34/C34-1</f>
        <v>5.4028317280674365E-3</v>
      </c>
      <c r="J34" s="52">
        <f>INDEX('Calculations - Supermarket'!$AA$4:$AA$24,MATCH(Supermarket!J$31,'Calculations - Supermarket'!$F$4:$F$24,0))</f>
        <v>2997904.0178185557</v>
      </c>
      <c r="K34" s="110">
        <f>J34/D34-1</f>
        <v>-2.4430415224867219E-2</v>
      </c>
      <c r="L34" s="52">
        <f>INDEX('Calculations - Supermarket'!$AA$4:$AA$24,MATCH(Supermarket!L$31,'Calculations - Supermarket'!$F$4:$F$24,0))</f>
        <v>2119910.3400599197</v>
      </c>
      <c r="M34" s="110">
        <f>L34/E34-1</f>
        <v>-3.6501529045880776E-2</v>
      </c>
      <c r="N34" s="52">
        <f t="shared" ref="N34:N35" si="0">H34+J34+L34</f>
        <v>15544638.866587697</v>
      </c>
      <c r="O34" s="110">
        <f>N34/F34-1</f>
        <v>-6.3509325668311689E-3</v>
      </c>
      <c r="P34"/>
      <c r="Q34"/>
      <c r="R34"/>
      <c r="S34"/>
      <c r="T34"/>
      <c r="U34"/>
      <c r="V34"/>
      <c r="W34"/>
      <c r="X34"/>
      <c r="Y34"/>
      <c r="Z34" s="49" t="s">
        <v>2</v>
      </c>
      <c r="AA34" s="52">
        <f>INDEX('Calculations - Supermarket'!$AT$4:$AT$24,MATCH(Supermarket!AA$31,'Calculations - Supermarket'!$F$4:$F$24,0))</f>
        <v>10426824.508709222</v>
      </c>
      <c r="AB34" s="110">
        <f>AA34/C34-1</f>
        <v>5.4028317280674365E-3</v>
      </c>
      <c r="AC34" s="52">
        <f>INDEX('Calculations - Supermarket'!$AT$4:$AT$24,MATCH(Supermarket!AC$31,'Calculations - Supermarket'!$F$4:$F$24,0))</f>
        <v>2997904.0178185557</v>
      </c>
      <c r="AD34" s="110">
        <f>AC34/D34-1</f>
        <v>-2.4430415224867219E-2</v>
      </c>
      <c r="AE34" s="52">
        <f>INDEX('Calculations - Supermarket'!$AT$4:$AT$24,MATCH(Supermarket!AE$31,'Calculations - Supermarket'!$F$4:$F$24,0))</f>
        <v>2119910.3400599197</v>
      </c>
      <c r="AF34" s="110">
        <f t="shared" ref="AF34:AF35" si="1">AE34/E34-1</f>
        <v>-3.6501529045880776E-2</v>
      </c>
      <c r="AG34" s="51">
        <f t="shared" ref="AG34:AG35" si="2">AA34+AC34+AE34</f>
        <v>15544638.866587697</v>
      </c>
      <c r="AH34" s="110">
        <f>AG34/F34-1</f>
        <v>-6.3509325668311689E-3</v>
      </c>
      <c r="AI34"/>
    </row>
    <row r="35" spans="1:35" ht="25.05" customHeight="1" x14ac:dyDescent="0.3">
      <c r="A35"/>
      <c r="B35" s="61" t="s">
        <v>55</v>
      </c>
      <c r="C35" s="66">
        <f>INDEX('Calculations - Supermarket'!$T$4:$T$24,MATCH(Supermarket!C$31,'Calculations - Supermarket'!$F$4:$F$24,0))</f>
        <v>8296634.2879999997</v>
      </c>
      <c r="D35" s="66">
        <f>INDEX('Calculations - Supermarket'!$T$4:$T$24,MATCH(Supermarket!D$31,'Calculations - Supermarket'!$F$4:$F$24,0))</f>
        <v>2458382.52</v>
      </c>
      <c r="E35" s="66">
        <f>INDEX('Calculations - Supermarket'!$T$4:$T$24,MATCH(Supermarket!E$31,'Calculations - Supermarket'!$F$4:$F$24,0))</f>
        <v>1760177.44</v>
      </c>
      <c r="F35" s="63">
        <f>SUM(C35:E35)</f>
        <v>12515194.248</v>
      </c>
      <c r="G35" s="29"/>
      <c r="H35" s="52">
        <f>INDEX('Calculations - Supermarket'!$AC$4:$AC$24,MATCH(Supermarket!H$31,'Calculations - Supermarket'!$F$4:$F$24,0))</f>
        <v>8341459.6069673784</v>
      </c>
      <c r="I35" s="110">
        <f>H35/C35-1</f>
        <v>5.4028317280674365E-3</v>
      </c>
      <c r="J35" s="52">
        <f>INDEX('Calculations - Supermarket'!$AC$4:$AC$24,MATCH(Supermarket!J$31,'Calculations - Supermarket'!$F$4:$F$24,0))</f>
        <v>2398323.2142548445</v>
      </c>
      <c r="K35" s="110">
        <f>J35/D35-1</f>
        <v>-2.4430415224867219E-2</v>
      </c>
      <c r="L35" s="52">
        <f>INDEX('Calculations - Supermarket'!$AC$4:$AC$24,MATCH(Supermarket!L$31,'Calculations - Supermarket'!$F$4:$F$24,0))</f>
        <v>1695928.272047936</v>
      </c>
      <c r="M35" s="110">
        <f>L35/E35-1</f>
        <v>-3.6501529045880665E-2</v>
      </c>
      <c r="N35" s="52">
        <f t="shared" si="0"/>
        <v>12435711.09327016</v>
      </c>
      <c r="O35" s="110">
        <f>N35/F35-1</f>
        <v>-6.3509325668310579E-3</v>
      </c>
      <c r="P35"/>
      <c r="Q35"/>
      <c r="R35"/>
      <c r="S35"/>
      <c r="T35"/>
      <c r="U35"/>
      <c r="V35"/>
      <c r="W35"/>
      <c r="X35"/>
      <c r="Y35"/>
      <c r="Z35" s="49" t="s">
        <v>55</v>
      </c>
      <c r="AA35" s="52">
        <f>INDEX('Calculations - Supermarket'!$AV$4:$AV$24,MATCH(Supermarket!AA$31,'Calculations - Supermarket'!$F$4:$F$24,0))</f>
        <v>8341459.6069673784</v>
      </c>
      <c r="AB35" s="110">
        <f>AA35/C35-1</f>
        <v>5.4028317280674365E-3</v>
      </c>
      <c r="AC35" s="52">
        <f>INDEX('Calculations - Supermarket'!$AV$4:$AV$24,MATCH(Supermarket!AC$31,'Calculations - Supermarket'!$F$4:$F$24,0))</f>
        <v>2398323.2142548445</v>
      </c>
      <c r="AD35" s="110">
        <f>AC35/D35-1</f>
        <v>-2.4430415224867219E-2</v>
      </c>
      <c r="AE35" s="52">
        <f>INDEX('Calculations - Supermarket'!$AV$4:$AV$24,MATCH(Supermarket!AE$31,'Calculations - Supermarket'!$F$4:$F$24,0))</f>
        <v>1695928.272047936</v>
      </c>
      <c r="AF35" s="110">
        <f t="shared" si="1"/>
        <v>-3.6501529045880665E-2</v>
      </c>
      <c r="AG35" s="51">
        <f t="shared" si="2"/>
        <v>12435711.09327016</v>
      </c>
      <c r="AH35" s="110">
        <f>AG35/F35-1</f>
        <v>-6.3509325668310579E-3</v>
      </c>
      <c r="AI35"/>
    </row>
    <row r="36" spans="1:35" ht="25.05" customHeight="1" x14ac:dyDescent="0.3">
      <c r="A36"/>
      <c r="B36" s="61" t="s">
        <v>56</v>
      </c>
      <c r="C36" s="67">
        <f>C35/C33</f>
        <v>4.4569953919721961</v>
      </c>
      <c r="D36" s="67">
        <f>D35/D33</f>
        <v>4.5527143821897749</v>
      </c>
      <c r="E36" s="67">
        <f>E35/E33</f>
        <v>5.4958981346547766</v>
      </c>
      <c r="F36" s="63" t="s">
        <v>58</v>
      </c>
      <c r="G36" s="29"/>
      <c r="H36" s="53">
        <f>H35/H33</f>
        <v>4.456995391972197</v>
      </c>
      <c r="I36" s="110">
        <f>H36/C36-1</f>
        <v>0</v>
      </c>
      <c r="J36" s="53">
        <f>J35/J33</f>
        <v>4.552714382189774</v>
      </c>
      <c r="K36" s="110">
        <f>J36/D36-1</f>
        <v>0</v>
      </c>
      <c r="L36" s="53">
        <f>L35/L33</f>
        <v>5.4958981346547775</v>
      </c>
      <c r="M36" s="110">
        <f>L36/E36-1</f>
        <v>0</v>
      </c>
      <c r="N36" s="53" t="s">
        <v>58</v>
      </c>
      <c r="O36" s="110" t="s">
        <v>58</v>
      </c>
      <c r="P36"/>
      <c r="Q36"/>
      <c r="R36"/>
      <c r="S36"/>
      <c r="T36"/>
      <c r="U36"/>
      <c r="V36"/>
      <c r="W36"/>
      <c r="X36"/>
      <c r="Y36"/>
      <c r="Z36" s="49" t="s">
        <v>56</v>
      </c>
      <c r="AA36" s="53">
        <f>AA35/AA33</f>
        <v>4.456995391972197</v>
      </c>
      <c r="AB36" s="110">
        <f>AA36/C36-1</f>
        <v>0</v>
      </c>
      <c r="AC36" s="53">
        <f>AC35/AC33</f>
        <v>4.552714382189774</v>
      </c>
      <c r="AD36" s="110">
        <f>AC36/D36-1</f>
        <v>0</v>
      </c>
      <c r="AE36" s="53">
        <f>AE35/AE33</f>
        <v>5.4958981346547775</v>
      </c>
      <c r="AF36" s="110">
        <f>AE36/E36-1</f>
        <v>0</v>
      </c>
      <c r="AG36" s="51" t="s">
        <v>58</v>
      </c>
      <c r="AH36" s="110" t="s">
        <v>58</v>
      </c>
      <c r="AI36"/>
    </row>
    <row r="37" spans="1:35" ht="25.05" customHeight="1" x14ac:dyDescent="0.3">
      <c r="A37"/>
      <c r="B37" s="61" t="s">
        <v>57</v>
      </c>
      <c r="C37" s="68">
        <f>INDEX('Calculations - Supermarket'!$U$4:$U$24,MATCH(Supermarket!C$31,'Calculations - Supermarket'!$F$4:$F$24,0))/C35</f>
        <v>0.3</v>
      </c>
      <c r="D37" s="68">
        <f>INDEX('Calculations - Supermarket'!$U$4:$U$24,MATCH(Supermarket!D$31,'Calculations - Supermarket'!$F$4:$F$24,0))/D35</f>
        <v>0.3</v>
      </c>
      <c r="E37" s="68">
        <f>INDEX('Calculations - Supermarket'!$U$4:$U$24,MATCH(Supermarket!E$31,'Calculations - Supermarket'!$F$4:$F$24,0))/E35</f>
        <v>0.3</v>
      </c>
      <c r="F37" s="63" t="s">
        <v>58</v>
      </c>
      <c r="G37" s="29"/>
      <c r="H37" s="54">
        <f>INDEX('Calculations - Supermarket'!$AD$4:$AD$24,MATCH(Supermarket!H$31,'Calculations - Supermarket'!$F$4:$F$24,0))/H35</f>
        <v>0.30000000000000004</v>
      </c>
      <c r="I37" s="111">
        <f>(H37-C37)*10000</f>
        <v>5.5511151231257827E-13</v>
      </c>
      <c r="J37" s="54">
        <f>INDEX('Calculations - Supermarket'!$AD$4:$AD$24,MATCH(Supermarket!J$31,'Calculations - Supermarket'!$F$4:$F$24,0))/J35</f>
        <v>0.29999999999999988</v>
      </c>
      <c r="K37" s="111">
        <f>(J37-D37)*10000</f>
        <v>-1.1102230246251565E-12</v>
      </c>
      <c r="L37" s="54">
        <f>INDEX('Calculations - Supermarket'!$AD$4:$AD$24,MATCH(Supermarket!L$31,'Calculations - Supermarket'!$F$4:$F$24,0))/L35</f>
        <v>0.30000000000000004</v>
      </c>
      <c r="M37" s="111">
        <f>(L37-E37)*10000</f>
        <v>5.5511151231257827E-13</v>
      </c>
      <c r="N37" s="54" t="s">
        <v>58</v>
      </c>
      <c r="O37" s="111" t="s">
        <v>58</v>
      </c>
      <c r="P37"/>
      <c r="Q37"/>
      <c r="R37"/>
      <c r="S37"/>
      <c r="T37"/>
      <c r="U37"/>
      <c r="V37"/>
      <c r="W37"/>
      <c r="X37"/>
      <c r="Y37"/>
      <c r="Z37" s="49" t="s">
        <v>57</v>
      </c>
      <c r="AA37" s="54">
        <f>INDEX('Calculations - Supermarket'!$AH$4:$AH$24,MATCH(Supermarket!AA$31,'Calculations - Supermarket'!$F$4:$F$24,0))</f>
        <v>0.3</v>
      </c>
      <c r="AB37" s="111">
        <f>(AA37-C37)*10000</f>
        <v>0</v>
      </c>
      <c r="AC37" s="54">
        <f>INDEX('Calculations - Supermarket'!$AH$4:$AH$24,MATCH(Supermarket!AC$31,'Calculations - Supermarket'!$F$4:$F$24,0))</f>
        <v>0.3</v>
      </c>
      <c r="AD37" s="111">
        <f>(AC37-D37)*10000</f>
        <v>0</v>
      </c>
      <c r="AE37" s="54">
        <f>INDEX('Calculations - Supermarket'!$AH$4:$AH$24,MATCH(Supermarket!AE$31,'Calculations - Supermarket'!$F$4:$F$24,0))</f>
        <v>0.3</v>
      </c>
      <c r="AF37" s="111">
        <f>(AE37-E37)*10000</f>
        <v>0</v>
      </c>
      <c r="AG37" s="51" t="s">
        <v>58</v>
      </c>
      <c r="AH37" s="111" t="s">
        <v>58</v>
      </c>
      <c r="AI37"/>
    </row>
    <row r="38" spans="1:35" ht="25.05" customHeight="1" x14ac:dyDescent="0.3">
      <c r="A38"/>
      <c r="B38" s="61" t="s">
        <v>75</v>
      </c>
      <c r="C38" s="69">
        <f>INDEX('Calculations - Supermarket'!$P$4:$P$24,MATCH(Supermarket!C$31,'Calculations - Supermarket'!$F$4:$F$24,0))</f>
        <v>0.31559170892391725</v>
      </c>
      <c r="D38" s="69">
        <f>INDEX('Calculations - Supermarket'!$P$4:$P$24,MATCH(Supermarket!D$31,'Calculations - Supermarket'!$F$4:$F$24,0))</f>
        <v>9.3513238470405408E-2</v>
      </c>
      <c r="E38" s="69">
        <f>INDEX('Calculations - Supermarket'!$P$4:$P$24,MATCH(Supermarket!E$31,'Calculations - Supermarket'!$F$4:$F$24,0))</f>
        <v>6.6954548918997242E-2</v>
      </c>
      <c r="F38" s="92">
        <f>SUM(C38:E38)</f>
        <v>0.4760594963133199</v>
      </c>
      <c r="G38" s="29"/>
      <c r="H38" s="55">
        <f>INDEX('Calculations - Supermarket'!$Y$4:$Y$24,MATCH(Supermarket!H$31,'Calculations - Supermarket'!$F$4:$F$24,0))</f>
        <v>0.31729679782200643</v>
      </c>
      <c r="I38" s="111">
        <f>(H38-C38)*10000</f>
        <v>17.050888980891798</v>
      </c>
      <c r="J38" s="55">
        <f>INDEX('Calculations - Supermarket'!$Y$4:$Y$24,MATCH(Supermarket!J$31,'Calculations - Supermarket'!$F$4:$F$24,0))</f>
        <v>9.122867122555138E-2</v>
      </c>
      <c r="K38" s="111">
        <f>(J38-D38)*10000</f>
        <v>-22.84567244854027</v>
      </c>
      <c r="L38" s="55">
        <f>INDEX('Calculations - Supermarket'!$Y$4:$Y$24,MATCH(Supermarket!L$31,'Calculations - Supermarket'!$F$4:$F$24,0))</f>
        <v>6.4510605506876609E-2</v>
      </c>
      <c r="M38" s="111">
        <f>(L38-E38)*10000</f>
        <v>-24.439434121206332</v>
      </c>
      <c r="N38" s="55">
        <f t="shared" ref="N38:N39" si="3">H38+J38+L38</f>
        <v>0.47303607455443442</v>
      </c>
      <c r="O38" s="111">
        <f>(N38-F38)*10000</f>
        <v>-30.234217588854804</v>
      </c>
      <c r="P38"/>
      <c r="Q38"/>
      <c r="R38"/>
      <c r="S38"/>
      <c r="T38"/>
      <c r="U38"/>
      <c r="V38"/>
      <c r="W38"/>
      <c r="X38"/>
      <c r="Y38"/>
      <c r="Z38" s="49" t="s">
        <v>75</v>
      </c>
      <c r="AA38" s="55">
        <f>INDEX('Calculations - Supermarket'!$AR$4:$AR$24,MATCH(Supermarket!AA$31,'Calculations - Supermarket'!$F$4:$F$24,0))</f>
        <v>0.31729679782200643</v>
      </c>
      <c r="AB38" s="111">
        <f>(AA38-C38)*10000</f>
        <v>17.050888980891798</v>
      </c>
      <c r="AC38" s="55">
        <f>INDEX('Calculations - Supermarket'!$AR$4:$AR$24,MATCH(Supermarket!AC$31,'Calculations - Supermarket'!$F$4:$F$24,0))</f>
        <v>9.122867122555138E-2</v>
      </c>
      <c r="AD38" s="111">
        <f>(AC38-D38)*10000</f>
        <v>-22.84567244854027</v>
      </c>
      <c r="AE38" s="55">
        <f>INDEX('Calculations - Supermarket'!$AR$4:$AR$24,MATCH(Supermarket!AE$31,'Calculations - Supermarket'!$F$4:$F$24,0))</f>
        <v>6.4510605506876609E-2</v>
      </c>
      <c r="AF38" s="111">
        <f t="shared" ref="AF38:AF39" si="4">(AE38-E38)*10000</f>
        <v>-24.439434121206332</v>
      </c>
      <c r="AG38" s="118">
        <f t="shared" ref="AG38:AG39" si="5">AA38+AC38+AE38</f>
        <v>0.47303607455443442</v>
      </c>
      <c r="AH38" s="111">
        <f>(AG38-F38)*10000</f>
        <v>-30.234217588854804</v>
      </c>
      <c r="AI38"/>
    </row>
    <row r="39" spans="1:35" ht="25.05" customHeight="1" x14ac:dyDescent="0.3">
      <c r="A39"/>
      <c r="B39" s="61" t="s">
        <v>76</v>
      </c>
      <c r="C39" s="69">
        <f>INDEX('Calculations - Supermarket'!$Q$4:$Q$24,MATCH(Supermarket!C$31,'Calculations - Supermarket'!$F$4:$F$24,0))</f>
        <v>0.27239867668007739</v>
      </c>
      <c r="D39" s="69">
        <f>INDEX('Calculations - Supermarket'!$Q$4:$Q$24,MATCH(Supermarket!D$31,'Calculations - Supermarket'!$F$4:$F$24,0))</f>
        <v>7.901768199458703E-2</v>
      </c>
      <c r="E39" s="69">
        <f>INDEX('Calculations - Supermarket'!$Q$4:$Q$24,MATCH(Supermarket!E$31,'Calculations - Supermarket'!$F$4:$F$24,0))</f>
        <v>4.6866552424233217E-2</v>
      </c>
      <c r="F39" s="92">
        <f>SUM(C39:E39)</f>
        <v>0.39828291109889763</v>
      </c>
      <c r="G39" s="29"/>
      <c r="H39" s="55">
        <f>INDEX('Calculations - Supermarket'!$AE$4:$AE$24,MATCH(Supermarket!H$31,'Calculations - Supermarket'!$F$4:$F$24,0))</f>
        <v>0.2746402023240167</v>
      </c>
      <c r="I39" s="111">
        <f>(H39-C39)*10000</f>
        <v>22.415256439393126</v>
      </c>
      <c r="J39" s="55">
        <f>INDEX('Calculations - Supermarket'!$AE$4:$AE$24,MATCH(Supermarket!J$31,'Calculations - Supermarket'!$F$4:$F$24,0))</f>
        <v>7.7303925879665669E-2</v>
      </c>
      <c r="K39" s="111">
        <f>(J39-D39)*10000</f>
        <v>-17.13756114921361</v>
      </c>
      <c r="L39" s="55">
        <f>INDEX('Calculations - Supermarket'!$AE$4:$AE$24,MATCH(Supermarket!L$31,'Calculations - Supermarket'!$F$4:$F$24,0))</f>
        <v>4.5282776740367049E-2</v>
      </c>
      <c r="M39" s="111">
        <f>(L39-E39)*10000</f>
        <v>-15.837756838661676</v>
      </c>
      <c r="N39" s="55">
        <f t="shared" si="3"/>
        <v>0.39722690494404944</v>
      </c>
      <c r="O39" s="111">
        <f>(N39-F39)*10000</f>
        <v>-10.56006154848188</v>
      </c>
      <c r="P39"/>
      <c r="Q39"/>
      <c r="R39"/>
      <c r="S39"/>
      <c r="T39"/>
      <c r="U39"/>
      <c r="V39"/>
      <c r="W39"/>
      <c r="X39"/>
      <c r="Y39"/>
      <c r="Z39" s="49" t="s">
        <v>76</v>
      </c>
      <c r="AA39" s="55">
        <f>INDEX('Calculations - Supermarket'!$AY$4:$AY$24,MATCH(Supermarket!AA$31,'Calculations - Supermarket'!$F$4:$F$24,0))</f>
        <v>0.2746402023240167</v>
      </c>
      <c r="AB39" s="111">
        <f>(AA39-C39)*10000</f>
        <v>22.415256439393126</v>
      </c>
      <c r="AC39" s="55">
        <f>INDEX('Calculations - Supermarket'!$AY$4:$AY$24,MATCH(Supermarket!AC$31,'Calculations - Supermarket'!$F$4:$F$24,0))</f>
        <v>7.7303925879665669E-2</v>
      </c>
      <c r="AD39" s="111">
        <f>(AC39-D39)*10000</f>
        <v>-17.13756114921361</v>
      </c>
      <c r="AE39" s="55">
        <f>INDEX('Calculations - Supermarket'!$AY$4:$AY$24,MATCH(Supermarket!AE$31,'Calculations - Supermarket'!$F$4:$F$24,0))</f>
        <v>4.5282776740367049E-2</v>
      </c>
      <c r="AF39" s="111">
        <f t="shared" si="4"/>
        <v>-15.837756838661676</v>
      </c>
      <c r="AG39" s="118">
        <f t="shared" si="5"/>
        <v>0.39722690494404944</v>
      </c>
      <c r="AH39" s="111">
        <f>(AG39-F39)*10000</f>
        <v>-10.56006154848188</v>
      </c>
      <c r="AI39"/>
    </row>
    <row r="40" spans="1:35" ht="25.05" customHeight="1" thickBot="1" x14ac:dyDescent="0.35">
      <c r="A40"/>
      <c r="B40" s="62" t="s">
        <v>59</v>
      </c>
      <c r="C40" s="107">
        <f>C34/C33</f>
        <v>5.5712442399652451</v>
      </c>
      <c r="D40" s="107">
        <f>D34/D33</f>
        <v>5.6908929777372181</v>
      </c>
      <c r="E40" s="107">
        <f>E34/E33</f>
        <v>6.8698726683184708</v>
      </c>
      <c r="F40" s="108">
        <f>F34/F33</f>
        <v>5.7477936255146416</v>
      </c>
      <c r="G40" s="30"/>
      <c r="H40" s="102">
        <f>H34/H33</f>
        <v>5.5712442399652451</v>
      </c>
      <c r="I40" s="112">
        <f>H40/C40-1</f>
        <v>0</v>
      </c>
      <c r="J40" s="102">
        <f>J34/J33</f>
        <v>5.6908929777372173</v>
      </c>
      <c r="K40" s="112">
        <f>J40/D40-1</f>
        <v>0</v>
      </c>
      <c r="L40" s="102">
        <f>L34/L33</f>
        <v>6.8698726683184708</v>
      </c>
      <c r="M40" s="112">
        <f>L40/E40-1</f>
        <v>0</v>
      </c>
      <c r="N40" s="102">
        <f>N34/N33</f>
        <v>5.7425690356905452</v>
      </c>
      <c r="O40" s="112">
        <f>N40/F40-1</f>
        <v>-9.0897310594173497E-4</v>
      </c>
      <c r="P40"/>
      <c r="Q40"/>
      <c r="R40"/>
      <c r="S40"/>
      <c r="T40"/>
      <c r="U40"/>
      <c r="V40"/>
      <c r="W40"/>
      <c r="X40"/>
      <c r="Y40"/>
      <c r="Z40" s="50" t="s">
        <v>59</v>
      </c>
      <c r="AA40" s="102">
        <f>AA34/AA33</f>
        <v>5.5712442399652451</v>
      </c>
      <c r="AB40" s="112">
        <f>AA40/C40-1</f>
        <v>0</v>
      </c>
      <c r="AC40" s="102">
        <f>AC34/AC33</f>
        <v>5.6908929777372173</v>
      </c>
      <c r="AD40" s="112">
        <f>AC40/D40-1</f>
        <v>0</v>
      </c>
      <c r="AE40" s="102">
        <f>AE34/AE33</f>
        <v>6.8698726683184708</v>
      </c>
      <c r="AF40" s="112">
        <f>AE40/E40-1</f>
        <v>0</v>
      </c>
      <c r="AG40" s="103">
        <f>AG34/AG33</f>
        <v>5.7425690356905452</v>
      </c>
      <c r="AH40" s="112">
        <f>AG40/F40-1</f>
        <v>-9.0897310594173497E-4</v>
      </c>
      <c r="AI40"/>
    </row>
    <row r="41" spans="1:35" ht="25.05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ht="25.05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ht="25.0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ht="25.0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ht="25.0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ht="25.05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ht="25.05" customHeigh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ht="25.05" customHeigh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ht="25.05" customHeigh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ht="25.05" customHeigh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ht="25.0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ht="25.05" customHeigh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ht="25.05" customHeigh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ht="25.05" customHeigh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ht="25.05" customHeight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ht="25.05" customHeight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ht="25.05" customHeight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ht="25.05" customHeight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ht="25.05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ht="25.05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ht="25.05" customHeight="1" thickBot="1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ht="25.05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 s="154" t="s">
        <v>72</v>
      </c>
      <c r="AA62" s="150" t="str">
        <f>$S$11</f>
        <v>HEINZ</v>
      </c>
      <c r="AB62" s="151"/>
      <c r="AC62" s="152" t="str">
        <f>$S$14</f>
        <v>HP</v>
      </c>
      <c r="AD62" s="153"/>
      <c r="AE62" s="143" t="str">
        <f>$S$17</f>
        <v>BULLS EYE</v>
      </c>
      <c r="AF62" s="144"/>
      <c r="AG62"/>
      <c r="AH62"/>
      <c r="AI62"/>
    </row>
    <row r="63" spans="1:35" ht="25.05" customHeight="1" thickBot="1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 s="155"/>
      <c r="AA63" s="72" t="s">
        <v>67</v>
      </c>
      <c r="AB63" s="71" t="s">
        <v>81</v>
      </c>
      <c r="AC63" s="72" t="s">
        <v>67</v>
      </c>
      <c r="AD63" s="71" t="s">
        <v>81</v>
      </c>
      <c r="AE63" s="72" t="s">
        <v>67</v>
      </c>
      <c r="AF63" s="71" t="s">
        <v>81</v>
      </c>
      <c r="AG63"/>
      <c r="AH63"/>
      <c r="AI63"/>
    </row>
    <row r="64" spans="1:35" ht="25.05" customHeight="1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 s="75" t="str">
        <f>$S$11</f>
        <v>HEINZ</v>
      </c>
      <c r="AA64" s="120">
        <f>INDEX('Calculations - Supermarket'!$AZ$4:$AZ$24,MATCH(Supermarket!$Z64,'Calculations - Supermarket'!$F$4:$F$24,0))</f>
        <v>99.999999999999986</v>
      </c>
      <c r="AB64" s="121">
        <f>INDEX('Calculations - Supermarket'!$BC$4:$BC$24,MATCH(Supermarket!$Z64,'Calculations - Supermarket'!$F$4:$F$24,0))</f>
        <v>99.999999999999986</v>
      </c>
      <c r="AC64" s="120">
        <f>INDEX('Calculations - Supermarket'!$BA$4:$BA$24,MATCH(Supermarket!$Z64,'Calculations - Supermarket'!$F$4:$F$24,0))</f>
        <v>102.14761250123759</v>
      </c>
      <c r="AD64" s="121">
        <f>INDEX('Calculations - Supermarket'!$BD$4:$BD$24,MATCH(Supermarket!$Z64,'Calculations - Supermarket'!$F$4:$F$24,0))</f>
        <v>102.14761250123759</v>
      </c>
      <c r="AE64" s="120">
        <f>INDEX('Calculations - Supermarket'!$BB$4:$BB$24,MATCH(Supermarket!$Z64,'Calculations - Supermarket'!$F$4:$F$24,0))</f>
        <v>123.30948657819616</v>
      </c>
      <c r="AF64" s="121">
        <f>INDEX('Calculations - Supermarket'!$BE$4:$BE$24,MATCH(Supermarket!$Z64,'Calculations - Supermarket'!$F$4:$F$24,0))</f>
        <v>123.30948657819616</v>
      </c>
      <c r="AG64"/>
      <c r="AH64"/>
      <c r="AI64"/>
    </row>
    <row r="65" spans="1:35" ht="25.05" customHeigh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 s="76" t="str">
        <f>$S$14</f>
        <v>HP</v>
      </c>
      <c r="AA65" s="122">
        <f>INDEX('Calculations - Supermarket'!$AZ$4:$AZ$24,MATCH(Supermarket!$Z65,'Calculations - Supermarket'!$F$4:$F$24,0))</f>
        <v>97.897540188507506</v>
      </c>
      <c r="AB65" s="123">
        <f>INDEX('Calculations - Supermarket'!$BC$4:$BC$24,MATCH(Supermarket!$Z65,'Calculations - Supermarket'!$F$4:$F$24,0))</f>
        <v>97.897540188507506</v>
      </c>
      <c r="AC65" s="122">
        <f>INDEX('Calculations - Supermarket'!$BA$4:$BA$24,MATCH(Supermarket!$Z65,'Calculations - Supermarket'!$F$4:$F$24,0))</f>
        <v>100</v>
      </c>
      <c r="AD65" s="123">
        <f>INDEX('Calculations - Supermarket'!$BD$4:$BD$24,MATCH(Supermarket!$Z65,'Calculations - Supermarket'!$F$4:$F$24,0))</f>
        <v>100</v>
      </c>
      <c r="AE65" s="122">
        <f>INDEX('Calculations - Supermarket'!$BB$4:$BB$24,MATCH(Supermarket!$Z65,'Calculations - Supermarket'!$F$4:$F$24,0))</f>
        <v>120.71695417913186</v>
      </c>
      <c r="AF65" s="123">
        <f>INDEX('Calculations - Supermarket'!$BE$4:$BE$24,MATCH(Supermarket!$Z65,'Calculations - Supermarket'!$F$4:$F$24,0))</f>
        <v>120.71695417913186</v>
      </c>
      <c r="AG65"/>
      <c r="AH65"/>
      <c r="AI65"/>
    </row>
    <row r="66" spans="1:35" ht="25.05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 s="76" t="str">
        <f>$S$17</f>
        <v>BULLS EYE</v>
      </c>
      <c r="AA66" s="122">
        <f>INDEX('Calculations - Supermarket'!$AZ$4:$AZ$24,MATCH(Supermarket!$Z66,'Calculations - Supermarket'!$F$4:$F$24,0))</f>
        <v>81.096761307643135</v>
      </c>
      <c r="AB66" s="123">
        <f>INDEX('Calculations - Supermarket'!$BC$4:$BC$24,MATCH(Supermarket!$Z66,'Calculations - Supermarket'!$F$4:$F$24,0))</f>
        <v>81.096761307643135</v>
      </c>
      <c r="AC66" s="122">
        <f>INDEX('Calculations - Supermarket'!$BA$4:$BA$24,MATCH(Supermarket!$Z66,'Calculations - Supermarket'!$F$4:$F$24,0))</f>
        <v>82.838405491584894</v>
      </c>
      <c r="AD66" s="123">
        <f>INDEX('Calculations - Supermarket'!$BD$4:$BD$24,MATCH(Supermarket!$Z66,'Calculations - Supermarket'!$F$4:$F$24,0))</f>
        <v>82.838405491584894</v>
      </c>
      <c r="AE66" s="122">
        <f>INDEX('Calculations - Supermarket'!$BB$4:$BB$24,MATCH(Supermarket!$Z66,'Calculations - Supermarket'!$F$4:$F$24,0))</f>
        <v>99.999999999999986</v>
      </c>
      <c r="AF66" s="123">
        <f>INDEX('Calculations - Supermarket'!$BE$4:$BE$24,MATCH(Supermarket!$Z66,'Calculations - Supermarket'!$F$4:$F$24,0))</f>
        <v>99.999999999999986</v>
      </c>
      <c r="AG66"/>
      <c r="AH66"/>
      <c r="AI66"/>
    </row>
    <row r="67" spans="1:35" ht="25.05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 s="76" t="str">
        <f>$S$20</f>
        <v>PRIVATE LABEL</v>
      </c>
      <c r="AA67" s="122">
        <f>INDEX('Calculations - Supermarket'!$AZ$4:$AZ$24,MATCH(Supermarket!$Z67,'Calculations - Supermarket'!$F$4:$F$24,0))</f>
        <v>226.96560909939785</v>
      </c>
      <c r="AB67" s="123">
        <f>INDEX('Calculations - Supermarket'!$BC$4:$BC$24,MATCH(Supermarket!$Z67,'Calculations - Supermarket'!$F$4:$F$24,0))</f>
        <v>226.96560909939785</v>
      </c>
      <c r="AC67" s="122">
        <f>INDEX('Calculations - Supermarket'!$BA$4:$BA$24,MATCH(Supermarket!$Z67,'Calculations - Supermarket'!$F$4:$F$24,0))</f>
        <v>231.83995089392658</v>
      </c>
      <c r="AD67" s="123">
        <f>INDEX('Calculations - Supermarket'!$BD$4:$BD$24,MATCH(Supermarket!$Z67,'Calculations - Supermarket'!$F$4:$F$24,0))</f>
        <v>231.83995089392658</v>
      </c>
      <c r="AE67" s="122">
        <f>INDEX('Calculations - Supermarket'!$BB$4:$BB$24,MATCH(Supermarket!$Z67,'Calculations - Supermarket'!$F$4:$F$24,0))</f>
        <v>279.87012728954318</v>
      </c>
      <c r="AF67" s="123">
        <f>INDEX('Calculations - Supermarket'!$BE$4:$BE$24,MATCH(Supermarket!$Z67,'Calculations - Supermarket'!$F$4:$F$24,0))</f>
        <v>279.87012728954318</v>
      </c>
      <c r="AG67"/>
      <c r="AH67"/>
      <c r="AI67"/>
    </row>
    <row r="68" spans="1:35" ht="25.05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 s="76" t="str">
        <f>$S$23</f>
        <v>LEVI ROOTS</v>
      </c>
      <c r="AA68" s="122">
        <f>INDEX('Calculations - Supermarket'!$AZ$4:$AZ$24,MATCH(Supermarket!$Z68,'Calculations - Supermarket'!$F$4:$F$24,0))</f>
        <v>84.558181619590329</v>
      </c>
      <c r="AB68" s="123">
        <f>INDEX('Calculations - Supermarket'!$BC$4:$BC$24,MATCH(Supermarket!$Z68,'Calculations - Supermarket'!$F$4:$F$24,0))</f>
        <v>84.558181619590329</v>
      </c>
      <c r="AC68" s="122">
        <f>INDEX('Calculations - Supermarket'!$BA$4:$BA$24,MATCH(Supermarket!$Z68,'Calculations - Supermarket'!$F$4:$F$24,0))</f>
        <v>86.374163698871854</v>
      </c>
      <c r="AD68" s="123">
        <f>INDEX('Calculations - Supermarket'!$BD$4:$BD$24,MATCH(Supermarket!$Z68,'Calculations - Supermarket'!$F$4:$F$24,0))</f>
        <v>86.374163698871854</v>
      </c>
      <c r="AE68" s="122">
        <f>INDEX('Calculations - Supermarket'!$BB$4:$BB$24,MATCH(Supermarket!$Z68,'Calculations - Supermarket'!$F$4:$F$24,0))</f>
        <v>104.26825961497548</v>
      </c>
      <c r="AF68" s="123">
        <f>INDEX('Calculations - Supermarket'!$BE$4:$BE$24,MATCH(Supermarket!$Z68,'Calculations - Supermarket'!$F$4:$F$24,0))</f>
        <v>104.26825961497548</v>
      </c>
      <c r="AG68"/>
      <c r="AH68"/>
      <c r="AI68"/>
    </row>
    <row r="69" spans="1:35" ht="25.05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 s="76" t="str">
        <f>$S$26</f>
        <v>SWEET BABY RAYS</v>
      </c>
      <c r="AA69" s="122">
        <f>INDEX('Calculations - Supermarket'!$AZ$4:$AZ$24,MATCH(Supermarket!$Z69,'Calculations - Supermarket'!$F$4:$F$24,0))</f>
        <v>80.94618120330982</v>
      </c>
      <c r="AB69" s="123">
        <f>INDEX('Calculations - Supermarket'!$BC$4:$BC$24,MATCH(Supermarket!$Z69,'Calculations - Supermarket'!$F$4:$F$24,0))</f>
        <v>80.94618120330982</v>
      </c>
      <c r="AC69" s="122">
        <f>INDEX('Calculations - Supermarket'!$BA$4:$BA$24,MATCH(Supermarket!$Z69,'Calculations - Supermarket'!$F$4:$F$24,0))</f>
        <v>82.684591510106543</v>
      </c>
      <c r="AD69" s="123">
        <f>INDEX('Calculations - Supermarket'!$BD$4:$BD$24,MATCH(Supermarket!$Z69,'Calculations - Supermarket'!$F$4:$F$24,0))</f>
        <v>82.684591510106543</v>
      </c>
      <c r="AE69" s="122">
        <f>INDEX('Calculations - Supermarket'!$BB$4:$BB$24,MATCH(Supermarket!$Z69,'Calculations - Supermarket'!$F$4:$F$24,0))</f>
        <v>99.814320446457671</v>
      </c>
      <c r="AF69" s="123">
        <f>INDEX('Calculations - Supermarket'!$BE$4:$BE$24,MATCH(Supermarket!$Z69,'Calculations - Supermarket'!$F$4:$F$24,0))</f>
        <v>99.814320446457671</v>
      </c>
      <c r="AG69"/>
      <c r="AH69"/>
      <c r="AI69"/>
    </row>
    <row r="70" spans="1:35" ht="25.05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 s="119" t="str">
        <f>$S$29</f>
        <v>RESTOFCATEGORY</v>
      </c>
      <c r="AA70" s="124">
        <f>INDEX('Calculations - Supermarket'!$AZ$4:$AZ$24,MATCH(Supermarket!$Z70,'Calculations - Supermarket'!$F$4:$F$24,0))</f>
        <v>87.05437836978399</v>
      </c>
      <c r="AB70" s="125">
        <f>INDEX('Calculations - Supermarket'!$BC$4:$BC$24,MATCH(Supermarket!$Z70,'Calculations - Supermarket'!$F$4:$F$24,0))</f>
        <v>87.05437836978399</v>
      </c>
      <c r="AC70" s="124">
        <f>INDEX('Calculations - Supermarket'!$BA$4:$BA$24,MATCH(Supermarket!$Z70,'Calculations - Supermarket'!$F$4:$F$24,0))</f>
        <v>88.923969082528146</v>
      </c>
      <c r="AD70" s="125">
        <f>INDEX('Calculations - Supermarket'!$BD$4:$BD$24,MATCH(Supermarket!$Z70,'Calculations - Supermarket'!$F$4:$F$24,0))</f>
        <v>88.923969082528146</v>
      </c>
      <c r="AE70" s="124">
        <f>INDEX('Calculations - Supermarket'!$BB$4:$BB$24,MATCH(Supermarket!$Z70,'Calculations - Supermarket'!$F$4:$F$24,0))</f>
        <v>107.34630701162089</v>
      </c>
      <c r="AF70" s="125">
        <f>INDEX('Calculations - Supermarket'!$BE$4:$BE$24,MATCH(Supermarket!$Z70,'Calculations - Supermarket'!$F$4:$F$24,0))</f>
        <v>107.34630701162089</v>
      </c>
      <c r="AG70"/>
      <c r="AH70"/>
      <c r="AI70"/>
    </row>
    <row r="71" spans="1:35" ht="25.05" customHeight="1" thickBot="1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 s="77" t="s">
        <v>52</v>
      </c>
      <c r="AA71" s="126">
        <f>INDEX('Calculations - Supermarket'!$AZ$4:$AZ$24,MATCH(Supermarket!$Z71,'Calculations - Supermarket'!$F$4:$F$24,0))</f>
        <v>115.85654995474464</v>
      </c>
      <c r="AB71" s="127">
        <f>INDEX('Calculations - Supermarket'!$BC$4:$BC$24,MATCH(Supermarket!$Z71,'Calculations - Supermarket'!$F$4:$F$24,0))</f>
        <v>115.53181039666727</v>
      </c>
      <c r="AC71" s="126">
        <f>INDEX('Calculations - Supermarket'!$BA$4:$BA$24,MATCH(Supermarket!$Z71,'Calculations - Supermarket'!$F$4:$F$24,0))</f>
        <v>118.34469970507533</v>
      </c>
      <c r="AD71" s="127">
        <f>INDEX('Calculations - Supermarket'!$BD$4:$BD$24,MATCH(Supermarket!$Z71,'Calculations - Supermarket'!$F$4:$F$24,0))</f>
        <v>118.01298599965222</v>
      </c>
      <c r="AE71" s="126">
        <f>INDEX('Calculations - Supermarket'!$BB$4:$BB$24,MATCH(Supermarket!$Z71,'Calculations - Supermarket'!$F$4:$F$24,0))</f>
        <v>142.86211691640699</v>
      </c>
      <c r="AF71" s="127">
        <f>INDEX('Calculations - Supermarket'!$BE$4:$BE$24,MATCH(Supermarket!$Z71,'Calculations - Supermarket'!$F$4:$F$24,0))</f>
        <v>142.46168223462547</v>
      </c>
      <c r="AG71"/>
      <c r="AH71"/>
      <c r="AI71"/>
    </row>
    <row r="72" spans="1:35" ht="25.05" customHeigh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</row>
    <row r="73" spans="1:35" ht="25.05" customHeight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</row>
    <row r="74" spans="1:35" ht="25.05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</row>
    <row r="75" spans="1:35" ht="25.05" customHeight="1" x14ac:dyDescent="0.3"/>
    <row r="76" spans="1:35" ht="25.05" customHeight="1" x14ac:dyDescent="0.3"/>
    <row r="77" spans="1:35" ht="25.05" customHeight="1" x14ac:dyDescent="0.3"/>
    <row r="78" spans="1:35" ht="25.05" customHeight="1" x14ac:dyDescent="0.3"/>
    <row r="79" spans="1:35" ht="25.05" customHeight="1" x14ac:dyDescent="0.3"/>
    <row r="80" spans="1:35" ht="25.05" customHeight="1" x14ac:dyDescent="0.3"/>
    <row r="81" ht="25.05" customHeight="1" x14ac:dyDescent="0.3"/>
    <row r="82" ht="25.05" customHeight="1" x14ac:dyDescent="0.3"/>
    <row r="83" ht="25.05" customHeight="1" x14ac:dyDescent="0.3"/>
    <row r="84" ht="25.05" customHeight="1" x14ac:dyDescent="0.3"/>
    <row r="85" ht="25.05" customHeight="1" x14ac:dyDescent="0.3"/>
    <row r="86" ht="25.05" customHeight="1" x14ac:dyDescent="0.3"/>
    <row r="87" ht="25.05" customHeight="1" x14ac:dyDescent="0.3"/>
    <row r="88" ht="25.05" customHeight="1" x14ac:dyDescent="0.3"/>
    <row r="89" ht="25.05" customHeight="1" x14ac:dyDescent="0.3"/>
    <row r="90" ht="25.05" customHeight="1" x14ac:dyDescent="0.3"/>
    <row r="91" ht="25.05" customHeight="1" x14ac:dyDescent="0.3"/>
    <row r="92" ht="25.05" customHeight="1" x14ac:dyDescent="0.3"/>
    <row r="93" ht="25.05" customHeight="1" x14ac:dyDescent="0.3"/>
    <row r="94" ht="25.05" customHeight="1" x14ac:dyDescent="0.3"/>
    <row r="95" ht="25.05" customHeight="1" x14ac:dyDescent="0.3"/>
    <row r="96" ht="25.05" customHeight="1" x14ac:dyDescent="0.3"/>
    <row r="97" ht="25.05" customHeight="1" x14ac:dyDescent="0.3"/>
    <row r="98" ht="25.05" customHeight="1" x14ac:dyDescent="0.3"/>
    <row r="99" ht="25.05" customHeight="1" x14ac:dyDescent="0.3"/>
    <row r="100" ht="25.05" customHeight="1" x14ac:dyDescent="0.3"/>
    <row r="101" ht="25.05" customHeight="1" x14ac:dyDescent="0.3"/>
    <row r="102" ht="25.05" customHeight="1" x14ac:dyDescent="0.3"/>
    <row r="103" ht="25.05" customHeight="1" x14ac:dyDescent="0.3"/>
    <row r="104" ht="25.05" customHeight="1" x14ac:dyDescent="0.3"/>
    <row r="105" ht="25.05" customHeight="1" x14ac:dyDescent="0.3"/>
    <row r="106" ht="25.05" customHeight="1" x14ac:dyDescent="0.3"/>
    <row r="107" ht="25.05" customHeight="1" x14ac:dyDescent="0.3"/>
    <row r="108" ht="25.05" customHeight="1" x14ac:dyDescent="0.3"/>
    <row r="109" ht="25.05" customHeight="1" x14ac:dyDescent="0.3"/>
    <row r="110" ht="25.05" customHeight="1" x14ac:dyDescent="0.3"/>
    <row r="111" ht="25.05" customHeight="1" x14ac:dyDescent="0.3"/>
    <row r="112" ht="25.05" customHeight="1" x14ac:dyDescent="0.3"/>
    <row r="113" ht="25.05" customHeight="1" x14ac:dyDescent="0.3"/>
    <row r="114" ht="25.05" customHeight="1" x14ac:dyDescent="0.3"/>
    <row r="115" ht="25.05" customHeight="1" x14ac:dyDescent="0.3"/>
    <row r="116" ht="25.05" customHeight="1" x14ac:dyDescent="0.3"/>
    <row r="117" ht="25.05" customHeight="1" x14ac:dyDescent="0.3"/>
    <row r="118" ht="25.05" customHeight="1" x14ac:dyDescent="0.3"/>
    <row r="119" ht="25.05" customHeight="1" x14ac:dyDescent="0.3"/>
    <row r="120" ht="25.05" customHeight="1" x14ac:dyDescent="0.3"/>
    <row r="121" ht="25.05" customHeight="1" x14ac:dyDescent="0.3"/>
    <row r="122" ht="25.05" customHeight="1" x14ac:dyDescent="0.3"/>
    <row r="123" ht="25.05" customHeight="1" x14ac:dyDescent="0.3"/>
    <row r="124" ht="25.05" customHeight="1" x14ac:dyDescent="0.3"/>
    <row r="125" ht="25.05" customHeight="1" x14ac:dyDescent="0.3"/>
    <row r="126" ht="25.05" customHeight="1" x14ac:dyDescent="0.3"/>
    <row r="127" ht="25.05" customHeight="1" x14ac:dyDescent="0.3"/>
    <row r="128" ht="25.05" customHeight="1" x14ac:dyDescent="0.3"/>
    <row r="129" ht="25.05" customHeight="1" x14ac:dyDescent="0.3"/>
    <row r="130" ht="25.05" customHeight="1" x14ac:dyDescent="0.3"/>
    <row r="131" ht="25.05" customHeight="1" x14ac:dyDescent="0.3"/>
    <row r="132" ht="25.05" customHeight="1" x14ac:dyDescent="0.3"/>
    <row r="133" ht="25.05" customHeight="1" x14ac:dyDescent="0.3"/>
    <row r="134" ht="25.05" customHeight="1" x14ac:dyDescent="0.3"/>
    <row r="135" ht="25.05" customHeight="1" x14ac:dyDescent="0.3"/>
  </sheetData>
  <mergeCells count="27">
    <mergeCell ref="AE62:AF62"/>
    <mergeCell ref="N31:O31"/>
    <mergeCell ref="AG31:AH31"/>
    <mergeCell ref="Z29:AH29"/>
    <mergeCell ref="Z8:AH8"/>
    <mergeCell ref="AA62:AB62"/>
    <mergeCell ref="AC62:AD62"/>
    <mergeCell ref="Z62:Z63"/>
    <mergeCell ref="Z31:Z32"/>
    <mergeCell ref="AA31:AB31"/>
    <mergeCell ref="AC31:AD31"/>
    <mergeCell ref="B8:O8"/>
    <mergeCell ref="B29:O29"/>
    <mergeCell ref="L31:M31"/>
    <mergeCell ref="AE31:AF31"/>
    <mergeCell ref="B6:C6"/>
    <mergeCell ref="B31:B32"/>
    <mergeCell ref="S14:T14"/>
    <mergeCell ref="S17:T17"/>
    <mergeCell ref="S11:T11"/>
    <mergeCell ref="S20:T20"/>
    <mergeCell ref="H31:I31"/>
    <mergeCell ref="J31:K31"/>
    <mergeCell ref="R8:X8"/>
    <mergeCell ref="S29:T29"/>
    <mergeCell ref="S23:T23"/>
    <mergeCell ref="S26:T26"/>
  </mergeCells>
  <conditionalFormatting sqref="AB64:AB71 AD64:AD71 AF64:AF71">
    <cfRule type="cellIs" dxfId="3" priority="44" operator="lessThan">
      <formula>AA64*0.99</formula>
    </cfRule>
    <cfRule type="cellIs" dxfId="2" priority="46" operator="greaterThan">
      <formula>AA64*1.01</formula>
    </cfRule>
  </conditionalFormatting>
  <conditionalFormatting sqref="I33:I36">
    <cfRule type="colorScale" priority="27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I37:I39">
    <cfRule type="colorScale" priority="26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I40">
    <cfRule type="colorScale" priority="25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K33:K36">
    <cfRule type="colorScale" priority="24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K37:K39">
    <cfRule type="colorScale" priority="23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K40">
    <cfRule type="colorScale" priority="22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M33:M36">
    <cfRule type="colorScale" priority="21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M37:M39">
    <cfRule type="colorScale" priority="20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M40">
    <cfRule type="colorScale" priority="19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O33:O36">
    <cfRule type="colorScale" priority="18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O37:O39">
    <cfRule type="colorScale" priority="17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O40">
    <cfRule type="colorScale" priority="16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B33:AB36">
    <cfRule type="colorScale" priority="15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B37:AB39">
    <cfRule type="colorScale" priority="14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B40">
    <cfRule type="colorScale" priority="13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D33:AD36">
    <cfRule type="colorScale" priority="12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D37:AD39">
    <cfRule type="colorScale" priority="11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D40">
    <cfRule type="colorScale" priority="10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F33:AF36">
    <cfRule type="colorScale" priority="6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F37:AF39">
    <cfRule type="colorScale" priority="5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F40">
    <cfRule type="colorScale" priority="4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H33:AH36">
    <cfRule type="colorScale" priority="3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H37:AH39">
    <cfRule type="colorScale" priority="2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H40">
    <cfRule type="colorScale" priority="1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1" id="{5967127F-887A-4F30-A767-D5A3C2BD098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W12</xm:sqref>
        </x14:conditionalFormatting>
        <x14:conditionalFormatting xmlns:xm="http://schemas.microsoft.com/office/excel/2006/main">
          <x14:cfRule type="iconSet" priority="55" id="{0C92BDF2-A219-48C7-BAF0-C84E23A375C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W15</xm:sqref>
        </x14:conditionalFormatting>
        <x14:conditionalFormatting xmlns:xm="http://schemas.microsoft.com/office/excel/2006/main">
          <x14:cfRule type="iconSet" priority="54" id="{2EBB829B-FC28-4C26-9BD5-E21D744CBC5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W27 W24 W21 W18</xm:sqref>
        </x14:conditionalFormatting>
        <x14:conditionalFormatting xmlns:xm="http://schemas.microsoft.com/office/excel/2006/main">
          <x14:cfRule type="iconSet" priority="39" id="{EA79784A-8E63-431D-8D11-FA4AC4598686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W30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14F44-B7EC-4DF8-B850-A6F27DD3F8B8}">
  <sheetPr codeName="Sheet4">
    <tabColor theme="5" tint="0.79998168889431442"/>
  </sheetPr>
  <dimension ref="B1:O200"/>
  <sheetViews>
    <sheetView workbookViewId="0">
      <selection activeCell="S11" sqref="S11:T11"/>
    </sheetView>
  </sheetViews>
  <sheetFormatPr defaultRowHeight="14.4" x14ac:dyDescent="0.3"/>
  <cols>
    <col min="1" max="1" width="3.77734375" customWidth="1"/>
    <col min="5" max="5" width="8" bestFit="1" customWidth="1"/>
    <col min="6" max="6" width="19.33203125" bestFit="1" customWidth="1"/>
    <col min="7" max="7" width="15.88671875" bestFit="1" customWidth="1"/>
    <col min="8" max="10" width="14.33203125" bestFit="1" customWidth="1"/>
    <col min="11" max="11" width="16.88671875" bestFit="1" customWidth="1"/>
    <col min="12" max="12" width="15.88671875" bestFit="1" customWidth="1"/>
    <col min="14" max="14" width="21.6640625" bestFit="1" customWidth="1"/>
    <col min="15" max="15" width="15.44140625" bestFit="1" customWidth="1"/>
  </cols>
  <sheetData>
    <row r="1" spans="2:15" ht="18" x14ac:dyDescent="0.35">
      <c r="D1" s="82" t="s">
        <v>80</v>
      </c>
    </row>
    <row r="2" spans="2:15" x14ac:dyDescent="0.3">
      <c r="B2" t="s">
        <v>30</v>
      </c>
      <c r="D2" t="s">
        <v>8</v>
      </c>
      <c r="E2" s="1" t="s">
        <v>0</v>
      </c>
      <c r="F2" s="1" t="s">
        <v>1</v>
      </c>
      <c r="G2" s="1" t="s">
        <v>2</v>
      </c>
      <c r="H2" s="1" t="s">
        <v>3</v>
      </c>
      <c r="I2" s="1" t="s">
        <v>4</v>
      </c>
      <c r="J2" s="1" t="s">
        <v>5</v>
      </c>
      <c r="K2" s="1" t="s">
        <v>6</v>
      </c>
      <c r="L2" s="1" t="s">
        <v>7</v>
      </c>
      <c r="N2" t="s">
        <v>77</v>
      </c>
      <c r="O2" t="s">
        <v>78</v>
      </c>
    </row>
    <row r="3" spans="2:15" x14ac:dyDescent="0.3">
      <c r="B3" s="21">
        <v>17.089849390000001</v>
      </c>
      <c r="D3" s="2" t="str">
        <f>E3&amp;F3</f>
        <v>TescoHEINZ</v>
      </c>
      <c r="E3" s="1" t="s">
        <v>112</v>
      </c>
      <c r="F3" s="1" t="s">
        <v>105</v>
      </c>
      <c r="G3" s="80">
        <v>4749417.71</v>
      </c>
      <c r="H3" s="80">
        <v>825723.14500000002</v>
      </c>
      <c r="I3" s="81">
        <v>1.86482942805162</v>
      </c>
      <c r="J3" s="81">
        <v>10.7261785809789</v>
      </c>
      <c r="K3" s="80">
        <v>13973565.050000001</v>
      </c>
      <c r="L3" s="80">
        <v>2517540.87</v>
      </c>
      <c r="N3" t="str" cm="1">
        <f t="array" ref="N3:N10">_xlfn.UNIQUE($F$3:$F$200)</f>
        <v>HEINZ</v>
      </c>
      <c r="O3" s="2">
        <v>1</v>
      </c>
    </row>
    <row r="4" spans="2:15" x14ac:dyDescent="0.3">
      <c r="D4" s="2" t="str">
        <f t="shared" ref="D4:D67" si="0">E4&amp;F4</f>
        <v>TescoRESTOFCATEGORY</v>
      </c>
      <c r="E4" s="1" t="s">
        <v>112</v>
      </c>
      <c r="F4" s="1" t="s">
        <v>106</v>
      </c>
      <c r="G4" s="80">
        <v>2231525.46</v>
      </c>
      <c r="H4" s="80">
        <v>352744.19400000002</v>
      </c>
      <c r="I4" s="81">
        <v>1.90367021604867</v>
      </c>
      <c r="J4" s="81">
        <v>12.042972292143</v>
      </c>
      <c r="K4" s="80">
        <v>6414899.9100000001</v>
      </c>
      <c r="L4" s="80">
        <v>966595.48</v>
      </c>
      <c r="N4" t="str">
        <v>RESTOFCATEGORY</v>
      </c>
      <c r="O4" s="2">
        <v>7</v>
      </c>
    </row>
    <row r="5" spans="2:15" x14ac:dyDescent="0.3">
      <c r="D5" s="2" t="str">
        <f t="shared" si="0"/>
        <v>TescoHP</v>
      </c>
      <c r="E5" s="1" t="s">
        <v>112</v>
      </c>
      <c r="F5" s="1" t="s">
        <v>107</v>
      </c>
      <c r="G5" s="80">
        <v>1500146.77</v>
      </c>
      <c r="H5" s="80">
        <v>274348.60499999998</v>
      </c>
      <c r="I5" s="81">
        <v>1.9951299106692399</v>
      </c>
      <c r="J5" s="81">
        <v>10.909432877272501</v>
      </c>
      <c r="K5" s="80">
        <v>4302347.4800000004</v>
      </c>
      <c r="L5" s="80">
        <v>793780.57499999995</v>
      </c>
      <c r="N5" t="str">
        <v>HP</v>
      </c>
      <c r="O5" s="2">
        <v>2</v>
      </c>
    </row>
    <row r="6" spans="2:15" x14ac:dyDescent="0.3">
      <c r="D6" s="2" t="str">
        <f t="shared" si="0"/>
        <v>TescoLEVI ROOTS</v>
      </c>
      <c r="E6" s="1" t="s">
        <v>112</v>
      </c>
      <c r="F6" s="1" t="s">
        <v>108</v>
      </c>
      <c r="G6" s="80">
        <v>1295744.8600000001</v>
      </c>
      <c r="H6" s="80">
        <v>193130.48</v>
      </c>
      <c r="I6" s="81">
        <v>1.8053235631893001</v>
      </c>
      <c r="J6" s="81">
        <v>12.112219301890701</v>
      </c>
      <c r="K6" s="80">
        <v>3844129</v>
      </c>
      <c r="L6" s="80">
        <v>615063.63</v>
      </c>
      <c r="N6" t="str">
        <v>LEVI ROOTS</v>
      </c>
      <c r="O6" s="2">
        <v>5</v>
      </c>
    </row>
    <row r="7" spans="2:15" x14ac:dyDescent="0.3">
      <c r="D7" s="2" t="str">
        <f t="shared" si="0"/>
        <v>TescoPRIVATE LABEL</v>
      </c>
      <c r="E7" s="1" t="s">
        <v>112</v>
      </c>
      <c r="F7" s="1" t="s">
        <v>97</v>
      </c>
      <c r="G7" s="80">
        <v>1826443.27</v>
      </c>
      <c r="H7" s="80">
        <v>895765.5</v>
      </c>
      <c r="I7" s="81">
        <v>1.85136968970754</v>
      </c>
      <c r="J7" s="81">
        <v>3.77489611962989</v>
      </c>
      <c r="K7" s="80">
        <v>6018070.9400000004</v>
      </c>
      <c r="L7" s="80">
        <v>2434780.5499999998</v>
      </c>
      <c r="N7" t="str">
        <v>PRIVATE LABEL</v>
      </c>
      <c r="O7" s="2">
        <v>4</v>
      </c>
    </row>
    <row r="8" spans="2:15" x14ac:dyDescent="0.3">
      <c r="D8" s="2" t="str">
        <f t="shared" si="0"/>
        <v>TescoSWEET BABY RAYS</v>
      </c>
      <c r="E8" s="1" t="s">
        <v>112</v>
      </c>
      <c r="F8" s="1" t="s">
        <v>109</v>
      </c>
      <c r="G8" s="80">
        <v>1221566.6399999999</v>
      </c>
      <c r="H8" s="80">
        <v>179823.96</v>
      </c>
      <c r="I8" s="81">
        <v>1.83439430880341</v>
      </c>
      <c r="J8" s="81">
        <v>12.461269856587</v>
      </c>
      <c r="K8" s="80">
        <v>3144091.52</v>
      </c>
      <c r="L8" s="80">
        <v>486324.27</v>
      </c>
      <c r="N8" t="str">
        <v>SWEET BABY RAYS</v>
      </c>
      <c r="O8" s="2">
        <v>6</v>
      </c>
    </row>
    <row r="9" spans="2:15" x14ac:dyDescent="0.3">
      <c r="D9" s="2" t="str">
        <f t="shared" si="0"/>
        <v>TescoBULLS EYE</v>
      </c>
      <c r="E9" s="1" t="s">
        <v>112</v>
      </c>
      <c r="F9" s="1" t="s">
        <v>110</v>
      </c>
      <c r="G9" s="80">
        <v>973983.24</v>
      </c>
      <c r="H9" s="80">
        <v>141261.98699999999</v>
      </c>
      <c r="I9" s="81">
        <v>1.63067769994625</v>
      </c>
      <c r="J9" s="81">
        <v>11.2433131043909</v>
      </c>
      <c r="K9" s="80">
        <v>2694516.38</v>
      </c>
      <c r="L9" s="80">
        <v>411714.745</v>
      </c>
      <c r="N9" t="str">
        <v>BULLS EYE</v>
      </c>
      <c r="O9" s="2">
        <v>3</v>
      </c>
    </row>
    <row r="10" spans="2:15" x14ac:dyDescent="0.3">
      <c r="D10" s="2" t="str">
        <f t="shared" si="0"/>
        <v>Tesco</v>
      </c>
      <c r="E10" s="1" t="s">
        <v>112</v>
      </c>
      <c r="F10" s="1"/>
      <c r="G10" s="80"/>
      <c r="H10" s="80"/>
      <c r="I10" s="81"/>
      <c r="J10" s="81"/>
      <c r="K10" s="80"/>
      <c r="L10" s="80"/>
      <c r="N10">
        <v>0</v>
      </c>
    </row>
    <row r="11" spans="2:15" x14ac:dyDescent="0.3">
      <c r="D11" s="2" t="str">
        <f t="shared" si="0"/>
        <v>Tesco</v>
      </c>
      <c r="E11" s="1" t="s">
        <v>112</v>
      </c>
      <c r="F11" s="1"/>
      <c r="G11" s="80"/>
      <c r="H11" s="80"/>
      <c r="I11" s="81"/>
      <c r="J11" s="81"/>
      <c r="K11" s="80"/>
      <c r="L11" s="80"/>
    </row>
    <row r="12" spans="2:15" x14ac:dyDescent="0.3">
      <c r="D12" s="2" t="str">
        <f t="shared" si="0"/>
        <v>Tesco</v>
      </c>
      <c r="E12" s="1" t="s">
        <v>112</v>
      </c>
      <c r="F12" s="1"/>
      <c r="G12" s="80"/>
      <c r="H12" s="80"/>
      <c r="I12" s="81"/>
      <c r="J12" s="81"/>
      <c r="K12" s="80"/>
      <c r="L12" s="80"/>
    </row>
    <row r="13" spans="2:15" x14ac:dyDescent="0.3">
      <c r="D13" s="2" t="str">
        <f t="shared" si="0"/>
        <v>Tesco</v>
      </c>
      <c r="E13" s="1" t="s">
        <v>112</v>
      </c>
      <c r="F13" s="1"/>
      <c r="G13" s="80"/>
      <c r="H13" s="80"/>
      <c r="I13" s="81"/>
      <c r="J13" s="81"/>
      <c r="K13" s="80"/>
      <c r="L13" s="80"/>
    </row>
    <row r="14" spans="2:15" x14ac:dyDescent="0.3">
      <c r="D14" s="2" t="str">
        <f t="shared" si="0"/>
        <v>Tesco</v>
      </c>
      <c r="E14" s="1" t="s">
        <v>112</v>
      </c>
      <c r="F14" s="1"/>
      <c r="G14" s="80"/>
      <c r="H14" s="80"/>
      <c r="I14" s="81"/>
      <c r="J14" s="81"/>
      <c r="K14" s="80"/>
      <c r="L14" s="80"/>
    </row>
    <row r="15" spans="2:15" x14ac:dyDescent="0.3">
      <c r="D15" s="2" t="str">
        <f t="shared" si="0"/>
        <v>Tesco</v>
      </c>
      <c r="E15" s="1" t="s">
        <v>112</v>
      </c>
      <c r="F15" s="1"/>
      <c r="G15" s="80"/>
      <c r="H15" s="80"/>
      <c r="I15" s="81"/>
      <c r="J15" s="81"/>
      <c r="K15" s="80"/>
      <c r="L15" s="80"/>
    </row>
    <row r="16" spans="2:15" x14ac:dyDescent="0.3">
      <c r="D16" s="2" t="str">
        <f t="shared" si="0"/>
        <v>Tesco</v>
      </c>
      <c r="E16" s="1" t="s">
        <v>112</v>
      </c>
      <c r="F16" s="1"/>
      <c r="G16" s="80"/>
      <c r="H16" s="80"/>
      <c r="I16" s="81"/>
      <c r="J16" s="81"/>
      <c r="K16" s="80"/>
      <c r="L16" s="80"/>
    </row>
    <row r="17" spans="4:12" x14ac:dyDescent="0.3">
      <c r="D17" s="2" t="str">
        <f t="shared" si="0"/>
        <v>Tesco</v>
      </c>
      <c r="E17" s="1" t="s">
        <v>112</v>
      </c>
      <c r="F17" s="1"/>
      <c r="G17" s="80"/>
      <c r="H17" s="80"/>
      <c r="I17" s="81"/>
      <c r="J17" s="81"/>
      <c r="K17" s="80"/>
      <c r="L17" s="80"/>
    </row>
    <row r="18" spans="4:12" x14ac:dyDescent="0.3">
      <c r="D18" s="2" t="str">
        <f t="shared" si="0"/>
        <v>Tesco</v>
      </c>
      <c r="E18" s="1" t="s">
        <v>112</v>
      </c>
      <c r="F18" s="1"/>
      <c r="G18" s="80"/>
      <c r="H18" s="80"/>
      <c r="I18" s="81"/>
      <c r="J18" s="81"/>
      <c r="K18" s="80"/>
      <c r="L18" s="80"/>
    </row>
    <row r="19" spans="4:12" x14ac:dyDescent="0.3">
      <c r="D19" s="2" t="str">
        <f t="shared" si="0"/>
        <v>Tesco</v>
      </c>
      <c r="E19" s="1" t="s">
        <v>112</v>
      </c>
      <c r="F19" s="1"/>
      <c r="G19" s="80"/>
      <c r="H19" s="80"/>
      <c r="I19" s="81"/>
      <c r="J19" s="81"/>
      <c r="K19" s="80"/>
      <c r="L19" s="80"/>
    </row>
    <row r="20" spans="4:12" x14ac:dyDescent="0.3">
      <c r="D20" s="2" t="str">
        <f t="shared" si="0"/>
        <v>Tesco</v>
      </c>
      <c r="E20" s="1" t="s">
        <v>112</v>
      </c>
      <c r="F20" s="1"/>
      <c r="G20" s="80"/>
      <c r="H20" s="80"/>
      <c r="I20" s="81"/>
      <c r="J20" s="81"/>
      <c r="K20" s="80"/>
      <c r="L20" s="80"/>
    </row>
    <row r="21" spans="4:12" x14ac:dyDescent="0.3">
      <c r="D21" s="2" t="str">
        <f t="shared" si="0"/>
        <v>Tesco</v>
      </c>
      <c r="E21" s="1" t="s">
        <v>112</v>
      </c>
      <c r="F21" s="1"/>
      <c r="G21" s="80"/>
      <c r="H21" s="80"/>
      <c r="I21" s="81"/>
      <c r="J21" s="81"/>
      <c r="K21" s="80"/>
      <c r="L21" s="80"/>
    </row>
    <row r="22" spans="4:12" x14ac:dyDescent="0.3">
      <c r="D22" s="2" t="str">
        <f t="shared" si="0"/>
        <v>Tesco</v>
      </c>
      <c r="E22" s="1" t="s">
        <v>112</v>
      </c>
      <c r="F22" s="1"/>
      <c r="G22" s="80"/>
      <c r="H22" s="80"/>
      <c r="I22" s="81"/>
      <c r="J22" s="81"/>
      <c r="K22" s="80"/>
      <c r="L22" s="80"/>
    </row>
    <row r="23" spans="4:12" x14ac:dyDescent="0.3">
      <c r="D23" s="2" t="str">
        <f t="shared" si="0"/>
        <v>Tesco</v>
      </c>
      <c r="E23" s="1" t="s">
        <v>112</v>
      </c>
      <c r="F23" s="1"/>
      <c r="G23" s="80"/>
      <c r="H23" s="80"/>
      <c r="I23" s="81"/>
      <c r="J23" s="81"/>
      <c r="K23" s="80"/>
      <c r="L23" s="80"/>
    </row>
    <row r="24" spans="4:12" x14ac:dyDescent="0.3">
      <c r="D24" s="2" t="str">
        <f t="shared" si="0"/>
        <v>Tesco</v>
      </c>
      <c r="E24" s="1" t="s">
        <v>112</v>
      </c>
      <c r="F24" s="1"/>
      <c r="G24" s="80"/>
      <c r="H24" s="80"/>
      <c r="I24" s="81"/>
      <c r="J24" s="81"/>
      <c r="K24" s="80"/>
      <c r="L24" s="80"/>
    </row>
    <row r="25" spans="4:12" x14ac:dyDescent="0.3">
      <c r="D25" s="2" t="str">
        <f t="shared" si="0"/>
        <v>Tesco</v>
      </c>
      <c r="E25" s="1" t="s">
        <v>112</v>
      </c>
      <c r="F25" s="1"/>
      <c r="G25" s="80"/>
      <c r="H25" s="80"/>
      <c r="I25" s="81"/>
      <c r="J25" s="81"/>
      <c r="K25" s="80"/>
      <c r="L25" s="80"/>
    </row>
    <row r="26" spans="4:12" x14ac:dyDescent="0.3">
      <c r="D26" s="2" t="str">
        <f t="shared" si="0"/>
        <v>Tesco</v>
      </c>
      <c r="E26" s="1" t="s">
        <v>112</v>
      </c>
      <c r="F26" s="1"/>
      <c r="G26" s="80"/>
      <c r="H26" s="80"/>
      <c r="I26" s="81"/>
      <c r="J26" s="81"/>
      <c r="K26" s="80"/>
      <c r="L26" s="80"/>
    </row>
    <row r="27" spans="4:12" x14ac:dyDescent="0.3">
      <c r="D27" s="2" t="str">
        <f t="shared" si="0"/>
        <v>Tesco</v>
      </c>
      <c r="E27" s="1" t="s">
        <v>112</v>
      </c>
      <c r="F27" s="1"/>
      <c r="G27" s="80"/>
      <c r="H27" s="80"/>
      <c r="I27" s="81"/>
      <c r="J27" s="81"/>
      <c r="K27" s="80"/>
      <c r="L27" s="80"/>
    </row>
    <row r="28" spans="4:12" x14ac:dyDescent="0.3">
      <c r="D28" s="2" t="str">
        <f t="shared" si="0"/>
        <v>Tesco</v>
      </c>
      <c r="E28" s="1" t="s">
        <v>112</v>
      </c>
      <c r="F28" s="1"/>
      <c r="G28" s="80"/>
      <c r="H28" s="80"/>
      <c r="I28" s="81"/>
      <c r="J28" s="81"/>
      <c r="K28" s="80"/>
      <c r="L28" s="80"/>
    </row>
    <row r="29" spans="4:12" x14ac:dyDescent="0.3">
      <c r="D29" s="2" t="str">
        <f t="shared" si="0"/>
        <v>Tesco</v>
      </c>
      <c r="E29" s="1" t="s">
        <v>112</v>
      </c>
      <c r="F29" s="1"/>
      <c r="G29" s="80"/>
      <c r="H29" s="80"/>
      <c r="I29" s="81"/>
      <c r="J29" s="81"/>
      <c r="K29" s="80"/>
      <c r="L29" s="80"/>
    </row>
    <row r="30" spans="4:12" x14ac:dyDescent="0.3">
      <c r="D30" s="2" t="str">
        <f t="shared" si="0"/>
        <v>Tesco</v>
      </c>
      <c r="E30" s="1" t="s">
        <v>112</v>
      </c>
      <c r="F30" s="1"/>
      <c r="G30" s="80"/>
      <c r="H30" s="80"/>
      <c r="I30" s="81"/>
      <c r="J30" s="81"/>
      <c r="K30" s="80"/>
      <c r="L30" s="80"/>
    </row>
    <row r="31" spans="4:12" x14ac:dyDescent="0.3">
      <c r="D31" s="2" t="str">
        <f t="shared" si="0"/>
        <v>Tesco</v>
      </c>
      <c r="E31" s="1" t="s">
        <v>112</v>
      </c>
      <c r="F31" s="1"/>
      <c r="G31" s="80"/>
      <c r="H31" s="80"/>
      <c r="I31" s="81"/>
      <c r="J31" s="81"/>
      <c r="K31" s="80"/>
      <c r="L31" s="80"/>
    </row>
    <row r="32" spans="4:12" x14ac:dyDescent="0.3">
      <c r="D32" s="2" t="str">
        <f t="shared" si="0"/>
        <v>Tesco</v>
      </c>
      <c r="E32" s="1" t="s">
        <v>112</v>
      </c>
      <c r="F32" s="1"/>
      <c r="G32" s="80"/>
      <c r="H32" s="80"/>
      <c r="I32" s="81"/>
      <c r="J32" s="81"/>
      <c r="K32" s="80"/>
      <c r="L32" s="80"/>
    </row>
    <row r="33" spans="4:12" x14ac:dyDescent="0.3">
      <c r="D33" s="2" t="str">
        <f t="shared" si="0"/>
        <v>Tesco</v>
      </c>
      <c r="E33" s="1" t="s">
        <v>112</v>
      </c>
      <c r="F33" s="1"/>
      <c r="G33" s="80"/>
      <c r="H33" s="80"/>
      <c r="I33" s="81"/>
      <c r="J33" s="81"/>
      <c r="K33" s="80"/>
      <c r="L33" s="80"/>
    </row>
    <row r="34" spans="4:12" x14ac:dyDescent="0.3">
      <c r="D34" s="2" t="str">
        <f t="shared" si="0"/>
        <v>Tesco</v>
      </c>
      <c r="E34" s="1" t="s">
        <v>112</v>
      </c>
      <c r="F34" s="1"/>
      <c r="G34" s="80"/>
      <c r="H34" s="80"/>
      <c r="I34" s="81"/>
      <c r="J34" s="81"/>
      <c r="K34" s="80"/>
      <c r="L34" s="80"/>
    </row>
    <row r="35" spans="4:12" x14ac:dyDescent="0.3">
      <c r="D35" s="2" t="str">
        <f t="shared" si="0"/>
        <v>Tesco</v>
      </c>
      <c r="E35" s="1" t="s">
        <v>112</v>
      </c>
      <c r="F35" s="1"/>
      <c r="G35" s="80"/>
      <c r="H35" s="80"/>
      <c r="I35" s="81"/>
      <c r="J35" s="81"/>
      <c r="K35" s="80"/>
      <c r="L35" s="80"/>
    </row>
    <row r="36" spans="4:12" x14ac:dyDescent="0.3">
      <c r="D36" s="2" t="str">
        <f t="shared" si="0"/>
        <v>Tesco</v>
      </c>
      <c r="E36" s="1" t="s">
        <v>112</v>
      </c>
      <c r="F36" s="1"/>
      <c r="G36" s="80"/>
      <c r="H36" s="80"/>
      <c r="I36" s="81"/>
      <c r="J36" s="81"/>
      <c r="K36" s="80"/>
      <c r="L36" s="80"/>
    </row>
    <row r="37" spans="4:12" x14ac:dyDescent="0.3">
      <c r="D37" s="2" t="str">
        <f t="shared" si="0"/>
        <v>Tesco</v>
      </c>
      <c r="E37" s="1" t="s">
        <v>112</v>
      </c>
      <c r="F37" s="1"/>
      <c r="G37" s="80"/>
      <c r="H37" s="80"/>
      <c r="I37" s="81"/>
      <c r="J37" s="81"/>
      <c r="K37" s="80"/>
      <c r="L37" s="80"/>
    </row>
    <row r="38" spans="4:12" x14ac:dyDescent="0.3">
      <c r="D38" s="2" t="str">
        <f t="shared" si="0"/>
        <v>Tesco</v>
      </c>
      <c r="E38" s="1" t="s">
        <v>112</v>
      </c>
      <c r="F38" s="1"/>
      <c r="G38" s="80"/>
      <c r="H38" s="80"/>
      <c r="I38" s="81"/>
      <c r="J38" s="81"/>
      <c r="K38" s="80"/>
      <c r="L38" s="80"/>
    </row>
    <row r="39" spans="4:12" x14ac:dyDescent="0.3">
      <c r="D39" s="2" t="str">
        <f t="shared" si="0"/>
        <v>Tesco</v>
      </c>
      <c r="E39" s="1" t="s">
        <v>112</v>
      </c>
      <c r="F39" s="1"/>
      <c r="G39" s="80"/>
      <c r="H39" s="80"/>
      <c r="I39" s="81"/>
      <c r="J39" s="81"/>
      <c r="K39" s="80"/>
      <c r="L39" s="80"/>
    </row>
    <row r="40" spans="4:12" x14ac:dyDescent="0.3">
      <c r="D40" s="2" t="str">
        <f t="shared" si="0"/>
        <v>Tesco</v>
      </c>
      <c r="E40" s="1" t="s">
        <v>112</v>
      </c>
      <c r="F40" s="1"/>
      <c r="G40" s="80"/>
      <c r="H40" s="80"/>
      <c r="I40" s="81"/>
      <c r="J40" s="81"/>
      <c r="K40" s="80"/>
      <c r="L40" s="80"/>
    </row>
    <row r="41" spans="4:12" x14ac:dyDescent="0.3">
      <c r="D41" s="2" t="str">
        <f t="shared" si="0"/>
        <v>Tesco</v>
      </c>
      <c r="E41" s="1" t="s">
        <v>112</v>
      </c>
      <c r="F41" s="1"/>
      <c r="G41" s="80"/>
      <c r="H41" s="80"/>
      <c r="I41" s="81"/>
      <c r="J41" s="81"/>
      <c r="K41" s="80"/>
      <c r="L41" s="80"/>
    </row>
    <row r="42" spans="4:12" x14ac:dyDescent="0.3">
      <c r="D42" s="2" t="str">
        <f t="shared" si="0"/>
        <v>Tesco</v>
      </c>
      <c r="E42" s="1" t="s">
        <v>112</v>
      </c>
      <c r="F42" s="1"/>
      <c r="G42" s="80"/>
      <c r="H42" s="80"/>
      <c r="I42" s="81"/>
      <c r="J42" s="81"/>
      <c r="K42" s="80"/>
      <c r="L42" s="80"/>
    </row>
    <row r="43" spans="4:12" x14ac:dyDescent="0.3">
      <c r="D43" s="2" t="str">
        <f t="shared" si="0"/>
        <v>Tesco</v>
      </c>
      <c r="E43" s="1" t="s">
        <v>112</v>
      </c>
      <c r="F43" s="1"/>
      <c r="G43" s="80"/>
      <c r="H43" s="80"/>
      <c r="I43" s="81"/>
      <c r="J43" s="81"/>
      <c r="K43" s="80"/>
      <c r="L43" s="80"/>
    </row>
    <row r="44" spans="4:12" x14ac:dyDescent="0.3">
      <c r="D44" s="2" t="str">
        <f t="shared" si="0"/>
        <v>Tesco</v>
      </c>
      <c r="E44" s="1" t="s">
        <v>112</v>
      </c>
      <c r="F44" s="1"/>
      <c r="G44" s="80"/>
      <c r="H44" s="80"/>
      <c r="I44" s="81"/>
      <c r="J44" s="81"/>
      <c r="K44" s="80"/>
      <c r="L44" s="80"/>
    </row>
    <row r="45" spans="4:12" x14ac:dyDescent="0.3">
      <c r="D45" s="2" t="str">
        <f t="shared" si="0"/>
        <v>Tesco</v>
      </c>
      <c r="E45" s="1" t="s">
        <v>112</v>
      </c>
      <c r="F45" s="1"/>
      <c r="G45" s="80"/>
      <c r="H45" s="80"/>
      <c r="I45" s="81"/>
      <c r="J45" s="81"/>
      <c r="K45" s="80"/>
      <c r="L45" s="80"/>
    </row>
    <row r="46" spans="4:12" x14ac:dyDescent="0.3">
      <c r="D46" s="2" t="str">
        <f t="shared" si="0"/>
        <v>Tesco</v>
      </c>
      <c r="E46" s="1" t="s">
        <v>112</v>
      </c>
      <c r="F46" s="1"/>
      <c r="G46" s="80"/>
      <c r="H46" s="80"/>
      <c r="I46" s="81"/>
      <c r="J46" s="81"/>
      <c r="K46" s="80"/>
      <c r="L46" s="80"/>
    </row>
    <row r="47" spans="4:12" x14ac:dyDescent="0.3">
      <c r="D47" s="2" t="str">
        <f t="shared" si="0"/>
        <v>Tesco</v>
      </c>
      <c r="E47" s="1" t="s">
        <v>112</v>
      </c>
      <c r="F47" s="1"/>
      <c r="G47" s="80"/>
      <c r="H47" s="80"/>
      <c r="I47" s="81"/>
      <c r="J47" s="81"/>
      <c r="K47" s="80"/>
      <c r="L47" s="80"/>
    </row>
    <row r="48" spans="4:12" x14ac:dyDescent="0.3">
      <c r="D48" s="2" t="str">
        <f t="shared" si="0"/>
        <v>Tesco</v>
      </c>
      <c r="E48" s="1" t="s">
        <v>112</v>
      </c>
      <c r="F48" s="1"/>
      <c r="G48" s="80"/>
      <c r="H48" s="80"/>
      <c r="I48" s="81"/>
      <c r="J48" s="81"/>
      <c r="K48" s="80"/>
      <c r="L48" s="80"/>
    </row>
    <row r="49" spans="4:12" x14ac:dyDescent="0.3">
      <c r="D49" s="2" t="str">
        <f t="shared" si="0"/>
        <v>Tesco</v>
      </c>
      <c r="E49" s="1" t="s">
        <v>112</v>
      </c>
      <c r="F49" s="1"/>
      <c r="G49" s="80"/>
      <c r="H49" s="80"/>
      <c r="I49" s="81"/>
      <c r="J49" s="81"/>
      <c r="K49" s="80"/>
      <c r="L49" s="80"/>
    </row>
    <row r="50" spans="4:12" x14ac:dyDescent="0.3">
      <c r="D50" s="2" t="str">
        <f t="shared" si="0"/>
        <v>Tesco</v>
      </c>
      <c r="E50" s="1" t="s">
        <v>112</v>
      </c>
      <c r="F50" s="1"/>
      <c r="G50" s="80"/>
      <c r="H50" s="80"/>
      <c r="I50" s="81"/>
      <c r="J50" s="81"/>
      <c r="K50" s="80"/>
      <c r="L50" s="80"/>
    </row>
    <row r="51" spans="4:12" x14ac:dyDescent="0.3">
      <c r="D51" s="2" t="str">
        <f t="shared" si="0"/>
        <v>Tesco</v>
      </c>
      <c r="E51" s="1" t="s">
        <v>112</v>
      </c>
      <c r="F51" s="1"/>
      <c r="G51" s="80"/>
      <c r="H51" s="80"/>
      <c r="I51" s="81"/>
      <c r="J51" s="81"/>
      <c r="K51" s="80"/>
      <c r="L51" s="80"/>
    </row>
    <row r="52" spans="4:12" x14ac:dyDescent="0.3">
      <c r="D52" s="2" t="str">
        <f t="shared" si="0"/>
        <v>Tesco</v>
      </c>
      <c r="E52" s="1" t="s">
        <v>112</v>
      </c>
      <c r="F52" s="1"/>
      <c r="G52" s="80"/>
      <c r="H52" s="80"/>
      <c r="I52" s="81"/>
      <c r="J52" s="81"/>
      <c r="K52" s="80"/>
      <c r="L52" s="80"/>
    </row>
    <row r="53" spans="4:12" x14ac:dyDescent="0.3">
      <c r="D53" s="2" t="str">
        <f t="shared" si="0"/>
        <v>Tesco</v>
      </c>
      <c r="E53" s="1" t="s">
        <v>112</v>
      </c>
      <c r="F53" s="1"/>
      <c r="G53" s="80"/>
      <c r="H53" s="80"/>
      <c r="I53" s="81"/>
      <c r="J53" s="81"/>
      <c r="K53" s="80"/>
      <c r="L53" s="80"/>
    </row>
    <row r="54" spans="4:12" x14ac:dyDescent="0.3">
      <c r="D54" s="2" t="str">
        <f t="shared" si="0"/>
        <v>Tesco</v>
      </c>
      <c r="E54" s="1" t="s">
        <v>112</v>
      </c>
      <c r="F54" s="1"/>
      <c r="G54" s="80"/>
      <c r="H54" s="80"/>
      <c r="I54" s="81"/>
      <c r="J54" s="81"/>
      <c r="K54" s="80"/>
      <c r="L54" s="80"/>
    </row>
    <row r="55" spans="4:12" x14ac:dyDescent="0.3">
      <c r="D55" s="2" t="str">
        <f t="shared" si="0"/>
        <v>Tesco</v>
      </c>
      <c r="E55" s="1" t="s">
        <v>112</v>
      </c>
      <c r="F55" s="1"/>
      <c r="G55" s="80"/>
      <c r="H55" s="80"/>
      <c r="I55" s="81"/>
      <c r="J55" s="81"/>
      <c r="K55" s="80"/>
      <c r="L55" s="80"/>
    </row>
    <row r="56" spans="4:12" x14ac:dyDescent="0.3">
      <c r="D56" s="2" t="str">
        <f t="shared" si="0"/>
        <v>Tesco</v>
      </c>
      <c r="E56" s="1" t="s">
        <v>112</v>
      </c>
      <c r="F56" s="1"/>
      <c r="G56" s="80"/>
      <c r="H56" s="80"/>
      <c r="I56" s="81"/>
      <c r="J56" s="81"/>
      <c r="K56" s="80"/>
      <c r="L56" s="80"/>
    </row>
    <row r="57" spans="4:12" x14ac:dyDescent="0.3">
      <c r="D57" s="2" t="str">
        <f t="shared" si="0"/>
        <v>Tesco</v>
      </c>
      <c r="E57" s="1" t="s">
        <v>112</v>
      </c>
      <c r="F57" s="1"/>
      <c r="G57" s="80"/>
      <c r="H57" s="80"/>
      <c r="I57" s="81"/>
      <c r="J57" s="81"/>
      <c r="K57" s="80"/>
      <c r="L57" s="80"/>
    </row>
    <row r="58" spans="4:12" x14ac:dyDescent="0.3">
      <c r="D58" s="2" t="str">
        <f t="shared" si="0"/>
        <v>Tesco</v>
      </c>
      <c r="E58" s="1" t="s">
        <v>112</v>
      </c>
      <c r="F58" s="1"/>
      <c r="G58" s="80"/>
      <c r="H58" s="80"/>
      <c r="I58" s="81"/>
      <c r="J58" s="81"/>
      <c r="K58" s="80"/>
      <c r="L58" s="80"/>
    </row>
    <row r="59" spans="4:12" x14ac:dyDescent="0.3">
      <c r="D59" s="2" t="str">
        <f t="shared" si="0"/>
        <v>Tesco</v>
      </c>
      <c r="E59" s="1" t="s">
        <v>112</v>
      </c>
      <c r="F59" s="1"/>
      <c r="G59" s="80"/>
      <c r="H59" s="80"/>
      <c r="I59" s="81"/>
      <c r="J59" s="81"/>
      <c r="K59" s="80"/>
      <c r="L59" s="80"/>
    </row>
    <row r="60" spans="4:12" x14ac:dyDescent="0.3">
      <c r="D60" s="2" t="str">
        <f t="shared" si="0"/>
        <v>Tesco</v>
      </c>
      <c r="E60" s="1" t="s">
        <v>112</v>
      </c>
      <c r="F60" s="1"/>
      <c r="G60" s="80"/>
      <c r="H60" s="80"/>
      <c r="I60" s="81"/>
      <c r="J60" s="81"/>
      <c r="K60" s="80"/>
      <c r="L60" s="80"/>
    </row>
    <row r="61" spans="4:12" x14ac:dyDescent="0.3">
      <c r="D61" s="2" t="str">
        <f t="shared" si="0"/>
        <v>Tesco</v>
      </c>
      <c r="E61" s="1" t="s">
        <v>112</v>
      </c>
      <c r="F61" s="1"/>
      <c r="G61" s="80"/>
      <c r="H61" s="80"/>
      <c r="I61" s="81"/>
      <c r="J61" s="81"/>
      <c r="K61" s="80"/>
      <c r="L61" s="80"/>
    </row>
    <row r="62" spans="4:12" x14ac:dyDescent="0.3">
      <c r="D62" s="2" t="str">
        <f t="shared" si="0"/>
        <v>Tesco</v>
      </c>
      <c r="E62" s="1" t="s">
        <v>112</v>
      </c>
      <c r="F62" s="1"/>
      <c r="G62" s="80"/>
      <c r="H62" s="80"/>
      <c r="I62" s="81"/>
      <c r="J62" s="81"/>
      <c r="K62" s="80"/>
      <c r="L62" s="80"/>
    </row>
    <row r="63" spans="4:12" x14ac:dyDescent="0.3">
      <c r="D63" s="2" t="str">
        <f t="shared" si="0"/>
        <v>Tesco</v>
      </c>
      <c r="E63" s="1" t="s">
        <v>112</v>
      </c>
      <c r="F63" s="1"/>
      <c r="G63" s="80"/>
      <c r="H63" s="80"/>
      <c r="I63" s="81"/>
      <c r="J63" s="81"/>
      <c r="K63" s="80"/>
      <c r="L63" s="80"/>
    </row>
    <row r="64" spans="4:12" x14ac:dyDescent="0.3">
      <c r="D64" s="2" t="str">
        <f t="shared" si="0"/>
        <v>Tesco</v>
      </c>
      <c r="E64" s="1" t="s">
        <v>112</v>
      </c>
      <c r="F64" s="1"/>
      <c r="G64" s="80"/>
      <c r="H64" s="80"/>
      <c r="I64" s="81"/>
      <c r="J64" s="81"/>
      <c r="K64" s="80"/>
      <c r="L64" s="80"/>
    </row>
    <row r="65" spans="4:12" x14ac:dyDescent="0.3">
      <c r="D65" s="2" t="str">
        <f t="shared" si="0"/>
        <v>Tesco</v>
      </c>
      <c r="E65" s="1" t="s">
        <v>112</v>
      </c>
      <c r="F65" s="1"/>
      <c r="G65" s="80"/>
      <c r="H65" s="80"/>
      <c r="I65" s="81"/>
      <c r="J65" s="81"/>
      <c r="K65" s="80"/>
      <c r="L65" s="80"/>
    </row>
    <row r="66" spans="4:12" x14ac:dyDescent="0.3">
      <c r="D66" s="2" t="str">
        <f t="shared" si="0"/>
        <v>Tesco</v>
      </c>
      <c r="E66" s="1" t="s">
        <v>112</v>
      </c>
      <c r="F66" s="1"/>
      <c r="G66" s="80"/>
      <c r="H66" s="80"/>
      <c r="I66" s="81"/>
      <c r="J66" s="81"/>
      <c r="K66" s="80"/>
      <c r="L66" s="80"/>
    </row>
    <row r="67" spans="4:12" x14ac:dyDescent="0.3">
      <c r="D67" s="2" t="str">
        <f t="shared" si="0"/>
        <v>Tesco</v>
      </c>
      <c r="E67" s="1" t="s">
        <v>112</v>
      </c>
      <c r="F67" s="1"/>
      <c r="G67" s="80"/>
      <c r="H67" s="80"/>
      <c r="I67" s="81"/>
      <c r="J67" s="81"/>
      <c r="K67" s="80"/>
      <c r="L67" s="80"/>
    </row>
    <row r="68" spans="4:12" x14ac:dyDescent="0.3">
      <c r="D68" s="2" t="str">
        <f t="shared" ref="D68:D131" si="1">E68&amp;F68</f>
        <v>Tesco</v>
      </c>
      <c r="E68" s="1" t="s">
        <v>112</v>
      </c>
      <c r="F68" s="1"/>
      <c r="G68" s="80"/>
      <c r="H68" s="80"/>
      <c r="I68" s="81"/>
      <c r="J68" s="81"/>
      <c r="K68" s="80"/>
      <c r="L68" s="80"/>
    </row>
    <row r="69" spans="4:12" x14ac:dyDescent="0.3">
      <c r="D69" s="2" t="str">
        <f t="shared" si="1"/>
        <v>Tesco</v>
      </c>
      <c r="E69" s="1" t="s">
        <v>112</v>
      </c>
      <c r="F69" s="1"/>
      <c r="G69" s="80"/>
      <c r="H69" s="80"/>
      <c r="I69" s="81"/>
      <c r="J69" s="81"/>
      <c r="K69" s="80"/>
      <c r="L69" s="80"/>
    </row>
    <row r="70" spans="4:12" x14ac:dyDescent="0.3">
      <c r="D70" s="2" t="str">
        <f t="shared" si="1"/>
        <v>Tesco</v>
      </c>
      <c r="E70" s="1" t="s">
        <v>112</v>
      </c>
      <c r="F70" s="1"/>
      <c r="G70" s="80"/>
      <c r="H70" s="80"/>
      <c r="I70" s="81"/>
      <c r="J70" s="81"/>
      <c r="K70" s="80"/>
      <c r="L70" s="80"/>
    </row>
    <row r="71" spans="4:12" x14ac:dyDescent="0.3">
      <c r="D71" s="2" t="str">
        <f t="shared" si="1"/>
        <v>Tesco</v>
      </c>
      <c r="E71" s="1" t="s">
        <v>112</v>
      </c>
      <c r="F71" s="1"/>
      <c r="G71" s="80"/>
      <c r="H71" s="80"/>
      <c r="I71" s="81"/>
      <c r="J71" s="81"/>
      <c r="K71" s="80"/>
      <c r="L71" s="80"/>
    </row>
    <row r="72" spans="4:12" x14ac:dyDescent="0.3">
      <c r="D72" s="2" t="str">
        <f t="shared" si="1"/>
        <v>Tesco</v>
      </c>
      <c r="E72" s="1" t="s">
        <v>112</v>
      </c>
      <c r="F72" s="1"/>
      <c r="G72" s="80"/>
      <c r="H72" s="80"/>
      <c r="I72" s="81"/>
      <c r="J72" s="81"/>
      <c r="K72" s="80"/>
      <c r="L72" s="80"/>
    </row>
    <row r="73" spans="4:12" x14ac:dyDescent="0.3">
      <c r="D73" s="2" t="str">
        <f t="shared" si="1"/>
        <v>Tesco</v>
      </c>
      <c r="E73" s="1" t="s">
        <v>112</v>
      </c>
      <c r="F73" s="1"/>
      <c r="G73" s="80"/>
      <c r="H73" s="80"/>
      <c r="I73" s="81"/>
      <c r="J73" s="81"/>
      <c r="K73" s="80"/>
      <c r="L73" s="80"/>
    </row>
    <row r="74" spans="4:12" x14ac:dyDescent="0.3">
      <c r="D74" s="2" t="str">
        <f t="shared" si="1"/>
        <v>Tesco</v>
      </c>
      <c r="E74" s="1" t="s">
        <v>112</v>
      </c>
      <c r="F74" s="1"/>
      <c r="G74" s="80"/>
      <c r="H74" s="80"/>
      <c r="I74" s="81"/>
      <c r="J74" s="81"/>
      <c r="K74" s="80"/>
      <c r="L74" s="80"/>
    </row>
    <row r="75" spans="4:12" x14ac:dyDescent="0.3">
      <c r="D75" s="2" t="str">
        <f t="shared" si="1"/>
        <v>Tesco</v>
      </c>
      <c r="E75" s="1" t="s">
        <v>112</v>
      </c>
      <c r="F75" s="1"/>
      <c r="G75" s="80"/>
      <c r="H75" s="80"/>
      <c r="I75" s="81"/>
      <c r="J75" s="81"/>
      <c r="K75" s="80"/>
      <c r="L75" s="80"/>
    </row>
    <row r="76" spans="4:12" x14ac:dyDescent="0.3">
      <c r="D76" s="2" t="str">
        <f t="shared" si="1"/>
        <v>Tesco</v>
      </c>
      <c r="E76" s="1" t="s">
        <v>112</v>
      </c>
      <c r="F76" s="1"/>
      <c r="G76" s="80"/>
      <c r="H76" s="80"/>
      <c r="I76" s="81"/>
      <c r="J76" s="81"/>
      <c r="K76" s="80"/>
      <c r="L76" s="80"/>
    </row>
    <row r="77" spans="4:12" x14ac:dyDescent="0.3">
      <c r="D77" s="2" t="str">
        <f t="shared" si="1"/>
        <v>Tesco</v>
      </c>
      <c r="E77" s="1" t="s">
        <v>112</v>
      </c>
      <c r="F77" s="1"/>
      <c r="G77" s="80"/>
      <c r="H77" s="80"/>
      <c r="I77" s="81"/>
      <c r="J77" s="81"/>
      <c r="K77" s="80"/>
      <c r="L77" s="80"/>
    </row>
    <row r="78" spans="4:12" x14ac:dyDescent="0.3">
      <c r="D78" s="2" t="str">
        <f t="shared" si="1"/>
        <v>Tesco</v>
      </c>
      <c r="E78" s="1" t="s">
        <v>112</v>
      </c>
      <c r="F78" s="1"/>
      <c r="G78" s="80"/>
      <c r="H78" s="80"/>
      <c r="I78" s="81"/>
      <c r="J78" s="81"/>
      <c r="K78" s="80"/>
      <c r="L78" s="80"/>
    </row>
    <row r="79" spans="4:12" x14ac:dyDescent="0.3">
      <c r="D79" s="2" t="str">
        <f t="shared" si="1"/>
        <v>Tesco</v>
      </c>
      <c r="E79" s="1" t="s">
        <v>112</v>
      </c>
      <c r="F79" s="1"/>
      <c r="G79" s="80"/>
      <c r="H79" s="80"/>
      <c r="I79" s="81"/>
      <c r="J79" s="81"/>
      <c r="K79" s="80"/>
      <c r="L79" s="80"/>
    </row>
    <row r="80" spans="4:12" x14ac:dyDescent="0.3">
      <c r="D80" s="2" t="str">
        <f t="shared" si="1"/>
        <v>Tesco</v>
      </c>
      <c r="E80" s="1" t="s">
        <v>112</v>
      </c>
      <c r="F80" s="1"/>
      <c r="G80" s="80"/>
      <c r="H80" s="80"/>
      <c r="I80" s="81"/>
      <c r="J80" s="81"/>
      <c r="K80" s="80"/>
      <c r="L80" s="80"/>
    </row>
    <row r="81" spans="4:12" x14ac:dyDescent="0.3">
      <c r="D81" s="2" t="str">
        <f t="shared" si="1"/>
        <v>Tesco</v>
      </c>
      <c r="E81" s="1" t="s">
        <v>112</v>
      </c>
      <c r="F81" s="1"/>
      <c r="G81" s="80"/>
      <c r="H81" s="80"/>
      <c r="I81" s="81"/>
      <c r="J81" s="81"/>
      <c r="K81" s="80"/>
      <c r="L81" s="80"/>
    </row>
    <row r="82" spans="4:12" x14ac:dyDescent="0.3">
      <c r="D82" s="2" t="str">
        <f t="shared" si="1"/>
        <v>Tesco</v>
      </c>
      <c r="E82" s="1" t="s">
        <v>112</v>
      </c>
      <c r="F82" s="1"/>
      <c r="G82" s="80"/>
      <c r="H82" s="80"/>
      <c r="I82" s="81"/>
      <c r="J82" s="81"/>
      <c r="K82" s="80"/>
      <c r="L82" s="80"/>
    </row>
    <row r="83" spans="4:12" x14ac:dyDescent="0.3">
      <c r="D83" s="2" t="str">
        <f t="shared" si="1"/>
        <v>Tesco</v>
      </c>
      <c r="E83" s="1" t="s">
        <v>112</v>
      </c>
      <c r="F83" s="1"/>
      <c r="G83" s="80"/>
      <c r="H83" s="80"/>
      <c r="I83" s="81"/>
      <c r="J83" s="81"/>
      <c r="K83" s="80"/>
      <c r="L83" s="80"/>
    </row>
    <row r="84" spans="4:12" x14ac:dyDescent="0.3">
      <c r="D84" s="2" t="str">
        <f t="shared" si="1"/>
        <v>Tesco</v>
      </c>
      <c r="E84" s="1" t="s">
        <v>112</v>
      </c>
      <c r="F84" s="1"/>
      <c r="G84" s="80"/>
      <c r="H84" s="80"/>
      <c r="I84" s="81"/>
      <c r="J84" s="81"/>
      <c r="K84" s="80"/>
      <c r="L84" s="80"/>
    </row>
    <row r="85" spans="4:12" x14ac:dyDescent="0.3">
      <c r="D85" s="2" t="str">
        <f t="shared" si="1"/>
        <v>Tesco</v>
      </c>
      <c r="E85" s="1" t="s">
        <v>112</v>
      </c>
      <c r="F85" s="1"/>
      <c r="G85" s="80"/>
      <c r="H85" s="80"/>
      <c r="I85" s="81"/>
      <c r="J85" s="81"/>
      <c r="K85" s="80"/>
      <c r="L85" s="80"/>
    </row>
    <row r="86" spans="4:12" x14ac:dyDescent="0.3">
      <c r="D86" s="2" t="str">
        <f t="shared" si="1"/>
        <v>Tesco</v>
      </c>
      <c r="E86" s="1" t="s">
        <v>112</v>
      </c>
      <c r="F86" s="1"/>
      <c r="G86" s="80"/>
      <c r="H86" s="80"/>
      <c r="I86" s="81"/>
      <c r="J86" s="81"/>
      <c r="K86" s="80"/>
      <c r="L86" s="80"/>
    </row>
    <row r="87" spans="4:12" x14ac:dyDescent="0.3">
      <c r="D87" s="2" t="str">
        <f t="shared" si="1"/>
        <v>Tesco</v>
      </c>
      <c r="E87" s="1" t="s">
        <v>112</v>
      </c>
      <c r="F87" s="1"/>
      <c r="G87" s="80"/>
      <c r="H87" s="80"/>
      <c r="I87" s="81"/>
      <c r="J87" s="81"/>
      <c r="K87" s="80"/>
      <c r="L87" s="80"/>
    </row>
    <row r="88" spans="4:12" x14ac:dyDescent="0.3">
      <c r="D88" s="2" t="str">
        <f t="shared" si="1"/>
        <v>Tesco</v>
      </c>
      <c r="E88" s="1" t="s">
        <v>112</v>
      </c>
      <c r="F88" s="1"/>
      <c r="G88" s="80"/>
      <c r="H88" s="80"/>
      <c r="I88" s="81"/>
      <c r="J88" s="81"/>
      <c r="K88" s="80"/>
      <c r="L88" s="80"/>
    </row>
    <row r="89" spans="4:12" x14ac:dyDescent="0.3">
      <c r="D89" s="2" t="str">
        <f t="shared" si="1"/>
        <v>Tesco</v>
      </c>
      <c r="E89" s="1" t="s">
        <v>112</v>
      </c>
      <c r="F89" s="1"/>
      <c r="G89" s="80"/>
      <c r="H89" s="80"/>
      <c r="I89" s="81"/>
      <c r="J89" s="81"/>
      <c r="K89" s="80"/>
      <c r="L89" s="80"/>
    </row>
    <row r="90" spans="4:12" x14ac:dyDescent="0.3">
      <c r="D90" s="2" t="str">
        <f t="shared" si="1"/>
        <v>Tesco</v>
      </c>
      <c r="E90" s="1" t="s">
        <v>112</v>
      </c>
      <c r="F90" s="1"/>
      <c r="G90" s="80"/>
      <c r="H90" s="80"/>
      <c r="I90" s="81"/>
      <c r="J90" s="81"/>
      <c r="K90" s="80"/>
      <c r="L90" s="80"/>
    </row>
    <row r="91" spans="4:12" x14ac:dyDescent="0.3">
      <c r="D91" s="2" t="str">
        <f t="shared" si="1"/>
        <v>Tesco</v>
      </c>
      <c r="E91" s="1" t="s">
        <v>112</v>
      </c>
      <c r="F91" s="1"/>
      <c r="G91" s="80"/>
      <c r="H91" s="80"/>
      <c r="I91" s="81"/>
      <c r="J91" s="81"/>
      <c r="K91" s="80"/>
      <c r="L91" s="80"/>
    </row>
    <row r="92" spans="4:12" x14ac:dyDescent="0.3">
      <c r="D92" s="2" t="str">
        <f t="shared" si="1"/>
        <v>Tesco</v>
      </c>
      <c r="E92" s="1" t="s">
        <v>112</v>
      </c>
      <c r="F92" s="1"/>
      <c r="G92" s="80"/>
      <c r="H92" s="80"/>
      <c r="I92" s="81"/>
      <c r="J92" s="81"/>
      <c r="K92" s="80"/>
      <c r="L92" s="80"/>
    </row>
    <row r="93" spans="4:12" x14ac:dyDescent="0.3">
      <c r="D93" s="2" t="str">
        <f t="shared" si="1"/>
        <v>Tesco</v>
      </c>
      <c r="E93" s="1" t="s">
        <v>112</v>
      </c>
      <c r="F93" s="1"/>
      <c r="G93" s="80"/>
      <c r="H93" s="80"/>
      <c r="I93" s="81"/>
      <c r="J93" s="81"/>
      <c r="K93" s="80"/>
      <c r="L93" s="80"/>
    </row>
    <row r="94" spans="4:12" x14ac:dyDescent="0.3">
      <c r="D94" s="2" t="str">
        <f t="shared" si="1"/>
        <v>Tesco</v>
      </c>
      <c r="E94" s="1" t="s">
        <v>112</v>
      </c>
      <c r="F94" s="1"/>
      <c r="G94" s="80"/>
      <c r="H94" s="80"/>
      <c r="I94" s="81"/>
      <c r="J94" s="81"/>
      <c r="K94" s="80"/>
      <c r="L94" s="80"/>
    </row>
    <row r="95" spans="4:12" x14ac:dyDescent="0.3">
      <c r="D95" s="2" t="str">
        <f t="shared" si="1"/>
        <v>Tesco</v>
      </c>
      <c r="E95" s="1" t="s">
        <v>112</v>
      </c>
      <c r="F95" s="1"/>
      <c r="G95" s="80"/>
      <c r="H95" s="80"/>
      <c r="I95" s="81"/>
      <c r="J95" s="81"/>
      <c r="K95" s="80"/>
      <c r="L95" s="80"/>
    </row>
    <row r="96" spans="4:12" x14ac:dyDescent="0.3">
      <c r="D96" s="2" t="str">
        <f t="shared" si="1"/>
        <v>Tesco</v>
      </c>
      <c r="E96" s="1" t="s">
        <v>112</v>
      </c>
      <c r="F96" s="1"/>
      <c r="G96" s="80"/>
      <c r="H96" s="80"/>
      <c r="I96" s="81"/>
      <c r="J96" s="81"/>
      <c r="K96" s="80"/>
      <c r="L96" s="80"/>
    </row>
    <row r="97" spans="4:12" x14ac:dyDescent="0.3">
      <c r="D97" s="2" t="str">
        <f t="shared" si="1"/>
        <v>Tesco</v>
      </c>
      <c r="E97" s="1" t="s">
        <v>112</v>
      </c>
      <c r="F97" s="1"/>
      <c r="G97" s="80"/>
      <c r="H97" s="80"/>
      <c r="I97" s="81"/>
      <c r="J97" s="81"/>
      <c r="K97" s="80"/>
      <c r="L97" s="80"/>
    </row>
    <row r="98" spans="4:12" x14ac:dyDescent="0.3">
      <c r="D98" s="2" t="str">
        <f t="shared" si="1"/>
        <v>Tesco</v>
      </c>
      <c r="E98" s="1" t="s">
        <v>112</v>
      </c>
      <c r="F98" s="1"/>
      <c r="G98" s="80"/>
      <c r="H98" s="80"/>
      <c r="I98" s="81"/>
      <c r="J98" s="81"/>
      <c r="K98" s="80"/>
      <c r="L98" s="80"/>
    </row>
    <row r="99" spans="4:12" x14ac:dyDescent="0.3">
      <c r="D99" s="2" t="str">
        <f t="shared" si="1"/>
        <v>Tesco</v>
      </c>
      <c r="E99" s="1" t="s">
        <v>112</v>
      </c>
      <c r="F99" s="1"/>
      <c r="G99" s="80"/>
      <c r="H99" s="80"/>
      <c r="I99" s="81"/>
      <c r="J99" s="81"/>
      <c r="K99" s="80"/>
      <c r="L99" s="80"/>
    </row>
    <row r="100" spans="4:12" x14ac:dyDescent="0.3">
      <c r="D100" s="2" t="str">
        <f t="shared" si="1"/>
        <v>Tesco</v>
      </c>
      <c r="E100" s="1" t="s">
        <v>112</v>
      </c>
      <c r="F100" s="1"/>
      <c r="G100" s="80"/>
      <c r="H100" s="80"/>
      <c r="I100" s="81"/>
      <c r="J100" s="81"/>
      <c r="K100" s="80"/>
      <c r="L100" s="80"/>
    </row>
    <row r="101" spans="4:12" x14ac:dyDescent="0.3">
      <c r="D101" s="2" t="str">
        <f t="shared" si="1"/>
        <v>Tesco</v>
      </c>
      <c r="E101" s="1" t="s">
        <v>112</v>
      </c>
      <c r="F101" s="1"/>
      <c r="G101" s="80"/>
      <c r="H101" s="80"/>
      <c r="I101" s="81"/>
      <c r="J101" s="81"/>
      <c r="K101" s="80"/>
      <c r="L101" s="80"/>
    </row>
    <row r="102" spans="4:12" x14ac:dyDescent="0.3">
      <c r="D102" s="2" t="str">
        <f t="shared" si="1"/>
        <v>Tesco</v>
      </c>
      <c r="E102" s="1" t="s">
        <v>112</v>
      </c>
      <c r="F102" s="1"/>
      <c r="G102" s="80"/>
      <c r="H102" s="80"/>
      <c r="I102" s="81"/>
      <c r="J102" s="81"/>
      <c r="K102" s="80"/>
      <c r="L102" s="80"/>
    </row>
    <row r="103" spans="4:12" x14ac:dyDescent="0.3">
      <c r="D103" s="2" t="str">
        <f t="shared" si="1"/>
        <v>Tesco</v>
      </c>
      <c r="E103" s="1" t="s">
        <v>112</v>
      </c>
      <c r="F103" s="1"/>
      <c r="G103" s="80"/>
      <c r="H103" s="80"/>
      <c r="I103" s="81"/>
      <c r="J103" s="81"/>
      <c r="K103" s="80"/>
      <c r="L103" s="80"/>
    </row>
    <row r="104" spans="4:12" x14ac:dyDescent="0.3">
      <c r="D104" s="2" t="str">
        <f t="shared" si="1"/>
        <v>Tesco</v>
      </c>
      <c r="E104" s="1" t="s">
        <v>112</v>
      </c>
      <c r="F104" s="1"/>
      <c r="G104" s="80"/>
      <c r="H104" s="80"/>
      <c r="I104" s="81"/>
      <c r="J104" s="81"/>
      <c r="K104" s="80"/>
      <c r="L104" s="80"/>
    </row>
    <row r="105" spans="4:12" x14ac:dyDescent="0.3">
      <c r="D105" s="2" t="str">
        <f t="shared" si="1"/>
        <v>Tesco</v>
      </c>
      <c r="E105" s="1" t="s">
        <v>112</v>
      </c>
      <c r="F105" s="1"/>
      <c r="G105" s="80"/>
      <c r="H105" s="80"/>
      <c r="I105" s="81"/>
      <c r="J105" s="81"/>
      <c r="K105" s="80"/>
      <c r="L105" s="80"/>
    </row>
    <row r="106" spans="4:12" x14ac:dyDescent="0.3">
      <c r="D106" s="2" t="str">
        <f t="shared" si="1"/>
        <v>Tesco</v>
      </c>
      <c r="E106" s="1" t="s">
        <v>112</v>
      </c>
      <c r="F106" s="1"/>
      <c r="G106" s="80"/>
      <c r="H106" s="80"/>
      <c r="I106" s="81"/>
      <c r="J106" s="81"/>
      <c r="K106" s="80"/>
      <c r="L106" s="80"/>
    </row>
    <row r="107" spans="4:12" x14ac:dyDescent="0.3">
      <c r="D107" s="2" t="str">
        <f t="shared" si="1"/>
        <v>Tesco</v>
      </c>
      <c r="E107" s="1" t="s">
        <v>112</v>
      </c>
      <c r="F107" s="1"/>
      <c r="G107" s="80"/>
      <c r="H107" s="80"/>
      <c r="I107" s="81"/>
      <c r="J107" s="81"/>
      <c r="K107" s="80"/>
      <c r="L107" s="80"/>
    </row>
    <row r="108" spans="4:12" x14ac:dyDescent="0.3">
      <c r="D108" s="2" t="str">
        <f t="shared" si="1"/>
        <v>Tesco</v>
      </c>
      <c r="E108" s="1" t="s">
        <v>112</v>
      </c>
      <c r="F108" s="1"/>
      <c r="G108" s="80"/>
      <c r="H108" s="80"/>
      <c r="I108" s="81"/>
      <c r="J108" s="81"/>
      <c r="K108" s="80"/>
      <c r="L108" s="80"/>
    </row>
    <row r="109" spans="4:12" x14ac:dyDescent="0.3">
      <c r="D109" s="2" t="str">
        <f t="shared" si="1"/>
        <v>Tesco</v>
      </c>
      <c r="E109" s="1" t="s">
        <v>112</v>
      </c>
      <c r="F109" s="1"/>
      <c r="G109" s="80"/>
      <c r="H109" s="80"/>
      <c r="I109" s="81"/>
      <c r="J109" s="81"/>
      <c r="K109" s="80"/>
      <c r="L109" s="80"/>
    </row>
    <row r="110" spans="4:12" x14ac:dyDescent="0.3">
      <c r="D110" s="2" t="str">
        <f t="shared" si="1"/>
        <v>Tesco</v>
      </c>
      <c r="E110" s="1" t="s">
        <v>112</v>
      </c>
      <c r="F110" s="1"/>
      <c r="G110" s="80"/>
      <c r="H110" s="80"/>
      <c r="I110" s="81"/>
      <c r="J110" s="81"/>
      <c r="K110" s="80"/>
      <c r="L110" s="80"/>
    </row>
    <row r="111" spans="4:12" x14ac:dyDescent="0.3">
      <c r="D111" s="2" t="str">
        <f t="shared" si="1"/>
        <v>Tesco</v>
      </c>
      <c r="E111" s="1" t="s">
        <v>112</v>
      </c>
      <c r="F111" s="1"/>
      <c r="G111" s="80"/>
      <c r="H111" s="80"/>
      <c r="I111" s="81"/>
      <c r="J111" s="81"/>
      <c r="K111" s="80"/>
      <c r="L111" s="80"/>
    </row>
    <row r="112" spans="4:12" x14ac:dyDescent="0.3">
      <c r="D112" s="2" t="str">
        <f t="shared" si="1"/>
        <v>Tesco</v>
      </c>
      <c r="E112" s="1" t="s">
        <v>112</v>
      </c>
      <c r="F112" s="1"/>
      <c r="G112" s="80"/>
      <c r="H112" s="80"/>
      <c r="I112" s="81"/>
      <c r="J112" s="81"/>
      <c r="K112" s="80"/>
      <c r="L112" s="80"/>
    </row>
    <row r="113" spans="4:12" x14ac:dyDescent="0.3">
      <c r="D113" s="2" t="str">
        <f t="shared" si="1"/>
        <v>Tesco</v>
      </c>
      <c r="E113" s="1" t="s">
        <v>112</v>
      </c>
      <c r="F113" s="1"/>
      <c r="G113" s="80"/>
      <c r="H113" s="80"/>
      <c r="I113" s="81"/>
      <c r="J113" s="81"/>
      <c r="K113" s="80"/>
      <c r="L113" s="80"/>
    </row>
    <row r="114" spans="4:12" x14ac:dyDescent="0.3">
      <c r="D114" s="2" t="str">
        <f t="shared" si="1"/>
        <v>Tesco</v>
      </c>
      <c r="E114" s="1" t="s">
        <v>112</v>
      </c>
      <c r="F114" s="1"/>
      <c r="G114" s="80"/>
      <c r="H114" s="80"/>
      <c r="I114" s="81"/>
      <c r="J114" s="81"/>
      <c r="K114" s="80"/>
      <c r="L114" s="80"/>
    </row>
    <row r="115" spans="4:12" x14ac:dyDescent="0.3">
      <c r="D115" s="2" t="str">
        <f t="shared" si="1"/>
        <v>Tesco</v>
      </c>
      <c r="E115" s="1" t="s">
        <v>112</v>
      </c>
      <c r="F115" s="1"/>
      <c r="G115" s="80"/>
      <c r="H115" s="80"/>
      <c r="I115" s="81"/>
      <c r="J115" s="81"/>
      <c r="K115" s="80"/>
      <c r="L115" s="80"/>
    </row>
    <row r="116" spans="4:12" x14ac:dyDescent="0.3">
      <c r="D116" s="2" t="str">
        <f t="shared" si="1"/>
        <v>Tesco</v>
      </c>
      <c r="E116" s="1" t="s">
        <v>112</v>
      </c>
      <c r="F116" s="1"/>
      <c r="G116" s="80"/>
      <c r="H116" s="80"/>
      <c r="I116" s="81"/>
      <c r="J116" s="81"/>
      <c r="K116" s="80"/>
      <c r="L116" s="80"/>
    </row>
    <row r="117" spans="4:12" x14ac:dyDescent="0.3">
      <c r="D117" s="2" t="str">
        <f t="shared" si="1"/>
        <v>Tesco</v>
      </c>
      <c r="E117" s="1" t="s">
        <v>112</v>
      </c>
      <c r="F117" s="1"/>
      <c r="G117" s="80"/>
      <c r="H117" s="80"/>
      <c r="I117" s="81"/>
      <c r="J117" s="81"/>
      <c r="K117" s="80"/>
      <c r="L117" s="80"/>
    </row>
    <row r="118" spans="4:12" x14ac:dyDescent="0.3">
      <c r="D118" s="2" t="str">
        <f t="shared" si="1"/>
        <v>Tesco</v>
      </c>
      <c r="E118" s="1" t="s">
        <v>112</v>
      </c>
      <c r="F118" s="1"/>
      <c r="G118" s="80"/>
      <c r="H118" s="80"/>
      <c r="I118" s="81"/>
      <c r="J118" s="81"/>
      <c r="K118" s="80"/>
      <c r="L118" s="80"/>
    </row>
    <row r="119" spans="4:12" x14ac:dyDescent="0.3">
      <c r="D119" s="2" t="str">
        <f t="shared" si="1"/>
        <v>Tesco</v>
      </c>
      <c r="E119" s="1" t="s">
        <v>112</v>
      </c>
      <c r="F119" s="1"/>
      <c r="G119" s="80"/>
      <c r="H119" s="80"/>
      <c r="I119" s="81"/>
      <c r="J119" s="81"/>
      <c r="K119" s="80"/>
      <c r="L119" s="80"/>
    </row>
    <row r="120" spans="4:12" x14ac:dyDescent="0.3">
      <c r="D120" s="2" t="str">
        <f t="shared" si="1"/>
        <v>Tesco</v>
      </c>
      <c r="E120" s="1" t="s">
        <v>112</v>
      </c>
      <c r="F120" s="1"/>
      <c r="G120" s="80"/>
      <c r="H120" s="80"/>
      <c r="I120" s="81"/>
      <c r="J120" s="81"/>
      <c r="K120" s="80"/>
      <c r="L120" s="80"/>
    </row>
    <row r="121" spans="4:12" x14ac:dyDescent="0.3">
      <c r="D121" s="2" t="str">
        <f t="shared" si="1"/>
        <v>Tesco</v>
      </c>
      <c r="E121" s="1" t="s">
        <v>112</v>
      </c>
      <c r="F121" s="1"/>
      <c r="G121" s="80"/>
      <c r="H121" s="80"/>
      <c r="I121" s="81"/>
      <c r="J121" s="81"/>
      <c r="K121" s="80"/>
      <c r="L121" s="80"/>
    </row>
    <row r="122" spans="4:12" x14ac:dyDescent="0.3">
      <c r="D122" s="2" t="str">
        <f t="shared" si="1"/>
        <v>Tesco</v>
      </c>
      <c r="E122" s="1" t="s">
        <v>112</v>
      </c>
      <c r="F122" s="1"/>
      <c r="G122" s="80"/>
      <c r="H122" s="80"/>
      <c r="I122" s="81"/>
      <c r="J122" s="81"/>
      <c r="K122" s="80"/>
      <c r="L122" s="80"/>
    </row>
    <row r="123" spans="4:12" x14ac:dyDescent="0.3">
      <c r="D123" s="2" t="str">
        <f t="shared" si="1"/>
        <v>Tesco</v>
      </c>
      <c r="E123" s="1" t="s">
        <v>112</v>
      </c>
      <c r="F123" s="1"/>
      <c r="G123" s="80"/>
      <c r="H123" s="80"/>
      <c r="I123" s="81"/>
      <c r="J123" s="81"/>
      <c r="K123" s="80"/>
      <c r="L123" s="80"/>
    </row>
    <row r="124" spans="4:12" x14ac:dyDescent="0.3">
      <c r="D124" s="2" t="str">
        <f t="shared" si="1"/>
        <v>Tesco</v>
      </c>
      <c r="E124" s="1" t="s">
        <v>112</v>
      </c>
      <c r="F124" s="1"/>
      <c r="G124" s="80"/>
      <c r="H124" s="80"/>
      <c r="I124" s="81"/>
      <c r="J124" s="81"/>
      <c r="K124" s="80"/>
      <c r="L124" s="80"/>
    </row>
    <row r="125" spans="4:12" x14ac:dyDescent="0.3">
      <c r="D125" s="2" t="str">
        <f t="shared" si="1"/>
        <v>Tesco</v>
      </c>
      <c r="E125" s="1" t="s">
        <v>112</v>
      </c>
      <c r="F125" s="1"/>
      <c r="G125" s="80"/>
      <c r="H125" s="80"/>
      <c r="I125" s="81"/>
      <c r="J125" s="81"/>
      <c r="K125" s="80"/>
      <c r="L125" s="80"/>
    </row>
    <row r="126" spans="4:12" x14ac:dyDescent="0.3">
      <c r="D126" s="2" t="str">
        <f t="shared" si="1"/>
        <v>Tesco</v>
      </c>
      <c r="E126" s="1" t="s">
        <v>112</v>
      </c>
      <c r="F126" s="1"/>
      <c r="G126" s="80"/>
      <c r="H126" s="80"/>
      <c r="I126" s="81"/>
      <c r="J126" s="81"/>
      <c r="K126" s="80"/>
      <c r="L126" s="80"/>
    </row>
    <row r="127" spans="4:12" x14ac:dyDescent="0.3">
      <c r="D127" s="2" t="str">
        <f t="shared" si="1"/>
        <v>Tesco</v>
      </c>
      <c r="E127" s="1" t="s">
        <v>112</v>
      </c>
      <c r="F127" s="1"/>
      <c r="G127" s="80"/>
      <c r="H127" s="80"/>
      <c r="I127" s="81"/>
      <c r="J127" s="81"/>
      <c r="K127" s="80"/>
      <c r="L127" s="80"/>
    </row>
    <row r="128" spans="4:12" x14ac:dyDescent="0.3">
      <c r="D128" s="2" t="str">
        <f t="shared" si="1"/>
        <v>Tesco</v>
      </c>
      <c r="E128" s="1" t="s">
        <v>112</v>
      </c>
      <c r="F128" s="1"/>
      <c r="G128" s="80"/>
      <c r="H128" s="80"/>
      <c r="I128" s="81"/>
      <c r="J128" s="81"/>
      <c r="K128" s="80"/>
      <c r="L128" s="80"/>
    </row>
    <row r="129" spans="4:12" x14ac:dyDescent="0.3">
      <c r="D129" s="2" t="str">
        <f t="shared" si="1"/>
        <v>Tesco</v>
      </c>
      <c r="E129" s="1" t="s">
        <v>112</v>
      </c>
      <c r="F129" s="1"/>
      <c r="G129" s="80"/>
      <c r="H129" s="80"/>
      <c r="I129" s="81"/>
      <c r="J129" s="81"/>
      <c r="K129" s="80"/>
      <c r="L129" s="80"/>
    </row>
    <row r="130" spans="4:12" x14ac:dyDescent="0.3">
      <c r="D130" s="2" t="str">
        <f t="shared" si="1"/>
        <v>Tesco</v>
      </c>
      <c r="E130" s="1" t="s">
        <v>112</v>
      </c>
      <c r="F130" s="1"/>
      <c r="G130" s="80"/>
      <c r="H130" s="80"/>
      <c r="I130" s="81"/>
      <c r="J130" s="81"/>
      <c r="K130" s="80"/>
      <c r="L130" s="80"/>
    </row>
    <row r="131" spans="4:12" x14ac:dyDescent="0.3">
      <c r="D131" s="2" t="str">
        <f t="shared" si="1"/>
        <v>Tesco</v>
      </c>
      <c r="E131" s="1" t="s">
        <v>112</v>
      </c>
      <c r="F131" s="1"/>
      <c r="G131" s="80"/>
      <c r="H131" s="80"/>
      <c r="I131" s="81"/>
      <c r="J131" s="81"/>
      <c r="K131" s="80"/>
      <c r="L131" s="80"/>
    </row>
    <row r="132" spans="4:12" x14ac:dyDescent="0.3">
      <c r="D132" s="2" t="str">
        <f t="shared" ref="D132:D195" si="2">E132&amp;F132</f>
        <v>Tesco</v>
      </c>
      <c r="E132" s="1" t="s">
        <v>112</v>
      </c>
      <c r="F132" s="1"/>
      <c r="G132" s="80"/>
      <c r="H132" s="80"/>
      <c r="I132" s="81"/>
      <c r="J132" s="81"/>
      <c r="K132" s="80"/>
      <c r="L132" s="80"/>
    </row>
    <row r="133" spans="4:12" x14ac:dyDescent="0.3">
      <c r="D133" s="2" t="str">
        <f t="shared" si="2"/>
        <v>Tesco</v>
      </c>
      <c r="E133" s="1" t="s">
        <v>112</v>
      </c>
      <c r="F133" s="1"/>
      <c r="G133" s="80"/>
      <c r="H133" s="80"/>
      <c r="I133" s="81"/>
      <c r="J133" s="81"/>
      <c r="K133" s="80"/>
      <c r="L133" s="80"/>
    </row>
    <row r="134" spans="4:12" x14ac:dyDescent="0.3">
      <c r="D134" s="2" t="str">
        <f t="shared" si="2"/>
        <v>Tesco</v>
      </c>
      <c r="E134" s="1" t="s">
        <v>112</v>
      </c>
      <c r="F134" s="1"/>
      <c r="G134" s="80"/>
      <c r="H134" s="80"/>
      <c r="I134" s="81"/>
      <c r="J134" s="81"/>
      <c r="K134" s="80"/>
      <c r="L134" s="80"/>
    </row>
    <row r="135" spans="4:12" x14ac:dyDescent="0.3">
      <c r="D135" s="2" t="str">
        <f t="shared" si="2"/>
        <v>Tesco</v>
      </c>
      <c r="E135" s="1" t="s">
        <v>112</v>
      </c>
      <c r="F135" s="1"/>
      <c r="G135" s="80"/>
      <c r="H135" s="80"/>
      <c r="I135" s="81"/>
      <c r="J135" s="81"/>
      <c r="K135" s="80"/>
      <c r="L135" s="80"/>
    </row>
    <row r="136" spans="4:12" x14ac:dyDescent="0.3">
      <c r="D136" s="2" t="str">
        <f t="shared" si="2"/>
        <v>Tesco</v>
      </c>
      <c r="E136" s="1" t="s">
        <v>112</v>
      </c>
      <c r="F136" s="1"/>
      <c r="G136" s="80"/>
      <c r="H136" s="80"/>
      <c r="I136" s="81"/>
      <c r="J136" s="81"/>
      <c r="K136" s="80"/>
      <c r="L136" s="80"/>
    </row>
    <row r="137" spans="4:12" x14ac:dyDescent="0.3">
      <c r="D137" s="2" t="str">
        <f t="shared" si="2"/>
        <v>Tesco</v>
      </c>
      <c r="E137" s="1" t="s">
        <v>112</v>
      </c>
      <c r="F137" s="1"/>
      <c r="G137" s="80"/>
      <c r="H137" s="80"/>
      <c r="I137" s="81"/>
      <c r="J137" s="81"/>
      <c r="K137" s="80"/>
      <c r="L137" s="80"/>
    </row>
    <row r="138" spans="4:12" x14ac:dyDescent="0.3">
      <c r="D138" s="2" t="str">
        <f t="shared" si="2"/>
        <v>Tesco</v>
      </c>
      <c r="E138" s="1" t="s">
        <v>112</v>
      </c>
      <c r="F138" s="1"/>
      <c r="G138" s="80"/>
      <c r="H138" s="80"/>
      <c r="I138" s="81"/>
      <c r="J138" s="81"/>
      <c r="K138" s="80"/>
      <c r="L138" s="80"/>
    </row>
    <row r="139" spans="4:12" x14ac:dyDescent="0.3">
      <c r="D139" s="2" t="str">
        <f t="shared" si="2"/>
        <v>Tesco</v>
      </c>
      <c r="E139" s="1" t="s">
        <v>112</v>
      </c>
      <c r="F139" s="1"/>
      <c r="G139" s="80"/>
      <c r="H139" s="80"/>
      <c r="I139" s="81"/>
      <c r="J139" s="81"/>
      <c r="K139" s="80"/>
      <c r="L139" s="80"/>
    </row>
    <row r="140" spans="4:12" x14ac:dyDescent="0.3">
      <c r="D140" s="2" t="str">
        <f t="shared" si="2"/>
        <v>Tesco</v>
      </c>
      <c r="E140" s="1" t="s">
        <v>112</v>
      </c>
      <c r="F140" s="1"/>
      <c r="G140" s="80"/>
      <c r="H140" s="80"/>
      <c r="I140" s="81"/>
      <c r="J140" s="81"/>
      <c r="K140" s="80"/>
      <c r="L140" s="80"/>
    </row>
    <row r="141" spans="4:12" x14ac:dyDescent="0.3">
      <c r="D141" s="2" t="str">
        <f t="shared" si="2"/>
        <v>Tesco</v>
      </c>
      <c r="E141" s="1" t="s">
        <v>112</v>
      </c>
      <c r="F141" s="1"/>
      <c r="G141" s="80"/>
      <c r="H141" s="80"/>
      <c r="I141" s="81"/>
      <c r="J141" s="81"/>
      <c r="K141" s="80"/>
      <c r="L141" s="80"/>
    </row>
    <row r="142" spans="4:12" x14ac:dyDescent="0.3">
      <c r="D142" s="2" t="str">
        <f t="shared" si="2"/>
        <v>Tesco</v>
      </c>
      <c r="E142" s="1" t="s">
        <v>112</v>
      </c>
      <c r="F142" s="1"/>
      <c r="G142" s="80"/>
      <c r="H142" s="80"/>
      <c r="I142" s="81"/>
      <c r="J142" s="81"/>
      <c r="K142" s="80"/>
      <c r="L142" s="80"/>
    </row>
    <row r="143" spans="4:12" x14ac:dyDescent="0.3">
      <c r="D143" s="2" t="str">
        <f t="shared" si="2"/>
        <v>Tesco</v>
      </c>
      <c r="E143" s="1" t="s">
        <v>112</v>
      </c>
      <c r="F143" s="1"/>
      <c r="G143" s="80"/>
      <c r="H143" s="80"/>
      <c r="I143" s="81"/>
      <c r="J143" s="81"/>
      <c r="K143" s="80"/>
      <c r="L143" s="80"/>
    </row>
    <row r="144" spans="4:12" x14ac:dyDescent="0.3">
      <c r="D144" s="2" t="str">
        <f t="shared" si="2"/>
        <v>Tesco</v>
      </c>
      <c r="E144" s="1" t="s">
        <v>112</v>
      </c>
      <c r="F144" s="1"/>
      <c r="G144" s="80"/>
      <c r="H144" s="80"/>
      <c r="I144" s="81"/>
      <c r="J144" s="81"/>
      <c r="K144" s="80"/>
      <c r="L144" s="80"/>
    </row>
    <row r="145" spans="4:12" x14ac:dyDescent="0.3">
      <c r="D145" s="2" t="str">
        <f t="shared" si="2"/>
        <v>Tesco</v>
      </c>
      <c r="E145" s="1" t="s">
        <v>112</v>
      </c>
      <c r="F145" s="1"/>
      <c r="G145" s="80"/>
      <c r="H145" s="80"/>
      <c r="I145" s="81"/>
      <c r="J145" s="81"/>
      <c r="K145" s="80"/>
      <c r="L145" s="80"/>
    </row>
    <row r="146" spans="4:12" x14ac:dyDescent="0.3">
      <c r="D146" s="2" t="str">
        <f t="shared" si="2"/>
        <v>Tesco</v>
      </c>
      <c r="E146" s="1" t="s">
        <v>112</v>
      </c>
      <c r="F146" s="1"/>
      <c r="G146" s="80"/>
      <c r="H146" s="80"/>
      <c r="I146" s="81"/>
      <c r="J146" s="81"/>
      <c r="K146" s="80"/>
      <c r="L146" s="80"/>
    </row>
    <row r="147" spans="4:12" x14ac:dyDescent="0.3">
      <c r="D147" s="2" t="str">
        <f t="shared" si="2"/>
        <v>Tesco</v>
      </c>
      <c r="E147" s="1" t="s">
        <v>112</v>
      </c>
      <c r="F147" s="1"/>
      <c r="G147" s="80"/>
      <c r="H147" s="80"/>
      <c r="I147" s="81"/>
      <c r="J147" s="81"/>
      <c r="K147" s="80"/>
      <c r="L147" s="80"/>
    </row>
    <row r="148" spans="4:12" x14ac:dyDescent="0.3">
      <c r="D148" s="2" t="str">
        <f t="shared" si="2"/>
        <v>Tesco</v>
      </c>
      <c r="E148" s="1" t="s">
        <v>112</v>
      </c>
      <c r="F148" s="1"/>
      <c r="G148" s="80"/>
      <c r="H148" s="80"/>
      <c r="I148" s="81"/>
      <c r="J148" s="81"/>
      <c r="K148" s="80"/>
      <c r="L148" s="80"/>
    </row>
    <row r="149" spans="4:12" x14ac:dyDescent="0.3">
      <c r="D149" s="2" t="str">
        <f t="shared" si="2"/>
        <v>Tesco</v>
      </c>
      <c r="E149" s="1" t="s">
        <v>112</v>
      </c>
      <c r="F149" s="1"/>
      <c r="G149" s="80"/>
      <c r="H149" s="80"/>
      <c r="I149" s="81"/>
      <c r="J149" s="81"/>
      <c r="K149" s="80"/>
      <c r="L149" s="80"/>
    </row>
    <row r="150" spans="4:12" x14ac:dyDescent="0.3">
      <c r="D150" s="2" t="str">
        <f t="shared" si="2"/>
        <v>Tesco</v>
      </c>
      <c r="E150" s="1" t="s">
        <v>112</v>
      </c>
      <c r="F150" s="1"/>
      <c r="G150" s="80"/>
      <c r="H150" s="80"/>
      <c r="I150" s="81"/>
      <c r="J150" s="81"/>
      <c r="K150" s="80"/>
      <c r="L150" s="80"/>
    </row>
    <row r="151" spans="4:12" x14ac:dyDescent="0.3">
      <c r="D151" s="2" t="str">
        <f t="shared" si="2"/>
        <v>Tesco</v>
      </c>
      <c r="E151" s="1" t="s">
        <v>112</v>
      </c>
      <c r="F151" s="1"/>
      <c r="G151" s="80"/>
      <c r="H151" s="80"/>
      <c r="I151" s="81"/>
      <c r="J151" s="81"/>
      <c r="K151" s="80"/>
      <c r="L151" s="80"/>
    </row>
    <row r="152" spans="4:12" x14ac:dyDescent="0.3">
      <c r="D152" s="2" t="str">
        <f t="shared" si="2"/>
        <v>Tesco</v>
      </c>
      <c r="E152" s="1" t="s">
        <v>112</v>
      </c>
      <c r="F152" s="1"/>
      <c r="G152" s="80"/>
      <c r="H152" s="80"/>
      <c r="I152" s="81"/>
      <c r="J152" s="81"/>
      <c r="K152" s="80"/>
      <c r="L152" s="80"/>
    </row>
    <row r="153" spans="4:12" x14ac:dyDescent="0.3">
      <c r="D153" s="2" t="str">
        <f t="shared" si="2"/>
        <v>Tesco</v>
      </c>
      <c r="E153" s="1" t="s">
        <v>112</v>
      </c>
      <c r="F153" s="1"/>
      <c r="G153" s="80"/>
      <c r="H153" s="80"/>
      <c r="I153" s="81"/>
      <c r="J153" s="81"/>
      <c r="K153" s="80"/>
      <c r="L153" s="80"/>
    </row>
    <row r="154" spans="4:12" x14ac:dyDescent="0.3">
      <c r="D154" s="2" t="str">
        <f t="shared" si="2"/>
        <v>Tesco</v>
      </c>
      <c r="E154" s="1" t="s">
        <v>112</v>
      </c>
      <c r="F154" s="1"/>
      <c r="G154" s="80"/>
      <c r="H154" s="80"/>
      <c r="I154" s="81"/>
      <c r="J154" s="81"/>
      <c r="K154" s="80"/>
      <c r="L154" s="80"/>
    </row>
    <row r="155" spans="4:12" x14ac:dyDescent="0.3">
      <c r="D155" s="2" t="str">
        <f t="shared" si="2"/>
        <v>Tesco</v>
      </c>
      <c r="E155" s="1" t="s">
        <v>112</v>
      </c>
      <c r="F155" s="1"/>
      <c r="G155" s="80"/>
      <c r="H155" s="80"/>
      <c r="I155" s="81"/>
      <c r="J155" s="81"/>
      <c r="K155" s="80"/>
      <c r="L155" s="80"/>
    </row>
    <row r="156" spans="4:12" x14ac:dyDescent="0.3">
      <c r="D156" s="2" t="str">
        <f t="shared" si="2"/>
        <v>Tesco</v>
      </c>
      <c r="E156" s="1" t="s">
        <v>112</v>
      </c>
      <c r="F156" s="1"/>
      <c r="G156" s="80"/>
      <c r="H156" s="80"/>
      <c r="I156" s="81"/>
      <c r="J156" s="81"/>
      <c r="K156" s="80"/>
      <c r="L156" s="80"/>
    </row>
    <row r="157" spans="4:12" x14ac:dyDescent="0.3">
      <c r="D157" s="2" t="str">
        <f t="shared" si="2"/>
        <v>Tesco</v>
      </c>
      <c r="E157" s="1" t="s">
        <v>112</v>
      </c>
      <c r="F157" s="1"/>
      <c r="G157" s="80"/>
      <c r="H157" s="80"/>
      <c r="I157" s="81"/>
      <c r="J157" s="81"/>
      <c r="K157" s="80"/>
      <c r="L157" s="80"/>
    </row>
    <row r="158" spans="4:12" x14ac:dyDescent="0.3">
      <c r="D158" s="2" t="str">
        <f t="shared" si="2"/>
        <v>Tesco</v>
      </c>
      <c r="E158" s="1" t="s">
        <v>112</v>
      </c>
      <c r="F158" s="1"/>
      <c r="G158" s="80"/>
      <c r="H158" s="80"/>
      <c r="I158" s="81"/>
      <c r="J158" s="81"/>
      <c r="K158" s="80"/>
      <c r="L158" s="80"/>
    </row>
    <row r="159" spans="4:12" x14ac:dyDescent="0.3">
      <c r="D159" s="2" t="str">
        <f t="shared" si="2"/>
        <v>Tesco</v>
      </c>
      <c r="E159" s="1" t="s">
        <v>112</v>
      </c>
      <c r="F159" s="1"/>
      <c r="G159" s="80"/>
      <c r="H159" s="80"/>
      <c r="I159" s="81"/>
      <c r="J159" s="81"/>
      <c r="K159" s="80"/>
      <c r="L159" s="80"/>
    </row>
    <row r="160" spans="4:12" x14ac:dyDescent="0.3">
      <c r="D160" s="2" t="str">
        <f t="shared" si="2"/>
        <v>Tesco</v>
      </c>
      <c r="E160" s="1" t="s">
        <v>112</v>
      </c>
      <c r="F160" s="1"/>
      <c r="G160" s="80"/>
      <c r="H160" s="80"/>
      <c r="I160" s="81"/>
      <c r="J160" s="81"/>
      <c r="K160" s="80"/>
      <c r="L160" s="80"/>
    </row>
    <row r="161" spans="4:12" x14ac:dyDescent="0.3">
      <c r="D161" s="2" t="str">
        <f t="shared" si="2"/>
        <v>Tesco</v>
      </c>
      <c r="E161" s="1" t="s">
        <v>112</v>
      </c>
      <c r="F161" s="1"/>
      <c r="G161" s="80"/>
      <c r="H161" s="80"/>
      <c r="I161" s="81"/>
      <c r="J161" s="81"/>
      <c r="K161" s="80"/>
      <c r="L161" s="80"/>
    </row>
    <row r="162" spans="4:12" x14ac:dyDescent="0.3">
      <c r="D162" s="2" t="str">
        <f t="shared" si="2"/>
        <v>Tesco</v>
      </c>
      <c r="E162" s="1" t="s">
        <v>112</v>
      </c>
      <c r="F162" s="1"/>
      <c r="G162" s="80"/>
      <c r="H162" s="80"/>
      <c r="I162" s="81"/>
      <c r="J162" s="81"/>
      <c r="K162" s="80"/>
      <c r="L162" s="80"/>
    </row>
    <row r="163" spans="4:12" x14ac:dyDescent="0.3">
      <c r="D163" s="2" t="str">
        <f t="shared" si="2"/>
        <v>Tesco</v>
      </c>
      <c r="E163" s="1" t="s">
        <v>112</v>
      </c>
      <c r="F163" s="1"/>
      <c r="G163" s="80"/>
      <c r="H163" s="80"/>
      <c r="I163" s="81"/>
      <c r="J163" s="81"/>
      <c r="K163" s="80"/>
      <c r="L163" s="80"/>
    </row>
    <row r="164" spans="4:12" x14ac:dyDescent="0.3">
      <c r="D164" s="2" t="str">
        <f t="shared" si="2"/>
        <v>Tesco</v>
      </c>
      <c r="E164" s="1" t="s">
        <v>112</v>
      </c>
      <c r="F164" s="1"/>
      <c r="G164" s="80"/>
      <c r="H164" s="80"/>
      <c r="I164" s="81"/>
      <c r="J164" s="81"/>
      <c r="K164" s="80"/>
      <c r="L164" s="80"/>
    </row>
    <row r="165" spans="4:12" x14ac:dyDescent="0.3">
      <c r="D165" s="2" t="str">
        <f t="shared" si="2"/>
        <v>Tesco</v>
      </c>
      <c r="E165" s="1" t="s">
        <v>112</v>
      </c>
      <c r="F165" s="1"/>
      <c r="G165" s="80"/>
      <c r="H165" s="80"/>
      <c r="I165" s="81"/>
      <c r="J165" s="81"/>
      <c r="K165" s="80"/>
      <c r="L165" s="80"/>
    </row>
    <row r="166" spans="4:12" x14ac:dyDescent="0.3">
      <c r="D166" s="2" t="str">
        <f t="shared" si="2"/>
        <v>Tesco</v>
      </c>
      <c r="E166" s="1" t="s">
        <v>112</v>
      </c>
      <c r="F166" s="1"/>
      <c r="G166" s="80"/>
      <c r="H166" s="80"/>
      <c r="I166" s="81"/>
      <c r="J166" s="81"/>
      <c r="K166" s="80"/>
      <c r="L166" s="80"/>
    </row>
    <row r="167" spans="4:12" x14ac:dyDescent="0.3">
      <c r="D167" s="2" t="str">
        <f t="shared" si="2"/>
        <v>Tesco</v>
      </c>
      <c r="E167" s="1" t="s">
        <v>112</v>
      </c>
      <c r="F167" s="1"/>
      <c r="G167" s="80"/>
      <c r="H167" s="80"/>
      <c r="I167" s="81"/>
      <c r="J167" s="81"/>
      <c r="K167" s="80"/>
      <c r="L167" s="80"/>
    </row>
    <row r="168" spans="4:12" x14ac:dyDescent="0.3">
      <c r="D168" s="2" t="str">
        <f t="shared" si="2"/>
        <v>Tesco</v>
      </c>
      <c r="E168" s="1" t="s">
        <v>112</v>
      </c>
      <c r="F168" s="1"/>
      <c r="G168" s="80"/>
      <c r="H168" s="80"/>
      <c r="I168" s="81"/>
      <c r="J168" s="81"/>
      <c r="K168" s="80"/>
      <c r="L168" s="80"/>
    </row>
    <row r="169" spans="4:12" x14ac:dyDescent="0.3">
      <c r="D169" s="2" t="str">
        <f t="shared" si="2"/>
        <v>Tesco</v>
      </c>
      <c r="E169" s="1" t="s">
        <v>112</v>
      </c>
      <c r="F169" s="1"/>
      <c r="G169" s="80"/>
      <c r="H169" s="80"/>
      <c r="I169" s="81"/>
      <c r="J169" s="81"/>
      <c r="K169" s="80"/>
      <c r="L169" s="80"/>
    </row>
    <row r="170" spans="4:12" x14ac:dyDescent="0.3">
      <c r="D170" s="2" t="str">
        <f t="shared" si="2"/>
        <v>Tesco</v>
      </c>
      <c r="E170" s="1" t="s">
        <v>112</v>
      </c>
      <c r="F170" s="1"/>
      <c r="G170" s="80"/>
      <c r="H170" s="80"/>
      <c r="I170" s="81"/>
      <c r="J170" s="81"/>
      <c r="K170" s="80"/>
      <c r="L170" s="80"/>
    </row>
    <row r="171" spans="4:12" x14ac:dyDescent="0.3">
      <c r="D171" s="2" t="str">
        <f t="shared" si="2"/>
        <v>Tesco</v>
      </c>
      <c r="E171" s="1" t="s">
        <v>112</v>
      </c>
      <c r="F171" s="1"/>
      <c r="G171" s="80"/>
      <c r="H171" s="80"/>
      <c r="I171" s="81"/>
      <c r="J171" s="81"/>
      <c r="K171" s="80"/>
      <c r="L171" s="80"/>
    </row>
    <row r="172" spans="4:12" x14ac:dyDescent="0.3">
      <c r="D172" s="2" t="str">
        <f t="shared" si="2"/>
        <v>Tesco</v>
      </c>
      <c r="E172" s="1" t="s">
        <v>112</v>
      </c>
      <c r="F172" s="1"/>
      <c r="G172" s="80"/>
      <c r="H172" s="80"/>
      <c r="I172" s="81"/>
      <c r="J172" s="81"/>
      <c r="K172" s="80"/>
      <c r="L172" s="80"/>
    </row>
    <row r="173" spans="4:12" x14ac:dyDescent="0.3">
      <c r="D173" s="2" t="str">
        <f t="shared" si="2"/>
        <v>Tesco</v>
      </c>
      <c r="E173" s="1" t="s">
        <v>112</v>
      </c>
      <c r="F173" s="1"/>
      <c r="G173" s="80"/>
      <c r="H173" s="80"/>
      <c r="I173" s="81"/>
      <c r="J173" s="81"/>
      <c r="K173" s="80"/>
      <c r="L173" s="80"/>
    </row>
    <row r="174" spans="4:12" x14ac:dyDescent="0.3">
      <c r="D174" s="2" t="str">
        <f t="shared" si="2"/>
        <v>Tesco</v>
      </c>
      <c r="E174" s="1" t="s">
        <v>112</v>
      </c>
      <c r="F174" s="1"/>
      <c r="G174" s="80"/>
      <c r="H174" s="80"/>
      <c r="I174" s="81"/>
      <c r="J174" s="81"/>
      <c r="K174" s="80"/>
      <c r="L174" s="80"/>
    </row>
    <row r="175" spans="4:12" x14ac:dyDescent="0.3">
      <c r="D175" s="2" t="str">
        <f t="shared" si="2"/>
        <v>Tesco</v>
      </c>
      <c r="E175" s="1" t="s">
        <v>112</v>
      </c>
      <c r="F175" s="1"/>
      <c r="G175" s="80"/>
      <c r="H175" s="80"/>
      <c r="I175" s="81"/>
      <c r="J175" s="81"/>
      <c r="K175" s="80"/>
      <c r="L175" s="80"/>
    </row>
    <row r="176" spans="4:12" x14ac:dyDescent="0.3">
      <c r="D176" s="2" t="str">
        <f t="shared" si="2"/>
        <v>Tesco</v>
      </c>
      <c r="E176" s="1" t="s">
        <v>112</v>
      </c>
      <c r="F176" s="1"/>
      <c r="G176" s="80"/>
      <c r="H176" s="80"/>
      <c r="I176" s="81"/>
      <c r="J176" s="81"/>
      <c r="K176" s="80"/>
      <c r="L176" s="80"/>
    </row>
    <row r="177" spans="4:12" x14ac:dyDescent="0.3">
      <c r="D177" s="2" t="str">
        <f t="shared" si="2"/>
        <v>Tesco</v>
      </c>
      <c r="E177" s="1" t="s">
        <v>112</v>
      </c>
      <c r="F177" s="1"/>
      <c r="G177" s="80"/>
      <c r="H177" s="80"/>
      <c r="I177" s="81"/>
      <c r="J177" s="81"/>
      <c r="K177" s="80"/>
      <c r="L177" s="80"/>
    </row>
    <row r="178" spans="4:12" x14ac:dyDescent="0.3">
      <c r="D178" s="2" t="str">
        <f t="shared" si="2"/>
        <v>Tesco</v>
      </c>
      <c r="E178" s="1" t="s">
        <v>112</v>
      </c>
      <c r="F178" s="1"/>
      <c r="G178" s="80"/>
      <c r="H178" s="80"/>
      <c r="I178" s="81"/>
      <c r="J178" s="81"/>
      <c r="K178" s="80"/>
      <c r="L178" s="80"/>
    </row>
    <row r="179" spans="4:12" x14ac:dyDescent="0.3">
      <c r="D179" s="2" t="str">
        <f t="shared" si="2"/>
        <v>Tesco</v>
      </c>
      <c r="E179" s="1" t="s">
        <v>112</v>
      </c>
      <c r="F179" s="1"/>
      <c r="G179" s="80"/>
      <c r="H179" s="80"/>
      <c r="I179" s="81"/>
      <c r="J179" s="81"/>
      <c r="K179" s="80"/>
      <c r="L179" s="80"/>
    </row>
    <row r="180" spans="4:12" x14ac:dyDescent="0.3">
      <c r="D180" s="2" t="str">
        <f t="shared" si="2"/>
        <v>Tesco</v>
      </c>
      <c r="E180" s="1" t="s">
        <v>112</v>
      </c>
      <c r="F180" s="1"/>
      <c r="G180" s="80"/>
      <c r="H180" s="80"/>
      <c r="I180" s="81"/>
      <c r="J180" s="81"/>
      <c r="K180" s="80"/>
      <c r="L180" s="80"/>
    </row>
    <row r="181" spans="4:12" x14ac:dyDescent="0.3">
      <c r="D181" s="2" t="str">
        <f t="shared" si="2"/>
        <v>Tesco</v>
      </c>
      <c r="E181" s="1" t="s">
        <v>112</v>
      </c>
      <c r="F181" s="1"/>
      <c r="G181" s="80"/>
      <c r="H181" s="80"/>
      <c r="I181" s="81"/>
      <c r="J181" s="81"/>
      <c r="K181" s="80"/>
      <c r="L181" s="80"/>
    </row>
    <row r="182" spans="4:12" x14ac:dyDescent="0.3">
      <c r="D182" s="2" t="str">
        <f t="shared" si="2"/>
        <v>Tesco</v>
      </c>
      <c r="E182" s="1" t="s">
        <v>112</v>
      </c>
      <c r="F182" s="1"/>
      <c r="G182" s="80"/>
      <c r="H182" s="80"/>
      <c r="I182" s="81"/>
      <c r="J182" s="81"/>
      <c r="K182" s="80"/>
      <c r="L182" s="80"/>
    </row>
    <row r="183" spans="4:12" x14ac:dyDescent="0.3">
      <c r="D183" s="2" t="str">
        <f t="shared" si="2"/>
        <v>Tesco</v>
      </c>
      <c r="E183" s="1" t="s">
        <v>112</v>
      </c>
      <c r="F183" s="1"/>
      <c r="G183" s="80"/>
      <c r="H183" s="80"/>
      <c r="I183" s="81"/>
      <c r="J183" s="81"/>
      <c r="K183" s="80"/>
      <c r="L183" s="80"/>
    </row>
    <row r="184" spans="4:12" x14ac:dyDescent="0.3">
      <c r="D184" s="2" t="str">
        <f t="shared" si="2"/>
        <v>Tesco</v>
      </c>
      <c r="E184" s="1" t="s">
        <v>112</v>
      </c>
      <c r="F184" s="1"/>
      <c r="G184" s="80"/>
      <c r="H184" s="80"/>
      <c r="I184" s="81"/>
      <c r="J184" s="81"/>
      <c r="K184" s="80"/>
      <c r="L184" s="80"/>
    </row>
    <row r="185" spans="4:12" x14ac:dyDescent="0.3">
      <c r="D185" s="2" t="str">
        <f t="shared" si="2"/>
        <v>Tesco</v>
      </c>
      <c r="E185" s="1" t="s">
        <v>112</v>
      </c>
      <c r="F185" s="1"/>
      <c r="G185" s="80"/>
      <c r="H185" s="80"/>
      <c r="I185" s="81"/>
      <c r="J185" s="81"/>
      <c r="K185" s="80"/>
      <c r="L185" s="80"/>
    </row>
    <row r="186" spans="4:12" x14ac:dyDescent="0.3">
      <c r="D186" s="2" t="str">
        <f t="shared" si="2"/>
        <v>Tesco</v>
      </c>
      <c r="E186" s="1" t="s">
        <v>112</v>
      </c>
      <c r="F186" s="1"/>
      <c r="G186" s="80"/>
      <c r="H186" s="80"/>
      <c r="I186" s="81"/>
      <c r="J186" s="81"/>
      <c r="K186" s="80"/>
      <c r="L186" s="80"/>
    </row>
    <row r="187" spans="4:12" x14ac:dyDescent="0.3">
      <c r="D187" s="2" t="str">
        <f t="shared" si="2"/>
        <v>Tesco</v>
      </c>
      <c r="E187" s="1" t="s">
        <v>112</v>
      </c>
      <c r="F187" s="1"/>
      <c r="G187" s="80"/>
      <c r="H187" s="80"/>
      <c r="I187" s="81"/>
      <c r="J187" s="81"/>
      <c r="K187" s="80"/>
      <c r="L187" s="80"/>
    </row>
    <row r="188" spans="4:12" x14ac:dyDescent="0.3">
      <c r="D188" s="2" t="str">
        <f t="shared" si="2"/>
        <v>Tesco</v>
      </c>
      <c r="E188" s="1" t="s">
        <v>112</v>
      </c>
      <c r="F188" s="1"/>
      <c r="G188" s="80"/>
      <c r="H188" s="80"/>
      <c r="I188" s="81"/>
      <c r="J188" s="81"/>
      <c r="K188" s="80"/>
      <c r="L188" s="80"/>
    </row>
    <row r="189" spans="4:12" x14ac:dyDescent="0.3">
      <c r="D189" s="2" t="str">
        <f t="shared" si="2"/>
        <v>Tesco</v>
      </c>
      <c r="E189" s="1" t="s">
        <v>112</v>
      </c>
      <c r="F189" s="1"/>
      <c r="G189" s="80"/>
      <c r="H189" s="80"/>
      <c r="I189" s="81"/>
      <c r="J189" s="81"/>
      <c r="K189" s="80"/>
      <c r="L189" s="80"/>
    </row>
    <row r="190" spans="4:12" x14ac:dyDescent="0.3">
      <c r="D190" s="2" t="str">
        <f t="shared" si="2"/>
        <v>Tesco</v>
      </c>
      <c r="E190" s="1" t="s">
        <v>112</v>
      </c>
      <c r="F190" s="1"/>
      <c r="G190" s="80"/>
      <c r="H190" s="80"/>
      <c r="I190" s="81"/>
      <c r="J190" s="81"/>
      <c r="K190" s="80"/>
      <c r="L190" s="80"/>
    </row>
    <row r="191" spans="4:12" x14ac:dyDescent="0.3">
      <c r="D191" s="2" t="str">
        <f t="shared" si="2"/>
        <v>Tesco</v>
      </c>
      <c r="E191" s="1" t="s">
        <v>112</v>
      </c>
      <c r="F191" s="1"/>
      <c r="G191" s="80"/>
      <c r="H191" s="80"/>
      <c r="I191" s="81"/>
      <c r="J191" s="81"/>
      <c r="K191" s="80"/>
      <c r="L191" s="80"/>
    </row>
    <row r="192" spans="4:12" x14ac:dyDescent="0.3">
      <c r="D192" s="2" t="str">
        <f t="shared" si="2"/>
        <v>Tesco</v>
      </c>
      <c r="E192" s="1" t="s">
        <v>112</v>
      </c>
      <c r="F192" s="1"/>
      <c r="G192" s="80"/>
      <c r="H192" s="80"/>
      <c r="I192" s="81"/>
      <c r="J192" s="81"/>
      <c r="K192" s="80"/>
      <c r="L192" s="80"/>
    </row>
    <row r="193" spans="4:12" x14ac:dyDescent="0.3">
      <c r="D193" s="2" t="str">
        <f t="shared" si="2"/>
        <v>Tesco</v>
      </c>
      <c r="E193" s="1" t="s">
        <v>112</v>
      </c>
      <c r="F193" s="1"/>
      <c r="G193" s="80"/>
      <c r="H193" s="80"/>
      <c r="I193" s="81"/>
      <c r="J193" s="81"/>
      <c r="K193" s="80"/>
      <c r="L193" s="80"/>
    </row>
    <row r="194" spans="4:12" x14ac:dyDescent="0.3">
      <c r="D194" s="2" t="str">
        <f t="shared" si="2"/>
        <v>Tesco</v>
      </c>
      <c r="E194" s="1" t="s">
        <v>112</v>
      </c>
      <c r="F194" s="1"/>
      <c r="G194" s="80"/>
      <c r="H194" s="80"/>
      <c r="I194" s="81"/>
      <c r="J194" s="81"/>
      <c r="K194" s="80"/>
      <c r="L194" s="80"/>
    </row>
    <row r="195" spans="4:12" x14ac:dyDescent="0.3">
      <c r="D195" s="2" t="str">
        <f t="shared" si="2"/>
        <v>Tesco</v>
      </c>
      <c r="E195" s="1" t="s">
        <v>112</v>
      </c>
      <c r="F195" s="1"/>
      <c r="G195" s="80"/>
      <c r="H195" s="80"/>
      <c r="I195" s="81"/>
      <c r="J195" s="81"/>
      <c r="K195" s="80"/>
      <c r="L195" s="80"/>
    </row>
    <row r="196" spans="4:12" x14ac:dyDescent="0.3">
      <c r="D196" s="2" t="str">
        <f t="shared" ref="D196:D200" si="3">E196&amp;F196</f>
        <v>Tesco</v>
      </c>
      <c r="E196" s="1" t="s">
        <v>112</v>
      </c>
      <c r="F196" s="1"/>
      <c r="G196" s="80"/>
      <c r="H196" s="80"/>
      <c r="I196" s="81"/>
      <c r="J196" s="81"/>
      <c r="K196" s="80"/>
      <c r="L196" s="80"/>
    </row>
    <row r="197" spans="4:12" x14ac:dyDescent="0.3">
      <c r="D197" s="2" t="str">
        <f t="shared" si="3"/>
        <v>Tesco</v>
      </c>
      <c r="E197" s="1" t="s">
        <v>112</v>
      </c>
      <c r="F197" s="1"/>
      <c r="G197" s="80"/>
      <c r="H197" s="80"/>
      <c r="I197" s="81"/>
      <c r="J197" s="81"/>
      <c r="K197" s="80"/>
      <c r="L197" s="80"/>
    </row>
    <row r="198" spans="4:12" x14ac:dyDescent="0.3">
      <c r="D198" s="2" t="str">
        <f t="shared" si="3"/>
        <v>Tesco</v>
      </c>
      <c r="E198" s="1" t="s">
        <v>112</v>
      </c>
      <c r="F198" s="1"/>
      <c r="G198" s="80"/>
      <c r="H198" s="80"/>
      <c r="I198" s="81"/>
      <c r="J198" s="81"/>
      <c r="K198" s="80"/>
      <c r="L198" s="80"/>
    </row>
    <row r="199" spans="4:12" x14ac:dyDescent="0.3">
      <c r="D199" s="2" t="str">
        <f t="shared" si="3"/>
        <v>Tesco</v>
      </c>
      <c r="E199" s="1" t="s">
        <v>112</v>
      </c>
      <c r="F199" s="1"/>
      <c r="G199" s="80"/>
      <c r="H199" s="80"/>
      <c r="I199" s="81"/>
      <c r="J199" s="81"/>
      <c r="K199" s="80"/>
      <c r="L199" s="80"/>
    </row>
    <row r="200" spans="4:12" x14ac:dyDescent="0.3">
      <c r="D200" s="2" t="str">
        <f t="shared" si="3"/>
        <v>Tesco</v>
      </c>
      <c r="E200" s="1" t="s">
        <v>112</v>
      </c>
      <c r="F200" s="1"/>
      <c r="G200" s="80"/>
      <c r="H200" s="80"/>
      <c r="I200" s="81"/>
      <c r="J200" s="81"/>
      <c r="K200" s="80"/>
      <c r="L200" s="8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9E5A2-06D3-4B2F-A310-5A096ECE875F}">
  <sheetPr codeName="Sheet5">
    <tabColor theme="5" tint="0.79998168889431442"/>
  </sheetPr>
  <dimension ref="B1:BE24"/>
  <sheetViews>
    <sheetView workbookViewId="0">
      <selection activeCell="S11" sqref="S11:T11"/>
    </sheetView>
  </sheetViews>
  <sheetFormatPr defaultRowHeight="14.4" x14ac:dyDescent="0.3"/>
  <cols>
    <col min="1" max="1" width="3.77734375" customWidth="1"/>
    <col min="2" max="2" width="23.77734375" bestFit="1" customWidth="1"/>
    <col min="3" max="3" width="10.6640625" bestFit="1" customWidth="1"/>
    <col min="4" max="4" width="19.33203125" bestFit="1" customWidth="1"/>
    <col min="5" max="5" width="8" bestFit="1" customWidth="1"/>
    <col min="6" max="6" width="19.33203125" bestFit="1" customWidth="1"/>
    <col min="7" max="7" width="14.109375" bestFit="1" customWidth="1"/>
    <col min="8" max="10" width="12" bestFit="1" customWidth="1"/>
    <col min="11" max="11" width="15.109375" bestFit="1" customWidth="1"/>
    <col min="12" max="12" width="13.109375" bestFit="1" customWidth="1"/>
    <col min="13" max="13" width="11.88671875" bestFit="1" customWidth="1"/>
    <col min="14" max="14" width="8.21875" bestFit="1" customWidth="1"/>
    <col min="15" max="15" width="8.5546875" bestFit="1" customWidth="1"/>
    <col min="16" max="16" width="9" bestFit="1" customWidth="1"/>
    <col min="17" max="17" width="9.5546875" bestFit="1" customWidth="1"/>
    <col min="18" max="18" width="16.6640625" bestFit="1" customWidth="1"/>
    <col min="19" max="22" width="12.44140625" bestFit="1" customWidth="1"/>
    <col min="23" max="23" width="16.88671875" bestFit="1" customWidth="1"/>
    <col min="24" max="24" width="16.6640625" bestFit="1" customWidth="1"/>
    <col min="25" max="25" width="6.109375" bestFit="1" customWidth="1"/>
    <col min="26" max="26" width="13" bestFit="1" customWidth="1"/>
    <col min="27" max="27" width="14.109375" bestFit="1" customWidth="1"/>
    <col min="28" max="28" width="12" bestFit="1" customWidth="1"/>
    <col min="29" max="30" width="13" bestFit="1" customWidth="1"/>
    <col min="31" max="31" width="10.77734375" bestFit="1" customWidth="1"/>
    <col min="32" max="32" width="12.109375" bestFit="1" customWidth="1"/>
    <col min="33" max="33" width="13.77734375" bestFit="1" customWidth="1"/>
    <col min="34" max="34" width="13.33203125" bestFit="1" customWidth="1"/>
    <col min="35" max="35" width="13.21875" bestFit="1" customWidth="1"/>
    <col min="36" max="36" width="18.5546875" bestFit="1" customWidth="1"/>
    <col min="37" max="37" width="20.109375" bestFit="1" customWidth="1"/>
    <col min="38" max="38" width="18.5546875" bestFit="1" customWidth="1"/>
    <col min="39" max="39" width="17.21875" bestFit="1" customWidth="1"/>
    <col min="40" max="41" width="13.88671875" bestFit="1" customWidth="1"/>
    <col min="42" max="42" width="14.109375" bestFit="1" customWidth="1"/>
    <col min="43" max="45" width="12.44140625" bestFit="1" customWidth="1"/>
    <col min="46" max="46" width="14.109375" bestFit="1" customWidth="1"/>
    <col min="47" max="48" width="12" bestFit="1" customWidth="1"/>
    <col min="49" max="49" width="13.109375" bestFit="1" customWidth="1"/>
    <col min="50" max="50" width="15.21875" customWidth="1"/>
    <col min="51" max="51" width="18.33203125" bestFit="1" customWidth="1"/>
    <col min="52" max="57" width="15.21875" customWidth="1"/>
    <col min="58" max="75" width="12" bestFit="1" customWidth="1"/>
  </cols>
  <sheetData>
    <row r="1" spans="2:57" x14ac:dyDescent="0.3">
      <c r="B1" s="85" t="s">
        <v>88</v>
      </c>
      <c r="I1" s="15" t="s">
        <v>93</v>
      </c>
      <c r="P1" s="15" t="s">
        <v>89</v>
      </c>
      <c r="Y1" s="15" t="s">
        <v>90</v>
      </c>
      <c r="AR1" s="15" t="s">
        <v>92</v>
      </c>
      <c r="AS1" s="15" t="s">
        <v>91</v>
      </c>
      <c r="AX1" s="15" t="s">
        <v>94</v>
      </c>
      <c r="AY1" s="4"/>
      <c r="AZ1" s="4"/>
    </row>
    <row r="2" spans="2:57" x14ac:dyDescent="0.3">
      <c r="B2" s="83" t="str">
        <f>"L0_"&amp;B3</f>
        <v>L0_Graph_Colour</v>
      </c>
      <c r="D2" s="4" t="str">
        <f t="shared" ref="D2:F2" si="0">"L0_"&amp;D3</f>
        <v>L0_Key_Brand</v>
      </c>
      <c r="E2" s="4" t="str">
        <f t="shared" si="0"/>
        <v>L0_Channel</v>
      </c>
      <c r="F2" s="4" t="str">
        <f t="shared" si="0"/>
        <v>L0_Brand</v>
      </c>
      <c r="G2" s="4" t="str">
        <f>"L0_"&amp;G3</f>
        <v>L0_RSV</v>
      </c>
      <c r="H2" s="4" t="str">
        <f t="shared" ref="H2:BE2" si="1">"L0_"&amp;H3</f>
        <v>L0_Vol</v>
      </c>
      <c r="I2" s="4" t="str">
        <f t="shared" si="1"/>
        <v>L0_CSF</v>
      </c>
      <c r="J2" s="4" t="str">
        <f t="shared" si="1"/>
        <v>L0_MCV</v>
      </c>
      <c r="K2" s="4" t="str">
        <f t="shared" si="1"/>
        <v>L0_RSV_Total</v>
      </c>
      <c r="L2" s="4" t="str">
        <f t="shared" si="1"/>
        <v>L0_Volume_Total</v>
      </c>
      <c r="M2" s="4" t="str">
        <f t="shared" si="1"/>
        <v>L0_Current Price</v>
      </c>
      <c r="N2" s="4" t="str">
        <f t="shared" si="1"/>
        <v>L0_Price_FP</v>
      </c>
      <c r="O2" s="4" t="str">
        <f t="shared" si="1"/>
        <v>L0_Elasticity</v>
      </c>
      <c r="P2" s="4" t="str">
        <f t="shared" si="1"/>
        <v>L0_Val Share</v>
      </c>
      <c r="Q2" s="4" t="str">
        <f t="shared" si="1"/>
        <v>L0_Vol. Share</v>
      </c>
      <c r="R2" s="4" t="str">
        <f t="shared" si="1"/>
        <v>L0_NSV_to_RSV_o</v>
      </c>
      <c r="S2" s="4" t="str">
        <f t="shared" si="1"/>
        <v>L0_NSV_to_GM_o</v>
      </c>
      <c r="T2" s="4" t="str">
        <f t="shared" si="1"/>
        <v>L0_NSV_o</v>
      </c>
      <c r="U2" s="4" t="str">
        <f t="shared" si="1"/>
        <v>L0_GM_o</v>
      </c>
      <c r="V2" s="4" t="str">
        <f t="shared" si="1"/>
        <v>L0_Fixed Cost</v>
      </c>
      <c r="W2" s="4" t="str">
        <f t="shared" si="1"/>
        <v>L0_Fixed Cost per Unit</v>
      </c>
      <c r="X2" s="4" t="str">
        <f t="shared" si="1"/>
        <v>L0_TPV</v>
      </c>
      <c r="Y2" s="4" t="str">
        <f t="shared" si="1"/>
        <v>L0_PVS</v>
      </c>
      <c r="Z2" s="4" t="str">
        <f t="shared" si="1"/>
        <v>L0_MS Headroom</v>
      </c>
      <c r="AA2" s="4" t="str">
        <f t="shared" si="1"/>
        <v>L0_RSV_i</v>
      </c>
      <c r="AB2" s="4" t="str">
        <f t="shared" si="1"/>
        <v>L0_Vol_i</v>
      </c>
      <c r="AC2" s="4" t="str">
        <f t="shared" si="1"/>
        <v>L0_NSV_i</v>
      </c>
      <c r="AD2" s="4" t="str">
        <f t="shared" si="1"/>
        <v>L0_GM_i</v>
      </c>
      <c r="AE2" s="4" t="str">
        <f t="shared" si="1"/>
        <v>L0_Vol_Share_i</v>
      </c>
      <c r="AF2" s="4" t="str">
        <f t="shared" si="1"/>
        <v>L0_New Price</v>
      </c>
      <c r="AG2" s="4" t="str">
        <f t="shared" si="1"/>
        <v>L0_NSV_to_RSV</v>
      </c>
      <c r="AH2" s="4" t="str">
        <f t="shared" si="1"/>
        <v>L0_NSV_to_GM</v>
      </c>
      <c r="AI2" s="4" t="str">
        <f t="shared" si="1"/>
        <v>L0_Price_Chng</v>
      </c>
      <c r="AJ2" s="4" t="str">
        <f t="shared" si="1"/>
        <v>L0_Revised_New_Vol</v>
      </c>
      <c r="AK2" s="4" t="str">
        <f t="shared" si="1"/>
        <v>L0_New Category Price</v>
      </c>
      <c r="AL2" s="4" t="str">
        <f t="shared" si="1"/>
        <v>L0_Chg Category Price</v>
      </c>
      <c r="AM2" s="4" t="str">
        <f t="shared" si="1"/>
        <v>L0_Chng in Cat Vol.</v>
      </c>
      <c r="AN2" s="4" t="str">
        <f t="shared" si="1"/>
        <v>L0_New Cat Vol</v>
      </c>
      <c r="AO2" s="4" t="str">
        <f t="shared" si="1"/>
        <v>L0_New Cat Val</v>
      </c>
      <c r="AP2" s="4" t="str">
        <f t="shared" si="1"/>
        <v>L0_TPV_n</v>
      </c>
      <c r="AQ2" s="4" t="str">
        <f t="shared" si="1"/>
        <v>L0_TPV_Share</v>
      </c>
      <c r="AR2" s="4" t="str">
        <f t="shared" si="1"/>
        <v>L0_PVS_N</v>
      </c>
      <c r="AS2" s="4" t="str">
        <f t="shared" si="1"/>
        <v>L0_MSP_N</v>
      </c>
      <c r="AT2" s="4" t="str">
        <f t="shared" si="1"/>
        <v>L0_RSV_N</v>
      </c>
      <c r="AU2" s="4" t="str">
        <f t="shared" si="1"/>
        <v>L0_New Vol</v>
      </c>
      <c r="AV2" s="4" t="str">
        <f t="shared" si="1"/>
        <v>L0_New NSV</v>
      </c>
      <c r="AW2" s="4" t="str">
        <f t="shared" si="1"/>
        <v>L0_New GP</v>
      </c>
      <c r="AX2" s="4" t="str">
        <f t="shared" si="1"/>
        <v>L0_Final CSF</v>
      </c>
      <c r="AY2" s="4" t="str">
        <f t="shared" si="1"/>
        <v>L0_Simulated Vol Share</v>
      </c>
      <c r="AZ2" s="70" t="str">
        <f t="shared" si="1"/>
        <v>L0_Current RPI_1</v>
      </c>
      <c r="BA2" s="70" t="str">
        <f t="shared" si="1"/>
        <v>L0_Current RPI_2</v>
      </c>
      <c r="BB2" s="70" t="str">
        <f t="shared" si="1"/>
        <v>L0_Current RPI_3</v>
      </c>
      <c r="BC2" s="70" t="str">
        <f t="shared" si="1"/>
        <v>L0_Proposed RPI_1</v>
      </c>
      <c r="BD2" s="70" t="str">
        <f t="shared" si="1"/>
        <v>L0_Proposed RPI_2</v>
      </c>
      <c r="BE2" s="70" t="str">
        <f t="shared" si="1"/>
        <v>L0_Proposed RPI_3</v>
      </c>
    </row>
    <row r="3" spans="2:57" x14ac:dyDescent="0.3">
      <c r="B3" s="83" t="s">
        <v>82</v>
      </c>
      <c r="D3" s="4" t="s">
        <v>38</v>
      </c>
      <c r="E3" s="4" t="s">
        <v>0</v>
      </c>
      <c r="F3" s="4" t="s">
        <v>1</v>
      </c>
      <c r="G3" s="6" t="s">
        <v>2</v>
      </c>
      <c r="H3" s="6" t="s">
        <v>3</v>
      </c>
      <c r="I3" s="6" t="s">
        <v>4</v>
      </c>
      <c r="J3" s="6" t="s">
        <v>5</v>
      </c>
      <c r="K3" s="6" t="s">
        <v>6</v>
      </c>
      <c r="L3" s="6" t="s">
        <v>7</v>
      </c>
      <c r="M3" s="5" t="s">
        <v>9</v>
      </c>
      <c r="N3" s="5" t="s">
        <v>11</v>
      </c>
      <c r="O3" s="5" t="s">
        <v>10</v>
      </c>
      <c r="P3" s="5" t="s">
        <v>18</v>
      </c>
      <c r="Q3" s="5" t="s">
        <v>17</v>
      </c>
      <c r="R3" s="5" t="s">
        <v>24</v>
      </c>
      <c r="S3" s="5" t="s">
        <v>25</v>
      </c>
      <c r="T3" s="9" t="s">
        <v>26</v>
      </c>
      <c r="U3" s="9" t="s">
        <v>27</v>
      </c>
      <c r="V3" s="9" t="s">
        <v>43</v>
      </c>
      <c r="W3" s="9" t="s">
        <v>44</v>
      </c>
      <c r="X3" s="5" t="s">
        <v>20</v>
      </c>
      <c r="Y3" s="5" t="s">
        <v>21</v>
      </c>
      <c r="Z3" s="5" t="s">
        <v>22</v>
      </c>
      <c r="AA3" s="5" t="s">
        <v>64</v>
      </c>
      <c r="AB3" s="5" t="s">
        <v>23</v>
      </c>
      <c r="AC3" s="5" t="s">
        <v>19</v>
      </c>
      <c r="AD3" s="5" t="s">
        <v>65</v>
      </c>
      <c r="AE3" s="117" t="s">
        <v>100</v>
      </c>
      <c r="AF3" s="5" t="s">
        <v>12</v>
      </c>
      <c r="AG3" s="23" t="s">
        <v>15</v>
      </c>
      <c r="AH3" s="23" t="s">
        <v>16</v>
      </c>
      <c r="AI3" s="5" t="s">
        <v>13</v>
      </c>
      <c r="AJ3" s="5" t="s">
        <v>14</v>
      </c>
      <c r="AK3" s="14" t="s">
        <v>28</v>
      </c>
      <c r="AL3" s="14" t="s">
        <v>79</v>
      </c>
      <c r="AM3" s="15" t="s">
        <v>29</v>
      </c>
      <c r="AN3" s="15" t="s">
        <v>31</v>
      </c>
      <c r="AO3" s="15" t="s">
        <v>32</v>
      </c>
      <c r="AP3" s="4" t="s">
        <v>33</v>
      </c>
      <c r="AQ3" s="4" t="s">
        <v>34</v>
      </c>
      <c r="AR3" s="4" t="s">
        <v>40</v>
      </c>
      <c r="AS3" s="4" t="s">
        <v>41</v>
      </c>
      <c r="AT3" s="4" t="s">
        <v>42</v>
      </c>
      <c r="AU3" s="4" t="s">
        <v>35</v>
      </c>
      <c r="AV3" s="4" t="s">
        <v>36</v>
      </c>
      <c r="AW3" s="4" t="s">
        <v>37</v>
      </c>
      <c r="AX3" s="4" t="s">
        <v>66</v>
      </c>
      <c r="AY3" s="87" t="s">
        <v>95</v>
      </c>
      <c r="AZ3" s="70" t="s">
        <v>68</v>
      </c>
      <c r="BA3" s="70" t="s">
        <v>69</v>
      </c>
      <c r="BB3" s="70" t="s">
        <v>101</v>
      </c>
      <c r="BC3" s="70" t="s">
        <v>70</v>
      </c>
      <c r="BD3" s="70" t="s">
        <v>71</v>
      </c>
      <c r="BE3" s="70" t="s">
        <v>102</v>
      </c>
    </row>
    <row r="4" spans="2:57" ht="14.4" customHeight="1" x14ac:dyDescent="0.3">
      <c r="B4" s="84" t="s">
        <v>83</v>
      </c>
      <c r="C4" s="4">
        <v>1</v>
      </c>
      <c r="D4" s="78" t="str">
        <f>IFERROR(E4&amp;F4,"")</f>
        <v>TescoHEINZ</v>
      </c>
      <c r="E4" s="3" t="s">
        <v>112</v>
      </c>
      <c r="F4" s="79" t="str">
        <f>IFERROR(INDEX('Input - Tesco'!$N$3:$N$200,MATCH('Calculations - Tesco'!$C4,'Input - Tesco'!$O$3:$O$200,0)),"")</f>
        <v>HEINZ</v>
      </c>
      <c r="G4" s="16">
        <f>IFERROR(INDEX('Input - Tesco'!G$2:G$200,MATCH('Calculations - Tesco'!$D4,'Input - Tesco'!$D$2:$D$200,0)),"")</f>
        <v>4749417.71</v>
      </c>
      <c r="H4" s="16">
        <f>IFERROR(INDEX('Input - Tesco'!H$2:H$200,MATCH('Calculations - Tesco'!$D4,'Input - Tesco'!$D$2:$D$200,0)),"")</f>
        <v>825723.14500000002</v>
      </c>
      <c r="I4" s="20">
        <f>IFERROR(INDEX('Input - Tesco'!I$2:I$200,MATCH('Calculations - Tesco'!$D4,'Input - Tesco'!$D$2:$D$200,0)),"")</f>
        <v>1.86482942805162</v>
      </c>
      <c r="J4" s="20">
        <f>IFERROR(INDEX('Input - Tesco'!J$2:J$200,MATCH('Calculations - Tesco'!$D4,'Input - Tesco'!$D$2:$D$200,0)),"")</f>
        <v>10.7261785809789</v>
      </c>
      <c r="K4" s="16">
        <f>IFERROR(INDEX('Input - Tesco'!K$2:K$200,MATCH('Calculations - Tesco'!$D4,'Input - Tesco'!$D$2:$D$200,0)),"")</f>
        <v>13973565.050000001</v>
      </c>
      <c r="L4" s="16">
        <f>IFERROR(INDEX('Input - Tesco'!L$2:L$200,MATCH('Calculations - Tesco'!$D4,'Input - Tesco'!$D$2:$D$200,0)),"")</f>
        <v>2517540.87</v>
      </c>
      <c r="M4" s="17">
        <f>IFERROR(G4/H4,"")</f>
        <v>5.7518282474690716</v>
      </c>
      <c r="N4" s="17">
        <f t="shared" ref="N4:N24" si="2">IFERROR(K4/L4,"")</f>
        <v>5.5504819073701874</v>
      </c>
      <c r="O4" s="17">
        <f>IFERROR((M4/(M4-J4)*5),"")</f>
        <v>-5.7814868895760574</v>
      </c>
      <c r="P4" s="9">
        <f t="shared" ref="P4:P23" si="3">IFERROR(G4/SUM(G$4:G$23),"")</f>
        <v>0.34418993607351994</v>
      </c>
      <c r="Q4" s="9">
        <f t="shared" ref="Q4:Q23" si="4">IFERROR(H4/SUM(H$4:H$23),"")</f>
        <v>0.28843221987990647</v>
      </c>
      <c r="R4" s="8">
        <f>IFERROR(INDEX(Tesco!$U$12:$U$55,MATCH('Calculations - Tesco'!$D4,Tesco!$Q$12:$Q$55,0)),"-")</f>
        <v>0.8</v>
      </c>
      <c r="S4" s="8">
        <f>IFERROR(INDEX(Tesco!$V$12:$V$55,MATCH('Calculations - Tesco'!$D4,Tesco!$Q$12:$Q$55,0)),"-")</f>
        <v>0.3</v>
      </c>
      <c r="T4">
        <f>IFERROR(R4*G4,"-")</f>
        <v>3799534.1680000001</v>
      </c>
      <c r="U4">
        <f>IFERROR(S4*T4,"-")</f>
        <v>1139860.2504</v>
      </c>
      <c r="V4">
        <f>IFERROR(T4-U4,"-")</f>
        <v>2659673.9176000003</v>
      </c>
      <c r="W4">
        <f t="shared" ref="W4:W23" si="5">IFERROR(V4/H4,"-")</f>
        <v>3.2210238185826805</v>
      </c>
      <c r="X4" s="10">
        <f t="shared" ref="X4:X23" si="6">IFERROR((J4+M4)*H4*0.5,"-")</f>
        <v>6803135.8108587665</v>
      </c>
      <c r="Y4" s="7">
        <f>IFERROR(X4/$X$24,"")</f>
        <v>0.34492970194144845</v>
      </c>
      <c r="Z4" s="11">
        <f>IFERROR(Y4-P4,"-")</f>
        <v>7.3976586792851018E-4</v>
      </c>
      <c r="AA4">
        <f>IFERROR(Y4*$G$24,"-")</f>
        <v>4759625.6119348276</v>
      </c>
      <c r="AB4" s="13">
        <f t="shared" ref="AB4:AB23" si="7">IFERROR(AA4/M4,"-")</f>
        <v>827497.86800903967</v>
      </c>
      <c r="AC4" s="13">
        <f>IFERROR(R4*AA4,"-")</f>
        <v>3807700.4895478622</v>
      </c>
      <c r="AD4" s="13">
        <f>IFERROR(AC4-(W4)*AB4,"-")</f>
        <v>1142310.1468643583</v>
      </c>
      <c r="AE4" s="9">
        <f>IFERROR(AB4/$AB$24,"")</f>
        <v>0.28887779794073926</v>
      </c>
      <c r="AF4" s="10">
        <f>IFERROR(INDEX(Tesco!$T$12:$T$55,MATCH('Calculations - Tesco'!$D4,Tesco!$Q$12:$Q$55,0)),"-")</f>
        <v>5.7518282474690716</v>
      </c>
      <c r="AG4" s="22">
        <f>R4</f>
        <v>0.8</v>
      </c>
      <c r="AH4" s="22">
        <f>S4</f>
        <v>0.3</v>
      </c>
      <c r="AI4" s="9">
        <f t="shared" ref="AI4:AI23" si="8">IFERROR((AF4-M4)/M4,"")</f>
        <v>0</v>
      </c>
      <c r="AJ4" s="4">
        <f t="shared" ref="AJ4:AJ23" si="9">IFERROR(MAX((1+AI4*O4/5)*H4,0),"")</f>
        <v>825723.14500000002</v>
      </c>
      <c r="AK4" s="15">
        <f>SUMPRODUCT(AF$4:AF$23,AJ$4:AJ$23)/SUM(AJ$4:AJ$23)</f>
        <v>4.8200496758019282</v>
      </c>
      <c r="AL4" s="18">
        <f>$AK4/$M$24-1</f>
        <v>0</v>
      </c>
      <c r="AM4" s="18">
        <f>$AL4*$O$24/5</f>
        <v>0</v>
      </c>
      <c r="AN4" s="19">
        <f>(1+$AM4)*$H$24</f>
        <v>2862797.8709999998</v>
      </c>
      <c r="AO4" s="19">
        <f>AN4*AK4</f>
        <v>13798827.949999999</v>
      </c>
      <c r="AP4" s="16">
        <f t="shared" ref="AP4:AP23" si="10">IFERROR(0.5*(J4+AF4)*AJ4,"-")</f>
        <v>6803135.8108587665</v>
      </c>
      <c r="AQ4" s="11">
        <f>IFERROR(AP4/AP$24,"")</f>
        <v>0.34492970194144845</v>
      </c>
      <c r="AR4" s="9">
        <f>IFERROR(AQ4*$P$24,"")</f>
        <v>0.34492970194144845</v>
      </c>
      <c r="AS4" s="11">
        <f>IFERROR(AR4-P4,"")</f>
        <v>7.3976586792851018E-4</v>
      </c>
      <c r="AT4" s="13">
        <f>IFERROR(AR4*AO$4,"-")</f>
        <v>4759625.6119348276</v>
      </c>
      <c r="AU4" s="13">
        <f t="shared" ref="AU4:AU23" si="11">IFERROR(AT4/AF4,"-")</f>
        <v>827497.86800903967</v>
      </c>
      <c r="AV4" s="4">
        <f>IFERROR(AT4*AG4,"-")</f>
        <v>3807700.4895478622</v>
      </c>
      <c r="AW4" s="13">
        <f t="shared" ref="AW4:AW23" si="12">IFERROR(AV4-(W4*AU4),"-")</f>
        <v>1142310.1468643583</v>
      </c>
      <c r="AX4">
        <f t="shared" ref="AX4:AX23" si="13">IFERROR(J4/AF4,"")</f>
        <v>1.8648294280516198</v>
      </c>
      <c r="AY4" s="9">
        <f>IFERROR(AU4/$AU$24,"-")</f>
        <v>0.28887779794073926</v>
      </c>
      <c r="AZ4" s="16">
        <f>IFERROR(100*$M$4/$M4,"")</f>
        <v>100</v>
      </c>
      <c r="BA4" s="16">
        <f>IFERROR(100*$M$5/$M4,"")</f>
        <v>95.065970399670817</v>
      </c>
      <c r="BB4" s="16">
        <f>IFERROR(100*$M$6/$M4,"")</f>
        <v>119.87269343426681</v>
      </c>
      <c r="BC4" s="16">
        <f>IFERROR(100*$AF$4/$AF4,"")</f>
        <v>100</v>
      </c>
      <c r="BD4" s="16">
        <f>IFERROR(100*$AF$5/$AF4,"")</f>
        <v>95.065970399670817</v>
      </c>
      <c r="BE4" s="16">
        <f>IFERROR(100*$AF$6/$AF4,"")</f>
        <v>119.87269343426681</v>
      </c>
    </row>
    <row r="5" spans="2:57" ht="14.4" customHeight="1" x14ac:dyDescent="0.3">
      <c r="B5" s="84" t="s">
        <v>84</v>
      </c>
      <c r="C5" s="4">
        <v>2</v>
      </c>
      <c r="D5" s="78" t="str">
        <f t="shared" ref="D5:D24" si="14">IFERROR(E5&amp;F5,"")</f>
        <v>TescoHP</v>
      </c>
      <c r="E5" s="3" t="s">
        <v>112</v>
      </c>
      <c r="F5" s="79" t="str">
        <f>IFERROR(INDEX('Input - Tesco'!$N$3:$N$200,MATCH('Calculations - Tesco'!$C5,'Input - Tesco'!$O$3:$O$200,0)),"")</f>
        <v>HP</v>
      </c>
      <c r="G5" s="16">
        <f>IFERROR(INDEX('Input - Tesco'!G$2:G$200,MATCH('Calculations - Tesco'!$D5,'Input - Tesco'!$D$2:$D$200,0)),"")</f>
        <v>1500146.77</v>
      </c>
      <c r="H5" s="16">
        <f>IFERROR(INDEX('Input - Tesco'!H$2:H$200,MATCH('Calculations - Tesco'!$D5,'Input - Tesco'!$D$2:$D$200,0)),"")</f>
        <v>274348.60499999998</v>
      </c>
      <c r="I5" s="20">
        <f>IFERROR(INDEX('Input - Tesco'!I$2:I$200,MATCH('Calculations - Tesco'!$D5,'Input - Tesco'!$D$2:$D$200,0)),"")</f>
        <v>1.9951299106692399</v>
      </c>
      <c r="J5" s="20">
        <f>IFERROR(INDEX('Input - Tesco'!J$2:J$200,MATCH('Calculations - Tesco'!$D5,'Input - Tesco'!$D$2:$D$200,0)),"")</f>
        <v>10.909432877272501</v>
      </c>
      <c r="K5" s="16">
        <f>IFERROR(INDEX('Input - Tesco'!K$2:K$200,MATCH('Calculations - Tesco'!$D5,'Input - Tesco'!$D$2:$D$200,0)),"")</f>
        <v>4302347.4800000004</v>
      </c>
      <c r="L5" s="16">
        <f>IFERROR(INDEX('Input - Tesco'!L$2:L$200,MATCH('Calculations - Tesco'!$D5,'Input - Tesco'!$D$2:$D$200,0)),"")</f>
        <v>793780.57499999995</v>
      </c>
      <c r="M5" s="17">
        <f t="shared" ref="M5:M24" si="15">IFERROR(G5/H5,"")</f>
        <v>5.4680313391788529</v>
      </c>
      <c r="N5" s="17">
        <f t="shared" si="2"/>
        <v>5.420071510316312</v>
      </c>
      <c r="O5" s="17">
        <f t="shared" ref="O5:O24" si="16">IFERROR((M5/(M5-J5)*5),"")</f>
        <v>-5.0244696158689797</v>
      </c>
      <c r="P5" s="9">
        <f t="shared" si="3"/>
        <v>0.10871552101640633</v>
      </c>
      <c r="Q5" s="9">
        <f t="shared" si="4"/>
        <v>9.5832335135895452E-2</v>
      </c>
      <c r="R5" s="8">
        <f>IFERROR(INDEX(Tesco!$U$12:$U$55,MATCH('Calculations - Tesco'!$D5,Tesco!$Q$12:$Q$55,0)),"-")</f>
        <v>0.8</v>
      </c>
      <c r="S5" s="8">
        <f>IFERROR(INDEX(Tesco!$V$12:$V$55,MATCH('Calculations - Tesco'!$D5,Tesco!$Q$12:$Q$55,0)),"-")</f>
        <v>0.3</v>
      </c>
      <c r="T5">
        <f t="shared" ref="T5:T23" si="17">IFERROR(R5*G5,"-")</f>
        <v>1200117.416</v>
      </c>
      <c r="U5">
        <f t="shared" ref="U5:U23" si="18">IFERROR(S5*T5,"-")</f>
        <v>360035.22479999997</v>
      </c>
      <c r="V5">
        <f t="shared" ref="V5:V23" si="19">IFERROR(T5-U5,"-")</f>
        <v>840082.1912</v>
      </c>
      <c r="W5">
        <f t="shared" si="5"/>
        <v>3.0620975499401575</v>
      </c>
      <c r="X5" s="10">
        <f t="shared" si="6"/>
        <v>2246567.2306104233</v>
      </c>
      <c r="Y5" s="7">
        <f t="shared" ref="Y5:Y23" si="20">IFERROR(X5/$X$24,"")</f>
        <v>0.11390449739501249</v>
      </c>
      <c r="Z5" s="11">
        <f t="shared" ref="Z5:Z23" si="21">IFERROR(Y5-P5,"-")</f>
        <v>5.1889763786061582E-3</v>
      </c>
      <c r="AA5">
        <f t="shared" ref="AA5:AA23" si="22">IFERROR(Y5*$G$24,"-")</f>
        <v>1571748.5622850005</v>
      </c>
      <c r="AB5" s="13">
        <f t="shared" si="7"/>
        <v>287443.22495434596</v>
      </c>
      <c r="AC5" s="13">
        <f t="shared" ref="AC5:AC23" si="23">IFERROR(R5*AA5,"-")</f>
        <v>1257398.8498280004</v>
      </c>
      <c r="AD5" s="13">
        <f t="shared" ref="AD5:AD23" si="24">IFERROR(AC5-(W5)*AB5,"-")</f>
        <v>377219.6549484001</v>
      </c>
      <c r="AE5" s="9">
        <f t="shared" ref="AE5:AE23" si="25">IFERROR(AB5/$AB$24,"")</f>
        <v>0.10034583660932032</v>
      </c>
      <c r="AF5" s="10">
        <f>IFERROR(INDEX(Tesco!$T$12:$T$55,MATCH('Calculations - Tesco'!$D5,Tesco!$Q$12:$Q$55,0)),"-")</f>
        <v>5.4680313391788529</v>
      </c>
      <c r="AG5" s="22">
        <f t="shared" ref="AG5:AH23" si="26">R5</f>
        <v>0.8</v>
      </c>
      <c r="AH5" s="22">
        <f t="shared" si="26"/>
        <v>0.3</v>
      </c>
      <c r="AI5" s="9">
        <f t="shared" si="8"/>
        <v>0</v>
      </c>
      <c r="AJ5" s="4">
        <f t="shared" si="9"/>
        <v>274348.60499999998</v>
      </c>
      <c r="AP5" s="16">
        <f t="shared" si="10"/>
        <v>2246567.2306104233</v>
      </c>
      <c r="AQ5" s="11">
        <f t="shared" ref="AQ5:AQ24" si="27">IFERROR(AP5/AP$24,"")</f>
        <v>0.11390449739501249</v>
      </c>
      <c r="AR5" s="9">
        <f t="shared" ref="AR5:AR24" si="28">IFERROR(AQ5*$P$24,"")</f>
        <v>0.11390449739501249</v>
      </c>
      <c r="AS5" s="11">
        <f t="shared" ref="AS5:AS24" si="29">IFERROR(AR5-P5,"")</f>
        <v>5.1889763786061582E-3</v>
      </c>
      <c r="AT5" s="13">
        <f t="shared" ref="AT5:AT23" si="30">IFERROR(AR5*AO$4,"-")</f>
        <v>1571748.5622850005</v>
      </c>
      <c r="AU5" s="13">
        <f t="shared" si="11"/>
        <v>287443.22495434596</v>
      </c>
      <c r="AV5" s="4">
        <f t="shared" ref="AV5:AV23" si="31">IFERROR(AT5*AG5,"-")</f>
        <v>1257398.8498280004</v>
      </c>
      <c r="AW5" s="13">
        <f t="shared" si="12"/>
        <v>377219.6549484001</v>
      </c>
      <c r="AX5">
        <f t="shared" si="13"/>
        <v>1.9951299106692384</v>
      </c>
      <c r="AY5" s="9">
        <f t="shared" ref="AY5:AY23" si="32">IFERROR(AU5/$AU$24,"-")</f>
        <v>0.10034583660932032</v>
      </c>
      <c r="AZ5" s="16">
        <f t="shared" ref="AZ5:AZ24" si="33">IFERROR(100*$M$4/$M5,"")</f>
        <v>105.19011122443268</v>
      </c>
      <c r="BA5" s="16">
        <f t="shared" ref="BA5:BA24" si="34">IFERROR(100*$M$5/$M5,"")</f>
        <v>99.999999999999986</v>
      </c>
      <c r="BB5" s="16">
        <f t="shared" ref="BB5:BB24" si="35">IFERROR(100*$M$6/$M5,"")</f>
        <v>126.09421955122848</v>
      </c>
      <c r="BC5" s="16">
        <f t="shared" ref="BC5:BC24" si="36">IFERROR(100*$AF$4/$AF5,"")</f>
        <v>105.19011122443268</v>
      </c>
      <c r="BD5" s="16">
        <f t="shared" ref="BD5:BD24" si="37">IFERROR(100*$AF$5/$AF5,"")</f>
        <v>99.999999999999986</v>
      </c>
      <c r="BE5" s="16">
        <f t="shared" ref="BE5:BE24" si="38">IFERROR(100*$AF$6/$AF5,"")</f>
        <v>126.09421955122848</v>
      </c>
    </row>
    <row r="6" spans="2:57" ht="14.4" customHeight="1" x14ac:dyDescent="0.3">
      <c r="B6" s="84" t="s">
        <v>85</v>
      </c>
      <c r="C6" s="4">
        <v>3</v>
      </c>
      <c r="D6" s="78" t="str">
        <f t="shared" si="14"/>
        <v>TescoBULLS EYE</v>
      </c>
      <c r="E6" s="3" t="s">
        <v>112</v>
      </c>
      <c r="F6" s="79" t="str">
        <f>IFERROR(INDEX('Input - Tesco'!$N$3:$N$200,MATCH('Calculations - Tesco'!$C6,'Input - Tesco'!$O$3:$O$200,0)),"")</f>
        <v>BULLS EYE</v>
      </c>
      <c r="G6" s="16">
        <f>IFERROR(INDEX('Input - Tesco'!G$2:G$200,MATCH('Calculations - Tesco'!$D6,'Input - Tesco'!$D$2:$D$200,0)),"")</f>
        <v>973983.24</v>
      </c>
      <c r="H6" s="16">
        <f>IFERROR(INDEX('Input - Tesco'!H$2:H$200,MATCH('Calculations - Tesco'!$D6,'Input - Tesco'!$D$2:$D$200,0)),"")</f>
        <v>141261.98699999999</v>
      </c>
      <c r="I6" s="20">
        <f>IFERROR(INDEX('Input - Tesco'!I$2:I$200,MATCH('Calculations - Tesco'!$D6,'Input - Tesco'!$D$2:$D$200,0)),"")</f>
        <v>1.63067769994625</v>
      </c>
      <c r="J6" s="20">
        <f>IFERROR(INDEX('Input - Tesco'!J$2:J$200,MATCH('Calculations - Tesco'!$D6,'Input - Tesco'!$D$2:$D$200,0)),"")</f>
        <v>11.2433131043909</v>
      </c>
      <c r="K6" s="16">
        <f>IFERROR(INDEX('Input - Tesco'!K$2:K$200,MATCH('Calculations - Tesco'!$D6,'Input - Tesco'!$D$2:$D$200,0)),"")</f>
        <v>2694516.38</v>
      </c>
      <c r="L6" s="16">
        <f>IFERROR(INDEX('Input - Tesco'!L$2:L$200,MATCH('Calculations - Tesco'!$D6,'Input - Tesco'!$D$2:$D$200,0)),"")</f>
        <v>411714.745</v>
      </c>
      <c r="M6" s="17">
        <f t="shared" si="15"/>
        <v>6.8948714419541615</v>
      </c>
      <c r="N6" s="17">
        <f t="shared" si="2"/>
        <v>6.5446195763525541</v>
      </c>
      <c r="O6" s="17">
        <f t="shared" si="16"/>
        <v>-7.927979696168304</v>
      </c>
      <c r="P6" s="9">
        <f t="shared" si="3"/>
        <v>7.0584490474787029E-2</v>
      </c>
      <c r="Q6" s="9">
        <f t="shared" si="4"/>
        <v>4.934403103725097E-2</v>
      </c>
      <c r="R6" s="8">
        <f>IFERROR(INDEX(Tesco!$U$12:$U$55,MATCH('Calculations - Tesco'!$D6,Tesco!$Q$12:$Q$55,0)),"-")</f>
        <v>0.8</v>
      </c>
      <c r="S6" s="8">
        <f>IFERROR(INDEX(Tesco!$V$12:$V$55,MATCH('Calculations - Tesco'!$D6,Tesco!$Q$12:$Q$55,0)),"-")</f>
        <v>0.3</v>
      </c>
      <c r="T6">
        <f t="shared" si="17"/>
        <v>779186.59200000006</v>
      </c>
      <c r="U6">
        <f t="shared" si="18"/>
        <v>233755.97760000001</v>
      </c>
      <c r="V6">
        <f t="shared" si="19"/>
        <v>545430.61440000008</v>
      </c>
      <c r="W6">
        <f t="shared" si="5"/>
        <v>3.8611280074943313</v>
      </c>
      <c r="X6" s="10">
        <f t="shared" si="6"/>
        <v>1281117.9947946984</v>
      </c>
      <c r="Y6" s="7">
        <f t="shared" si="20"/>
        <v>6.4954700359065809E-2</v>
      </c>
      <c r="Z6" s="11">
        <f t="shared" si="21"/>
        <v>-5.6297901157212199E-3</v>
      </c>
      <c r="AA6">
        <f t="shared" si="22"/>
        <v>896298.73479855224</v>
      </c>
      <c r="AB6" s="13">
        <f t="shared" si="7"/>
        <v>129994.98864398275</v>
      </c>
      <c r="AC6" s="13">
        <f t="shared" si="23"/>
        <v>717038.98783884186</v>
      </c>
      <c r="AD6" s="13">
        <f t="shared" si="24"/>
        <v>215111.6963516525</v>
      </c>
      <c r="AE6" s="9">
        <f t="shared" si="25"/>
        <v>4.538098225335236E-2</v>
      </c>
      <c r="AF6" s="10">
        <f>IFERROR(INDEX(Tesco!$T$12:$T$55,MATCH('Calculations - Tesco'!$D6,Tesco!$Q$12:$Q$55,0)),"-")</f>
        <v>6.8948714419541615</v>
      </c>
      <c r="AG6" s="22">
        <f t="shared" si="26"/>
        <v>0.8</v>
      </c>
      <c r="AH6" s="22">
        <f t="shared" si="26"/>
        <v>0.3</v>
      </c>
      <c r="AI6" s="9">
        <f t="shared" si="8"/>
        <v>0</v>
      </c>
      <c r="AJ6" s="4">
        <f t="shared" si="9"/>
        <v>141261.98699999999</v>
      </c>
      <c r="AP6" s="16">
        <f t="shared" si="10"/>
        <v>1281117.9947946984</v>
      </c>
      <c r="AQ6" s="11">
        <f t="shared" si="27"/>
        <v>6.4954700359065809E-2</v>
      </c>
      <c r="AR6" s="9">
        <f t="shared" si="28"/>
        <v>6.4954700359065809E-2</v>
      </c>
      <c r="AS6" s="11">
        <f t="shared" si="29"/>
        <v>-5.6297901157212199E-3</v>
      </c>
      <c r="AT6" s="13">
        <f t="shared" si="30"/>
        <v>896298.73479855224</v>
      </c>
      <c r="AU6" s="13">
        <f t="shared" si="11"/>
        <v>129994.98864398275</v>
      </c>
      <c r="AV6" s="4">
        <f t="shared" si="31"/>
        <v>717038.98783884186</v>
      </c>
      <c r="AW6" s="13">
        <f t="shared" si="12"/>
        <v>215111.6963516525</v>
      </c>
      <c r="AX6">
        <f t="shared" si="13"/>
        <v>1.6306776999462507</v>
      </c>
      <c r="AY6" s="9">
        <f t="shared" si="32"/>
        <v>4.538098225335236E-2</v>
      </c>
      <c r="AZ6" s="16">
        <f t="shared" si="33"/>
        <v>83.421834560542209</v>
      </c>
      <c r="BA6" s="16">
        <f t="shared" si="34"/>
        <v>79.305776550187417</v>
      </c>
      <c r="BB6" s="16">
        <f t="shared" si="35"/>
        <v>100</v>
      </c>
      <c r="BC6" s="16">
        <f t="shared" si="36"/>
        <v>83.421834560542209</v>
      </c>
      <c r="BD6" s="16">
        <f t="shared" si="37"/>
        <v>79.305776550187417</v>
      </c>
      <c r="BE6" s="16">
        <f t="shared" si="38"/>
        <v>100</v>
      </c>
    </row>
    <row r="7" spans="2:57" ht="14.4" customHeight="1" x14ac:dyDescent="0.3">
      <c r="B7" s="84" t="s">
        <v>86</v>
      </c>
      <c r="C7" s="4">
        <v>4</v>
      </c>
      <c r="D7" s="78" t="str">
        <f t="shared" si="14"/>
        <v>TescoPRIVATE LABEL</v>
      </c>
      <c r="E7" s="3" t="s">
        <v>112</v>
      </c>
      <c r="F7" s="79" t="str">
        <f>IFERROR(INDEX('Input - Tesco'!$N$3:$N$200,MATCH('Calculations - Tesco'!$C7,'Input - Tesco'!$O$3:$O$200,0)),"")</f>
        <v>PRIVATE LABEL</v>
      </c>
      <c r="G7" s="16">
        <f>IFERROR(INDEX('Input - Tesco'!G$2:G$200,MATCH('Calculations - Tesco'!$D7,'Input - Tesco'!$D$2:$D$200,0)),"")</f>
        <v>1826443.27</v>
      </c>
      <c r="H7" s="16">
        <f>IFERROR(INDEX('Input - Tesco'!H$2:H$200,MATCH('Calculations - Tesco'!$D7,'Input - Tesco'!$D$2:$D$200,0)),"")</f>
        <v>895765.5</v>
      </c>
      <c r="I7" s="20">
        <f>IFERROR(INDEX('Input - Tesco'!I$2:I$200,MATCH('Calculations - Tesco'!$D7,'Input - Tesco'!$D$2:$D$200,0)),"")</f>
        <v>1.85136968970754</v>
      </c>
      <c r="J7" s="20">
        <f>IFERROR(INDEX('Input - Tesco'!J$2:J$200,MATCH('Calculations - Tesco'!$D7,'Input - Tesco'!$D$2:$D$200,0)),"")</f>
        <v>3.77489611962989</v>
      </c>
      <c r="K7" s="16">
        <f>IFERROR(INDEX('Input - Tesco'!K$2:K$200,MATCH('Calculations - Tesco'!$D7,'Input - Tesco'!$D$2:$D$200,0)),"")</f>
        <v>6018070.9400000004</v>
      </c>
      <c r="L7" s="16">
        <f>IFERROR(INDEX('Input - Tesco'!L$2:L$200,MATCH('Calculations - Tesco'!$D7,'Input - Tesco'!$D$2:$D$200,0)),"")</f>
        <v>2434780.5499999998</v>
      </c>
      <c r="M7" s="17">
        <f t="shared" si="15"/>
        <v>2.0389747874862341</v>
      </c>
      <c r="N7" s="17">
        <f t="shared" si="2"/>
        <v>2.4717097974189093</v>
      </c>
      <c r="O7" s="17">
        <f t="shared" si="16"/>
        <v>-5.8728893692675097</v>
      </c>
      <c r="P7" s="9">
        <f t="shared" si="3"/>
        <v>0.13236220326959003</v>
      </c>
      <c r="Q7" s="9">
        <f t="shared" si="4"/>
        <v>0.31289861889100168</v>
      </c>
      <c r="R7" s="8">
        <f>IFERROR(INDEX(Tesco!$U$12:$U$55,MATCH('Calculations - Tesco'!$D7,Tesco!$Q$12:$Q$55,0)),"-")</f>
        <v>0</v>
      </c>
      <c r="S7" s="8">
        <f>IFERROR(INDEX(Tesco!$V$12:$V$55,MATCH('Calculations - Tesco'!$D7,Tesco!$Q$12:$Q$55,0)),"-")</f>
        <v>0</v>
      </c>
      <c r="T7">
        <f t="shared" si="17"/>
        <v>0</v>
      </c>
      <c r="U7">
        <f t="shared" si="18"/>
        <v>0</v>
      </c>
      <c r="V7">
        <f t="shared" si="19"/>
        <v>0</v>
      </c>
      <c r="W7">
        <f t="shared" si="5"/>
        <v>0</v>
      </c>
      <c r="X7" s="10">
        <f t="shared" si="6"/>
        <v>2603932.4900241643</v>
      </c>
      <c r="Y7" s="7">
        <f t="shared" si="20"/>
        <v>0.13202347897069414</v>
      </c>
      <c r="Z7" s="11">
        <f t="shared" si="21"/>
        <v>-3.3872429889589273E-4</v>
      </c>
      <c r="AA7">
        <f t="shared" si="22"/>
        <v>1821769.2716770514</v>
      </c>
      <c r="AB7" s="13">
        <f t="shared" si="7"/>
        <v>893473.17233041115</v>
      </c>
      <c r="AC7" s="13">
        <f t="shared" si="23"/>
        <v>0</v>
      </c>
      <c r="AD7" s="13">
        <f t="shared" si="24"/>
        <v>0</v>
      </c>
      <c r="AE7" s="9">
        <f t="shared" si="25"/>
        <v>0.31190964052020526</v>
      </c>
      <c r="AF7" s="10">
        <f>IFERROR(INDEX(Tesco!$T$12:$T$55,MATCH('Calculations - Tesco'!$D7,Tesco!$Q$12:$Q$55,0)),"-")</f>
        <v>2.0389747874862341</v>
      </c>
      <c r="AG7" s="22">
        <f t="shared" si="26"/>
        <v>0</v>
      </c>
      <c r="AH7" s="22">
        <f t="shared" si="26"/>
        <v>0</v>
      </c>
      <c r="AI7" s="9">
        <f t="shared" si="8"/>
        <v>0</v>
      </c>
      <c r="AJ7" s="4">
        <f t="shared" si="9"/>
        <v>895765.5</v>
      </c>
      <c r="AP7" s="16">
        <f t="shared" si="10"/>
        <v>2603932.4900241643</v>
      </c>
      <c r="AQ7" s="11">
        <f t="shared" si="27"/>
        <v>0.13202347897069414</v>
      </c>
      <c r="AR7" s="9">
        <f t="shared" si="28"/>
        <v>0.13202347897069414</v>
      </c>
      <c r="AS7" s="11">
        <f t="shared" si="29"/>
        <v>-3.3872429889589273E-4</v>
      </c>
      <c r="AT7" s="13">
        <f t="shared" si="30"/>
        <v>1821769.2716770514</v>
      </c>
      <c r="AU7" s="13">
        <f t="shared" si="11"/>
        <v>893473.17233041115</v>
      </c>
      <c r="AV7" s="4">
        <f t="shared" si="31"/>
        <v>0</v>
      </c>
      <c r="AW7" s="13">
        <f t="shared" si="12"/>
        <v>0</v>
      </c>
      <c r="AX7">
        <f t="shared" si="13"/>
        <v>1.8513696897075418</v>
      </c>
      <c r="AY7" s="9">
        <f t="shared" si="32"/>
        <v>0.31190964052020526</v>
      </c>
      <c r="AZ7" s="16">
        <f t="shared" si="33"/>
        <v>282.09413293237714</v>
      </c>
      <c r="BA7" s="16">
        <f t="shared" si="34"/>
        <v>268.17552491270169</v>
      </c>
      <c r="BB7" s="16">
        <f t="shared" si="35"/>
        <v>338.15383516608154</v>
      </c>
      <c r="BC7" s="16">
        <f t="shared" si="36"/>
        <v>282.09413293237714</v>
      </c>
      <c r="BD7" s="16">
        <f t="shared" si="37"/>
        <v>268.17552491270169</v>
      </c>
      <c r="BE7" s="16">
        <f t="shared" si="38"/>
        <v>338.15383516608154</v>
      </c>
    </row>
    <row r="8" spans="2:57" ht="14.4" customHeight="1" x14ac:dyDescent="0.3">
      <c r="B8" s="84" t="s">
        <v>87</v>
      </c>
      <c r="C8" s="4">
        <v>5</v>
      </c>
      <c r="D8" s="78" t="str">
        <f t="shared" si="14"/>
        <v>TescoLEVI ROOTS</v>
      </c>
      <c r="E8" s="3" t="s">
        <v>112</v>
      </c>
      <c r="F8" s="79" t="str">
        <f>IFERROR(INDEX('Input - Tesco'!$N$3:$N$200,MATCH('Calculations - Tesco'!$C8,'Input - Tesco'!$O$3:$O$200,0)),"")</f>
        <v>LEVI ROOTS</v>
      </c>
      <c r="G8" s="16">
        <f>IFERROR(INDEX('Input - Tesco'!G$2:G$200,MATCH('Calculations - Tesco'!$D8,'Input - Tesco'!$D$2:$D$200,0)),"")</f>
        <v>1295744.8600000001</v>
      </c>
      <c r="H8" s="16">
        <f>IFERROR(INDEX('Input - Tesco'!H$2:H$200,MATCH('Calculations - Tesco'!$D8,'Input - Tesco'!$D$2:$D$200,0)),"")</f>
        <v>193130.48</v>
      </c>
      <c r="I8" s="20">
        <f>IFERROR(INDEX('Input - Tesco'!I$2:I$200,MATCH('Calculations - Tesco'!$D8,'Input - Tesco'!$D$2:$D$200,0)),"")</f>
        <v>1.8053235631893001</v>
      </c>
      <c r="J8" s="20">
        <f>IFERROR(INDEX('Input - Tesco'!J$2:J$200,MATCH('Calculations - Tesco'!$D8,'Input - Tesco'!$D$2:$D$200,0)),"")</f>
        <v>12.112219301890701</v>
      </c>
      <c r="K8" s="16">
        <f>IFERROR(INDEX('Input - Tesco'!K$2:K$200,MATCH('Calculations - Tesco'!$D8,'Input - Tesco'!$D$2:$D$200,0)),"")</f>
        <v>3844129</v>
      </c>
      <c r="L8" s="16">
        <f>IFERROR(INDEX('Input - Tesco'!L$2:L$200,MATCH('Calculations - Tesco'!$D8,'Input - Tesco'!$D$2:$D$200,0)),"")</f>
        <v>615063.63</v>
      </c>
      <c r="M8" s="17">
        <f t="shared" si="15"/>
        <v>6.7091681230223212</v>
      </c>
      <c r="N8" s="17">
        <f t="shared" si="2"/>
        <v>6.2499696169646706</v>
      </c>
      <c r="O8" s="17">
        <f t="shared" si="16"/>
        <v>-6.2086845940514461</v>
      </c>
      <c r="P8" s="9">
        <f t="shared" si="3"/>
        <v>9.390253032323663E-2</v>
      </c>
      <c r="Q8" s="9">
        <f t="shared" si="4"/>
        <v>6.7462143225828886E-2</v>
      </c>
      <c r="R8" s="8">
        <f>IFERROR(INDEX(Tesco!$U$12:$U$55,MATCH('Calculations - Tesco'!$D8,Tesco!$Q$12:$Q$55,0)),"-")</f>
        <v>0</v>
      </c>
      <c r="S8" s="8">
        <f>IFERROR(INDEX(Tesco!$V$12:$V$55,MATCH('Calculations - Tesco'!$D8,Tesco!$Q$12:$Q$55,0)),"-")</f>
        <v>0</v>
      </c>
      <c r="T8">
        <f t="shared" si="17"/>
        <v>0</v>
      </c>
      <c r="U8">
        <f t="shared" si="18"/>
        <v>0</v>
      </c>
      <c r="V8">
        <f t="shared" si="19"/>
        <v>0</v>
      </c>
      <c r="W8">
        <f t="shared" si="5"/>
        <v>0</v>
      </c>
      <c r="X8" s="10">
        <f t="shared" si="6"/>
        <v>1817491.7938197078</v>
      </c>
      <c r="Y8" s="7">
        <f t="shared" si="20"/>
        <v>9.2149696868116054E-2</v>
      </c>
      <c r="Z8" s="11">
        <f t="shared" si="21"/>
        <v>-1.7528334551205754E-3</v>
      </c>
      <c r="AA8">
        <f t="shared" si="22"/>
        <v>1271557.8127277873</v>
      </c>
      <c r="AB8" s="13">
        <f t="shared" si="7"/>
        <v>189525.40604318329</v>
      </c>
      <c r="AC8" s="13">
        <f t="shared" si="23"/>
        <v>0</v>
      </c>
      <c r="AD8" s="13">
        <f t="shared" si="24"/>
        <v>0</v>
      </c>
      <c r="AE8" s="9">
        <f t="shared" si="25"/>
        <v>6.6162928109176913E-2</v>
      </c>
      <c r="AF8" s="10">
        <f>IFERROR(INDEX(Tesco!$T$12:$T$55,MATCH('Calculations - Tesco'!$D8,Tesco!$Q$12:$Q$55,0)),"-")</f>
        <v>6.7091681230223212</v>
      </c>
      <c r="AG8" s="22">
        <f t="shared" si="26"/>
        <v>0</v>
      </c>
      <c r="AH8" s="22">
        <f t="shared" si="26"/>
        <v>0</v>
      </c>
      <c r="AI8" s="9">
        <f t="shared" si="8"/>
        <v>0</v>
      </c>
      <c r="AJ8" s="4">
        <f t="shared" si="9"/>
        <v>193130.48</v>
      </c>
      <c r="AP8" s="16">
        <f t="shared" si="10"/>
        <v>1817491.7938197078</v>
      </c>
      <c r="AQ8" s="11">
        <f t="shared" si="27"/>
        <v>9.2149696868116054E-2</v>
      </c>
      <c r="AR8" s="9">
        <f t="shared" si="28"/>
        <v>9.2149696868116054E-2</v>
      </c>
      <c r="AS8" s="11">
        <f t="shared" si="29"/>
        <v>-1.7528334551205754E-3</v>
      </c>
      <c r="AT8" s="13">
        <f t="shared" si="30"/>
        <v>1271557.8127277873</v>
      </c>
      <c r="AU8" s="13">
        <f t="shared" si="11"/>
        <v>189525.40604318329</v>
      </c>
      <c r="AV8" s="4">
        <f t="shared" si="31"/>
        <v>0</v>
      </c>
      <c r="AW8" s="13">
        <f t="shared" si="12"/>
        <v>0</v>
      </c>
      <c r="AX8">
        <f t="shared" si="13"/>
        <v>1.8053235631892963</v>
      </c>
      <c r="AY8" s="9">
        <f t="shared" si="32"/>
        <v>6.6162928109176913E-2</v>
      </c>
      <c r="AZ8" s="16">
        <f t="shared" si="33"/>
        <v>85.730870683234713</v>
      </c>
      <c r="BA8" s="16">
        <f t="shared" si="34"/>
        <v>81.500884147103974</v>
      </c>
      <c r="BB8" s="16">
        <f t="shared" si="35"/>
        <v>102.76790379264166</v>
      </c>
      <c r="BC8" s="16">
        <f t="shared" si="36"/>
        <v>85.730870683234713</v>
      </c>
      <c r="BD8" s="16">
        <f t="shared" si="37"/>
        <v>81.500884147103974</v>
      </c>
      <c r="BE8" s="16">
        <f t="shared" si="38"/>
        <v>102.76790379264166</v>
      </c>
    </row>
    <row r="9" spans="2:57" ht="14.4" customHeight="1" x14ac:dyDescent="0.3">
      <c r="B9" s="84" t="s">
        <v>98</v>
      </c>
      <c r="C9" s="4">
        <v>6</v>
      </c>
      <c r="D9" s="78" t="str">
        <f t="shared" si="14"/>
        <v>TescoSWEET BABY RAYS</v>
      </c>
      <c r="E9" s="3" t="s">
        <v>112</v>
      </c>
      <c r="F9" s="79" t="str">
        <f>IFERROR(INDEX('Input - Tesco'!$N$3:$N$200,MATCH('Calculations - Tesco'!$C9,'Input - Tesco'!$O$3:$O$200,0)),"")</f>
        <v>SWEET BABY RAYS</v>
      </c>
      <c r="G9" s="16">
        <f>IFERROR(INDEX('Input - Tesco'!G$2:G$200,MATCH('Calculations - Tesco'!$D9,'Input - Tesco'!$D$2:$D$200,0)),"")</f>
        <v>1221566.6399999999</v>
      </c>
      <c r="H9" s="16">
        <f>IFERROR(INDEX('Input - Tesco'!H$2:H$200,MATCH('Calculations - Tesco'!$D9,'Input - Tesco'!$D$2:$D$200,0)),"")</f>
        <v>179823.96</v>
      </c>
      <c r="I9" s="20">
        <f>IFERROR(INDEX('Input - Tesco'!I$2:I$200,MATCH('Calculations - Tesco'!$D9,'Input - Tesco'!$D$2:$D$200,0)),"")</f>
        <v>1.83439430880341</v>
      </c>
      <c r="J9" s="20">
        <f>IFERROR(INDEX('Input - Tesco'!J$2:J$200,MATCH('Calculations - Tesco'!$D9,'Input - Tesco'!$D$2:$D$200,0)),"")</f>
        <v>12.461269856587</v>
      </c>
      <c r="K9" s="16">
        <f>IFERROR(INDEX('Input - Tesco'!K$2:K$200,MATCH('Calculations - Tesco'!$D9,'Input - Tesco'!$D$2:$D$200,0)),"")</f>
        <v>3144091.52</v>
      </c>
      <c r="L9" s="16">
        <f>IFERROR(INDEX('Input - Tesco'!L$2:L$200,MATCH('Calculations - Tesco'!$D9,'Input - Tesco'!$D$2:$D$200,0)),"")</f>
        <v>486324.27</v>
      </c>
      <c r="M9" s="17">
        <f t="shared" si="15"/>
        <v>6.7931250095927149</v>
      </c>
      <c r="N9" s="17">
        <f t="shared" si="2"/>
        <v>6.4650105165427991</v>
      </c>
      <c r="O9" s="17">
        <f t="shared" si="16"/>
        <v>-5.9923706900283138</v>
      </c>
      <c r="P9" s="9">
        <f t="shared" si="3"/>
        <v>8.8526840426327649E-2</v>
      </c>
      <c r="Q9" s="9">
        <f t="shared" si="4"/>
        <v>6.2814060965186463E-2</v>
      </c>
      <c r="R9" s="8">
        <f>IFERROR(INDEX(Tesco!$U$12:$U$55,MATCH('Calculations - Tesco'!$D9,Tesco!$Q$12:$Q$55,0)),"-")</f>
        <v>0</v>
      </c>
      <c r="S9" s="8">
        <f>IFERROR(INDEX(Tesco!$V$12:$V$55,MATCH('Calculations - Tesco'!$D9,Tesco!$Q$12:$Q$55,0)),"-")</f>
        <v>0</v>
      </c>
      <c r="T9">
        <f t="shared" si="17"/>
        <v>0</v>
      </c>
      <c r="U9">
        <f t="shared" si="18"/>
        <v>0</v>
      </c>
      <c r="V9">
        <f t="shared" si="19"/>
        <v>0</v>
      </c>
      <c r="W9">
        <f t="shared" si="5"/>
        <v>0</v>
      </c>
      <c r="X9" s="10">
        <f t="shared" si="6"/>
        <v>1731200.7661200531</v>
      </c>
      <c r="Y9" s="7">
        <f t="shared" si="20"/>
        <v>8.7774605837718706E-2</v>
      </c>
      <c r="Z9" s="11">
        <f t="shared" si="21"/>
        <v>-7.5223458860894377E-4</v>
      </c>
      <c r="AA9">
        <f t="shared" si="22"/>
        <v>1211186.6843337461</v>
      </c>
      <c r="AB9" s="13">
        <f t="shared" si="7"/>
        <v>178295.95107162077</v>
      </c>
      <c r="AC9" s="13">
        <f t="shared" si="23"/>
        <v>0</v>
      </c>
      <c r="AD9" s="13">
        <f t="shared" si="24"/>
        <v>0</v>
      </c>
      <c r="AE9" s="9">
        <f t="shared" si="25"/>
        <v>6.2242748553833063E-2</v>
      </c>
      <c r="AF9" s="10">
        <f>IFERROR(INDEX(Tesco!$T$12:$T$55,MATCH('Calculations - Tesco'!$D9,Tesco!$Q$12:$Q$55,0)),"-")</f>
        <v>6.7931250095927149</v>
      </c>
      <c r="AG9" s="22">
        <f t="shared" si="26"/>
        <v>0</v>
      </c>
      <c r="AH9" s="22">
        <f t="shared" si="26"/>
        <v>0</v>
      </c>
      <c r="AI9" s="9">
        <f t="shared" si="8"/>
        <v>0</v>
      </c>
      <c r="AJ9" s="4">
        <f t="shared" si="9"/>
        <v>179823.96</v>
      </c>
      <c r="AP9" s="16">
        <f t="shared" si="10"/>
        <v>1731200.7661200531</v>
      </c>
      <c r="AQ9" s="11">
        <f t="shared" si="27"/>
        <v>8.7774605837718706E-2</v>
      </c>
      <c r="AR9" s="9">
        <f t="shared" si="28"/>
        <v>8.7774605837718706E-2</v>
      </c>
      <c r="AS9" s="11">
        <f t="shared" si="29"/>
        <v>-7.5223458860894377E-4</v>
      </c>
      <c r="AT9" s="13">
        <f t="shared" si="30"/>
        <v>1211186.6843337461</v>
      </c>
      <c r="AU9" s="13">
        <f t="shared" si="11"/>
        <v>178295.95107162077</v>
      </c>
      <c r="AV9" s="4">
        <f t="shared" si="31"/>
        <v>0</v>
      </c>
      <c r="AW9" s="13">
        <f t="shared" si="12"/>
        <v>0</v>
      </c>
      <c r="AX9">
        <f t="shared" si="13"/>
        <v>1.834394308803412</v>
      </c>
      <c r="AY9" s="9">
        <f t="shared" si="32"/>
        <v>6.2242748553833063E-2</v>
      </c>
      <c r="AZ9" s="16">
        <f t="shared" si="33"/>
        <v>84.671314591543563</v>
      </c>
      <c r="BA9" s="16">
        <f t="shared" si="34"/>
        <v>80.493606866608971</v>
      </c>
      <c r="BB9" s="16">
        <f t="shared" si="35"/>
        <v>101.49778536708463</v>
      </c>
      <c r="BC9" s="16">
        <f t="shared" si="36"/>
        <v>84.671314591543563</v>
      </c>
      <c r="BD9" s="16">
        <f t="shared" si="37"/>
        <v>80.493606866608971</v>
      </c>
      <c r="BE9" s="16">
        <f t="shared" si="38"/>
        <v>101.49778536708463</v>
      </c>
    </row>
    <row r="10" spans="2:57" x14ac:dyDescent="0.3">
      <c r="B10" s="84" t="s">
        <v>99</v>
      </c>
      <c r="C10" s="4">
        <v>7</v>
      </c>
      <c r="D10" s="78" t="str">
        <f t="shared" si="14"/>
        <v>TescoRESTOFCATEGORY</v>
      </c>
      <c r="E10" s="3" t="s">
        <v>112</v>
      </c>
      <c r="F10" s="79" t="str">
        <f>IFERROR(INDEX('Input - Tesco'!$N$3:$N$200,MATCH('Calculations - Tesco'!$C10,'Input - Tesco'!$O$3:$O$200,0)),"")</f>
        <v>RESTOFCATEGORY</v>
      </c>
      <c r="G10" s="16">
        <f>IFERROR(INDEX('Input - Tesco'!G$2:G$200,MATCH('Calculations - Tesco'!$D10,'Input - Tesco'!$D$2:$D$200,0)),"")</f>
        <v>2231525.46</v>
      </c>
      <c r="H10" s="16">
        <f>IFERROR(INDEX('Input - Tesco'!H$2:H$200,MATCH('Calculations - Tesco'!$D10,'Input - Tesco'!$D$2:$D$200,0)),"")</f>
        <v>352744.19400000002</v>
      </c>
      <c r="I10" s="20">
        <f>IFERROR(INDEX('Input - Tesco'!I$2:I$200,MATCH('Calculations - Tesco'!$D10,'Input - Tesco'!$D$2:$D$200,0)),"")</f>
        <v>1.90367021604867</v>
      </c>
      <c r="J10" s="20">
        <f>IFERROR(INDEX('Input - Tesco'!J$2:J$200,MATCH('Calculations - Tesco'!$D10,'Input - Tesco'!$D$2:$D$200,0)),"")</f>
        <v>12.042972292143</v>
      </c>
      <c r="K10" s="16">
        <f>IFERROR(INDEX('Input - Tesco'!K$2:K$200,MATCH('Calculations - Tesco'!$D10,'Input - Tesco'!$D$2:$D$200,0)),"")</f>
        <v>6414899.9100000001</v>
      </c>
      <c r="L10" s="16">
        <f>IFERROR(INDEX('Input - Tesco'!L$2:L$200,MATCH('Calculations - Tesco'!$D10,'Input - Tesco'!$D$2:$D$200,0)),"")</f>
        <v>966595.48</v>
      </c>
      <c r="M10" s="17">
        <f t="shared" si="15"/>
        <v>6.3261862220757061</v>
      </c>
      <c r="N10" s="17">
        <f t="shared" si="2"/>
        <v>6.6365920829673239</v>
      </c>
      <c r="O10" s="17">
        <f t="shared" si="16"/>
        <v>-5.5329919158591494</v>
      </c>
      <c r="P10" s="9">
        <f t="shared" si="3"/>
        <v>0.16171847841613243</v>
      </c>
      <c r="Q10" s="9">
        <f t="shared" si="4"/>
        <v>0.12321659086493014</v>
      </c>
      <c r="R10" s="8">
        <f>IFERROR(INDEX(Tesco!$U$12:$U$55,MATCH('Calculations - Tesco'!$D10,Tesco!$Q$12:$Q$55,0)),"-")</f>
        <v>0</v>
      </c>
      <c r="S10" s="8">
        <f>IFERROR(INDEX(Tesco!$V$12:$V$55,MATCH('Calculations - Tesco'!$D10,Tesco!$Q$12:$Q$55,0)),"-")</f>
        <v>0</v>
      </c>
      <c r="T10">
        <f t="shared" si="17"/>
        <v>0</v>
      </c>
      <c r="U10">
        <f t="shared" si="18"/>
        <v>0</v>
      </c>
      <c r="V10">
        <f t="shared" si="19"/>
        <v>0</v>
      </c>
      <c r="W10">
        <f t="shared" si="5"/>
        <v>0</v>
      </c>
      <c r="X10" s="10">
        <f t="shared" si="6"/>
        <v>3239807.0072781579</v>
      </c>
      <c r="Y10" s="7">
        <f t="shared" si="20"/>
        <v>0.16426331862794419</v>
      </c>
      <c r="Z10" s="11">
        <f t="shared" si="21"/>
        <v>2.5448402118117552E-3</v>
      </c>
      <c r="AA10">
        <f t="shared" si="22"/>
        <v>2266641.2722430318</v>
      </c>
      <c r="AB10" s="13">
        <f t="shared" si="7"/>
        <v>358295.06003686949</v>
      </c>
      <c r="AC10" s="13">
        <f t="shared" si="23"/>
        <v>0</v>
      </c>
      <c r="AD10" s="13">
        <f t="shared" si="24"/>
        <v>0</v>
      </c>
      <c r="AE10" s="9">
        <f t="shared" si="25"/>
        <v>0.12508006601337265</v>
      </c>
      <c r="AF10" s="10">
        <f>IFERROR(INDEX(Tesco!$T$12:$T$55,MATCH('Calculations - Tesco'!$D10,Tesco!$Q$12:$Q$55,0)),"-")</f>
        <v>6.3261862220757061</v>
      </c>
      <c r="AG10" s="22">
        <f t="shared" si="26"/>
        <v>0</v>
      </c>
      <c r="AH10" s="22">
        <f t="shared" si="26"/>
        <v>0</v>
      </c>
      <c r="AI10" s="9">
        <f t="shared" si="8"/>
        <v>0</v>
      </c>
      <c r="AJ10" s="4">
        <f t="shared" si="9"/>
        <v>352744.19400000002</v>
      </c>
      <c r="AP10" s="16">
        <f t="shared" si="10"/>
        <v>3239807.0072781579</v>
      </c>
      <c r="AQ10" s="11">
        <f t="shared" si="27"/>
        <v>0.16426331862794419</v>
      </c>
      <c r="AR10" s="9">
        <f t="shared" si="28"/>
        <v>0.16426331862794419</v>
      </c>
      <c r="AS10" s="11">
        <f t="shared" si="29"/>
        <v>2.5448402118117552E-3</v>
      </c>
      <c r="AT10" s="13">
        <f t="shared" si="30"/>
        <v>2266641.2722430318</v>
      </c>
      <c r="AU10" s="13">
        <f t="shared" si="11"/>
        <v>358295.06003686949</v>
      </c>
      <c r="AV10" s="4">
        <f t="shared" si="31"/>
        <v>0</v>
      </c>
      <c r="AW10" s="13">
        <f t="shared" si="12"/>
        <v>0</v>
      </c>
      <c r="AX10">
        <f t="shared" si="13"/>
        <v>1.9036702160486734</v>
      </c>
      <c r="AY10" s="9">
        <f t="shared" si="32"/>
        <v>0.12508006601337265</v>
      </c>
      <c r="AZ10" s="16">
        <f t="shared" si="33"/>
        <v>90.920944239637322</v>
      </c>
      <c r="BA10" s="16">
        <f t="shared" si="34"/>
        <v>86.434877937954823</v>
      </c>
      <c r="BB10" s="16">
        <f t="shared" si="35"/>
        <v>108.98938475592111</v>
      </c>
      <c r="BC10" s="16">
        <f t="shared" si="36"/>
        <v>90.920944239637322</v>
      </c>
      <c r="BD10" s="16">
        <f t="shared" si="37"/>
        <v>86.434877937954823</v>
      </c>
      <c r="BE10" s="16">
        <f t="shared" si="38"/>
        <v>108.98938475592111</v>
      </c>
    </row>
    <row r="11" spans="2:57" x14ac:dyDescent="0.3">
      <c r="B11" s="84" t="str">
        <f>""</f>
        <v/>
      </c>
      <c r="C11" s="4">
        <v>8</v>
      </c>
      <c r="D11" s="78" t="str">
        <f t="shared" si="14"/>
        <v/>
      </c>
      <c r="E11" s="3"/>
      <c r="F11" s="79" t="str">
        <f>IFERROR(INDEX('Input - Tesco'!$N$3:$N$200,MATCH('Calculations - Tesco'!$C11,'Input - Tesco'!$O$3:$O$200,0)),"")</f>
        <v/>
      </c>
      <c r="G11" s="16" t="str">
        <f>IFERROR(INDEX('Input - Tesco'!G$2:G$200,MATCH('Calculations - Tesco'!$D11,'Input - Tesco'!$D$2:$D$200,0)),"")</f>
        <v/>
      </c>
      <c r="H11" s="16" t="str">
        <f>IFERROR(INDEX('Input - Tesco'!H$2:H$200,MATCH('Calculations - Tesco'!$D11,'Input - Tesco'!$D$2:$D$200,0)),"")</f>
        <v/>
      </c>
      <c r="I11" s="20" t="str">
        <f>IFERROR(INDEX('Input - Tesco'!I$2:I$200,MATCH('Calculations - Tesco'!$D11,'Input - Tesco'!$D$2:$D$200,0)),"")</f>
        <v/>
      </c>
      <c r="J11" s="20" t="str">
        <f>IFERROR(INDEX('Input - Tesco'!J$2:J$200,MATCH('Calculations - Tesco'!$D11,'Input - Tesco'!$D$2:$D$200,0)),"")</f>
        <v/>
      </c>
      <c r="K11" s="16" t="str">
        <f>IFERROR(INDEX('Input - Tesco'!K$2:K$200,MATCH('Calculations - Tesco'!$D11,'Input - Tesco'!$D$2:$D$200,0)),"")</f>
        <v/>
      </c>
      <c r="L11" s="16" t="str">
        <f>IFERROR(INDEX('Input - Tesco'!L$2:L$200,MATCH('Calculations - Tesco'!$D11,'Input - Tesco'!$D$2:$D$200,0)),"")</f>
        <v/>
      </c>
      <c r="M11" s="17" t="str">
        <f t="shared" si="15"/>
        <v/>
      </c>
      <c r="N11" s="17" t="str">
        <f t="shared" si="2"/>
        <v/>
      </c>
      <c r="O11" s="17" t="str">
        <f t="shared" si="16"/>
        <v/>
      </c>
      <c r="P11" s="9" t="str">
        <f t="shared" si="3"/>
        <v/>
      </c>
      <c r="Q11" s="9" t="str">
        <f t="shared" si="4"/>
        <v/>
      </c>
      <c r="R11" s="8" t="str">
        <f>IFERROR(INDEX(Tesco!$U$12:$U$55,MATCH('Calculations - Tesco'!$D11,Tesco!$Q$12:$Q$55,0)),"-")</f>
        <v>-</v>
      </c>
      <c r="S11" s="8" t="str">
        <f>IFERROR(INDEX(Tesco!$V$12:$V$55,MATCH('Calculations - Tesco'!$D11,Tesco!$Q$12:$Q$55,0)),"-")</f>
        <v>-</v>
      </c>
      <c r="T11" t="str">
        <f t="shared" si="17"/>
        <v>-</v>
      </c>
      <c r="U11" t="str">
        <f t="shared" si="18"/>
        <v>-</v>
      </c>
      <c r="V11" t="str">
        <f t="shared" si="19"/>
        <v>-</v>
      </c>
      <c r="W11" t="str">
        <f t="shared" si="5"/>
        <v>-</v>
      </c>
      <c r="X11" s="10" t="str">
        <f t="shared" si="6"/>
        <v>-</v>
      </c>
      <c r="Y11" s="7" t="str">
        <f t="shared" si="20"/>
        <v/>
      </c>
      <c r="Z11" s="11" t="str">
        <f t="shared" si="21"/>
        <v>-</v>
      </c>
      <c r="AA11" t="str">
        <f t="shared" si="22"/>
        <v>-</v>
      </c>
      <c r="AB11" s="13" t="str">
        <f t="shared" si="7"/>
        <v>-</v>
      </c>
      <c r="AC11" s="13" t="str">
        <f t="shared" si="23"/>
        <v>-</v>
      </c>
      <c r="AD11" s="13" t="str">
        <f t="shared" si="24"/>
        <v>-</v>
      </c>
      <c r="AE11" s="9" t="str">
        <f t="shared" si="25"/>
        <v/>
      </c>
      <c r="AF11" s="10" t="str">
        <f>IFERROR(INDEX(Tesco!$T$12:$T$55,MATCH('Calculations - Tesco'!$D11,Tesco!$Q$12:$Q$55,0)),"-")</f>
        <v>-</v>
      </c>
      <c r="AG11" s="22" t="str">
        <f t="shared" si="26"/>
        <v>-</v>
      </c>
      <c r="AH11" s="22" t="str">
        <f t="shared" si="26"/>
        <v>-</v>
      </c>
      <c r="AI11" s="9" t="str">
        <f t="shared" si="8"/>
        <v/>
      </c>
      <c r="AJ11" s="4" t="str">
        <f t="shared" si="9"/>
        <v/>
      </c>
      <c r="AP11" s="16" t="str">
        <f t="shared" si="10"/>
        <v>-</v>
      </c>
      <c r="AQ11" s="11" t="str">
        <f t="shared" si="27"/>
        <v/>
      </c>
      <c r="AR11" s="9" t="str">
        <f t="shared" si="28"/>
        <v/>
      </c>
      <c r="AS11" s="11" t="str">
        <f t="shared" si="29"/>
        <v/>
      </c>
      <c r="AT11" s="13" t="str">
        <f t="shared" si="30"/>
        <v>-</v>
      </c>
      <c r="AU11" s="13" t="str">
        <f t="shared" si="11"/>
        <v>-</v>
      </c>
      <c r="AV11" s="4" t="str">
        <f t="shared" si="31"/>
        <v>-</v>
      </c>
      <c r="AW11" s="13" t="str">
        <f t="shared" si="12"/>
        <v>-</v>
      </c>
      <c r="AX11" t="str">
        <f t="shared" si="13"/>
        <v/>
      </c>
      <c r="AY11" s="9" t="str">
        <f t="shared" si="32"/>
        <v>-</v>
      </c>
      <c r="AZ11" s="16" t="str">
        <f t="shared" si="33"/>
        <v/>
      </c>
      <c r="BA11" s="16" t="str">
        <f t="shared" si="34"/>
        <v/>
      </c>
      <c r="BB11" s="16" t="str">
        <f t="shared" si="35"/>
        <v/>
      </c>
      <c r="BC11" s="16" t="str">
        <f t="shared" si="36"/>
        <v/>
      </c>
      <c r="BD11" s="16" t="str">
        <f t="shared" si="37"/>
        <v/>
      </c>
      <c r="BE11" s="16" t="str">
        <f t="shared" si="38"/>
        <v/>
      </c>
    </row>
    <row r="12" spans="2:57" x14ac:dyDescent="0.3">
      <c r="B12" s="84" t="str">
        <f>""</f>
        <v/>
      </c>
      <c r="C12" s="4">
        <v>9</v>
      </c>
      <c r="D12" s="78" t="str">
        <f t="shared" si="14"/>
        <v/>
      </c>
      <c r="E12" s="3"/>
      <c r="F12" s="79" t="str">
        <f>IFERROR(INDEX('Input - Tesco'!$N$3:$N$200,MATCH('Calculations - Tesco'!$C12,'Input - Tesco'!$O$3:$O$200,0)),"")</f>
        <v/>
      </c>
      <c r="G12" s="16" t="str">
        <f>IFERROR(INDEX('Input - Tesco'!G$2:G$200,MATCH('Calculations - Tesco'!$D12,'Input - Tesco'!$D$2:$D$200,0)),"")</f>
        <v/>
      </c>
      <c r="H12" s="16" t="str">
        <f>IFERROR(INDEX('Input - Tesco'!H$2:H$200,MATCH('Calculations - Tesco'!$D12,'Input - Tesco'!$D$2:$D$200,0)),"")</f>
        <v/>
      </c>
      <c r="I12" s="20" t="str">
        <f>IFERROR(INDEX('Input - Tesco'!I$2:I$200,MATCH('Calculations - Tesco'!$D12,'Input - Tesco'!$D$2:$D$200,0)),"")</f>
        <v/>
      </c>
      <c r="J12" s="20" t="str">
        <f>IFERROR(INDEX('Input - Tesco'!J$2:J$200,MATCH('Calculations - Tesco'!$D12,'Input - Tesco'!$D$2:$D$200,0)),"")</f>
        <v/>
      </c>
      <c r="K12" s="16" t="str">
        <f>IFERROR(INDEX('Input - Tesco'!K$2:K$200,MATCH('Calculations - Tesco'!$D12,'Input - Tesco'!$D$2:$D$200,0)),"")</f>
        <v/>
      </c>
      <c r="L12" s="16" t="str">
        <f>IFERROR(INDEX('Input - Tesco'!L$2:L$200,MATCH('Calculations - Tesco'!$D12,'Input - Tesco'!$D$2:$D$200,0)),"")</f>
        <v/>
      </c>
      <c r="M12" s="17" t="str">
        <f t="shared" si="15"/>
        <v/>
      </c>
      <c r="N12" s="17" t="str">
        <f t="shared" si="2"/>
        <v/>
      </c>
      <c r="O12" s="17" t="str">
        <f t="shared" si="16"/>
        <v/>
      </c>
      <c r="P12" s="9" t="str">
        <f t="shared" si="3"/>
        <v/>
      </c>
      <c r="Q12" s="9" t="str">
        <f t="shared" si="4"/>
        <v/>
      </c>
      <c r="R12" s="8" t="str">
        <f>IFERROR(INDEX(Tesco!$U$12:$U$55,MATCH('Calculations - Tesco'!$D12,Tesco!$Q$12:$Q$55,0)),"-")</f>
        <v>-</v>
      </c>
      <c r="S12" s="8" t="str">
        <f>IFERROR(INDEX(Tesco!$V$12:$V$55,MATCH('Calculations - Tesco'!$D12,Tesco!$Q$12:$Q$55,0)),"-")</f>
        <v>-</v>
      </c>
      <c r="T12" t="str">
        <f t="shared" si="17"/>
        <v>-</v>
      </c>
      <c r="U12" t="str">
        <f t="shared" si="18"/>
        <v>-</v>
      </c>
      <c r="V12" t="str">
        <f t="shared" si="19"/>
        <v>-</v>
      </c>
      <c r="W12" t="str">
        <f t="shared" si="5"/>
        <v>-</v>
      </c>
      <c r="X12" s="10" t="str">
        <f t="shared" si="6"/>
        <v>-</v>
      </c>
      <c r="Y12" s="7" t="str">
        <f t="shared" si="20"/>
        <v/>
      </c>
      <c r="Z12" s="11" t="str">
        <f t="shared" si="21"/>
        <v>-</v>
      </c>
      <c r="AA12" t="str">
        <f t="shared" si="22"/>
        <v>-</v>
      </c>
      <c r="AB12" s="13" t="str">
        <f t="shared" si="7"/>
        <v>-</v>
      </c>
      <c r="AC12" s="13" t="str">
        <f t="shared" si="23"/>
        <v>-</v>
      </c>
      <c r="AD12" s="13" t="str">
        <f t="shared" si="24"/>
        <v>-</v>
      </c>
      <c r="AE12" s="9" t="str">
        <f t="shared" si="25"/>
        <v/>
      </c>
      <c r="AF12" s="10" t="str">
        <f>IFERROR(INDEX(Tesco!$T$12:$T$55,MATCH('Calculations - Tesco'!$D12,Tesco!$Q$12:$Q$55,0)),"-")</f>
        <v>-</v>
      </c>
      <c r="AG12" s="22" t="str">
        <f t="shared" si="26"/>
        <v>-</v>
      </c>
      <c r="AH12" s="22" t="str">
        <f t="shared" si="26"/>
        <v>-</v>
      </c>
      <c r="AI12" s="9" t="str">
        <f t="shared" si="8"/>
        <v/>
      </c>
      <c r="AJ12" s="4" t="str">
        <f t="shared" si="9"/>
        <v/>
      </c>
      <c r="AP12" s="16" t="str">
        <f t="shared" si="10"/>
        <v>-</v>
      </c>
      <c r="AQ12" s="11" t="str">
        <f t="shared" si="27"/>
        <v/>
      </c>
      <c r="AR12" s="9" t="str">
        <f t="shared" si="28"/>
        <v/>
      </c>
      <c r="AS12" s="11" t="str">
        <f t="shared" si="29"/>
        <v/>
      </c>
      <c r="AT12" s="13" t="str">
        <f t="shared" si="30"/>
        <v>-</v>
      </c>
      <c r="AU12" s="13" t="str">
        <f t="shared" si="11"/>
        <v>-</v>
      </c>
      <c r="AV12" s="4" t="str">
        <f t="shared" si="31"/>
        <v>-</v>
      </c>
      <c r="AW12" s="13" t="str">
        <f t="shared" si="12"/>
        <v>-</v>
      </c>
      <c r="AX12" t="str">
        <f t="shared" si="13"/>
        <v/>
      </c>
      <c r="AY12" s="9" t="str">
        <f t="shared" si="32"/>
        <v>-</v>
      </c>
      <c r="AZ12" s="16" t="str">
        <f t="shared" si="33"/>
        <v/>
      </c>
      <c r="BA12" s="16" t="str">
        <f t="shared" si="34"/>
        <v/>
      </c>
      <c r="BB12" s="16" t="str">
        <f t="shared" si="35"/>
        <v/>
      </c>
      <c r="BC12" s="16" t="str">
        <f t="shared" si="36"/>
        <v/>
      </c>
      <c r="BD12" s="16" t="str">
        <f t="shared" si="37"/>
        <v/>
      </c>
      <c r="BE12" s="16" t="str">
        <f t="shared" si="38"/>
        <v/>
      </c>
    </row>
    <row r="13" spans="2:57" x14ac:dyDescent="0.3">
      <c r="B13" s="84" t="str">
        <f>""</f>
        <v/>
      </c>
      <c r="C13" s="4">
        <v>10</v>
      </c>
      <c r="D13" s="78" t="str">
        <f t="shared" si="14"/>
        <v/>
      </c>
      <c r="E13" s="3"/>
      <c r="F13" s="79" t="str">
        <f>IFERROR(INDEX('Input - Tesco'!$N$3:$N$200,MATCH('Calculations - Tesco'!$C13,'Input - Tesco'!$O$3:$O$200,0)),"")</f>
        <v/>
      </c>
      <c r="G13" s="16" t="str">
        <f>IFERROR(INDEX('Input - Tesco'!G$2:G$200,MATCH('Calculations - Tesco'!$D13,'Input - Tesco'!$D$2:$D$200,0)),"")</f>
        <v/>
      </c>
      <c r="H13" s="16" t="str">
        <f>IFERROR(INDEX('Input - Tesco'!H$2:H$200,MATCH('Calculations - Tesco'!$D13,'Input - Tesco'!$D$2:$D$200,0)),"")</f>
        <v/>
      </c>
      <c r="I13" s="20" t="str">
        <f>IFERROR(INDEX('Input - Tesco'!I$2:I$200,MATCH('Calculations - Tesco'!$D13,'Input - Tesco'!$D$2:$D$200,0)),"")</f>
        <v/>
      </c>
      <c r="J13" s="20" t="str">
        <f>IFERROR(INDEX('Input - Tesco'!J$2:J$200,MATCH('Calculations - Tesco'!$D13,'Input - Tesco'!$D$2:$D$200,0)),"")</f>
        <v/>
      </c>
      <c r="K13" s="16" t="str">
        <f>IFERROR(INDEX('Input - Tesco'!K$2:K$200,MATCH('Calculations - Tesco'!$D13,'Input - Tesco'!$D$2:$D$200,0)),"")</f>
        <v/>
      </c>
      <c r="L13" s="16" t="str">
        <f>IFERROR(INDEX('Input - Tesco'!L$2:L$200,MATCH('Calculations - Tesco'!$D13,'Input - Tesco'!$D$2:$D$200,0)),"")</f>
        <v/>
      </c>
      <c r="M13" s="17" t="str">
        <f t="shared" si="15"/>
        <v/>
      </c>
      <c r="N13" s="17" t="str">
        <f t="shared" si="2"/>
        <v/>
      </c>
      <c r="O13" s="17" t="str">
        <f t="shared" si="16"/>
        <v/>
      </c>
      <c r="P13" s="9" t="str">
        <f t="shared" si="3"/>
        <v/>
      </c>
      <c r="Q13" s="9" t="str">
        <f t="shared" si="4"/>
        <v/>
      </c>
      <c r="R13" s="8" t="str">
        <f>IFERROR(INDEX(Tesco!$U$12:$U$55,MATCH('Calculations - Tesco'!$D13,Tesco!$Q$12:$Q$55,0)),"-")</f>
        <v>-</v>
      </c>
      <c r="S13" s="8" t="str">
        <f>IFERROR(INDEX(Tesco!$V$12:$V$55,MATCH('Calculations - Tesco'!$D13,Tesco!$Q$12:$Q$55,0)),"-")</f>
        <v>-</v>
      </c>
      <c r="T13" t="str">
        <f t="shared" si="17"/>
        <v>-</v>
      </c>
      <c r="U13" t="str">
        <f t="shared" si="18"/>
        <v>-</v>
      </c>
      <c r="V13" t="str">
        <f t="shared" si="19"/>
        <v>-</v>
      </c>
      <c r="W13" t="str">
        <f t="shared" si="5"/>
        <v>-</v>
      </c>
      <c r="X13" s="10" t="str">
        <f t="shared" si="6"/>
        <v>-</v>
      </c>
      <c r="Y13" s="7" t="str">
        <f t="shared" si="20"/>
        <v/>
      </c>
      <c r="Z13" s="11" t="str">
        <f t="shared" si="21"/>
        <v>-</v>
      </c>
      <c r="AA13" t="str">
        <f t="shared" si="22"/>
        <v>-</v>
      </c>
      <c r="AB13" s="13" t="str">
        <f t="shared" si="7"/>
        <v>-</v>
      </c>
      <c r="AC13" s="13" t="str">
        <f t="shared" si="23"/>
        <v>-</v>
      </c>
      <c r="AD13" s="13" t="str">
        <f t="shared" si="24"/>
        <v>-</v>
      </c>
      <c r="AE13" s="9" t="str">
        <f t="shared" si="25"/>
        <v/>
      </c>
      <c r="AF13" s="10" t="str">
        <f>IFERROR(INDEX(Tesco!$T$12:$T$55,MATCH('Calculations - Tesco'!$D13,Tesco!$Q$12:$Q$55,0)),"-")</f>
        <v>-</v>
      </c>
      <c r="AG13" s="22" t="str">
        <f t="shared" si="26"/>
        <v>-</v>
      </c>
      <c r="AH13" s="22" t="str">
        <f t="shared" si="26"/>
        <v>-</v>
      </c>
      <c r="AI13" s="9" t="str">
        <f t="shared" si="8"/>
        <v/>
      </c>
      <c r="AJ13" s="4" t="str">
        <f t="shared" si="9"/>
        <v/>
      </c>
      <c r="AP13" s="16" t="str">
        <f t="shared" si="10"/>
        <v>-</v>
      </c>
      <c r="AQ13" s="11" t="str">
        <f t="shared" si="27"/>
        <v/>
      </c>
      <c r="AR13" s="9" t="str">
        <f t="shared" si="28"/>
        <v/>
      </c>
      <c r="AS13" s="11" t="str">
        <f t="shared" si="29"/>
        <v/>
      </c>
      <c r="AT13" s="13" t="str">
        <f t="shared" si="30"/>
        <v>-</v>
      </c>
      <c r="AU13" s="13" t="str">
        <f t="shared" si="11"/>
        <v>-</v>
      </c>
      <c r="AV13" s="4" t="str">
        <f t="shared" si="31"/>
        <v>-</v>
      </c>
      <c r="AW13" s="13" t="str">
        <f t="shared" si="12"/>
        <v>-</v>
      </c>
      <c r="AX13" t="str">
        <f t="shared" si="13"/>
        <v/>
      </c>
      <c r="AY13" s="9" t="str">
        <f t="shared" si="32"/>
        <v>-</v>
      </c>
      <c r="AZ13" s="16" t="str">
        <f t="shared" si="33"/>
        <v/>
      </c>
      <c r="BA13" s="16" t="str">
        <f t="shared" si="34"/>
        <v/>
      </c>
      <c r="BB13" s="16" t="str">
        <f t="shared" si="35"/>
        <v/>
      </c>
      <c r="BC13" s="16" t="str">
        <f t="shared" si="36"/>
        <v/>
      </c>
      <c r="BD13" s="16" t="str">
        <f t="shared" si="37"/>
        <v/>
      </c>
      <c r="BE13" s="16" t="str">
        <f t="shared" si="38"/>
        <v/>
      </c>
    </row>
    <row r="14" spans="2:57" x14ac:dyDescent="0.3">
      <c r="B14" s="84" t="str">
        <f>""</f>
        <v/>
      </c>
      <c r="C14" s="4">
        <v>11</v>
      </c>
      <c r="D14" s="78" t="str">
        <f t="shared" si="14"/>
        <v/>
      </c>
      <c r="E14" s="3"/>
      <c r="F14" s="79" t="str">
        <f>IFERROR(INDEX('Input - Tesco'!$N$3:$N$200,MATCH('Calculations - Tesco'!$C14,'Input - Tesco'!$O$3:$O$200,0)),"")</f>
        <v/>
      </c>
      <c r="G14" s="16" t="str">
        <f>IFERROR(INDEX('Input - Tesco'!G$2:G$200,MATCH('Calculations - Tesco'!$D14,'Input - Tesco'!$D$2:$D$200,0)),"")</f>
        <v/>
      </c>
      <c r="H14" s="16" t="str">
        <f>IFERROR(INDEX('Input - Tesco'!H$2:H$200,MATCH('Calculations - Tesco'!$D14,'Input - Tesco'!$D$2:$D$200,0)),"")</f>
        <v/>
      </c>
      <c r="I14" s="20" t="str">
        <f>IFERROR(INDEX('Input - Tesco'!I$2:I$200,MATCH('Calculations - Tesco'!$D14,'Input - Tesco'!$D$2:$D$200,0)),"")</f>
        <v/>
      </c>
      <c r="J14" s="20" t="str">
        <f>IFERROR(INDEX('Input - Tesco'!J$2:J$200,MATCH('Calculations - Tesco'!$D14,'Input - Tesco'!$D$2:$D$200,0)),"")</f>
        <v/>
      </c>
      <c r="K14" s="16" t="str">
        <f>IFERROR(INDEX('Input - Tesco'!K$2:K$200,MATCH('Calculations - Tesco'!$D14,'Input - Tesco'!$D$2:$D$200,0)),"")</f>
        <v/>
      </c>
      <c r="L14" s="16" t="str">
        <f>IFERROR(INDEX('Input - Tesco'!L$2:L$200,MATCH('Calculations - Tesco'!$D14,'Input - Tesco'!$D$2:$D$200,0)),"")</f>
        <v/>
      </c>
      <c r="M14" s="17" t="str">
        <f t="shared" si="15"/>
        <v/>
      </c>
      <c r="N14" s="17" t="str">
        <f t="shared" si="2"/>
        <v/>
      </c>
      <c r="O14" s="17" t="str">
        <f t="shared" si="16"/>
        <v/>
      </c>
      <c r="P14" s="9" t="str">
        <f t="shared" si="3"/>
        <v/>
      </c>
      <c r="Q14" s="9" t="str">
        <f t="shared" si="4"/>
        <v/>
      </c>
      <c r="R14" s="8" t="str">
        <f>IFERROR(INDEX(Tesco!$U$12:$U$55,MATCH('Calculations - Tesco'!$D14,Tesco!$Q$12:$Q$55,0)),"-")</f>
        <v>-</v>
      </c>
      <c r="S14" s="8" t="str">
        <f>IFERROR(INDEX(Tesco!$V$12:$V$55,MATCH('Calculations - Tesco'!$D14,Tesco!$Q$12:$Q$55,0)),"-")</f>
        <v>-</v>
      </c>
      <c r="T14" t="str">
        <f t="shared" si="17"/>
        <v>-</v>
      </c>
      <c r="U14" t="str">
        <f t="shared" si="18"/>
        <v>-</v>
      </c>
      <c r="V14" t="str">
        <f t="shared" si="19"/>
        <v>-</v>
      </c>
      <c r="W14" t="str">
        <f t="shared" si="5"/>
        <v>-</v>
      </c>
      <c r="X14" s="10" t="str">
        <f t="shared" si="6"/>
        <v>-</v>
      </c>
      <c r="Y14" s="7" t="str">
        <f t="shared" si="20"/>
        <v/>
      </c>
      <c r="Z14" s="11" t="str">
        <f t="shared" si="21"/>
        <v>-</v>
      </c>
      <c r="AA14" t="str">
        <f t="shared" si="22"/>
        <v>-</v>
      </c>
      <c r="AB14" s="13" t="str">
        <f t="shared" si="7"/>
        <v>-</v>
      </c>
      <c r="AC14" s="13" t="str">
        <f t="shared" si="23"/>
        <v>-</v>
      </c>
      <c r="AD14" s="13" t="str">
        <f t="shared" si="24"/>
        <v>-</v>
      </c>
      <c r="AE14" s="9" t="str">
        <f t="shared" si="25"/>
        <v/>
      </c>
      <c r="AF14" s="10" t="str">
        <f>IFERROR(INDEX(Tesco!$T$12:$T$55,MATCH('Calculations - Tesco'!$D14,Tesco!$Q$12:$Q$55,0)),"-")</f>
        <v>-</v>
      </c>
      <c r="AG14" s="22" t="str">
        <f t="shared" si="26"/>
        <v>-</v>
      </c>
      <c r="AH14" s="22" t="str">
        <f t="shared" si="26"/>
        <v>-</v>
      </c>
      <c r="AI14" s="9" t="str">
        <f t="shared" si="8"/>
        <v/>
      </c>
      <c r="AJ14" s="4" t="str">
        <f t="shared" si="9"/>
        <v/>
      </c>
      <c r="AP14" s="16" t="str">
        <f t="shared" si="10"/>
        <v>-</v>
      </c>
      <c r="AQ14" s="11" t="str">
        <f t="shared" si="27"/>
        <v/>
      </c>
      <c r="AR14" s="9" t="str">
        <f t="shared" si="28"/>
        <v/>
      </c>
      <c r="AS14" s="11" t="str">
        <f t="shared" si="29"/>
        <v/>
      </c>
      <c r="AT14" s="13" t="str">
        <f t="shared" si="30"/>
        <v>-</v>
      </c>
      <c r="AU14" s="13" t="str">
        <f t="shared" si="11"/>
        <v>-</v>
      </c>
      <c r="AV14" s="4" t="str">
        <f t="shared" si="31"/>
        <v>-</v>
      </c>
      <c r="AW14" s="13" t="str">
        <f t="shared" si="12"/>
        <v>-</v>
      </c>
      <c r="AX14" t="str">
        <f t="shared" si="13"/>
        <v/>
      </c>
      <c r="AY14" s="9" t="str">
        <f t="shared" si="32"/>
        <v>-</v>
      </c>
      <c r="AZ14" s="16" t="str">
        <f t="shared" si="33"/>
        <v/>
      </c>
      <c r="BA14" s="16" t="str">
        <f t="shared" si="34"/>
        <v/>
      </c>
      <c r="BB14" s="16" t="str">
        <f t="shared" si="35"/>
        <v/>
      </c>
      <c r="BC14" s="16" t="str">
        <f t="shared" si="36"/>
        <v/>
      </c>
      <c r="BD14" s="16" t="str">
        <f t="shared" si="37"/>
        <v/>
      </c>
      <c r="BE14" s="16" t="str">
        <f t="shared" si="38"/>
        <v/>
      </c>
    </row>
    <row r="15" spans="2:57" x14ac:dyDescent="0.3">
      <c r="B15" s="84" t="str">
        <f>""</f>
        <v/>
      </c>
      <c r="C15" s="4">
        <v>12</v>
      </c>
      <c r="D15" s="78" t="str">
        <f t="shared" si="14"/>
        <v/>
      </c>
      <c r="E15" s="3"/>
      <c r="F15" s="79" t="str">
        <f>IFERROR(INDEX('Input - Tesco'!$N$3:$N$200,MATCH('Calculations - Tesco'!$C15,'Input - Tesco'!$O$3:$O$200,0)),"")</f>
        <v/>
      </c>
      <c r="G15" s="16" t="str">
        <f>IFERROR(INDEX('Input - Tesco'!G$2:G$200,MATCH('Calculations - Tesco'!$D15,'Input - Tesco'!$D$2:$D$200,0)),"")</f>
        <v/>
      </c>
      <c r="H15" s="16" t="str">
        <f>IFERROR(INDEX('Input - Tesco'!H$2:H$200,MATCH('Calculations - Tesco'!$D15,'Input - Tesco'!$D$2:$D$200,0)),"")</f>
        <v/>
      </c>
      <c r="I15" s="20" t="str">
        <f>IFERROR(INDEX('Input - Tesco'!I$2:I$200,MATCH('Calculations - Tesco'!$D15,'Input - Tesco'!$D$2:$D$200,0)),"")</f>
        <v/>
      </c>
      <c r="J15" s="20" t="str">
        <f>IFERROR(INDEX('Input - Tesco'!J$2:J$200,MATCH('Calculations - Tesco'!$D15,'Input - Tesco'!$D$2:$D$200,0)),"")</f>
        <v/>
      </c>
      <c r="K15" s="16" t="str">
        <f>IFERROR(INDEX('Input - Tesco'!K$2:K$200,MATCH('Calculations - Tesco'!$D15,'Input - Tesco'!$D$2:$D$200,0)),"")</f>
        <v/>
      </c>
      <c r="L15" s="16" t="str">
        <f>IFERROR(INDEX('Input - Tesco'!L$2:L$200,MATCH('Calculations - Tesco'!$D15,'Input - Tesco'!$D$2:$D$200,0)),"")</f>
        <v/>
      </c>
      <c r="M15" s="17" t="str">
        <f t="shared" si="15"/>
        <v/>
      </c>
      <c r="N15" s="17" t="str">
        <f t="shared" si="2"/>
        <v/>
      </c>
      <c r="O15" s="17" t="str">
        <f t="shared" si="16"/>
        <v/>
      </c>
      <c r="P15" s="9" t="str">
        <f t="shared" si="3"/>
        <v/>
      </c>
      <c r="Q15" s="9" t="str">
        <f t="shared" si="4"/>
        <v/>
      </c>
      <c r="R15" s="8" t="str">
        <f>IFERROR(INDEX(Tesco!$U$12:$U$55,MATCH('Calculations - Tesco'!$D15,Tesco!$Q$12:$Q$55,0)),"-")</f>
        <v>-</v>
      </c>
      <c r="S15" s="8" t="str">
        <f>IFERROR(INDEX(Tesco!$V$12:$V$55,MATCH('Calculations - Tesco'!$D15,Tesco!$Q$12:$Q$55,0)),"-")</f>
        <v>-</v>
      </c>
      <c r="T15" t="str">
        <f t="shared" si="17"/>
        <v>-</v>
      </c>
      <c r="U15" t="str">
        <f t="shared" si="18"/>
        <v>-</v>
      </c>
      <c r="V15" t="str">
        <f t="shared" si="19"/>
        <v>-</v>
      </c>
      <c r="W15" t="str">
        <f t="shared" si="5"/>
        <v>-</v>
      </c>
      <c r="X15" s="10" t="str">
        <f t="shared" si="6"/>
        <v>-</v>
      </c>
      <c r="Y15" s="7" t="str">
        <f t="shared" si="20"/>
        <v/>
      </c>
      <c r="Z15" s="11" t="str">
        <f t="shared" si="21"/>
        <v>-</v>
      </c>
      <c r="AA15" t="str">
        <f t="shared" si="22"/>
        <v>-</v>
      </c>
      <c r="AB15" s="13" t="str">
        <f t="shared" si="7"/>
        <v>-</v>
      </c>
      <c r="AC15" s="13" t="str">
        <f t="shared" si="23"/>
        <v>-</v>
      </c>
      <c r="AD15" s="13" t="str">
        <f t="shared" si="24"/>
        <v>-</v>
      </c>
      <c r="AE15" s="9" t="str">
        <f t="shared" si="25"/>
        <v/>
      </c>
      <c r="AF15" s="10" t="str">
        <f>IFERROR(INDEX(Tesco!$T$12:$T$55,MATCH('Calculations - Tesco'!$D15,Tesco!$Q$12:$Q$55,0)),"-")</f>
        <v>-</v>
      </c>
      <c r="AG15" s="22" t="str">
        <f t="shared" si="26"/>
        <v>-</v>
      </c>
      <c r="AH15" s="22" t="str">
        <f t="shared" si="26"/>
        <v>-</v>
      </c>
      <c r="AI15" s="9" t="str">
        <f t="shared" si="8"/>
        <v/>
      </c>
      <c r="AJ15" s="4" t="str">
        <f t="shared" si="9"/>
        <v/>
      </c>
      <c r="AP15" s="16" t="str">
        <f t="shared" si="10"/>
        <v>-</v>
      </c>
      <c r="AQ15" s="11" t="str">
        <f t="shared" si="27"/>
        <v/>
      </c>
      <c r="AR15" s="9" t="str">
        <f t="shared" si="28"/>
        <v/>
      </c>
      <c r="AS15" s="11" t="str">
        <f t="shared" si="29"/>
        <v/>
      </c>
      <c r="AT15" s="13" t="str">
        <f t="shared" si="30"/>
        <v>-</v>
      </c>
      <c r="AU15" s="13" t="str">
        <f t="shared" si="11"/>
        <v>-</v>
      </c>
      <c r="AV15" s="4" t="str">
        <f t="shared" si="31"/>
        <v>-</v>
      </c>
      <c r="AW15" s="13" t="str">
        <f t="shared" si="12"/>
        <v>-</v>
      </c>
      <c r="AX15" t="str">
        <f t="shared" si="13"/>
        <v/>
      </c>
      <c r="AY15" s="9" t="str">
        <f t="shared" si="32"/>
        <v>-</v>
      </c>
      <c r="AZ15" s="16" t="str">
        <f t="shared" si="33"/>
        <v/>
      </c>
      <c r="BA15" s="16" t="str">
        <f t="shared" si="34"/>
        <v/>
      </c>
      <c r="BB15" s="16" t="str">
        <f t="shared" si="35"/>
        <v/>
      </c>
      <c r="BC15" s="16" t="str">
        <f t="shared" si="36"/>
        <v/>
      </c>
      <c r="BD15" s="16" t="str">
        <f t="shared" si="37"/>
        <v/>
      </c>
      <c r="BE15" s="16" t="str">
        <f t="shared" si="38"/>
        <v/>
      </c>
    </row>
    <row r="16" spans="2:57" x14ac:dyDescent="0.3">
      <c r="B16" s="84" t="str">
        <f>""</f>
        <v/>
      </c>
      <c r="C16" s="4">
        <v>13</v>
      </c>
      <c r="D16" s="78" t="str">
        <f t="shared" si="14"/>
        <v/>
      </c>
      <c r="E16" s="3"/>
      <c r="F16" s="79" t="str">
        <f>IFERROR(INDEX('Input - Tesco'!$N$3:$N$200,MATCH('Calculations - Tesco'!$C16,'Input - Tesco'!$O$3:$O$200,0)),"")</f>
        <v/>
      </c>
      <c r="G16" s="16" t="str">
        <f>IFERROR(INDEX('Input - Tesco'!G$2:G$200,MATCH('Calculations - Tesco'!$D16,'Input - Tesco'!$D$2:$D$200,0)),"")</f>
        <v/>
      </c>
      <c r="H16" s="16" t="str">
        <f>IFERROR(INDEX('Input - Tesco'!H$2:H$200,MATCH('Calculations - Tesco'!$D16,'Input - Tesco'!$D$2:$D$200,0)),"")</f>
        <v/>
      </c>
      <c r="I16" s="20" t="str">
        <f>IFERROR(INDEX('Input - Tesco'!I$2:I$200,MATCH('Calculations - Tesco'!$D16,'Input - Tesco'!$D$2:$D$200,0)),"")</f>
        <v/>
      </c>
      <c r="J16" s="20" t="str">
        <f>IFERROR(INDEX('Input - Tesco'!J$2:J$200,MATCH('Calculations - Tesco'!$D16,'Input - Tesco'!$D$2:$D$200,0)),"")</f>
        <v/>
      </c>
      <c r="K16" s="16" t="str">
        <f>IFERROR(INDEX('Input - Tesco'!K$2:K$200,MATCH('Calculations - Tesco'!$D16,'Input - Tesco'!$D$2:$D$200,0)),"")</f>
        <v/>
      </c>
      <c r="L16" s="16" t="str">
        <f>IFERROR(INDEX('Input - Tesco'!L$2:L$200,MATCH('Calculations - Tesco'!$D16,'Input - Tesco'!$D$2:$D$200,0)),"")</f>
        <v/>
      </c>
      <c r="M16" s="17" t="str">
        <f t="shared" si="15"/>
        <v/>
      </c>
      <c r="N16" s="17" t="str">
        <f t="shared" si="2"/>
        <v/>
      </c>
      <c r="O16" s="17" t="str">
        <f t="shared" si="16"/>
        <v/>
      </c>
      <c r="P16" s="9" t="str">
        <f t="shared" si="3"/>
        <v/>
      </c>
      <c r="Q16" s="9" t="str">
        <f t="shared" si="4"/>
        <v/>
      </c>
      <c r="R16" s="8" t="str">
        <f>IFERROR(INDEX(Tesco!$U$12:$U$55,MATCH('Calculations - Tesco'!$D16,Tesco!$Q$12:$Q$55,0)),"-")</f>
        <v>-</v>
      </c>
      <c r="S16" s="8" t="str">
        <f>IFERROR(INDEX(Tesco!$V$12:$V$55,MATCH('Calculations - Tesco'!$D16,Tesco!$Q$12:$Q$55,0)),"-")</f>
        <v>-</v>
      </c>
      <c r="T16" t="str">
        <f t="shared" si="17"/>
        <v>-</v>
      </c>
      <c r="U16" t="str">
        <f t="shared" si="18"/>
        <v>-</v>
      </c>
      <c r="V16" t="str">
        <f t="shared" si="19"/>
        <v>-</v>
      </c>
      <c r="W16" t="str">
        <f t="shared" si="5"/>
        <v>-</v>
      </c>
      <c r="X16" s="10" t="str">
        <f t="shared" si="6"/>
        <v>-</v>
      </c>
      <c r="Y16" s="7" t="str">
        <f t="shared" si="20"/>
        <v/>
      </c>
      <c r="Z16" s="11" t="str">
        <f t="shared" si="21"/>
        <v>-</v>
      </c>
      <c r="AA16" t="str">
        <f t="shared" si="22"/>
        <v>-</v>
      </c>
      <c r="AB16" s="13" t="str">
        <f t="shared" si="7"/>
        <v>-</v>
      </c>
      <c r="AC16" s="13" t="str">
        <f t="shared" si="23"/>
        <v>-</v>
      </c>
      <c r="AD16" s="13" t="str">
        <f t="shared" si="24"/>
        <v>-</v>
      </c>
      <c r="AE16" s="9" t="str">
        <f t="shared" si="25"/>
        <v/>
      </c>
      <c r="AF16" s="10" t="str">
        <f>IFERROR(INDEX(Tesco!$T$12:$T$55,MATCH('Calculations - Tesco'!$D16,Tesco!$Q$12:$Q$55,0)),"-")</f>
        <v>-</v>
      </c>
      <c r="AG16" s="22" t="str">
        <f t="shared" si="26"/>
        <v>-</v>
      </c>
      <c r="AH16" s="22" t="str">
        <f t="shared" si="26"/>
        <v>-</v>
      </c>
      <c r="AI16" s="9" t="str">
        <f t="shared" si="8"/>
        <v/>
      </c>
      <c r="AJ16" s="4" t="str">
        <f t="shared" si="9"/>
        <v/>
      </c>
      <c r="AP16" s="16" t="str">
        <f t="shared" si="10"/>
        <v>-</v>
      </c>
      <c r="AQ16" s="11" t="str">
        <f t="shared" si="27"/>
        <v/>
      </c>
      <c r="AR16" s="9" t="str">
        <f t="shared" si="28"/>
        <v/>
      </c>
      <c r="AS16" s="11" t="str">
        <f t="shared" si="29"/>
        <v/>
      </c>
      <c r="AT16" s="13" t="str">
        <f t="shared" si="30"/>
        <v>-</v>
      </c>
      <c r="AU16" s="13" t="str">
        <f t="shared" si="11"/>
        <v>-</v>
      </c>
      <c r="AV16" s="4" t="str">
        <f t="shared" si="31"/>
        <v>-</v>
      </c>
      <c r="AW16" s="13" t="str">
        <f t="shared" si="12"/>
        <v>-</v>
      </c>
      <c r="AX16" t="str">
        <f t="shared" si="13"/>
        <v/>
      </c>
      <c r="AY16" s="9" t="str">
        <f t="shared" si="32"/>
        <v>-</v>
      </c>
      <c r="AZ16" s="16" t="str">
        <f t="shared" si="33"/>
        <v/>
      </c>
      <c r="BA16" s="16" t="str">
        <f t="shared" si="34"/>
        <v/>
      </c>
      <c r="BB16" s="16" t="str">
        <f t="shared" si="35"/>
        <v/>
      </c>
      <c r="BC16" s="16" t="str">
        <f t="shared" si="36"/>
        <v/>
      </c>
      <c r="BD16" s="16" t="str">
        <f t="shared" si="37"/>
        <v/>
      </c>
      <c r="BE16" s="16" t="str">
        <f t="shared" si="38"/>
        <v/>
      </c>
    </row>
    <row r="17" spans="2:57" x14ac:dyDescent="0.3">
      <c r="B17" s="84" t="str">
        <f>""</f>
        <v/>
      </c>
      <c r="C17" s="4">
        <v>14</v>
      </c>
      <c r="D17" s="78" t="str">
        <f t="shared" si="14"/>
        <v/>
      </c>
      <c r="E17" s="3"/>
      <c r="F17" s="79" t="str">
        <f>IFERROR(INDEX('Input - Tesco'!$N$3:$N$200,MATCH('Calculations - Tesco'!$C17,'Input - Tesco'!$O$3:$O$200,0)),"")</f>
        <v/>
      </c>
      <c r="G17" s="16" t="str">
        <f>IFERROR(INDEX('Input - Tesco'!G$2:G$200,MATCH('Calculations - Tesco'!$D17,'Input - Tesco'!$D$2:$D$200,0)),"")</f>
        <v/>
      </c>
      <c r="H17" s="16" t="str">
        <f>IFERROR(INDEX('Input - Tesco'!H$2:H$200,MATCH('Calculations - Tesco'!$D17,'Input - Tesco'!$D$2:$D$200,0)),"")</f>
        <v/>
      </c>
      <c r="I17" s="20" t="str">
        <f>IFERROR(INDEX('Input - Tesco'!I$2:I$200,MATCH('Calculations - Tesco'!$D17,'Input - Tesco'!$D$2:$D$200,0)),"")</f>
        <v/>
      </c>
      <c r="J17" s="20" t="str">
        <f>IFERROR(INDEX('Input - Tesco'!J$2:J$200,MATCH('Calculations - Tesco'!$D17,'Input - Tesco'!$D$2:$D$200,0)),"")</f>
        <v/>
      </c>
      <c r="K17" s="16" t="str">
        <f>IFERROR(INDEX('Input - Tesco'!K$2:K$200,MATCH('Calculations - Tesco'!$D17,'Input - Tesco'!$D$2:$D$200,0)),"")</f>
        <v/>
      </c>
      <c r="L17" s="16" t="str">
        <f>IFERROR(INDEX('Input - Tesco'!L$2:L$200,MATCH('Calculations - Tesco'!$D17,'Input - Tesco'!$D$2:$D$200,0)),"")</f>
        <v/>
      </c>
      <c r="M17" s="17" t="str">
        <f t="shared" si="15"/>
        <v/>
      </c>
      <c r="N17" s="17" t="str">
        <f t="shared" si="2"/>
        <v/>
      </c>
      <c r="O17" s="17" t="str">
        <f t="shared" si="16"/>
        <v/>
      </c>
      <c r="P17" s="9" t="str">
        <f t="shared" si="3"/>
        <v/>
      </c>
      <c r="Q17" s="9" t="str">
        <f t="shared" si="4"/>
        <v/>
      </c>
      <c r="R17" s="8" t="str">
        <f>IFERROR(INDEX(Tesco!$U$12:$U$55,MATCH('Calculations - Tesco'!$D17,Tesco!$Q$12:$Q$55,0)),"-")</f>
        <v>-</v>
      </c>
      <c r="S17" s="8" t="str">
        <f>IFERROR(INDEX(Tesco!$V$12:$V$55,MATCH('Calculations - Tesco'!$D17,Tesco!$Q$12:$Q$55,0)),"-")</f>
        <v>-</v>
      </c>
      <c r="T17" t="str">
        <f t="shared" si="17"/>
        <v>-</v>
      </c>
      <c r="U17" t="str">
        <f t="shared" si="18"/>
        <v>-</v>
      </c>
      <c r="V17" t="str">
        <f t="shared" si="19"/>
        <v>-</v>
      </c>
      <c r="W17" t="str">
        <f t="shared" si="5"/>
        <v>-</v>
      </c>
      <c r="X17" s="10" t="str">
        <f t="shared" si="6"/>
        <v>-</v>
      </c>
      <c r="Y17" s="7" t="str">
        <f t="shared" si="20"/>
        <v/>
      </c>
      <c r="Z17" s="11" t="str">
        <f t="shared" si="21"/>
        <v>-</v>
      </c>
      <c r="AA17" t="str">
        <f t="shared" si="22"/>
        <v>-</v>
      </c>
      <c r="AB17" s="13" t="str">
        <f t="shared" si="7"/>
        <v>-</v>
      </c>
      <c r="AC17" s="13" t="str">
        <f t="shared" si="23"/>
        <v>-</v>
      </c>
      <c r="AD17" s="13" t="str">
        <f t="shared" si="24"/>
        <v>-</v>
      </c>
      <c r="AE17" s="9" t="str">
        <f t="shared" si="25"/>
        <v/>
      </c>
      <c r="AF17" s="10" t="str">
        <f>IFERROR(INDEX(Tesco!$T$12:$T$55,MATCH('Calculations - Tesco'!$D17,Tesco!$Q$12:$Q$55,0)),"-")</f>
        <v>-</v>
      </c>
      <c r="AG17" s="22" t="str">
        <f t="shared" si="26"/>
        <v>-</v>
      </c>
      <c r="AH17" s="22" t="str">
        <f t="shared" si="26"/>
        <v>-</v>
      </c>
      <c r="AI17" s="9" t="str">
        <f t="shared" si="8"/>
        <v/>
      </c>
      <c r="AJ17" s="4" t="str">
        <f t="shared" si="9"/>
        <v/>
      </c>
      <c r="AP17" s="16" t="str">
        <f t="shared" si="10"/>
        <v>-</v>
      </c>
      <c r="AQ17" s="11" t="str">
        <f t="shared" si="27"/>
        <v/>
      </c>
      <c r="AR17" s="9" t="str">
        <f t="shared" si="28"/>
        <v/>
      </c>
      <c r="AS17" s="11" t="str">
        <f t="shared" si="29"/>
        <v/>
      </c>
      <c r="AT17" s="13" t="str">
        <f t="shared" si="30"/>
        <v>-</v>
      </c>
      <c r="AU17" s="13" t="str">
        <f t="shared" si="11"/>
        <v>-</v>
      </c>
      <c r="AV17" s="4" t="str">
        <f t="shared" si="31"/>
        <v>-</v>
      </c>
      <c r="AW17" s="13" t="str">
        <f t="shared" si="12"/>
        <v>-</v>
      </c>
      <c r="AX17" t="str">
        <f t="shared" si="13"/>
        <v/>
      </c>
      <c r="AY17" s="9" t="str">
        <f t="shared" si="32"/>
        <v>-</v>
      </c>
      <c r="AZ17" s="16" t="str">
        <f t="shared" si="33"/>
        <v/>
      </c>
      <c r="BA17" s="16" t="str">
        <f t="shared" si="34"/>
        <v/>
      </c>
      <c r="BB17" s="16" t="str">
        <f t="shared" si="35"/>
        <v/>
      </c>
      <c r="BC17" s="16" t="str">
        <f t="shared" si="36"/>
        <v/>
      </c>
      <c r="BD17" s="16" t="str">
        <f t="shared" si="37"/>
        <v/>
      </c>
      <c r="BE17" s="16" t="str">
        <f t="shared" si="38"/>
        <v/>
      </c>
    </row>
    <row r="18" spans="2:57" x14ac:dyDescent="0.3">
      <c r="B18" s="84" t="str">
        <f>""</f>
        <v/>
      </c>
      <c r="C18" s="4">
        <v>15</v>
      </c>
      <c r="D18" s="78" t="str">
        <f t="shared" si="14"/>
        <v/>
      </c>
      <c r="E18" s="3"/>
      <c r="F18" s="79" t="str">
        <f>IFERROR(INDEX('Input - Tesco'!$N$3:$N$200,MATCH('Calculations - Tesco'!$C18,'Input - Tesco'!$O$3:$O$200,0)),"")</f>
        <v/>
      </c>
      <c r="G18" s="16" t="str">
        <f>IFERROR(INDEX('Input - Tesco'!G$2:G$200,MATCH('Calculations - Tesco'!$D18,'Input - Tesco'!$D$2:$D$200,0)),"")</f>
        <v/>
      </c>
      <c r="H18" s="16" t="str">
        <f>IFERROR(INDEX('Input - Tesco'!H$2:H$200,MATCH('Calculations - Tesco'!$D18,'Input - Tesco'!$D$2:$D$200,0)),"")</f>
        <v/>
      </c>
      <c r="I18" s="20" t="str">
        <f>IFERROR(INDEX('Input - Tesco'!I$2:I$200,MATCH('Calculations - Tesco'!$D18,'Input - Tesco'!$D$2:$D$200,0)),"")</f>
        <v/>
      </c>
      <c r="J18" s="20" t="str">
        <f>IFERROR(INDEX('Input - Tesco'!J$2:J$200,MATCH('Calculations - Tesco'!$D18,'Input - Tesco'!$D$2:$D$200,0)),"")</f>
        <v/>
      </c>
      <c r="K18" s="16" t="str">
        <f>IFERROR(INDEX('Input - Tesco'!K$2:K$200,MATCH('Calculations - Tesco'!$D18,'Input - Tesco'!$D$2:$D$200,0)),"")</f>
        <v/>
      </c>
      <c r="L18" s="16" t="str">
        <f>IFERROR(INDEX('Input - Tesco'!L$2:L$200,MATCH('Calculations - Tesco'!$D18,'Input - Tesco'!$D$2:$D$200,0)),"")</f>
        <v/>
      </c>
      <c r="M18" s="17" t="str">
        <f t="shared" si="15"/>
        <v/>
      </c>
      <c r="N18" s="17" t="str">
        <f t="shared" si="2"/>
        <v/>
      </c>
      <c r="O18" s="17" t="str">
        <f t="shared" si="16"/>
        <v/>
      </c>
      <c r="P18" s="9" t="str">
        <f t="shared" si="3"/>
        <v/>
      </c>
      <c r="Q18" s="9" t="str">
        <f t="shared" si="4"/>
        <v/>
      </c>
      <c r="R18" s="8" t="str">
        <f>IFERROR(INDEX(Tesco!$U$12:$U$55,MATCH('Calculations - Tesco'!$D18,Tesco!$Q$12:$Q$55,0)),"-")</f>
        <v>-</v>
      </c>
      <c r="S18" s="8" t="str">
        <f>IFERROR(INDEX(Tesco!$V$12:$V$55,MATCH('Calculations - Tesco'!$D18,Tesco!$Q$12:$Q$55,0)),"-")</f>
        <v>-</v>
      </c>
      <c r="T18" t="str">
        <f t="shared" si="17"/>
        <v>-</v>
      </c>
      <c r="U18" t="str">
        <f t="shared" si="18"/>
        <v>-</v>
      </c>
      <c r="V18" t="str">
        <f t="shared" si="19"/>
        <v>-</v>
      </c>
      <c r="W18" t="str">
        <f t="shared" si="5"/>
        <v>-</v>
      </c>
      <c r="X18" s="10" t="str">
        <f t="shared" si="6"/>
        <v>-</v>
      </c>
      <c r="Y18" s="7" t="str">
        <f t="shared" si="20"/>
        <v/>
      </c>
      <c r="Z18" s="11" t="str">
        <f t="shared" si="21"/>
        <v>-</v>
      </c>
      <c r="AA18" t="str">
        <f t="shared" si="22"/>
        <v>-</v>
      </c>
      <c r="AB18" s="13" t="str">
        <f t="shared" si="7"/>
        <v>-</v>
      </c>
      <c r="AC18" s="13" t="str">
        <f t="shared" si="23"/>
        <v>-</v>
      </c>
      <c r="AD18" s="13" t="str">
        <f t="shared" si="24"/>
        <v>-</v>
      </c>
      <c r="AE18" s="9" t="str">
        <f t="shared" si="25"/>
        <v/>
      </c>
      <c r="AF18" s="10" t="str">
        <f>IFERROR(INDEX(Tesco!$T$12:$T$55,MATCH('Calculations - Tesco'!$D18,Tesco!$Q$12:$Q$55,0)),"-")</f>
        <v>-</v>
      </c>
      <c r="AG18" s="22" t="str">
        <f t="shared" si="26"/>
        <v>-</v>
      </c>
      <c r="AH18" s="22" t="str">
        <f t="shared" si="26"/>
        <v>-</v>
      </c>
      <c r="AI18" s="9" t="str">
        <f t="shared" si="8"/>
        <v/>
      </c>
      <c r="AJ18" s="4" t="str">
        <f t="shared" si="9"/>
        <v/>
      </c>
      <c r="AP18" s="16" t="str">
        <f t="shared" si="10"/>
        <v>-</v>
      </c>
      <c r="AQ18" s="11" t="str">
        <f t="shared" si="27"/>
        <v/>
      </c>
      <c r="AR18" s="9" t="str">
        <f t="shared" si="28"/>
        <v/>
      </c>
      <c r="AS18" s="11" t="str">
        <f t="shared" si="29"/>
        <v/>
      </c>
      <c r="AT18" s="13" t="str">
        <f t="shared" si="30"/>
        <v>-</v>
      </c>
      <c r="AU18" s="13" t="str">
        <f t="shared" si="11"/>
        <v>-</v>
      </c>
      <c r="AV18" s="4" t="str">
        <f t="shared" si="31"/>
        <v>-</v>
      </c>
      <c r="AW18" s="13" t="str">
        <f t="shared" si="12"/>
        <v>-</v>
      </c>
      <c r="AX18" t="str">
        <f t="shared" si="13"/>
        <v/>
      </c>
      <c r="AY18" s="9" t="str">
        <f t="shared" si="32"/>
        <v>-</v>
      </c>
      <c r="AZ18" s="16" t="str">
        <f t="shared" si="33"/>
        <v/>
      </c>
      <c r="BA18" s="16" t="str">
        <f t="shared" si="34"/>
        <v/>
      </c>
      <c r="BB18" s="16" t="str">
        <f t="shared" si="35"/>
        <v/>
      </c>
      <c r="BC18" s="16" t="str">
        <f t="shared" si="36"/>
        <v/>
      </c>
      <c r="BD18" s="16" t="str">
        <f t="shared" si="37"/>
        <v/>
      </c>
      <c r="BE18" s="16" t="str">
        <f t="shared" si="38"/>
        <v/>
      </c>
    </row>
    <row r="19" spans="2:57" x14ac:dyDescent="0.3">
      <c r="B19" s="84" t="str">
        <f>""</f>
        <v/>
      </c>
      <c r="C19" s="4">
        <v>16</v>
      </c>
      <c r="D19" s="78" t="str">
        <f t="shared" si="14"/>
        <v/>
      </c>
      <c r="E19" s="3"/>
      <c r="F19" s="79" t="str">
        <f>IFERROR(INDEX('Input - Tesco'!$N$3:$N$200,MATCH('Calculations - Tesco'!$C19,'Input - Tesco'!$O$3:$O$200,0)),"")</f>
        <v/>
      </c>
      <c r="G19" s="16" t="str">
        <f>IFERROR(INDEX('Input - Tesco'!G$2:G$200,MATCH('Calculations - Tesco'!$D19,'Input - Tesco'!$D$2:$D$200,0)),"")</f>
        <v/>
      </c>
      <c r="H19" s="16" t="str">
        <f>IFERROR(INDEX('Input - Tesco'!H$2:H$200,MATCH('Calculations - Tesco'!$D19,'Input - Tesco'!$D$2:$D$200,0)),"")</f>
        <v/>
      </c>
      <c r="I19" s="20" t="str">
        <f>IFERROR(INDEX('Input - Tesco'!I$2:I$200,MATCH('Calculations - Tesco'!$D19,'Input - Tesco'!$D$2:$D$200,0)),"")</f>
        <v/>
      </c>
      <c r="J19" s="20" t="str">
        <f>IFERROR(INDEX('Input - Tesco'!J$2:J$200,MATCH('Calculations - Tesco'!$D19,'Input - Tesco'!$D$2:$D$200,0)),"")</f>
        <v/>
      </c>
      <c r="K19" s="16" t="str">
        <f>IFERROR(INDEX('Input - Tesco'!K$2:K$200,MATCH('Calculations - Tesco'!$D19,'Input - Tesco'!$D$2:$D$200,0)),"")</f>
        <v/>
      </c>
      <c r="L19" s="16" t="str">
        <f>IFERROR(INDEX('Input - Tesco'!L$2:L$200,MATCH('Calculations - Tesco'!$D19,'Input - Tesco'!$D$2:$D$200,0)),"")</f>
        <v/>
      </c>
      <c r="M19" s="17" t="str">
        <f t="shared" si="15"/>
        <v/>
      </c>
      <c r="N19" s="17" t="str">
        <f t="shared" si="2"/>
        <v/>
      </c>
      <c r="O19" s="17" t="str">
        <f t="shared" si="16"/>
        <v/>
      </c>
      <c r="P19" s="9" t="str">
        <f t="shared" si="3"/>
        <v/>
      </c>
      <c r="Q19" s="9" t="str">
        <f t="shared" si="4"/>
        <v/>
      </c>
      <c r="R19" s="8" t="str">
        <f>IFERROR(INDEX(Tesco!$U$12:$U$55,MATCH('Calculations - Tesco'!$D19,Tesco!$Q$12:$Q$55,0)),"-")</f>
        <v>-</v>
      </c>
      <c r="S19" s="8" t="str">
        <f>IFERROR(INDEX(Tesco!$V$12:$V$55,MATCH('Calculations - Tesco'!$D19,Tesco!$Q$12:$Q$55,0)),"-")</f>
        <v>-</v>
      </c>
      <c r="T19" t="str">
        <f t="shared" si="17"/>
        <v>-</v>
      </c>
      <c r="U19" t="str">
        <f t="shared" si="18"/>
        <v>-</v>
      </c>
      <c r="V19" t="str">
        <f t="shared" si="19"/>
        <v>-</v>
      </c>
      <c r="W19" t="str">
        <f t="shared" si="5"/>
        <v>-</v>
      </c>
      <c r="X19" s="10" t="str">
        <f t="shared" si="6"/>
        <v>-</v>
      </c>
      <c r="Y19" s="7" t="str">
        <f t="shared" si="20"/>
        <v/>
      </c>
      <c r="Z19" s="11" t="str">
        <f t="shared" si="21"/>
        <v>-</v>
      </c>
      <c r="AA19" t="str">
        <f t="shared" si="22"/>
        <v>-</v>
      </c>
      <c r="AB19" s="13" t="str">
        <f t="shared" si="7"/>
        <v>-</v>
      </c>
      <c r="AC19" s="13" t="str">
        <f t="shared" si="23"/>
        <v>-</v>
      </c>
      <c r="AD19" s="13" t="str">
        <f t="shared" si="24"/>
        <v>-</v>
      </c>
      <c r="AE19" s="9" t="str">
        <f t="shared" si="25"/>
        <v/>
      </c>
      <c r="AF19" s="10" t="str">
        <f>IFERROR(INDEX(Tesco!$T$12:$T$55,MATCH('Calculations - Tesco'!$D19,Tesco!$Q$12:$Q$55,0)),"-")</f>
        <v>-</v>
      </c>
      <c r="AG19" s="22" t="str">
        <f t="shared" si="26"/>
        <v>-</v>
      </c>
      <c r="AH19" s="22" t="str">
        <f t="shared" si="26"/>
        <v>-</v>
      </c>
      <c r="AI19" s="9" t="str">
        <f t="shared" si="8"/>
        <v/>
      </c>
      <c r="AJ19" s="4" t="str">
        <f t="shared" si="9"/>
        <v/>
      </c>
      <c r="AP19" s="16" t="str">
        <f t="shared" si="10"/>
        <v>-</v>
      </c>
      <c r="AQ19" s="11" t="str">
        <f t="shared" si="27"/>
        <v/>
      </c>
      <c r="AR19" s="9" t="str">
        <f t="shared" si="28"/>
        <v/>
      </c>
      <c r="AS19" s="11" t="str">
        <f t="shared" si="29"/>
        <v/>
      </c>
      <c r="AT19" s="13" t="str">
        <f t="shared" si="30"/>
        <v>-</v>
      </c>
      <c r="AU19" s="13" t="str">
        <f t="shared" si="11"/>
        <v>-</v>
      </c>
      <c r="AV19" s="4" t="str">
        <f t="shared" si="31"/>
        <v>-</v>
      </c>
      <c r="AW19" s="13" t="str">
        <f t="shared" si="12"/>
        <v>-</v>
      </c>
      <c r="AX19" t="str">
        <f t="shared" si="13"/>
        <v/>
      </c>
      <c r="AY19" s="9" t="str">
        <f t="shared" si="32"/>
        <v>-</v>
      </c>
      <c r="AZ19" s="16" t="str">
        <f t="shared" si="33"/>
        <v/>
      </c>
      <c r="BA19" s="16" t="str">
        <f t="shared" si="34"/>
        <v/>
      </c>
      <c r="BB19" s="16" t="str">
        <f t="shared" si="35"/>
        <v/>
      </c>
      <c r="BC19" s="16" t="str">
        <f t="shared" si="36"/>
        <v/>
      </c>
      <c r="BD19" s="16" t="str">
        <f t="shared" si="37"/>
        <v/>
      </c>
      <c r="BE19" s="16" t="str">
        <f t="shared" si="38"/>
        <v/>
      </c>
    </row>
    <row r="20" spans="2:57" x14ac:dyDescent="0.3">
      <c r="B20" s="84" t="str">
        <f>""</f>
        <v/>
      </c>
      <c r="C20" s="4">
        <v>17</v>
      </c>
      <c r="D20" s="78" t="str">
        <f t="shared" si="14"/>
        <v/>
      </c>
      <c r="E20" s="3"/>
      <c r="F20" s="79" t="str">
        <f>IFERROR(INDEX('Input - Tesco'!$N$3:$N$200,MATCH('Calculations - Tesco'!$C20,'Input - Tesco'!$O$3:$O$200,0)),"")</f>
        <v/>
      </c>
      <c r="G20" s="16" t="str">
        <f>IFERROR(INDEX('Input - Tesco'!G$2:G$200,MATCH('Calculations - Tesco'!$D20,'Input - Tesco'!$D$2:$D$200,0)),"")</f>
        <v/>
      </c>
      <c r="H20" s="16" t="str">
        <f>IFERROR(INDEX('Input - Tesco'!H$2:H$200,MATCH('Calculations - Tesco'!$D20,'Input - Tesco'!$D$2:$D$200,0)),"")</f>
        <v/>
      </c>
      <c r="I20" s="20" t="str">
        <f>IFERROR(INDEX('Input - Tesco'!I$2:I$200,MATCH('Calculations - Tesco'!$D20,'Input - Tesco'!$D$2:$D$200,0)),"")</f>
        <v/>
      </c>
      <c r="J20" s="20" t="str">
        <f>IFERROR(INDEX('Input - Tesco'!J$2:J$200,MATCH('Calculations - Tesco'!$D20,'Input - Tesco'!$D$2:$D$200,0)),"")</f>
        <v/>
      </c>
      <c r="K20" s="16" t="str">
        <f>IFERROR(INDEX('Input - Tesco'!K$2:K$200,MATCH('Calculations - Tesco'!$D20,'Input - Tesco'!$D$2:$D$200,0)),"")</f>
        <v/>
      </c>
      <c r="L20" s="16" t="str">
        <f>IFERROR(INDEX('Input - Tesco'!L$2:L$200,MATCH('Calculations - Tesco'!$D20,'Input - Tesco'!$D$2:$D$200,0)),"")</f>
        <v/>
      </c>
      <c r="M20" s="17" t="str">
        <f t="shared" si="15"/>
        <v/>
      </c>
      <c r="N20" s="17" t="str">
        <f t="shared" si="2"/>
        <v/>
      </c>
      <c r="O20" s="17" t="str">
        <f t="shared" si="16"/>
        <v/>
      </c>
      <c r="P20" s="9" t="str">
        <f t="shared" si="3"/>
        <v/>
      </c>
      <c r="Q20" s="9" t="str">
        <f t="shared" si="4"/>
        <v/>
      </c>
      <c r="R20" s="8" t="str">
        <f>IFERROR(INDEX(Tesco!$U$12:$U$55,MATCH('Calculations - Tesco'!$D20,Tesco!$Q$12:$Q$55,0)),"-")</f>
        <v>-</v>
      </c>
      <c r="S20" s="8" t="str">
        <f>IFERROR(INDEX(Tesco!$V$12:$V$55,MATCH('Calculations - Tesco'!$D20,Tesco!$Q$12:$Q$55,0)),"-")</f>
        <v>-</v>
      </c>
      <c r="T20" t="str">
        <f t="shared" si="17"/>
        <v>-</v>
      </c>
      <c r="U20" t="str">
        <f t="shared" si="18"/>
        <v>-</v>
      </c>
      <c r="V20" t="str">
        <f t="shared" si="19"/>
        <v>-</v>
      </c>
      <c r="W20" t="str">
        <f t="shared" si="5"/>
        <v>-</v>
      </c>
      <c r="X20" s="10" t="str">
        <f t="shared" si="6"/>
        <v>-</v>
      </c>
      <c r="Y20" s="7" t="str">
        <f t="shared" si="20"/>
        <v/>
      </c>
      <c r="Z20" s="11" t="str">
        <f t="shared" si="21"/>
        <v>-</v>
      </c>
      <c r="AA20" t="str">
        <f t="shared" si="22"/>
        <v>-</v>
      </c>
      <c r="AB20" s="13" t="str">
        <f t="shared" si="7"/>
        <v>-</v>
      </c>
      <c r="AC20" s="13" t="str">
        <f t="shared" si="23"/>
        <v>-</v>
      </c>
      <c r="AD20" s="13" t="str">
        <f t="shared" si="24"/>
        <v>-</v>
      </c>
      <c r="AE20" s="9" t="str">
        <f t="shared" si="25"/>
        <v/>
      </c>
      <c r="AF20" s="10" t="str">
        <f>IFERROR(INDEX(Tesco!$T$12:$T$55,MATCH('Calculations - Tesco'!$D20,Tesco!$Q$12:$Q$55,0)),"-")</f>
        <v>-</v>
      </c>
      <c r="AG20" s="22" t="str">
        <f t="shared" si="26"/>
        <v>-</v>
      </c>
      <c r="AH20" s="22" t="str">
        <f t="shared" si="26"/>
        <v>-</v>
      </c>
      <c r="AI20" s="9" t="str">
        <f t="shared" si="8"/>
        <v/>
      </c>
      <c r="AJ20" s="4" t="str">
        <f t="shared" si="9"/>
        <v/>
      </c>
      <c r="AP20" s="16" t="str">
        <f t="shared" si="10"/>
        <v>-</v>
      </c>
      <c r="AQ20" s="11" t="str">
        <f t="shared" si="27"/>
        <v/>
      </c>
      <c r="AR20" s="9" t="str">
        <f t="shared" si="28"/>
        <v/>
      </c>
      <c r="AS20" s="11" t="str">
        <f t="shared" si="29"/>
        <v/>
      </c>
      <c r="AT20" s="13" t="str">
        <f t="shared" si="30"/>
        <v>-</v>
      </c>
      <c r="AU20" s="13" t="str">
        <f t="shared" si="11"/>
        <v>-</v>
      </c>
      <c r="AV20" s="4" t="str">
        <f t="shared" si="31"/>
        <v>-</v>
      </c>
      <c r="AW20" s="13" t="str">
        <f t="shared" si="12"/>
        <v>-</v>
      </c>
      <c r="AX20" t="str">
        <f t="shared" si="13"/>
        <v/>
      </c>
      <c r="AY20" s="9" t="str">
        <f t="shared" si="32"/>
        <v>-</v>
      </c>
      <c r="AZ20" s="16" t="str">
        <f t="shared" si="33"/>
        <v/>
      </c>
      <c r="BA20" s="16" t="str">
        <f t="shared" si="34"/>
        <v/>
      </c>
      <c r="BB20" s="16" t="str">
        <f t="shared" si="35"/>
        <v/>
      </c>
      <c r="BC20" s="16" t="str">
        <f t="shared" si="36"/>
        <v/>
      </c>
      <c r="BD20" s="16" t="str">
        <f t="shared" si="37"/>
        <v/>
      </c>
      <c r="BE20" s="16" t="str">
        <f t="shared" si="38"/>
        <v/>
      </c>
    </row>
    <row r="21" spans="2:57" x14ac:dyDescent="0.3">
      <c r="B21" s="84" t="str">
        <f>""</f>
        <v/>
      </c>
      <c r="C21" s="4">
        <v>18</v>
      </c>
      <c r="D21" s="78" t="str">
        <f t="shared" si="14"/>
        <v/>
      </c>
      <c r="E21" s="3"/>
      <c r="F21" s="79" t="str">
        <f>IFERROR(INDEX('Input - Tesco'!$N$3:$N$200,MATCH('Calculations - Tesco'!$C21,'Input - Tesco'!$O$3:$O$200,0)),"")</f>
        <v/>
      </c>
      <c r="G21" s="16" t="str">
        <f>IFERROR(INDEX('Input - Tesco'!G$2:G$200,MATCH('Calculations - Tesco'!$D21,'Input - Tesco'!$D$2:$D$200,0)),"")</f>
        <v/>
      </c>
      <c r="H21" s="16" t="str">
        <f>IFERROR(INDEX('Input - Tesco'!H$2:H$200,MATCH('Calculations - Tesco'!$D21,'Input - Tesco'!$D$2:$D$200,0)),"")</f>
        <v/>
      </c>
      <c r="I21" s="20" t="str">
        <f>IFERROR(INDEX('Input - Tesco'!I$2:I$200,MATCH('Calculations - Tesco'!$D21,'Input - Tesco'!$D$2:$D$200,0)),"")</f>
        <v/>
      </c>
      <c r="J21" s="20" t="str">
        <f>IFERROR(INDEX('Input - Tesco'!J$2:J$200,MATCH('Calculations - Tesco'!$D21,'Input - Tesco'!$D$2:$D$200,0)),"")</f>
        <v/>
      </c>
      <c r="K21" s="16" t="str">
        <f>IFERROR(INDEX('Input - Tesco'!K$2:K$200,MATCH('Calculations - Tesco'!$D21,'Input - Tesco'!$D$2:$D$200,0)),"")</f>
        <v/>
      </c>
      <c r="L21" s="16" t="str">
        <f>IFERROR(INDEX('Input - Tesco'!L$2:L$200,MATCH('Calculations - Tesco'!$D21,'Input - Tesco'!$D$2:$D$200,0)),"")</f>
        <v/>
      </c>
      <c r="M21" s="17" t="str">
        <f t="shared" si="15"/>
        <v/>
      </c>
      <c r="N21" s="17" t="str">
        <f t="shared" si="2"/>
        <v/>
      </c>
      <c r="O21" s="17" t="str">
        <f t="shared" si="16"/>
        <v/>
      </c>
      <c r="P21" s="9" t="str">
        <f t="shared" si="3"/>
        <v/>
      </c>
      <c r="Q21" s="9" t="str">
        <f t="shared" si="4"/>
        <v/>
      </c>
      <c r="R21" s="8" t="str">
        <f>IFERROR(INDEX(Tesco!$U$12:$U$55,MATCH('Calculations - Tesco'!$D21,Tesco!$Q$12:$Q$55,0)),"-")</f>
        <v>-</v>
      </c>
      <c r="S21" s="8" t="str">
        <f>IFERROR(INDEX(Tesco!$V$12:$V$55,MATCH('Calculations - Tesco'!$D21,Tesco!$Q$12:$Q$55,0)),"-")</f>
        <v>-</v>
      </c>
      <c r="T21" t="str">
        <f t="shared" si="17"/>
        <v>-</v>
      </c>
      <c r="U21" t="str">
        <f t="shared" si="18"/>
        <v>-</v>
      </c>
      <c r="V21" t="str">
        <f t="shared" si="19"/>
        <v>-</v>
      </c>
      <c r="W21" t="str">
        <f t="shared" si="5"/>
        <v>-</v>
      </c>
      <c r="X21" s="10" t="str">
        <f t="shared" si="6"/>
        <v>-</v>
      </c>
      <c r="Y21" s="7" t="str">
        <f t="shared" si="20"/>
        <v/>
      </c>
      <c r="Z21" s="11" t="str">
        <f t="shared" si="21"/>
        <v>-</v>
      </c>
      <c r="AA21" t="str">
        <f t="shared" si="22"/>
        <v>-</v>
      </c>
      <c r="AB21" s="13" t="str">
        <f t="shared" si="7"/>
        <v>-</v>
      </c>
      <c r="AC21" s="13" t="str">
        <f t="shared" si="23"/>
        <v>-</v>
      </c>
      <c r="AD21" s="13" t="str">
        <f t="shared" si="24"/>
        <v>-</v>
      </c>
      <c r="AE21" s="9" t="str">
        <f t="shared" si="25"/>
        <v/>
      </c>
      <c r="AF21" s="10" t="str">
        <f>IFERROR(INDEX(Tesco!$T$12:$T$55,MATCH('Calculations - Tesco'!$D21,Tesco!$Q$12:$Q$55,0)),"-")</f>
        <v>-</v>
      </c>
      <c r="AG21" s="22" t="str">
        <f t="shared" si="26"/>
        <v>-</v>
      </c>
      <c r="AH21" s="22" t="str">
        <f t="shared" si="26"/>
        <v>-</v>
      </c>
      <c r="AI21" s="9" t="str">
        <f t="shared" si="8"/>
        <v/>
      </c>
      <c r="AJ21" s="4" t="str">
        <f t="shared" si="9"/>
        <v/>
      </c>
      <c r="AP21" s="16" t="str">
        <f t="shared" si="10"/>
        <v>-</v>
      </c>
      <c r="AQ21" s="11" t="str">
        <f t="shared" si="27"/>
        <v/>
      </c>
      <c r="AR21" s="9" t="str">
        <f t="shared" si="28"/>
        <v/>
      </c>
      <c r="AS21" s="11" t="str">
        <f t="shared" si="29"/>
        <v/>
      </c>
      <c r="AT21" s="13" t="str">
        <f t="shared" si="30"/>
        <v>-</v>
      </c>
      <c r="AU21" s="13" t="str">
        <f t="shared" si="11"/>
        <v>-</v>
      </c>
      <c r="AV21" s="4" t="str">
        <f t="shared" si="31"/>
        <v>-</v>
      </c>
      <c r="AW21" s="13" t="str">
        <f t="shared" si="12"/>
        <v>-</v>
      </c>
      <c r="AX21" t="str">
        <f t="shared" si="13"/>
        <v/>
      </c>
      <c r="AY21" s="9" t="str">
        <f t="shared" si="32"/>
        <v>-</v>
      </c>
      <c r="AZ21" s="16" t="str">
        <f t="shared" si="33"/>
        <v/>
      </c>
      <c r="BA21" s="16" t="str">
        <f t="shared" si="34"/>
        <v/>
      </c>
      <c r="BB21" s="16" t="str">
        <f t="shared" si="35"/>
        <v/>
      </c>
      <c r="BC21" s="16" t="str">
        <f t="shared" si="36"/>
        <v/>
      </c>
      <c r="BD21" s="16" t="str">
        <f t="shared" si="37"/>
        <v/>
      </c>
      <c r="BE21" s="16" t="str">
        <f t="shared" si="38"/>
        <v/>
      </c>
    </row>
    <row r="22" spans="2:57" x14ac:dyDescent="0.3">
      <c r="B22" s="84" t="str">
        <f>""</f>
        <v/>
      </c>
      <c r="C22" s="4">
        <v>19</v>
      </c>
      <c r="D22" s="78" t="str">
        <f t="shared" si="14"/>
        <v/>
      </c>
      <c r="E22" s="3"/>
      <c r="F22" s="79" t="str">
        <f>IFERROR(INDEX('Input - Tesco'!$N$3:$N$200,MATCH('Calculations - Tesco'!$C22,'Input - Tesco'!$O$3:$O$200,0)),"")</f>
        <v/>
      </c>
      <c r="G22" s="16" t="str">
        <f>IFERROR(INDEX('Input - Tesco'!G$2:G$200,MATCH('Calculations - Tesco'!$D22,'Input - Tesco'!$D$2:$D$200,0)),"")</f>
        <v/>
      </c>
      <c r="H22" s="16" t="str">
        <f>IFERROR(INDEX('Input - Tesco'!H$2:H$200,MATCH('Calculations - Tesco'!$D22,'Input - Tesco'!$D$2:$D$200,0)),"")</f>
        <v/>
      </c>
      <c r="I22" s="20" t="str">
        <f>IFERROR(INDEX('Input - Tesco'!I$2:I$200,MATCH('Calculations - Tesco'!$D22,'Input - Tesco'!$D$2:$D$200,0)),"")</f>
        <v/>
      </c>
      <c r="J22" s="20" t="str">
        <f>IFERROR(INDEX('Input - Tesco'!J$2:J$200,MATCH('Calculations - Tesco'!$D22,'Input - Tesco'!$D$2:$D$200,0)),"")</f>
        <v/>
      </c>
      <c r="K22" s="16" t="str">
        <f>IFERROR(INDEX('Input - Tesco'!K$2:K$200,MATCH('Calculations - Tesco'!$D22,'Input - Tesco'!$D$2:$D$200,0)),"")</f>
        <v/>
      </c>
      <c r="L22" s="16" t="str">
        <f>IFERROR(INDEX('Input - Tesco'!L$2:L$200,MATCH('Calculations - Tesco'!$D22,'Input - Tesco'!$D$2:$D$200,0)),"")</f>
        <v/>
      </c>
      <c r="M22" s="17" t="str">
        <f t="shared" si="15"/>
        <v/>
      </c>
      <c r="N22" s="17" t="str">
        <f t="shared" si="2"/>
        <v/>
      </c>
      <c r="O22" s="17" t="str">
        <f t="shared" si="16"/>
        <v/>
      </c>
      <c r="P22" s="9" t="str">
        <f t="shared" si="3"/>
        <v/>
      </c>
      <c r="Q22" s="9" t="str">
        <f t="shared" si="4"/>
        <v/>
      </c>
      <c r="R22" s="8" t="str">
        <f>IFERROR(INDEX(Tesco!$U$12:$U$55,MATCH('Calculations - Tesco'!$D22,Tesco!$Q$12:$Q$55,0)),"-")</f>
        <v>-</v>
      </c>
      <c r="S22" s="8" t="str">
        <f>IFERROR(INDEX(Tesco!$V$12:$V$55,MATCH('Calculations - Tesco'!$D22,Tesco!$Q$12:$Q$55,0)),"-")</f>
        <v>-</v>
      </c>
      <c r="T22" t="str">
        <f t="shared" si="17"/>
        <v>-</v>
      </c>
      <c r="U22" t="str">
        <f t="shared" si="18"/>
        <v>-</v>
      </c>
      <c r="V22" t="str">
        <f t="shared" si="19"/>
        <v>-</v>
      </c>
      <c r="W22" t="str">
        <f t="shared" si="5"/>
        <v>-</v>
      </c>
      <c r="X22" s="10" t="str">
        <f t="shared" si="6"/>
        <v>-</v>
      </c>
      <c r="Y22" s="7" t="str">
        <f t="shared" si="20"/>
        <v/>
      </c>
      <c r="Z22" s="11" t="str">
        <f t="shared" si="21"/>
        <v>-</v>
      </c>
      <c r="AA22" t="str">
        <f t="shared" si="22"/>
        <v>-</v>
      </c>
      <c r="AB22" s="13" t="str">
        <f t="shared" si="7"/>
        <v>-</v>
      </c>
      <c r="AC22" s="13" t="str">
        <f t="shared" si="23"/>
        <v>-</v>
      </c>
      <c r="AD22" s="13" t="str">
        <f t="shared" si="24"/>
        <v>-</v>
      </c>
      <c r="AE22" s="9" t="str">
        <f t="shared" si="25"/>
        <v/>
      </c>
      <c r="AF22" s="10" t="str">
        <f>IFERROR(INDEX(Tesco!$T$12:$T$55,MATCH('Calculations - Tesco'!$D22,Tesco!$Q$12:$Q$55,0)),"-")</f>
        <v>-</v>
      </c>
      <c r="AG22" s="22" t="str">
        <f t="shared" si="26"/>
        <v>-</v>
      </c>
      <c r="AH22" s="22" t="str">
        <f t="shared" si="26"/>
        <v>-</v>
      </c>
      <c r="AI22" s="9" t="str">
        <f t="shared" si="8"/>
        <v/>
      </c>
      <c r="AJ22" s="4" t="str">
        <f t="shared" si="9"/>
        <v/>
      </c>
      <c r="AP22" s="16" t="str">
        <f t="shared" si="10"/>
        <v>-</v>
      </c>
      <c r="AQ22" s="11" t="str">
        <f t="shared" si="27"/>
        <v/>
      </c>
      <c r="AR22" s="9" t="str">
        <f t="shared" si="28"/>
        <v/>
      </c>
      <c r="AS22" s="11" t="str">
        <f t="shared" si="29"/>
        <v/>
      </c>
      <c r="AT22" s="13" t="str">
        <f t="shared" si="30"/>
        <v>-</v>
      </c>
      <c r="AU22" s="13" t="str">
        <f t="shared" si="11"/>
        <v>-</v>
      </c>
      <c r="AV22" s="4" t="str">
        <f t="shared" si="31"/>
        <v>-</v>
      </c>
      <c r="AW22" s="13" t="str">
        <f t="shared" si="12"/>
        <v>-</v>
      </c>
      <c r="AX22" t="str">
        <f t="shared" si="13"/>
        <v/>
      </c>
      <c r="AY22" s="9" t="str">
        <f t="shared" si="32"/>
        <v>-</v>
      </c>
      <c r="AZ22" s="16" t="str">
        <f t="shared" si="33"/>
        <v/>
      </c>
      <c r="BA22" s="16" t="str">
        <f t="shared" si="34"/>
        <v/>
      </c>
      <c r="BB22" s="16" t="str">
        <f t="shared" si="35"/>
        <v/>
      </c>
      <c r="BC22" s="16" t="str">
        <f t="shared" si="36"/>
        <v/>
      </c>
      <c r="BD22" s="16" t="str">
        <f t="shared" si="37"/>
        <v/>
      </c>
      <c r="BE22" s="16" t="str">
        <f t="shared" si="38"/>
        <v/>
      </c>
    </row>
    <row r="23" spans="2:57" x14ac:dyDescent="0.3">
      <c r="B23" s="84" t="str">
        <f>""</f>
        <v/>
      </c>
      <c r="C23" s="4">
        <v>20</v>
      </c>
      <c r="D23" s="78" t="str">
        <f t="shared" si="14"/>
        <v/>
      </c>
      <c r="E23" s="3"/>
      <c r="F23" s="79" t="str">
        <f>IFERROR(INDEX('Input - Tesco'!$N$3:$N$200,MATCH('Calculations - Tesco'!$C23,'Input - Tesco'!$O$3:$O$200,0)),"")</f>
        <v/>
      </c>
      <c r="G23" s="16" t="str">
        <f>IFERROR(INDEX('Input - Tesco'!G$2:G$200,MATCH('Calculations - Tesco'!$D23,'Input - Tesco'!$D$2:$D$200,0)),"")</f>
        <v/>
      </c>
      <c r="H23" s="16" t="str">
        <f>IFERROR(INDEX('Input - Tesco'!H$2:H$200,MATCH('Calculations - Tesco'!$D23,'Input - Tesco'!$D$2:$D$200,0)),"")</f>
        <v/>
      </c>
      <c r="I23" s="20" t="str">
        <f>IFERROR(INDEX('Input - Tesco'!I$2:I$200,MATCH('Calculations - Tesco'!$D23,'Input - Tesco'!$D$2:$D$200,0)),"")</f>
        <v/>
      </c>
      <c r="J23" s="20" t="str">
        <f>IFERROR(INDEX('Input - Tesco'!J$2:J$200,MATCH('Calculations - Tesco'!$D23,'Input - Tesco'!$D$2:$D$200,0)),"")</f>
        <v/>
      </c>
      <c r="K23" s="16" t="str">
        <f>IFERROR(INDEX('Input - Tesco'!K$2:K$200,MATCH('Calculations - Tesco'!$D23,'Input - Tesco'!$D$2:$D$200,0)),"")</f>
        <v/>
      </c>
      <c r="L23" s="16" t="str">
        <f>IFERROR(INDEX('Input - Tesco'!L$2:L$200,MATCH('Calculations - Tesco'!$D23,'Input - Tesco'!$D$2:$D$200,0)),"")</f>
        <v/>
      </c>
      <c r="M23" s="17" t="str">
        <f t="shared" si="15"/>
        <v/>
      </c>
      <c r="N23" s="17" t="str">
        <f t="shared" si="2"/>
        <v/>
      </c>
      <c r="O23" s="17" t="str">
        <f t="shared" si="16"/>
        <v/>
      </c>
      <c r="P23" s="9" t="str">
        <f t="shared" si="3"/>
        <v/>
      </c>
      <c r="Q23" s="9" t="str">
        <f t="shared" si="4"/>
        <v/>
      </c>
      <c r="R23" s="8" t="str">
        <f>IFERROR(INDEX(Tesco!$U$12:$U$55,MATCH('Calculations - Tesco'!$D23,Tesco!$Q$12:$Q$55,0)),"-")</f>
        <v>-</v>
      </c>
      <c r="S23" s="8" t="str">
        <f>IFERROR(INDEX(Tesco!$V$12:$V$55,MATCH('Calculations - Tesco'!$D23,Tesco!$Q$12:$Q$55,0)),"-")</f>
        <v>-</v>
      </c>
      <c r="T23" t="str">
        <f t="shared" si="17"/>
        <v>-</v>
      </c>
      <c r="U23" t="str">
        <f t="shared" si="18"/>
        <v>-</v>
      </c>
      <c r="V23" t="str">
        <f t="shared" si="19"/>
        <v>-</v>
      </c>
      <c r="W23" t="str">
        <f t="shared" si="5"/>
        <v>-</v>
      </c>
      <c r="X23" s="10" t="str">
        <f t="shared" si="6"/>
        <v>-</v>
      </c>
      <c r="Y23" s="7" t="str">
        <f t="shared" si="20"/>
        <v/>
      </c>
      <c r="Z23" s="11" t="str">
        <f t="shared" si="21"/>
        <v>-</v>
      </c>
      <c r="AA23" t="str">
        <f t="shared" si="22"/>
        <v>-</v>
      </c>
      <c r="AB23" s="13" t="str">
        <f t="shared" si="7"/>
        <v>-</v>
      </c>
      <c r="AC23" s="13" t="str">
        <f t="shared" si="23"/>
        <v>-</v>
      </c>
      <c r="AD23" s="13" t="str">
        <f t="shared" si="24"/>
        <v>-</v>
      </c>
      <c r="AE23" s="9" t="str">
        <f t="shared" si="25"/>
        <v/>
      </c>
      <c r="AF23" s="10" t="str">
        <f>IFERROR(INDEX(Tesco!$T$12:$T$55,MATCH('Calculations - Tesco'!$D23,Tesco!$Q$12:$Q$55,0)),"-")</f>
        <v>-</v>
      </c>
      <c r="AG23" s="22" t="str">
        <f t="shared" si="26"/>
        <v>-</v>
      </c>
      <c r="AH23" s="22" t="str">
        <f t="shared" si="26"/>
        <v>-</v>
      </c>
      <c r="AI23" s="9" t="str">
        <f t="shared" si="8"/>
        <v/>
      </c>
      <c r="AJ23" s="4" t="str">
        <f t="shared" si="9"/>
        <v/>
      </c>
      <c r="AP23" s="16" t="str">
        <f t="shared" si="10"/>
        <v>-</v>
      </c>
      <c r="AQ23" s="11" t="str">
        <f t="shared" si="27"/>
        <v/>
      </c>
      <c r="AR23" s="9" t="str">
        <f t="shared" si="28"/>
        <v/>
      </c>
      <c r="AS23" s="11" t="str">
        <f t="shared" si="29"/>
        <v/>
      </c>
      <c r="AT23" s="13" t="str">
        <f t="shared" si="30"/>
        <v>-</v>
      </c>
      <c r="AU23" s="13" t="str">
        <f t="shared" si="11"/>
        <v>-</v>
      </c>
      <c r="AV23" s="4" t="str">
        <f t="shared" si="31"/>
        <v>-</v>
      </c>
      <c r="AW23" s="13" t="str">
        <f t="shared" si="12"/>
        <v>-</v>
      </c>
      <c r="AX23" t="str">
        <f t="shared" si="13"/>
        <v/>
      </c>
      <c r="AY23" s="9" t="str">
        <f t="shared" si="32"/>
        <v>-</v>
      </c>
      <c r="AZ23" s="16" t="str">
        <f t="shared" si="33"/>
        <v/>
      </c>
      <c r="BA23" s="16" t="str">
        <f t="shared" si="34"/>
        <v/>
      </c>
      <c r="BB23" s="16" t="str">
        <f t="shared" si="35"/>
        <v/>
      </c>
      <c r="BC23" s="16" t="str">
        <f t="shared" si="36"/>
        <v/>
      </c>
      <c r="BD23" s="16" t="str">
        <f t="shared" si="37"/>
        <v/>
      </c>
      <c r="BE23" s="16" t="str">
        <f t="shared" si="38"/>
        <v/>
      </c>
    </row>
    <row r="24" spans="2:57" x14ac:dyDescent="0.3">
      <c r="D24" s="78" t="str">
        <f t="shared" si="14"/>
        <v>TescoTOTAL CATEGORY</v>
      </c>
      <c r="E24" s="79" t="str">
        <f>E4</f>
        <v>Tesco</v>
      </c>
      <c r="F24" s="3" t="s">
        <v>39</v>
      </c>
      <c r="G24" s="16">
        <f>SUM(G4:G23)</f>
        <v>13798827.949999999</v>
      </c>
      <c r="H24" s="16">
        <f>SUM(H4:H23)</f>
        <v>2862797.8709999998</v>
      </c>
      <c r="I24" s="20" t="str">
        <f>IFERROR(INDEX('Input - Tesco'!I$2:I$200,MATCH('Calculations - Tesco'!$D24,'Input - Tesco'!$D$2:$D$200,0)),"")</f>
        <v/>
      </c>
      <c r="J24" s="20">
        <f>'Input - Tesco'!B3</f>
        <v>17.089849390000001</v>
      </c>
      <c r="K24" s="16">
        <f t="shared" ref="K24:L24" si="39">SUM(K4:K23)</f>
        <v>40391620.280000001</v>
      </c>
      <c r="L24" s="16">
        <f t="shared" si="39"/>
        <v>8225800.120000001</v>
      </c>
      <c r="M24" s="17">
        <f t="shared" si="15"/>
        <v>4.8200496758019282</v>
      </c>
      <c r="N24" s="17">
        <f t="shared" si="2"/>
        <v>4.9103576175882084</v>
      </c>
      <c r="O24" s="17">
        <f t="shared" si="16"/>
        <v>-1.9641924840160099</v>
      </c>
      <c r="P24" s="9">
        <f>IFERROR(G24/SUM(G$4:G$23),"")</f>
        <v>1</v>
      </c>
      <c r="Q24" s="8">
        <f t="shared" ref="Q24" si="40">SUM(Q4:Q23)</f>
        <v>1.0000000000000002</v>
      </c>
      <c r="R24" s="16"/>
      <c r="S24" s="16"/>
      <c r="T24" s="16">
        <f t="shared" ref="T24:X24" si="41">SUM(T4:T23)</f>
        <v>5778838.176</v>
      </c>
      <c r="U24" s="16">
        <f t="shared" si="41"/>
        <v>1733651.4528000001</v>
      </c>
      <c r="V24" s="8"/>
      <c r="W24" s="16"/>
      <c r="X24" s="16">
        <f t="shared" si="41"/>
        <v>19723253.093505975</v>
      </c>
      <c r="Y24" s="16"/>
      <c r="AA24" s="16">
        <f t="shared" ref="AA24:AB24" si="42">SUM(AA4:AA23)</f>
        <v>13798827.949999996</v>
      </c>
      <c r="AB24" s="16">
        <f t="shared" si="42"/>
        <v>2864525.6710894536</v>
      </c>
      <c r="AC24" s="16"/>
      <c r="AD24" s="16"/>
      <c r="AF24" s="20">
        <f>AT24/AU24</f>
        <v>4.8171423594720109</v>
      </c>
      <c r="AJ24" s="16">
        <f t="shared" ref="AJ24" si="43">SUM(AJ4:AJ23)</f>
        <v>2862797.8709999998</v>
      </c>
      <c r="AP24" s="12">
        <f>SUM(AP4:AP23)</f>
        <v>19723253.093505975</v>
      </c>
      <c r="AQ24" s="11">
        <f t="shared" si="27"/>
        <v>1</v>
      </c>
      <c r="AR24" s="9">
        <f t="shared" si="28"/>
        <v>1</v>
      </c>
      <c r="AS24" s="11">
        <f t="shared" si="29"/>
        <v>0</v>
      </c>
      <c r="AT24" s="12">
        <f t="shared" ref="AT24" si="44">SUM(AT4:AT23)</f>
        <v>13798827.949999996</v>
      </c>
      <c r="AU24" s="12">
        <f>SUM(AU4:AU23)</f>
        <v>2864525.6710894536</v>
      </c>
      <c r="AZ24" s="16">
        <f t="shared" si="33"/>
        <v>119.33130640426688</v>
      </c>
      <c r="BA24" s="16">
        <f t="shared" si="34"/>
        <v>113.44346442382084</v>
      </c>
      <c r="BB24" s="16">
        <f t="shared" si="35"/>
        <v>143.04565109709245</v>
      </c>
      <c r="BC24" s="16">
        <f t="shared" si="36"/>
        <v>119.40332708164988</v>
      </c>
      <c r="BD24" s="16">
        <f t="shared" si="37"/>
        <v>113.51193157966341</v>
      </c>
      <c r="BE24" s="16">
        <f t="shared" si="38"/>
        <v>143.13198422290102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52C18-1122-4BEA-8F44-4F48AA3AB3F1}">
  <sheetPr codeName="Sheet6">
    <tabColor theme="5" tint="0.79998168889431442"/>
  </sheetPr>
  <dimension ref="A1:AK135"/>
  <sheetViews>
    <sheetView showGridLines="0" topLeftCell="C1" zoomScale="55" zoomScaleNormal="55" workbookViewId="0">
      <selection activeCell="S11" sqref="S11:T11"/>
    </sheetView>
  </sheetViews>
  <sheetFormatPr defaultColWidth="15.77734375" defaultRowHeight="14.4" x14ac:dyDescent="0.3"/>
  <cols>
    <col min="1" max="1" width="8.88671875" style="73" customWidth="1"/>
    <col min="2" max="2" width="43.88671875" style="73" bestFit="1" customWidth="1"/>
    <col min="3" max="5" width="37.21875" style="73" bestFit="1" customWidth="1"/>
    <col min="6" max="6" width="34.88671875" style="73" bestFit="1" customWidth="1"/>
    <col min="7" max="7" width="23.5546875" style="73" bestFit="1" customWidth="1"/>
    <col min="8" max="8" width="33.44140625" style="73" bestFit="1" customWidth="1"/>
    <col min="9" max="9" width="20.77734375" style="73" customWidth="1"/>
    <col min="10" max="10" width="33.44140625" style="73" bestFit="1" customWidth="1"/>
    <col min="11" max="11" width="20.77734375" style="73" customWidth="1"/>
    <col min="12" max="12" width="33.44140625" style="73" bestFit="1" customWidth="1"/>
    <col min="13" max="13" width="20.77734375" style="73" customWidth="1"/>
    <col min="14" max="14" width="33.44140625" style="73" bestFit="1" customWidth="1"/>
    <col min="15" max="15" width="20.77734375" style="73" customWidth="1"/>
    <col min="16" max="16" width="27.88671875" style="73" customWidth="1"/>
    <col min="17" max="17" width="23.5546875" style="73" hidden="1" customWidth="1"/>
    <col min="18" max="18" width="23.5546875" style="73" bestFit="1" customWidth="1"/>
    <col min="19" max="19" width="31.6640625" style="73" customWidth="1"/>
    <col min="20" max="20" width="35.21875" style="73" customWidth="1"/>
    <col min="21" max="21" width="26.88671875" style="73" customWidth="1"/>
    <col min="22" max="22" width="34.6640625" style="73" customWidth="1"/>
    <col min="23" max="25" width="30.77734375" style="73" customWidth="1"/>
    <col min="26" max="26" width="45.77734375" style="73" customWidth="1"/>
    <col min="27" max="34" width="33.44140625" style="73" bestFit="1" customWidth="1"/>
    <col min="35" max="16384" width="15.77734375" style="73"/>
  </cols>
  <sheetData>
    <row r="1" spans="1:35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ht="25.05" customHeight="1" x14ac:dyDescent="0.3">
      <c r="A6"/>
      <c r="B6" s="128" t="s">
        <v>103</v>
      </c>
      <c r="C6" s="128"/>
      <c r="D6"/>
      <c r="E6"/>
      <c r="F6"/>
      <c r="G6"/>
      <c r="H6"/>
      <c r="I6"/>
      <c r="J6"/>
      <c r="K6"/>
      <c r="L6"/>
      <c r="M6"/>
      <c r="N6"/>
      <c r="O6"/>
      <c r="P6"/>
      <c r="Q6"/>
      <c r="R6" s="48" t="s">
        <v>60</v>
      </c>
      <c r="S6" s="91" t="s">
        <v>112</v>
      </c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ht="25.05" customHeight="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ht="25.8" x14ac:dyDescent="0.5">
      <c r="A8"/>
      <c r="B8" s="139" t="s">
        <v>45</v>
      </c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  <c r="N8" s="139"/>
      <c r="O8" s="139"/>
      <c r="P8" s="25"/>
      <c r="Q8"/>
      <c r="R8" s="139" t="s">
        <v>46</v>
      </c>
      <c r="S8" s="139"/>
      <c r="T8" s="139"/>
      <c r="U8" s="139"/>
      <c r="V8" s="139"/>
      <c r="W8" s="139"/>
      <c r="X8" s="139"/>
      <c r="Y8"/>
      <c r="Z8" s="139" t="s">
        <v>61</v>
      </c>
      <c r="AA8" s="139"/>
      <c r="AB8" s="139"/>
      <c r="AC8" s="139"/>
      <c r="AD8" s="139"/>
      <c r="AE8" s="139"/>
      <c r="AF8" s="139"/>
      <c r="AG8" s="139"/>
      <c r="AH8" s="139"/>
      <c r="AI8"/>
    </row>
    <row r="9" spans="1:35" ht="60" customHeight="1" x14ac:dyDescent="0.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 s="88" t="s">
        <v>96</v>
      </c>
      <c r="Y9"/>
      <c r="Z9"/>
      <c r="AA9"/>
      <c r="AB9"/>
      <c r="AC9"/>
      <c r="AD9"/>
      <c r="AE9"/>
      <c r="AF9"/>
      <c r="AG9"/>
      <c r="AH9"/>
      <c r="AI9"/>
    </row>
    <row r="10" spans="1:35" ht="30" customHeigh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 s="32"/>
      <c r="S10" s="24" t="s">
        <v>9</v>
      </c>
      <c r="T10" s="24" t="s">
        <v>47</v>
      </c>
      <c r="U10" s="24" t="s">
        <v>48</v>
      </c>
      <c r="V10" s="24" t="s">
        <v>49</v>
      </c>
      <c r="W10" s="24" t="s">
        <v>50</v>
      </c>
      <c r="X10" s="24" t="s">
        <v>17</v>
      </c>
      <c r="Y10"/>
      <c r="Z10"/>
      <c r="AA10"/>
      <c r="AB10"/>
      <c r="AC10"/>
      <c r="AD10"/>
      <c r="AE10"/>
      <c r="AF10"/>
      <c r="AG10"/>
      <c r="AH10"/>
      <c r="AI10"/>
    </row>
    <row r="11" spans="1:35" ht="25.05" customHeight="1" x14ac:dyDescent="0.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 s="36" t="s">
        <v>8</v>
      </c>
      <c r="R11" s="32"/>
      <c r="S11" s="133" t="str">
        <f>'Calculations - Tesco'!F4</f>
        <v>HEINZ</v>
      </c>
      <c r="T11" s="133"/>
      <c r="U11" s="32"/>
      <c r="V11" s="32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ht="25.05" customHeight="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 t="str">
        <f>$S$6&amp;S11&amp;R12</f>
        <v>TescoHEINZ</v>
      </c>
      <c r="R12" s="32"/>
      <c r="S12" s="37">
        <f>INDEX('Calculations - Tesco'!$M$3:$M$24,MATCH(Q12,'Calculations - Tesco'!$D$3:$D$24,0))</f>
        <v>5.7518282474690716</v>
      </c>
      <c r="T12" s="38">
        <f>S12</f>
        <v>5.7518282474690716</v>
      </c>
      <c r="U12" s="86">
        <v>0.8</v>
      </c>
      <c r="V12" s="86">
        <v>0.3</v>
      </c>
      <c r="W12" s="31">
        <f>T12/S12-1</f>
        <v>0</v>
      </c>
      <c r="X12" s="89">
        <f>INDEX('Calculations - Tesco'!$AY$4:$AY$23,MATCH(Tesco!$Q12,'Calculations - Tesco'!$D$4:$D$24,0))</f>
        <v>0.28887779794073926</v>
      </c>
      <c r="Y12"/>
      <c r="Z12"/>
      <c r="AA12"/>
      <c r="AB12"/>
      <c r="AC12"/>
      <c r="AD12"/>
      <c r="AE12"/>
      <c r="AF12"/>
      <c r="AG12"/>
      <c r="AH12"/>
      <c r="AI12"/>
    </row>
    <row r="13" spans="1:35" ht="25.05" customHeight="1" x14ac:dyDescent="0.4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 s="39"/>
      <c r="T13" s="39"/>
      <c r="U13" s="39"/>
      <c r="V13" s="39"/>
      <c r="W13"/>
      <c r="X13" s="90"/>
      <c r="Y13"/>
      <c r="Z13"/>
      <c r="AA13"/>
      <c r="AB13"/>
      <c r="AC13"/>
      <c r="AD13"/>
      <c r="AE13"/>
      <c r="AF13"/>
      <c r="AG13"/>
      <c r="AH13"/>
      <c r="AI13"/>
    </row>
    <row r="14" spans="1:35" ht="25.05" customHeigh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 s="32"/>
      <c r="S14" s="131" t="str">
        <f>'Calculations - Tesco'!F5</f>
        <v>HP</v>
      </c>
      <c r="T14" s="131"/>
      <c r="U14" s="45"/>
      <c r="V14" s="45"/>
      <c r="W14"/>
      <c r="X14" s="90"/>
      <c r="Y14"/>
      <c r="Z14"/>
      <c r="AA14"/>
      <c r="AB14"/>
      <c r="AC14"/>
      <c r="AD14"/>
      <c r="AE14"/>
      <c r="AF14"/>
      <c r="AG14"/>
      <c r="AH14"/>
      <c r="AI14"/>
    </row>
    <row r="15" spans="1:35" ht="25.0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 t="str">
        <f>$S$6&amp;S14&amp;R15</f>
        <v>TescoHP</v>
      </c>
      <c r="R15" s="32"/>
      <c r="S15" s="37">
        <f>INDEX('Calculations - Tesco'!$M$3:$M$24,MATCH(Q15,'Calculations - Tesco'!$D$3:$D$24,0))</f>
        <v>5.4680313391788529</v>
      </c>
      <c r="T15" s="40">
        <f>S15</f>
        <v>5.4680313391788529</v>
      </c>
      <c r="U15" s="86">
        <v>0.8</v>
      </c>
      <c r="V15" s="86">
        <v>0.3</v>
      </c>
      <c r="W15" s="31">
        <f>T15/S15-1</f>
        <v>0</v>
      </c>
      <c r="X15" s="89">
        <f>INDEX('Calculations - Tesco'!$AY$4:$AY$23,MATCH(Tesco!$Q15,'Calculations - Tesco'!$D$4:$D$24,0))</f>
        <v>0.10034583660932032</v>
      </c>
      <c r="Y15"/>
      <c r="Z15"/>
      <c r="AA15"/>
      <c r="AB15"/>
      <c r="AC15"/>
      <c r="AD15"/>
      <c r="AE15"/>
      <c r="AF15"/>
      <c r="AG15"/>
      <c r="AH15"/>
      <c r="AI15"/>
    </row>
    <row r="16" spans="1:35" ht="25.05" customHeight="1" x14ac:dyDescent="0.4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 s="39"/>
      <c r="T16" s="39"/>
      <c r="U16"/>
      <c r="V16"/>
      <c r="W16"/>
      <c r="X16" s="90"/>
      <c r="Y16"/>
      <c r="Z16"/>
      <c r="AA16"/>
      <c r="AB16"/>
      <c r="AC16"/>
      <c r="AD16"/>
      <c r="AE16"/>
      <c r="AF16"/>
      <c r="AG16"/>
      <c r="AH16"/>
      <c r="AI16"/>
    </row>
    <row r="17" spans="1:37" ht="25.05" customHeigh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33"/>
      <c r="Q17"/>
      <c r="R17" s="32"/>
      <c r="S17" s="132" t="str">
        <f>'Calculations - Tesco'!F6</f>
        <v>BULLS EYE</v>
      </c>
      <c r="T17" s="132"/>
      <c r="U17" s="32"/>
      <c r="V17" s="32"/>
      <c r="W17"/>
      <c r="X17" s="90"/>
      <c r="Y17"/>
      <c r="Z17"/>
      <c r="AA17"/>
      <c r="AB17"/>
      <c r="AC17"/>
      <c r="AD17"/>
      <c r="AE17"/>
      <c r="AF17"/>
      <c r="AG17"/>
      <c r="AH17"/>
      <c r="AI17"/>
    </row>
    <row r="18" spans="1:37" ht="25.05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34"/>
      <c r="Q18" t="str">
        <f>$S$6&amp;S17&amp;R18</f>
        <v>TescoBULLS EYE</v>
      </c>
      <c r="R18" s="32"/>
      <c r="S18" s="37">
        <f>INDEX('Calculations - Tesco'!$M$3:$M$24,MATCH(Q18,'Calculations - Tesco'!$D$3:$D$24,0))</f>
        <v>6.8948714419541615</v>
      </c>
      <c r="T18" s="41">
        <f>S18</f>
        <v>6.8948714419541615</v>
      </c>
      <c r="U18" s="86">
        <v>0.8</v>
      </c>
      <c r="V18" s="86">
        <v>0.3</v>
      </c>
      <c r="W18" s="31">
        <f>T18/S18-1</f>
        <v>0</v>
      </c>
      <c r="X18" s="89">
        <f>INDEX('Calculations - Tesco'!$AY$4:$AY$23,MATCH(Tesco!$Q18,'Calculations - Tesco'!$D$4:$D$24,0))</f>
        <v>4.538098225335236E-2</v>
      </c>
      <c r="Y18"/>
      <c r="Z18"/>
      <c r="AA18"/>
      <c r="AB18"/>
      <c r="AC18"/>
      <c r="AD18"/>
      <c r="AE18"/>
      <c r="AF18"/>
      <c r="AG18"/>
      <c r="AH18"/>
      <c r="AI18"/>
    </row>
    <row r="19" spans="1:37" ht="25.05" customHeight="1" x14ac:dyDescent="0.4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35"/>
      <c r="Q19"/>
      <c r="R19"/>
      <c r="S19" s="39"/>
      <c r="T19" s="3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7" ht="25.0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6"/>
      <c r="Q20"/>
      <c r="R20" s="32"/>
      <c r="S20" s="134" t="str">
        <f>'Calculations - Tesco'!F7</f>
        <v>PRIVATE LABEL</v>
      </c>
      <c r="T20" s="134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7" ht="25.0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 t="str">
        <f>$S$6&amp;S20&amp;R21</f>
        <v>TescoPRIVATE LABEL</v>
      </c>
      <c r="R21" s="32"/>
      <c r="S21" s="37">
        <f>INDEX('Calculations - Tesco'!$M$3:$M$24,MATCH(Q21,'Calculations - Tesco'!$D$3:$D$24,0))</f>
        <v>2.0389747874862341</v>
      </c>
      <c r="T21" s="42">
        <f>S21</f>
        <v>2.0389747874862341</v>
      </c>
      <c r="U21"/>
      <c r="V21"/>
      <c r="W21" s="31">
        <f>T21/S21-1</f>
        <v>0</v>
      </c>
      <c r="X21" s="89">
        <f>INDEX('Calculations - Tesco'!$AY$4:$AY$23,MATCH(Tesco!$Q21,'Calculations - Tesco'!$D$4:$D$24,0))</f>
        <v>0.31190964052020526</v>
      </c>
      <c r="Y21"/>
      <c r="Z21"/>
      <c r="AA21"/>
      <c r="AB21"/>
      <c r="AC21"/>
      <c r="AD21"/>
      <c r="AE21"/>
      <c r="AF21"/>
      <c r="AG21"/>
      <c r="AH21"/>
      <c r="AI21"/>
    </row>
    <row r="22" spans="1:37" ht="25.05" customHeight="1" x14ac:dyDescent="0.4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 s="39"/>
      <c r="T22" s="39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7" ht="25.0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 s="32"/>
      <c r="S23" s="141" t="str">
        <f>'Calculations - Tesco'!F8</f>
        <v>LEVI ROOTS</v>
      </c>
      <c r="T23" s="141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7" ht="25.05" customHeight="1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 t="str">
        <f>$S$6&amp;S23&amp;R24</f>
        <v>TescoLEVI ROOTS</v>
      </c>
      <c r="R24" s="32"/>
      <c r="S24" s="37">
        <f>INDEX('Calculations - Tesco'!$M$3:$M$24,MATCH(Q24,'Calculations - Tesco'!$D$3:$D$24,0))</f>
        <v>6.7091681230223212</v>
      </c>
      <c r="T24" s="43">
        <f>S24</f>
        <v>6.7091681230223212</v>
      </c>
      <c r="U24"/>
      <c r="V24"/>
      <c r="W24" s="31">
        <f>T24/S24-1</f>
        <v>0</v>
      </c>
      <c r="X24" s="89">
        <f>INDEX('Calculations - Tesco'!$AY$4:$AY$23,MATCH(Tesco!$Q24,'Calculations - Tesco'!$D$4:$D$24,0))</f>
        <v>6.6162928109176913E-2</v>
      </c>
      <c r="Y24"/>
      <c r="Z24"/>
      <c r="AA24"/>
      <c r="AB24"/>
      <c r="AC24"/>
      <c r="AD24"/>
      <c r="AE24"/>
      <c r="AF24"/>
      <c r="AG24"/>
      <c r="AH24"/>
      <c r="AI24"/>
    </row>
    <row r="25" spans="1:37" ht="25.05" customHeight="1" x14ac:dyDescent="0.4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 s="39"/>
      <c r="T25" s="39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7" ht="25.05" customHeight="1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 s="32"/>
      <c r="S26" s="142" t="str">
        <f>'Calculations - Tesco'!F9</f>
        <v>SWEET BABY RAYS</v>
      </c>
      <c r="T26" s="142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7" ht="25.05" customHeight="1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 t="str">
        <f>$S$6&amp;S26&amp;R27</f>
        <v>TescoSWEET BABY RAYS</v>
      </c>
      <c r="R27" s="32"/>
      <c r="S27" s="37">
        <f>INDEX('Calculations - Tesco'!$M$3:$M$24,MATCH(Q27,'Calculations - Tesco'!$D$3:$D$24,0))</f>
        <v>6.7931250095927149</v>
      </c>
      <c r="T27" s="93">
        <f>S27</f>
        <v>6.7931250095927149</v>
      </c>
      <c r="U27"/>
      <c r="V27"/>
      <c r="W27" s="31">
        <f>T27/S27-1</f>
        <v>0</v>
      </c>
      <c r="X27" s="89">
        <f>INDEX('Calculations - Tesco'!$AY$4:$AY$23,MATCH(Tesco!$Q27,'Calculations - Tesco'!$D$4:$D$24,0))</f>
        <v>6.2242748553833063E-2</v>
      </c>
      <c r="Y27"/>
      <c r="Z27"/>
      <c r="AA27"/>
      <c r="AB27"/>
      <c r="AC27"/>
      <c r="AD27"/>
      <c r="AE27"/>
      <c r="AF27"/>
      <c r="AG27"/>
      <c r="AH27"/>
      <c r="AI27"/>
    </row>
    <row r="28" spans="1:37" ht="25.05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7" ht="25.05" customHeight="1" x14ac:dyDescent="0.3">
      <c r="A29"/>
      <c r="B29" s="139" t="s">
        <v>73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39"/>
      <c r="P29"/>
      <c r="Q29"/>
      <c r="R29" s="32"/>
      <c r="S29" s="140" t="str">
        <f>'Calculations - Tesco'!F10</f>
        <v>RESTOFCATEGORY</v>
      </c>
      <c r="T29" s="140"/>
      <c r="U29"/>
      <c r="V29"/>
      <c r="W29"/>
      <c r="X29"/>
      <c r="Y29"/>
      <c r="Z29" s="149" t="s">
        <v>74</v>
      </c>
      <c r="AA29" s="149"/>
      <c r="AB29" s="149"/>
      <c r="AC29" s="149"/>
      <c r="AD29" s="149"/>
      <c r="AE29" s="149"/>
      <c r="AF29" s="149"/>
      <c r="AG29" s="149"/>
      <c r="AH29" s="149"/>
      <c r="AI29"/>
    </row>
    <row r="30" spans="1:37" ht="25.05" customHeight="1" thickBot="1" x14ac:dyDescent="0.5500000000000000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 t="str">
        <f>$S$6&amp;S29&amp;R30</f>
        <v>TescoRESTOFCATEGORY</v>
      </c>
      <c r="R30" s="32"/>
      <c r="S30" s="37">
        <f>INDEX('Calculations - Tesco'!$M$3:$M$24,MATCH(Q30,'Calculations - Tesco'!$D$3:$D$24,0))</f>
        <v>6.3261862220757061</v>
      </c>
      <c r="T30" s="94">
        <f>S30</f>
        <v>6.3261862220757061</v>
      </c>
      <c r="U30"/>
      <c r="V30"/>
      <c r="W30" s="31">
        <f>T30/S30-1</f>
        <v>0</v>
      </c>
      <c r="X30" s="89">
        <f>INDEX('Calculations - Tesco'!$AY$4:$AY$23,MATCH(Tesco!$Q30,'Calculations - Tesco'!$D$4:$D$24,0))</f>
        <v>0.12508006601337265</v>
      </c>
      <c r="Y30"/>
      <c r="Z30"/>
      <c r="AA30"/>
      <c r="AB30"/>
      <c r="AC30"/>
      <c r="AD30"/>
      <c r="AE30"/>
      <c r="AF30"/>
      <c r="AG30"/>
      <c r="AH30"/>
      <c r="AI30" s="25"/>
      <c r="AJ30" s="74"/>
      <c r="AK30" s="74"/>
    </row>
    <row r="31" spans="1:37" ht="25.05" customHeight="1" x14ac:dyDescent="0.3">
      <c r="A31"/>
      <c r="B31" s="129" t="s">
        <v>51</v>
      </c>
      <c r="C31" s="113" t="str">
        <f>'Calculations - Tesco'!F4</f>
        <v>HEINZ</v>
      </c>
      <c r="D31" s="64" t="str">
        <f>'Calculations - Tesco'!F5</f>
        <v>HP</v>
      </c>
      <c r="E31" s="115" t="str">
        <f>'Calculations - Tesco'!F6</f>
        <v>BULLS EYE</v>
      </c>
      <c r="F31" s="46" t="s">
        <v>111</v>
      </c>
      <c r="G31" s="44"/>
      <c r="H31" s="135" t="str">
        <f>'Calculations - Tesco'!F4</f>
        <v>HEINZ</v>
      </c>
      <c r="I31" s="136"/>
      <c r="J31" s="137" t="str">
        <f>'Calculations - Tesco'!F5</f>
        <v>HP</v>
      </c>
      <c r="K31" s="138"/>
      <c r="L31" s="158" t="str">
        <f>'Calculations - Tesco'!F6</f>
        <v>BULLS EYE</v>
      </c>
      <c r="M31" s="159"/>
      <c r="N31" s="145" t="s">
        <v>111</v>
      </c>
      <c r="O31" s="146"/>
      <c r="P31"/>
      <c r="Q31"/>
      <c r="R31"/>
      <c r="S31"/>
      <c r="T31"/>
      <c r="U31"/>
      <c r="V31"/>
      <c r="W31"/>
      <c r="X31"/>
      <c r="Y31"/>
      <c r="Z31" s="156" t="s">
        <v>63</v>
      </c>
      <c r="AA31" s="135" t="str">
        <f>'Calculations - Tesco'!F4</f>
        <v>HEINZ</v>
      </c>
      <c r="AB31" s="136"/>
      <c r="AC31" s="137" t="str">
        <f>'Calculations - Tesco'!F5</f>
        <v>HP</v>
      </c>
      <c r="AD31" s="138"/>
      <c r="AE31" s="158" t="str">
        <f>'Calculations - Tesco'!F6</f>
        <v>BULLS EYE</v>
      </c>
      <c r="AF31" s="159"/>
      <c r="AG31" s="147" t="s">
        <v>111</v>
      </c>
      <c r="AH31" s="148"/>
      <c r="AI31"/>
    </row>
    <row r="32" spans="1:37" ht="25.05" customHeight="1" thickBot="1" x14ac:dyDescent="0.35">
      <c r="A32"/>
      <c r="B32" s="130"/>
      <c r="C32" s="114" t="s">
        <v>53</v>
      </c>
      <c r="D32" s="65" t="s">
        <v>53</v>
      </c>
      <c r="E32" s="116" t="s">
        <v>53</v>
      </c>
      <c r="F32" s="47" t="s">
        <v>53</v>
      </c>
      <c r="G32" s="44"/>
      <c r="H32" s="56" t="s">
        <v>53</v>
      </c>
      <c r="I32" s="58" t="s">
        <v>62</v>
      </c>
      <c r="J32" s="59" t="s">
        <v>53</v>
      </c>
      <c r="K32" s="60" t="s">
        <v>62</v>
      </c>
      <c r="L32" s="96" t="s">
        <v>53</v>
      </c>
      <c r="M32" s="95" t="s">
        <v>62</v>
      </c>
      <c r="N32" s="97" t="s">
        <v>53</v>
      </c>
      <c r="O32" s="98" t="s">
        <v>62</v>
      </c>
      <c r="P32"/>
      <c r="Q32"/>
      <c r="R32"/>
      <c r="S32"/>
      <c r="T32"/>
      <c r="U32"/>
      <c r="V32"/>
      <c r="W32"/>
      <c r="X32"/>
      <c r="Y32"/>
      <c r="Z32" s="157"/>
      <c r="AA32" s="56" t="s">
        <v>53</v>
      </c>
      <c r="AB32" s="58" t="s">
        <v>62</v>
      </c>
      <c r="AC32" s="59" t="s">
        <v>53</v>
      </c>
      <c r="AD32" s="60" t="s">
        <v>62</v>
      </c>
      <c r="AE32" s="96" t="s">
        <v>53</v>
      </c>
      <c r="AF32" s="95" t="s">
        <v>62</v>
      </c>
      <c r="AG32" s="57" t="s">
        <v>53</v>
      </c>
      <c r="AH32" s="47" t="s">
        <v>62</v>
      </c>
      <c r="AI32"/>
    </row>
    <row r="33" spans="1:35" ht="25.05" customHeight="1" x14ac:dyDescent="0.3">
      <c r="A33"/>
      <c r="B33" s="104" t="s">
        <v>54</v>
      </c>
      <c r="C33" s="105">
        <f>INDEX('Calculations - Tesco'!$H$4:$H$24,MATCH(Tesco!C$31,'Calculations - Tesco'!$F$4:$F$24,0))</f>
        <v>825723.14500000002</v>
      </c>
      <c r="D33" s="105">
        <f>INDEX('Calculations - Tesco'!$H$4:$H$24,MATCH(Tesco!D$31,'Calculations - Tesco'!$F$4:$F$24,0))</f>
        <v>274348.60499999998</v>
      </c>
      <c r="E33" s="105">
        <f>INDEX('Calculations - Tesco'!$H$4:$H$24,MATCH(Tesco!E$31,'Calculations - Tesco'!$F$4:$F$24,0))</f>
        <v>141261.98699999999</v>
      </c>
      <c r="F33" s="106">
        <f>SUM(C33:E33)</f>
        <v>1241333.737</v>
      </c>
      <c r="G33" s="27"/>
      <c r="H33" s="100">
        <f>INDEX('Calculations - Tesco'!$AB$4:$AB$24,MATCH(Tesco!H$31,'Calculations - Tesco'!$F$4:$F$24,0))</f>
        <v>827497.86800903967</v>
      </c>
      <c r="I33" s="109">
        <f>H33/C33-1</f>
        <v>2.1492954627542193E-3</v>
      </c>
      <c r="J33" s="100">
        <f>INDEX('Calculations - Tesco'!$AB$4:$AB$24,MATCH(Tesco!J$31,'Calculations - Tesco'!$F$4:$F$24,0))</f>
        <v>287443.22495434596</v>
      </c>
      <c r="K33" s="109">
        <f>J33/D33-1</f>
        <v>4.7729857982496293E-2</v>
      </c>
      <c r="L33" s="100">
        <f>INDEX('Calculations - Tesco'!$AB$4:$AB$24,MATCH(Tesco!L$31,'Calculations - Tesco'!$F$4:$F$24,0))</f>
        <v>129994.98864398275</v>
      </c>
      <c r="M33" s="109">
        <f>L33/E33-1</f>
        <v>-7.9759591347226655E-2</v>
      </c>
      <c r="N33" s="100">
        <f>H33+J33+L33</f>
        <v>1244936.0816073683</v>
      </c>
      <c r="O33" s="109">
        <f>N33/F33-1</f>
        <v>2.90199524913759E-3</v>
      </c>
      <c r="P33"/>
      <c r="Q33"/>
      <c r="R33"/>
      <c r="S33"/>
      <c r="T33"/>
      <c r="U33"/>
      <c r="V33"/>
      <c r="W33"/>
      <c r="X33"/>
      <c r="Y33"/>
      <c r="Z33" s="99" t="s">
        <v>54</v>
      </c>
      <c r="AA33" s="100">
        <f>INDEX('Calculations - Tesco'!$AU$4:$AU$24,MATCH(Tesco!AA$31,'Calculations - Tesco'!$F$4:$F$24,0))</f>
        <v>827497.86800903967</v>
      </c>
      <c r="AB33" s="109">
        <f>AA33/C33-1</f>
        <v>2.1492954627542193E-3</v>
      </c>
      <c r="AC33" s="100">
        <f>INDEX('Calculations - Tesco'!$AU$4:$AU$24,MATCH(Tesco!AC$31,'Calculations - Tesco'!$F$4:$F$24,0))</f>
        <v>287443.22495434596</v>
      </c>
      <c r="AD33" s="109">
        <f>AC33/D33-1</f>
        <v>4.7729857982496293E-2</v>
      </c>
      <c r="AE33" s="100">
        <f>INDEX('Calculations - Tesco'!$AU$4:$AU$24,MATCH(Tesco!AE$31,'Calculations - Tesco'!$F$4:$F$24,0))</f>
        <v>129994.98864398275</v>
      </c>
      <c r="AF33" s="109">
        <f>AE33/E33-1</f>
        <v>-7.9759591347226655E-2</v>
      </c>
      <c r="AG33" s="101">
        <f>AA33+AC33+AE33</f>
        <v>1244936.0816073683</v>
      </c>
      <c r="AH33" s="109">
        <f>AG33/F33-1</f>
        <v>2.90199524913759E-3</v>
      </c>
      <c r="AI33"/>
    </row>
    <row r="34" spans="1:35" ht="25.05" customHeight="1" x14ac:dyDescent="0.45">
      <c r="A34"/>
      <c r="B34" s="61" t="s">
        <v>2</v>
      </c>
      <c r="C34" s="66">
        <f>INDEX('Calculations - Tesco'!$G$4:$G$24,MATCH(Tesco!C$31,'Calculations - Tesco'!$F$4:$F$24,0))</f>
        <v>4749417.71</v>
      </c>
      <c r="D34" s="66">
        <f>INDEX('Calculations - Tesco'!$G$4:$G$24,MATCH(Tesco!D$31,'Calculations - Tesco'!$F$4:$F$24,0))</f>
        <v>1500146.77</v>
      </c>
      <c r="E34" s="66">
        <f>INDEX('Calculations - Tesco'!$G$4:$G$24,MATCH(Tesco!E$31,'Calculations - Tesco'!$F$4:$F$24,0))</f>
        <v>973983.24</v>
      </c>
      <c r="F34" s="63">
        <f>SUM(C34:E34)</f>
        <v>7223547.7200000007</v>
      </c>
      <c r="G34" s="28"/>
      <c r="H34" s="52">
        <f>INDEX('Calculations - Tesco'!$AA$4:$AA$24,MATCH(Tesco!H$31,'Calculations - Tesco'!$F$4:$F$24,0))</f>
        <v>4759625.6119348276</v>
      </c>
      <c r="I34" s="110">
        <f>H34/C34-1</f>
        <v>2.1492954627542193E-3</v>
      </c>
      <c r="J34" s="52">
        <f>INDEX('Calculations - Tesco'!$AA$4:$AA$24,MATCH(Tesco!J$31,'Calculations - Tesco'!$F$4:$F$24,0))</f>
        <v>1571748.5622850005</v>
      </c>
      <c r="K34" s="110">
        <f>J34/D34-1</f>
        <v>4.7729857982496293E-2</v>
      </c>
      <c r="L34" s="52">
        <f>INDEX('Calculations - Tesco'!$AA$4:$AA$24,MATCH(Tesco!L$31,'Calculations - Tesco'!$F$4:$F$24,0))</f>
        <v>896298.73479855224</v>
      </c>
      <c r="M34" s="110">
        <f>L34/E34-1</f>
        <v>-7.9759591347226655E-2</v>
      </c>
      <c r="N34" s="52">
        <f t="shared" ref="N34:N35" si="0">H34+J34+L34</f>
        <v>7227672.9090183806</v>
      </c>
      <c r="O34" s="110">
        <f>N34/F34-1</f>
        <v>5.7107520823307389E-4</v>
      </c>
      <c r="P34"/>
      <c r="Q34"/>
      <c r="R34"/>
      <c r="S34"/>
      <c r="T34"/>
      <c r="U34"/>
      <c r="V34"/>
      <c r="W34"/>
      <c r="X34"/>
      <c r="Y34"/>
      <c r="Z34" s="49" t="s">
        <v>2</v>
      </c>
      <c r="AA34" s="52">
        <f>INDEX('Calculations - Tesco'!$AT$4:$AT$24,MATCH(Tesco!AA$31,'Calculations - Tesco'!$F$4:$F$24,0))</f>
        <v>4759625.6119348276</v>
      </c>
      <c r="AB34" s="110">
        <f>AA34/C34-1</f>
        <v>2.1492954627542193E-3</v>
      </c>
      <c r="AC34" s="52">
        <f>INDEX('Calculations - Tesco'!$AT$4:$AT$24,MATCH(Tesco!AC$31,'Calculations - Tesco'!$F$4:$F$24,0))</f>
        <v>1571748.5622850005</v>
      </c>
      <c r="AD34" s="110">
        <f>AC34/D34-1</f>
        <v>4.7729857982496293E-2</v>
      </c>
      <c r="AE34" s="52">
        <f>INDEX('Calculations - Tesco'!$AT$4:$AT$24,MATCH(Tesco!AE$31,'Calculations - Tesco'!$F$4:$F$24,0))</f>
        <v>896298.73479855224</v>
      </c>
      <c r="AF34" s="110">
        <f t="shared" ref="AF34:AF35" si="1">AE34/E34-1</f>
        <v>-7.9759591347226655E-2</v>
      </c>
      <c r="AG34" s="51">
        <f t="shared" ref="AG34:AG35" si="2">AA34+AC34+AE34</f>
        <v>7227672.9090183806</v>
      </c>
      <c r="AH34" s="110">
        <f>AG34/F34-1</f>
        <v>5.7107520823307389E-4</v>
      </c>
      <c r="AI34"/>
    </row>
    <row r="35" spans="1:35" ht="25.05" customHeight="1" x14ac:dyDescent="0.3">
      <c r="A35"/>
      <c r="B35" s="61" t="s">
        <v>55</v>
      </c>
      <c r="C35" s="66">
        <f>INDEX('Calculations - Tesco'!$T$4:$T$24,MATCH(Tesco!C$31,'Calculations - Tesco'!$F$4:$F$24,0))</f>
        <v>3799534.1680000001</v>
      </c>
      <c r="D35" s="66">
        <f>INDEX('Calculations - Tesco'!$T$4:$T$24,MATCH(Tesco!D$31,'Calculations - Tesco'!$F$4:$F$24,0))</f>
        <v>1200117.416</v>
      </c>
      <c r="E35" s="66">
        <f>INDEX('Calculations - Tesco'!$T$4:$T$24,MATCH(Tesco!E$31,'Calculations - Tesco'!$F$4:$F$24,0))</f>
        <v>779186.59200000006</v>
      </c>
      <c r="F35" s="63">
        <f>SUM(C35:E35)</f>
        <v>5778838.176</v>
      </c>
      <c r="G35" s="29"/>
      <c r="H35" s="52">
        <f>INDEX('Calculations - Tesco'!$AC$4:$AC$24,MATCH(Tesco!H$31,'Calculations - Tesco'!$F$4:$F$24,0))</f>
        <v>3807700.4895478622</v>
      </c>
      <c r="I35" s="110">
        <f>H35/C35-1</f>
        <v>2.1492954627542193E-3</v>
      </c>
      <c r="J35" s="52">
        <f>INDEX('Calculations - Tesco'!$AC$4:$AC$24,MATCH(Tesco!J$31,'Calculations - Tesco'!$F$4:$F$24,0))</f>
        <v>1257398.8498280004</v>
      </c>
      <c r="K35" s="110">
        <f>J35/D35-1</f>
        <v>4.7729857982496293E-2</v>
      </c>
      <c r="L35" s="52">
        <f>INDEX('Calculations - Tesco'!$AC$4:$AC$24,MATCH(Tesco!L$31,'Calculations - Tesco'!$F$4:$F$24,0))</f>
        <v>717038.98783884186</v>
      </c>
      <c r="M35" s="110">
        <f>L35/E35-1</f>
        <v>-7.9759591347226655E-2</v>
      </c>
      <c r="N35" s="52">
        <f t="shared" si="0"/>
        <v>5782138.3272147048</v>
      </c>
      <c r="O35" s="110">
        <f>N35/F35-1</f>
        <v>5.7107520823307389E-4</v>
      </c>
      <c r="P35"/>
      <c r="Q35"/>
      <c r="R35"/>
      <c r="S35"/>
      <c r="T35"/>
      <c r="U35"/>
      <c r="V35"/>
      <c r="W35"/>
      <c r="X35"/>
      <c r="Y35"/>
      <c r="Z35" s="49" t="s">
        <v>55</v>
      </c>
      <c r="AA35" s="52">
        <f>INDEX('Calculations - Tesco'!$AV$4:$AV$24,MATCH(Tesco!AA$31,'Calculations - Tesco'!$F$4:$F$24,0))</f>
        <v>3807700.4895478622</v>
      </c>
      <c r="AB35" s="110">
        <f>AA35/C35-1</f>
        <v>2.1492954627542193E-3</v>
      </c>
      <c r="AC35" s="52">
        <f>INDEX('Calculations - Tesco'!$AV$4:$AV$24,MATCH(Tesco!AC$31,'Calculations - Tesco'!$F$4:$F$24,0))</f>
        <v>1257398.8498280004</v>
      </c>
      <c r="AD35" s="110">
        <f>AC35/D35-1</f>
        <v>4.7729857982496293E-2</v>
      </c>
      <c r="AE35" s="52">
        <f>INDEX('Calculations - Tesco'!$AV$4:$AV$24,MATCH(Tesco!AE$31,'Calculations - Tesco'!$F$4:$F$24,0))</f>
        <v>717038.98783884186</v>
      </c>
      <c r="AF35" s="110">
        <f t="shared" si="1"/>
        <v>-7.9759591347226655E-2</v>
      </c>
      <c r="AG35" s="51">
        <f t="shared" si="2"/>
        <v>5782138.3272147048</v>
      </c>
      <c r="AH35" s="110">
        <f>AG35/F35-1</f>
        <v>5.7107520823307389E-4</v>
      </c>
      <c r="AI35"/>
    </row>
    <row r="36" spans="1:35" ht="25.05" customHeight="1" x14ac:dyDescent="0.3">
      <c r="A36"/>
      <c r="B36" s="61" t="s">
        <v>56</v>
      </c>
      <c r="C36" s="67">
        <f>C35/C33</f>
        <v>4.6014625979752575</v>
      </c>
      <c r="D36" s="67">
        <f>D35/D33</f>
        <v>4.3744250713430821</v>
      </c>
      <c r="E36" s="67">
        <f>E35/E33</f>
        <v>5.5158971535633299</v>
      </c>
      <c r="F36" s="63" t="s">
        <v>58</v>
      </c>
      <c r="G36" s="29"/>
      <c r="H36" s="53">
        <f>H35/H33</f>
        <v>4.6014625979752575</v>
      </c>
      <c r="I36" s="110">
        <f>H36/C36-1</f>
        <v>0</v>
      </c>
      <c r="J36" s="53">
        <f>J35/J33</f>
        <v>4.3744250713430821</v>
      </c>
      <c r="K36" s="110">
        <f>J36/D36-1</f>
        <v>0</v>
      </c>
      <c r="L36" s="53">
        <f>L35/L33</f>
        <v>5.5158971535633299</v>
      </c>
      <c r="M36" s="110">
        <f>L36/E36-1</f>
        <v>0</v>
      </c>
      <c r="N36" s="53" t="s">
        <v>58</v>
      </c>
      <c r="O36" s="110" t="s">
        <v>58</v>
      </c>
      <c r="P36"/>
      <c r="Q36"/>
      <c r="R36"/>
      <c r="S36"/>
      <c r="T36"/>
      <c r="U36"/>
      <c r="V36"/>
      <c r="W36"/>
      <c r="X36"/>
      <c r="Y36"/>
      <c r="Z36" s="49" t="s">
        <v>56</v>
      </c>
      <c r="AA36" s="53">
        <f>AA35/AA33</f>
        <v>4.6014625979752575</v>
      </c>
      <c r="AB36" s="110">
        <f>AA36/C36-1</f>
        <v>0</v>
      </c>
      <c r="AC36" s="53">
        <f>AC35/AC33</f>
        <v>4.3744250713430821</v>
      </c>
      <c r="AD36" s="110">
        <f>AC36/D36-1</f>
        <v>0</v>
      </c>
      <c r="AE36" s="53">
        <f>AE35/AE33</f>
        <v>5.5158971535633299</v>
      </c>
      <c r="AF36" s="110">
        <f>AE36/E36-1</f>
        <v>0</v>
      </c>
      <c r="AG36" s="51" t="s">
        <v>58</v>
      </c>
      <c r="AH36" s="110" t="s">
        <v>58</v>
      </c>
      <c r="AI36"/>
    </row>
    <row r="37" spans="1:35" ht="25.05" customHeight="1" x14ac:dyDescent="0.3">
      <c r="A37"/>
      <c r="B37" s="61" t="s">
        <v>57</v>
      </c>
      <c r="C37" s="68">
        <f>INDEX('Calculations - Tesco'!$U$4:$U$24,MATCH(Tesco!C$31,'Calculations - Tesco'!$F$4:$F$24,0))/C35</f>
        <v>0.3</v>
      </c>
      <c r="D37" s="68">
        <f>INDEX('Calculations - Tesco'!$U$4:$U$24,MATCH(Tesco!D$31,'Calculations - Tesco'!$F$4:$F$24,0))/D35</f>
        <v>0.3</v>
      </c>
      <c r="E37" s="68">
        <f>INDEX('Calculations - Tesco'!$U$4:$U$24,MATCH(Tesco!E$31,'Calculations - Tesco'!$F$4:$F$24,0))/E35</f>
        <v>0.3</v>
      </c>
      <c r="F37" s="63" t="s">
        <v>58</v>
      </c>
      <c r="G37" s="29"/>
      <c r="H37" s="54">
        <f>INDEX('Calculations - Tesco'!$AD$4:$AD$24,MATCH(Tesco!H$31,'Calculations - Tesco'!$F$4:$F$24,0))/H35</f>
        <v>0.29999999999999993</v>
      </c>
      <c r="I37" s="111">
        <f>(H37-C37)*10000</f>
        <v>-5.5511151231257827E-13</v>
      </c>
      <c r="J37" s="54">
        <f>INDEX('Calculations - Tesco'!$AD$4:$AD$24,MATCH(Tesco!J$31,'Calculations - Tesco'!$F$4:$F$24,0))/J35</f>
        <v>0.3</v>
      </c>
      <c r="K37" s="111">
        <f>(J37-D37)*10000</f>
        <v>0</v>
      </c>
      <c r="L37" s="54">
        <f>INDEX('Calculations - Tesco'!$AD$4:$AD$24,MATCH(Tesco!L$31,'Calculations - Tesco'!$F$4:$F$24,0))/L35</f>
        <v>0.29999999999999993</v>
      </c>
      <c r="M37" s="111">
        <f>(L37-E37)*10000</f>
        <v>-5.5511151231257827E-13</v>
      </c>
      <c r="N37" s="54" t="s">
        <v>58</v>
      </c>
      <c r="O37" s="111" t="s">
        <v>58</v>
      </c>
      <c r="P37"/>
      <c r="Q37"/>
      <c r="R37"/>
      <c r="S37"/>
      <c r="T37"/>
      <c r="U37"/>
      <c r="V37"/>
      <c r="W37"/>
      <c r="X37"/>
      <c r="Y37"/>
      <c r="Z37" s="49" t="s">
        <v>57</v>
      </c>
      <c r="AA37" s="54">
        <f>INDEX('Calculations - Tesco'!$AH$4:$AH$24,MATCH(Tesco!AA$31,'Calculations - Tesco'!$F$4:$F$24,0))</f>
        <v>0.3</v>
      </c>
      <c r="AB37" s="111">
        <f>(AA37-C37)*10000</f>
        <v>0</v>
      </c>
      <c r="AC37" s="54">
        <f>INDEX('Calculations - Tesco'!$AH$4:$AH$24,MATCH(Tesco!AC$31,'Calculations - Tesco'!$F$4:$F$24,0))</f>
        <v>0.3</v>
      </c>
      <c r="AD37" s="111">
        <f>(AC37-D37)*10000</f>
        <v>0</v>
      </c>
      <c r="AE37" s="54">
        <f>INDEX('Calculations - Tesco'!$AH$4:$AH$24,MATCH(Tesco!AE$31,'Calculations - Tesco'!$F$4:$F$24,0))</f>
        <v>0.3</v>
      </c>
      <c r="AF37" s="111">
        <f>(AE37-E37)*10000</f>
        <v>0</v>
      </c>
      <c r="AG37" s="51" t="s">
        <v>58</v>
      </c>
      <c r="AH37" s="111" t="s">
        <v>58</v>
      </c>
      <c r="AI37"/>
    </row>
    <row r="38" spans="1:35" ht="25.05" customHeight="1" x14ac:dyDescent="0.3">
      <c r="A38"/>
      <c r="B38" s="61" t="s">
        <v>75</v>
      </c>
      <c r="C38" s="69">
        <f>INDEX('Calculations - Tesco'!$P$4:$P$24,MATCH(Tesco!C$31,'Calculations - Tesco'!$F$4:$F$24,0))</f>
        <v>0.34418993607351994</v>
      </c>
      <c r="D38" s="69">
        <f>INDEX('Calculations - Tesco'!$P$4:$P$24,MATCH(Tesco!D$31,'Calculations - Tesco'!$F$4:$F$24,0))</f>
        <v>0.10871552101640633</v>
      </c>
      <c r="E38" s="69">
        <f>INDEX('Calculations - Tesco'!$P$4:$P$24,MATCH(Tesco!E$31,'Calculations - Tesco'!$F$4:$F$24,0))</f>
        <v>7.0584490474787029E-2</v>
      </c>
      <c r="F38" s="92">
        <f>SUM(C38:E38)</f>
        <v>0.52348994756471323</v>
      </c>
      <c r="G38" s="29"/>
      <c r="H38" s="55">
        <f>INDEX('Calculations - Tesco'!$Y$4:$Y$24,MATCH(Tesco!H$31,'Calculations - Tesco'!$F$4:$F$24,0))</f>
        <v>0.34492970194144845</v>
      </c>
      <c r="I38" s="111">
        <f>(H38-C38)*10000</f>
        <v>7.3976586792851018</v>
      </c>
      <c r="J38" s="55">
        <f>INDEX('Calculations - Tesco'!$Y$4:$Y$24,MATCH(Tesco!J$31,'Calculations - Tesco'!$F$4:$F$24,0))</f>
        <v>0.11390449739501249</v>
      </c>
      <c r="K38" s="111">
        <f>(J38-D38)*10000</f>
        <v>51.889763786061579</v>
      </c>
      <c r="L38" s="55">
        <f>INDEX('Calculations - Tesco'!$Y$4:$Y$24,MATCH(Tesco!L$31,'Calculations - Tesco'!$F$4:$F$24,0))</f>
        <v>6.4954700359065809E-2</v>
      </c>
      <c r="M38" s="111">
        <f>(L38-E38)*10000</f>
        <v>-56.297901157212202</v>
      </c>
      <c r="N38" s="55">
        <f t="shared" ref="N38:N39" si="3">H38+J38+L38</f>
        <v>0.52378889969552678</v>
      </c>
      <c r="O38" s="111">
        <f>(N38-F38)*10000</f>
        <v>2.9895213081354566</v>
      </c>
      <c r="P38"/>
      <c r="Q38"/>
      <c r="R38"/>
      <c r="S38"/>
      <c r="T38"/>
      <c r="U38"/>
      <c r="V38"/>
      <c r="W38"/>
      <c r="X38"/>
      <c r="Y38"/>
      <c r="Z38" s="49" t="s">
        <v>75</v>
      </c>
      <c r="AA38" s="55">
        <f>INDEX('Calculations - Tesco'!$AR$4:$AR$24,MATCH(Tesco!AA$31,'Calculations - Tesco'!$F$4:$F$24,0))</f>
        <v>0.34492970194144845</v>
      </c>
      <c r="AB38" s="111">
        <f>(AA38-C38)*10000</f>
        <v>7.3976586792851018</v>
      </c>
      <c r="AC38" s="55">
        <f>INDEX('Calculations - Tesco'!$AR$4:$AR$24,MATCH(Tesco!AC$31,'Calculations - Tesco'!$F$4:$F$24,0))</f>
        <v>0.11390449739501249</v>
      </c>
      <c r="AD38" s="111">
        <f>(AC38-D38)*10000</f>
        <v>51.889763786061579</v>
      </c>
      <c r="AE38" s="55">
        <f>INDEX('Calculations - Tesco'!$AR$4:$AR$24,MATCH(Tesco!AE$31,'Calculations - Tesco'!$F$4:$F$24,0))</f>
        <v>6.4954700359065809E-2</v>
      </c>
      <c r="AF38" s="111">
        <f t="shared" ref="AF38:AF39" si="4">(AE38-E38)*10000</f>
        <v>-56.297901157212202</v>
      </c>
      <c r="AG38" s="118">
        <f t="shared" ref="AG38:AG39" si="5">AA38+AC38+AE38</f>
        <v>0.52378889969552678</v>
      </c>
      <c r="AH38" s="111">
        <f>(AG38-F38)*10000</f>
        <v>2.9895213081354566</v>
      </c>
      <c r="AI38"/>
    </row>
    <row r="39" spans="1:35" ht="25.05" customHeight="1" x14ac:dyDescent="0.3">
      <c r="A39"/>
      <c r="B39" s="61" t="s">
        <v>76</v>
      </c>
      <c r="C39" s="69">
        <f>INDEX('Calculations - Tesco'!$Q$4:$Q$24,MATCH(Tesco!C$31,'Calculations - Tesco'!$F$4:$F$24,0))</f>
        <v>0.28843221987990647</v>
      </c>
      <c r="D39" s="69">
        <f>INDEX('Calculations - Tesco'!$Q$4:$Q$24,MATCH(Tesco!D$31,'Calculations - Tesco'!$F$4:$F$24,0))</f>
        <v>9.5832335135895452E-2</v>
      </c>
      <c r="E39" s="69">
        <f>INDEX('Calculations - Tesco'!$Q$4:$Q$24,MATCH(Tesco!E$31,'Calculations - Tesco'!$F$4:$F$24,0))</f>
        <v>4.934403103725097E-2</v>
      </c>
      <c r="F39" s="92">
        <f>SUM(C39:E39)</f>
        <v>0.43360858605305291</v>
      </c>
      <c r="G39" s="29"/>
      <c r="H39" s="55">
        <f>INDEX('Calculations - Tesco'!$AE$4:$AE$24,MATCH(Tesco!H$31,'Calculations - Tesco'!$F$4:$F$24,0))</f>
        <v>0.28887779794073926</v>
      </c>
      <c r="I39" s="111">
        <f>(H39-C39)*10000</f>
        <v>4.4557806083278528</v>
      </c>
      <c r="J39" s="55">
        <f>INDEX('Calculations - Tesco'!$AE$4:$AE$24,MATCH(Tesco!J$31,'Calculations - Tesco'!$F$4:$F$24,0))</f>
        <v>0.10034583660932032</v>
      </c>
      <c r="K39" s="111">
        <f>(J39-D39)*10000</f>
        <v>45.13501473424872</v>
      </c>
      <c r="L39" s="55">
        <f>INDEX('Calculations - Tesco'!$AE$4:$AE$24,MATCH(Tesco!L$31,'Calculations - Tesco'!$F$4:$F$24,0))</f>
        <v>4.538098225335236E-2</v>
      </c>
      <c r="M39" s="111">
        <f>(L39-E39)*10000</f>
        <v>-39.630487838986092</v>
      </c>
      <c r="N39" s="55">
        <f t="shared" si="3"/>
        <v>0.43460461680341195</v>
      </c>
      <c r="O39" s="111">
        <f>(N39-F39)*10000</f>
        <v>9.9603075035903377</v>
      </c>
      <c r="P39"/>
      <c r="Q39"/>
      <c r="R39"/>
      <c r="S39"/>
      <c r="T39"/>
      <c r="U39"/>
      <c r="V39"/>
      <c r="W39"/>
      <c r="X39"/>
      <c r="Y39"/>
      <c r="Z39" s="49" t="s">
        <v>76</v>
      </c>
      <c r="AA39" s="55">
        <f>INDEX('Calculations - Tesco'!$AY$4:$AY$24,MATCH(Tesco!AA$31,'Calculations - Tesco'!$F$4:$F$24,0))</f>
        <v>0.28887779794073926</v>
      </c>
      <c r="AB39" s="111">
        <f>(AA39-C39)*10000</f>
        <v>4.4557806083278528</v>
      </c>
      <c r="AC39" s="55">
        <f>INDEX('Calculations - Tesco'!$AY$4:$AY$24,MATCH(Tesco!AC$31,'Calculations - Tesco'!$F$4:$F$24,0))</f>
        <v>0.10034583660932032</v>
      </c>
      <c r="AD39" s="111">
        <f>(AC39-D39)*10000</f>
        <v>45.13501473424872</v>
      </c>
      <c r="AE39" s="55">
        <f>INDEX('Calculations - Tesco'!$AY$4:$AY$24,MATCH(Tesco!AE$31,'Calculations - Tesco'!$F$4:$F$24,0))</f>
        <v>4.538098225335236E-2</v>
      </c>
      <c r="AF39" s="111">
        <f t="shared" si="4"/>
        <v>-39.630487838986092</v>
      </c>
      <c r="AG39" s="118">
        <f t="shared" si="5"/>
        <v>0.43460461680341195</v>
      </c>
      <c r="AH39" s="111">
        <f>(AG39-F39)*10000</f>
        <v>9.9603075035903377</v>
      </c>
      <c r="AI39"/>
    </row>
    <row r="40" spans="1:35" ht="25.05" customHeight="1" thickBot="1" x14ac:dyDescent="0.35">
      <c r="A40"/>
      <c r="B40" s="62" t="s">
        <v>59</v>
      </c>
      <c r="C40" s="107">
        <f>C34/C33</f>
        <v>5.7518282474690716</v>
      </c>
      <c r="D40" s="107">
        <f>D34/D33</f>
        <v>5.4680313391788529</v>
      </c>
      <c r="E40" s="107">
        <f>E34/E33</f>
        <v>6.8948714419541615</v>
      </c>
      <c r="F40" s="108">
        <f>F34/F33</f>
        <v>5.8191826296911486</v>
      </c>
      <c r="G40" s="30"/>
      <c r="H40" s="102">
        <f>H34/H33</f>
        <v>5.7518282474690716</v>
      </c>
      <c r="I40" s="112">
        <f>H40/C40-1</f>
        <v>0</v>
      </c>
      <c r="J40" s="102">
        <f>J34/J33</f>
        <v>5.468031339178852</v>
      </c>
      <c r="K40" s="112">
        <f>J40/D40-1</f>
        <v>0</v>
      </c>
      <c r="L40" s="102">
        <f>L34/L33</f>
        <v>6.8948714419541615</v>
      </c>
      <c r="M40" s="112">
        <f>L40/E40-1</f>
        <v>0</v>
      </c>
      <c r="N40" s="102">
        <f>N34/N33</f>
        <v>5.8056578291847325</v>
      </c>
      <c r="O40" s="112">
        <f>N40/F40-1</f>
        <v>-2.3241752952396499E-3</v>
      </c>
      <c r="P40"/>
      <c r="Q40"/>
      <c r="R40"/>
      <c r="S40"/>
      <c r="T40"/>
      <c r="U40"/>
      <c r="V40"/>
      <c r="W40"/>
      <c r="X40"/>
      <c r="Y40"/>
      <c r="Z40" s="50" t="s">
        <v>59</v>
      </c>
      <c r="AA40" s="102">
        <f>AA34/AA33</f>
        <v>5.7518282474690716</v>
      </c>
      <c r="AB40" s="112">
        <f>AA40/C40-1</f>
        <v>0</v>
      </c>
      <c r="AC40" s="102">
        <f>AC34/AC33</f>
        <v>5.468031339178852</v>
      </c>
      <c r="AD40" s="112">
        <f>AC40/D40-1</f>
        <v>0</v>
      </c>
      <c r="AE40" s="102">
        <f>AE34/AE33</f>
        <v>6.8948714419541615</v>
      </c>
      <c r="AF40" s="112">
        <f>AE40/E40-1</f>
        <v>0</v>
      </c>
      <c r="AG40" s="103">
        <f>AG34/AG33</f>
        <v>5.8056578291847325</v>
      </c>
      <c r="AH40" s="112">
        <f>AG40/F40-1</f>
        <v>-2.3241752952396499E-3</v>
      </c>
      <c r="AI40"/>
    </row>
    <row r="41" spans="1:35" ht="25.05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ht="25.05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ht="25.0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ht="25.0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ht="25.0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ht="25.05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ht="25.05" customHeigh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ht="25.05" customHeigh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ht="25.05" customHeigh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ht="25.05" customHeigh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ht="25.0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ht="25.05" customHeigh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ht="25.05" customHeigh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ht="25.05" customHeigh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ht="25.05" customHeight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ht="25.05" customHeight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ht="25.05" customHeight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ht="25.05" customHeight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ht="25.05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ht="25.05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ht="25.05" customHeight="1" thickBot="1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ht="25.05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 s="154" t="s">
        <v>72</v>
      </c>
      <c r="AA62" s="150" t="str">
        <f>$S$11</f>
        <v>HEINZ</v>
      </c>
      <c r="AB62" s="151"/>
      <c r="AC62" s="152" t="str">
        <f>$S$14</f>
        <v>HP</v>
      </c>
      <c r="AD62" s="153"/>
      <c r="AE62" s="143" t="str">
        <f>$S$17</f>
        <v>BULLS EYE</v>
      </c>
      <c r="AF62" s="144"/>
      <c r="AG62"/>
      <c r="AH62"/>
      <c r="AI62"/>
    </row>
    <row r="63" spans="1:35" ht="25.05" customHeight="1" thickBot="1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 s="155"/>
      <c r="AA63" s="72" t="s">
        <v>67</v>
      </c>
      <c r="AB63" s="71" t="s">
        <v>81</v>
      </c>
      <c r="AC63" s="72" t="s">
        <v>67</v>
      </c>
      <c r="AD63" s="71" t="s">
        <v>81</v>
      </c>
      <c r="AE63" s="72" t="s">
        <v>67</v>
      </c>
      <c r="AF63" s="71" t="s">
        <v>81</v>
      </c>
      <c r="AG63"/>
      <c r="AH63"/>
      <c r="AI63"/>
    </row>
    <row r="64" spans="1:35" ht="25.05" customHeight="1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 s="75" t="str">
        <f>$S$11</f>
        <v>HEINZ</v>
      </c>
      <c r="AA64" s="120">
        <f>INDEX('Calculations - Tesco'!$AZ$4:$AZ$24,MATCH(Tesco!$Z64,'Calculations - Tesco'!$F$4:$F$24,0))</f>
        <v>100</v>
      </c>
      <c r="AB64" s="121">
        <f>INDEX('Calculations - Tesco'!$BC$4:$BC$24,MATCH(Tesco!$Z64,'Calculations - Tesco'!$F$4:$F$24,0))</f>
        <v>100</v>
      </c>
      <c r="AC64" s="120">
        <f>INDEX('Calculations - Tesco'!$BA$4:$BA$24,MATCH(Tesco!$Z64,'Calculations - Tesco'!$F$4:$F$24,0))</f>
        <v>95.065970399670817</v>
      </c>
      <c r="AD64" s="121">
        <f>INDEX('Calculations - Tesco'!$BD$4:$BD$24,MATCH(Tesco!$Z64,'Calculations - Tesco'!$F$4:$F$24,0))</f>
        <v>95.065970399670817</v>
      </c>
      <c r="AE64" s="120">
        <f>INDEX('Calculations - Tesco'!$BB$4:$BB$24,MATCH(Tesco!$Z64,'Calculations - Tesco'!$F$4:$F$24,0))</f>
        <v>119.87269343426681</v>
      </c>
      <c r="AF64" s="121">
        <f>INDEX('Calculations - Tesco'!$BE$4:$BE$24,MATCH(Tesco!$Z64,'Calculations - Tesco'!$F$4:$F$24,0))</f>
        <v>119.87269343426681</v>
      </c>
      <c r="AG64"/>
      <c r="AH64"/>
      <c r="AI64"/>
    </row>
    <row r="65" spans="1:35" ht="25.05" customHeigh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 s="76" t="str">
        <f>$S$14</f>
        <v>HP</v>
      </c>
      <c r="AA65" s="122">
        <f>INDEX('Calculations - Tesco'!$AZ$4:$AZ$24,MATCH(Tesco!$Z65,'Calculations - Tesco'!$F$4:$F$24,0))</f>
        <v>105.19011122443268</v>
      </c>
      <c r="AB65" s="123">
        <f>INDEX('Calculations - Tesco'!$BC$4:$BC$24,MATCH(Tesco!$Z65,'Calculations - Tesco'!$F$4:$F$24,0))</f>
        <v>105.19011122443268</v>
      </c>
      <c r="AC65" s="122">
        <f>INDEX('Calculations - Tesco'!$BA$4:$BA$24,MATCH(Tesco!$Z65,'Calculations - Tesco'!$F$4:$F$24,0))</f>
        <v>99.999999999999986</v>
      </c>
      <c r="AD65" s="123">
        <f>INDEX('Calculations - Tesco'!$BD$4:$BD$24,MATCH(Tesco!$Z65,'Calculations - Tesco'!$F$4:$F$24,0))</f>
        <v>99.999999999999986</v>
      </c>
      <c r="AE65" s="122">
        <f>INDEX('Calculations - Tesco'!$BB$4:$BB$24,MATCH(Tesco!$Z65,'Calculations - Tesco'!$F$4:$F$24,0))</f>
        <v>126.09421955122848</v>
      </c>
      <c r="AF65" s="123">
        <f>INDEX('Calculations - Tesco'!$BE$4:$BE$24,MATCH(Tesco!$Z65,'Calculations - Tesco'!$F$4:$F$24,0))</f>
        <v>126.09421955122848</v>
      </c>
      <c r="AG65"/>
      <c r="AH65"/>
      <c r="AI65"/>
    </row>
    <row r="66" spans="1:35" ht="25.05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 s="76" t="str">
        <f>$S$17</f>
        <v>BULLS EYE</v>
      </c>
      <c r="AA66" s="122">
        <f>INDEX('Calculations - Tesco'!$AZ$4:$AZ$24,MATCH(Tesco!$Z66,'Calculations - Tesco'!$F$4:$F$24,0))</f>
        <v>83.421834560542209</v>
      </c>
      <c r="AB66" s="123">
        <f>INDEX('Calculations - Tesco'!$BC$4:$BC$24,MATCH(Tesco!$Z66,'Calculations - Tesco'!$F$4:$F$24,0))</f>
        <v>83.421834560542209</v>
      </c>
      <c r="AC66" s="122">
        <f>INDEX('Calculations - Tesco'!$BA$4:$BA$24,MATCH(Tesco!$Z66,'Calculations - Tesco'!$F$4:$F$24,0))</f>
        <v>79.305776550187417</v>
      </c>
      <c r="AD66" s="123">
        <f>INDEX('Calculations - Tesco'!$BD$4:$BD$24,MATCH(Tesco!$Z66,'Calculations - Tesco'!$F$4:$F$24,0))</f>
        <v>79.305776550187417</v>
      </c>
      <c r="AE66" s="122">
        <f>INDEX('Calculations - Tesco'!$BB$4:$BB$24,MATCH(Tesco!$Z66,'Calculations - Tesco'!$F$4:$F$24,0))</f>
        <v>100</v>
      </c>
      <c r="AF66" s="123">
        <f>INDEX('Calculations - Tesco'!$BE$4:$BE$24,MATCH(Tesco!$Z66,'Calculations - Tesco'!$F$4:$F$24,0))</f>
        <v>100</v>
      </c>
      <c r="AG66"/>
      <c r="AH66"/>
      <c r="AI66"/>
    </row>
    <row r="67" spans="1:35" ht="25.05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 s="76" t="str">
        <f>$S$20</f>
        <v>PRIVATE LABEL</v>
      </c>
      <c r="AA67" s="122">
        <f>INDEX('Calculations - Tesco'!$AZ$4:$AZ$24,MATCH(Tesco!$Z67,'Calculations - Tesco'!$F$4:$F$24,0))</f>
        <v>282.09413293237714</v>
      </c>
      <c r="AB67" s="123">
        <f>INDEX('Calculations - Tesco'!$BC$4:$BC$24,MATCH(Tesco!$Z67,'Calculations - Tesco'!$F$4:$F$24,0))</f>
        <v>282.09413293237714</v>
      </c>
      <c r="AC67" s="122">
        <f>INDEX('Calculations - Tesco'!$BA$4:$BA$24,MATCH(Tesco!$Z67,'Calculations - Tesco'!$F$4:$F$24,0))</f>
        <v>268.17552491270169</v>
      </c>
      <c r="AD67" s="123">
        <f>INDEX('Calculations - Tesco'!$BD$4:$BD$24,MATCH(Tesco!$Z67,'Calculations - Tesco'!$F$4:$F$24,0))</f>
        <v>268.17552491270169</v>
      </c>
      <c r="AE67" s="122">
        <f>INDEX('Calculations - Tesco'!$BB$4:$BB$24,MATCH(Tesco!$Z67,'Calculations - Tesco'!$F$4:$F$24,0))</f>
        <v>338.15383516608154</v>
      </c>
      <c r="AF67" s="123">
        <f>INDEX('Calculations - Tesco'!$BE$4:$BE$24,MATCH(Tesco!$Z67,'Calculations - Tesco'!$F$4:$F$24,0))</f>
        <v>338.15383516608154</v>
      </c>
      <c r="AG67"/>
      <c r="AH67"/>
      <c r="AI67"/>
    </row>
    <row r="68" spans="1:35" ht="25.05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 s="76" t="str">
        <f>$S$23</f>
        <v>LEVI ROOTS</v>
      </c>
      <c r="AA68" s="122">
        <f>INDEX('Calculations - Tesco'!$AZ$4:$AZ$24,MATCH(Tesco!$Z68,'Calculations - Tesco'!$F$4:$F$24,0))</f>
        <v>85.730870683234713</v>
      </c>
      <c r="AB68" s="123">
        <f>INDEX('Calculations - Tesco'!$BC$4:$BC$24,MATCH(Tesco!$Z68,'Calculations - Tesco'!$F$4:$F$24,0))</f>
        <v>85.730870683234713</v>
      </c>
      <c r="AC68" s="122">
        <f>INDEX('Calculations - Tesco'!$BA$4:$BA$24,MATCH(Tesco!$Z68,'Calculations - Tesco'!$F$4:$F$24,0))</f>
        <v>81.500884147103974</v>
      </c>
      <c r="AD68" s="123">
        <f>INDEX('Calculations - Tesco'!$BD$4:$BD$24,MATCH(Tesco!$Z68,'Calculations - Tesco'!$F$4:$F$24,0))</f>
        <v>81.500884147103974</v>
      </c>
      <c r="AE68" s="122">
        <f>INDEX('Calculations - Tesco'!$BB$4:$BB$24,MATCH(Tesco!$Z68,'Calculations - Tesco'!$F$4:$F$24,0))</f>
        <v>102.76790379264166</v>
      </c>
      <c r="AF68" s="123">
        <f>INDEX('Calculations - Tesco'!$BE$4:$BE$24,MATCH(Tesco!$Z68,'Calculations - Tesco'!$F$4:$F$24,0))</f>
        <v>102.76790379264166</v>
      </c>
      <c r="AG68"/>
      <c r="AH68"/>
      <c r="AI68"/>
    </row>
    <row r="69" spans="1:35" ht="25.05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 s="76" t="str">
        <f>$S$26</f>
        <v>SWEET BABY RAYS</v>
      </c>
      <c r="AA69" s="122">
        <f>INDEX('Calculations - Tesco'!$AZ$4:$AZ$24,MATCH(Tesco!$Z69,'Calculations - Tesco'!$F$4:$F$24,0))</f>
        <v>84.671314591543563</v>
      </c>
      <c r="AB69" s="123">
        <f>INDEX('Calculations - Tesco'!$BC$4:$BC$24,MATCH(Tesco!$Z69,'Calculations - Tesco'!$F$4:$F$24,0))</f>
        <v>84.671314591543563</v>
      </c>
      <c r="AC69" s="122">
        <f>INDEX('Calculations - Tesco'!$BA$4:$BA$24,MATCH(Tesco!$Z69,'Calculations - Tesco'!$F$4:$F$24,0))</f>
        <v>80.493606866608971</v>
      </c>
      <c r="AD69" s="123">
        <f>INDEX('Calculations - Tesco'!$BD$4:$BD$24,MATCH(Tesco!$Z69,'Calculations - Tesco'!$F$4:$F$24,0))</f>
        <v>80.493606866608971</v>
      </c>
      <c r="AE69" s="122">
        <f>INDEX('Calculations - Tesco'!$BB$4:$BB$24,MATCH(Tesco!$Z69,'Calculations - Tesco'!$F$4:$F$24,0))</f>
        <v>101.49778536708463</v>
      </c>
      <c r="AF69" s="123">
        <f>INDEX('Calculations - Tesco'!$BE$4:$BE$24,MATCH(Tesco!$Z69,'Calculations - Tesco'!$F$4:$F$24,0))</f>
        <v>101.49778536708463</v>
      </c>
      <c r="AG69"/>
      <c r="AH69"/>
      <c r="AI69"/>
    </row>
    <row r="70" spans="1:35" ht="25.05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 s="119" t="str">
        <f>$S$29</f>
        <v>RESTOFCATEGORY</v>
      </c>
      <c r="AA70" s="124">
        <f>INDEX('Calculations - Tesco'!$AZ$4:$AZ$24,MATCH(Tesco!$Z70,'Calculations - Tesco'!$F$4:$F$24,0))</f>
        <v>90.920944239637322</v>
      </c>
      <c r="AB70" s="125">
        <f>INDEX('Calculations - Tesco'!$BC$4:$BC$24,MATCH(Tesco!$Z70,'Calculations - Tesco'!$F$4:$F$24,0))</f>
        <v>90.920944239637322</v>
      </c>
      <c r="AC70" s="124">
        <f>INDEX('Calculations - Tesco'!$BA$4:$BA$24,MATCH(Tesco!$Z70,'Calculations - Tesco'!$F$4:$F$24,0))</f>
        <v>86.434877937954823</v>
      </c>
      <c r="AD70" s="125">
        <f>INDEX('Calculations - Tesco'!$BD$4:$BD$24,MATCH(Tesco!$Z70,'Calculations - Tesco'!$F$4:$F$24,0))</f>
        <v>86.434877937954823</v>
      </c>
      <c r="AE70" s="124">
        <f>INDEX('Calculations - Tesco'!$BB$4:$BB$24,MATCH(Tesco!$Z70,'Calculations - Tesco'!$F$4:$F$24,0))</f>
        <v>108.98938475592111</v>
      </c>
      <c r="AF70" s="125">
        <f>INDEX('Calculations - Tesco'!$BE$4:$BE$24,MATCH(Tesco!$Z70,'Calculations - Tesco'!$F$4:$F$24,0))</f>
        <v>108.98938475592111</v>
      </c>
      <c r="AG70"/>
      <c r="AH70"/>
      <c r="AI70"/>
    </row>
    <row r="71" spans="1:35" ht="25.05" customHeight="1" thickBot="1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 s="77" t="s">
        <v>52</v>
      </c>
      <c r="AA71" s="126">
        <f>INDEX('Calculations - Tesco'!$AZ$4:$AZ$24,MATCH(Tesco!$Z71,'Calculations - Tesco'!$F$4:$F$24,0))</f>
        <v>119.33130640426688</v>
      </c>
      <c r="AB71" s="127">
        <f>INDEX('Calculations - Tesco'!$BC$4:$BC$24,MATCH(Tesco!$Z71,'Calculations - Tesco'!$F$4:$F$24,0))</f>
        <v>119.40332708164988</v>
      </c>
      <c r="AC71" s="126">
        <f>INDEX('Calculations - Tesco'!$BA$4:$BA$24,MATCH(Tesco!$Z71,'Calculations - Tesco'!$F$4:$F$24,0))</f>
        <v>113.44346442382084</v>
      </c>
      <c r="AD71" s="127">
        <f>INDEX('Calculations - Tesco'!$BD$4:$BD$24,MATCH(Tesco!$Z71,'Calculations - Tesco'!$F$4:$F$24,0))</f>
        <v>113.51193157966341</v>
      </c>
      <c r="AE71" s="126">
        <f>INDEX('Calculations - Tesco'!$BB$4:$BB$24,MATCH(Tesco!$Z71,'Calculations - Tesco'!$F$4:$F$24,0))</f>
        <v>143.04565109709245</v>
      </c>
      <c r="AF71" s="127">
        <f>INDEX('Calculations - Tesco'!$BE$4:$BE$24,MATCH(Tesco!$Z71,'Calculations - Tesco'!$F$4:$F$24,0))</f>
        <v>143.13198422290102</v>
      </c>
      <c r="AG71"/>
      <c r="AH71"/>
      <c r="AI71"/>
    </row>
    <row r="72" spans="1:35" ht="25.05" customHeigh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</row>
    <row r="73" spans="1:35" ht="25.05" customHeight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</row>
    <row r="74" spans="1:35" ht="25.05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</row>
    <row r="75" spans="1:35" ht="25.05" customHeight="1" x14ac:dyDescent="0.3"/>
    <row r="76" spans="1:35" ht="25.05" customHeight="1" x14ac:dyDescent="0.3"/>
    <row r="77" spans="1:35" ht="25.05" customHeight="1" x14ac:dyDescent="0.3"/>
    <row r="78" spans="1:35" ht="25.05" customHeight="1" x14ac:dyDescent="0.3"/>
    <row r="79" spans="1:35" ht="25.05" customHeight="1" x14ac:dyDescent="0.3"/>
    <row r="80" spans="1:35" ht="25.05" customHeight="1" x14ac:dyDescent="0.3"/>
    <row r="81" ht="25.05" customHeight="1" x14ac:dyDescent="0.3"/>
    <row r="82" ht="25.05" customHeight="1" x14ac:dyDescent="0.3"/>
    <row r="83" ht="25.05" customHeight="1" x14ac:dyDescent="0.3"/>
    <row r="84" ht="25.05" customHeight="1" x14ac:dyDescent="0.3"/>
    <row r="85" ht="25.05" customHeight="1" x14ac:dyDescent="0.3"/>
    <row r="86" ht="25.05" customHeight="1" x14ac:dyDescent="0.3"/>
    <row r="87" ht="25.05" customHeight="1" x14ac:dyDescent="0.3"/>
    <row r="88" ht="25.05" customHeight="1" x14ac:dyDescent="0.3"/>
    <row r="89" ht="25.05" customHeight="1" x14ac:dyDescent="0.3"/>
    <row r="90" ht="25.05" customHeight="1" x14ac:dyDescent="0.3"/>
    <row r="91" ht="25.05" customHeight="1" x14ac:dyDescent="0.3"/>
    <row r="92" ht="25.05" customHeight="1" x14ac:dyDescent="0.3"/>
    <row r="93" ht="25.05" customHeight="1" x14ac:dyDescent="0.3"/>
    <row r="94" ht="25.05" customHeight="1" x14ac:dyDescent="0.3"/>
    <row r="95" ht="25.05" customHeight="1" x14ac:dyDescent="0.3"/>
    <row r="96" ht="25.05" customHeight="1" x14ac:dyDescent="0.3"/>
    <row r="97" ht="25.05" customHeight="1" x14ac:dyDescent="0.3"/>
    <row r="98" ht="25.05" customHeight="1" x14ac:dyDescent="0.3"/>
    <row r="99" ht="25.05" customHeight="1" x14ac:dyDescent="0.3"/>
    <row r="100" ht="25.05" customHeight="1" x14ac:dyDescent="0.3"/>
    <row r="101" ht="25.05" customHeight="1" x14ac:dyDescent="0.3"/>
    <row r="102" ht="25.05" customHeight="1" x14ac:dyDescent="0.3"/>
    <row r="103" ht="25.05" customHeight="1" x14ac:dyDescent="0.3"/>
    <row r="104" ht="25.05" customHeight="1" x14ac:dyDescent="0.3"/>
    <row r="105" ht="25.05" customHeight="1" x14ac:dyDescent="0.3"/>
    <row r="106" ht="25.05" customHeight="1" x14ac:dyDescent="0.3"/>
    <row r="107" ht="25.05" customHeight="1" x14ac:dyDescent="0.3"/>
    <row r="108" ht="25.05" customHeight="1" x14ac:dyDescent="0.3"/>
    <row r="109" ht="25.05" customHeight="1" x14ac:dyDescent="0.3"/>
    <row r="110" ht="25.05" customHeight="1" x14ac:dyDescent="0.3"/>
    <row r="111" ht="25.05" customHeight="1" x14ac:dyDescent="0.3"/>
    <row r="112" ht="25.05" customHeight="1" x14ac:dyDescent="0.3"/>
    <row r="113" ht="25.05" customHeight="1" x14ac:dyDescent="0.3"/>
    <row r="114" ht="25.05" customHeight="1" x14ac:dyDescent="0.3"/>
    <row r="115" ht="25.05" customHeight="1" x14ac:dyDescent="0.3"/>
    <row r="116" ht="25.05" customHeight="1" x14ac:dyDescent="0.3"/>
    <row r="117" ht="25.05" customHeight="1" x14ac:dyDescent="0.3"/>
    <row r="118" ht="25.05" customHeight="1" x14ac:dyDescent="0.3"/>
    <row r="119" ht="25.05" customHeight="1" x14ac:dyDescent="0.3"/>
    <row r="120" ht="25.05" customHeight="1" x14ac:dyDescent="0.3"/>
    <row r="121" ht="25.05" customHeight="1" x14ac:dyDescent="0.3"/>
    <row r="122" ht="25.05" customHeight="1" x14ac:dyDescent="0.3"/>
    <row r="123" ht="25.05" customHeight="1" x14ac:dyDescent="0.3"/>
    <row r="124" ht="25.05" customHeight="1" x14ac:dyDescent="0.3"/>
    <row r="125" ht="25.05" customHeight="1" x14ac:dyDescent="0.3"/>
    <row r="126" ht="25.05" customHeight="1" x14ac:dyDescent="0.3"/>
    <row r="127" ht="25.05" customHeight="1" x14ac:dyDescent="0.3"/>
    <row r="128" ht="25.05" customHeight="1" x14ac:dyDescent="0.3"/>
    <row r="129" ht="25.05" customHeight="1" x14ac:dyDescent="0.3"/>
    <row r="130" ht="25.05" customHeight="1" x14ac:dyDescent="0.3"/>
    <row r="131" ht="25.05" customHeight="1" x14ac:dyDescent="0.3"/>
    <row r="132" ht="25.05" customHeight="1" x14ac:dyDescent="0.3"/>
    <row r="133" ht="25.05" customHeight="1" x14ac:dyDescent="0.3"/>
    <row r="134" ht="25.05" customHeight="1" x14ac:dyDescent="0.3"/>
    <row r="135" ht="25.05" customHeight="1" x14ac:dyDescent="0.3"/>
  </sheetData>
  <mergeCells count="27">
    <mergeCell ref="S14:T14"/>
    <mergeCell ref="B6:C6"/>
    <mergeCell ref="B8:O8"/>
    <mergeCell ref="R8:X8"/>
    <mergeCell ref="Z8:AH8"/>
    <mergeCell ref="S11:T11"/>
    <mergeCell ref="S17:T17"/>
    <mergeCell ref="S20:T20"/>
    <mergeCell ref="S23:T23"/>
    <mergeCell ref="S26:T26"/>
    <mergeCell ref="B29:O29"/>
    <mergeCell ref="S29:T29"/>
    <mergeCell ref="Z29:AH29"/>
    <mergeCell ref="B31:B32"/>
    <mergeCell ref="H31:I31"/>
    <mergeCell ref="J31:K31"/>
    <mergeCell ref="L31:M31"/>
    <mergeCell ref="N31:O31"/>
    <mergeCell ref="Z31:Z32"/>
    <mergeCell ref="AA31:AB31"/>
    <mergeCell ref="AC31:AD31"/>
    <mergeCell ref="AE31:AF31"/>
    <mergeCell ref="AG31:AH31"/>
    <mergeCell ref="Z62:Z63"/>
    <mergeCell ref="AA62:AB62"/>
    <mergeCell ref="AC62:AD62"/>
    <mergeCell ref="AE62:AF62"/>
  </mergeCells>
  <conditionalFormatting sqref="AB64:AB71 AD64:AD71 AF64:AF71">
    <cfRule type="cellIs" dxfId="1" priority="26" operator="lessThan">
      <formula>AA64*0.99</formula>
    </cfRule>
    <cfRule type="cellIs" dxfId="0" priority="27" operator="greaterThan">
      <formula>AA64*1.01</formula>
    </cfRule>
  </conditionalFormatting>
  <conditionalFormatting sqref="I33:I36">
    <cfRule type="colorScale" priority="24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I37:I39">
    <cfRule type="colorScale" priority="23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I40">
    <cfRule type="colorScale" priority="22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K33:K36">
    <cfRule type="colorScale" priority="21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K37:K39">
    <cfRule type="colorScale" priority="20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K40">
    <cfRule type="colorScale" priority="19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M33:M36">
    <cfRule type="colorScale" priority="18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M37:M39">
    <cfRule type="colorScale" priority="17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M40">
    <cfRule type="colorScale" priority="16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O33:O36">
    <cfRule type="colorScale" priority="15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O37:O39">
    <cfRule type="colorScale" priority="14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O40">
    <cfRule type="colorScale" priority="13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B33:AB36">
    <cfRule type="colorScale" priority="12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B37:AB39">
    <cfRule type="colorScale" priority="11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B40">
    <cfRule type="colorScale" priority="10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D33:AD36">
    <cfRule type="colorScale" priority="9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D37:AD39">
    <cfRule type="colorScale" priority="8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D40">
    <cfRule type="colorScale" priority="7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F33:AF36">
    <cfRule type="colorScale" priority="6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F37:AF39">
    <cfRule type="colorScale" priority="5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F40">
    <cfRule type="colorScale" priority="4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H33:AH36">
    <cfRule type="colorScale" priority="3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H37:AH39">
    <cfRule type="colorScale" priority="2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H40">
    <cfRule type="colorScale" priority="1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0" id="{94201AFD-4557-4E3A-88CA-6DC953F14EA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W12</xm:sqref>
        </x14:conditionalFormatting>
        <x14:conditionalFormatting xmlns:xm="http://schemas.microsoft.com/office/excel/2006/main">
          <x14:cfRule type="iconSet" priority="29" id="{8D51B590-556E-489F-B9FC-E0937846E11D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W15</xm:sqref>
        </x14:conditionalFormatting>
        <x14:conditionalFormatting xmlns:xm="http://schemas.microsoft.com/office/excel/2006/main">
          <x14:cfRule type="iconSet" priority="28" id="{3B101F1C-33F6-460D-A6F9-9AC3AEE9B1E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W27 W24 W21 W18</xm:sqref>
        </x14:conditionalFormatting>
        <x14:conditionalFormatting xmlns:xm="http://schemas.microsoft.com/office/excel/2006/main">
          <x14:cfRule type="iconSet" priority="25" id="{8C2ED232-105C-4C3C-9A21-98187A0E5EA5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W30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5CF2E3EC4ADBB4FA2A1653C958171E8" ma:contentTypeVersion="3" ma:contentTypeDescription="Create a new document." ma:contentTypeScope="" ma:versionID="837b945b98af50590e4dfab64fd6b6d1">
  <xsd:schema xmlns:xsd="http://www.w3.org/2001/XMLSchema" xmlns:xs="http://www.w3.org/2001/XMLSchema" xmlns:p="http://schemas.microsoft.com/office/2006/metadata/properties" xmlns:ns2="139c670c-dbb6-41ce-b2fe-264d5f410e6b" targetNamespace="http://schemas.microsoft.com/office/2006/metadata/properties" ma:root="true" ma:fieldsID="b73e6417a344fa1eead2b047cb75a632" ns2:_="">
    <xsd:import namespace="139c670c-dbb6-41ce-b2fe-264d5f410e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9c670c-dbb6-41ce-b2fe-264d5f410e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D75C093-0A76-4A57-8BFC-BC11FE488A40}"/>
</file>

<file path=customXml/itemProps2.xml><?xml version="1.0" encoding="utf-8"?>
<ds:datastoreItem xmlns:ds="http://schemas.openxmlformats.org/officeDocument/2006/customXml" ds:itemID="{AD631F13-B38A-4C99-9175-F2B9E6D5DCAE}"/>
</file>

<file path=customXml/itemProps3.xml><?xml version="1.0" encoding="utf-8"?>
<ds:datastoreItem xmlns:ds="http://schemas.openxmlformats.org/officeDocument/2006/customXml" ds:itemID="{8B277B86-52B0-4D6C-AA93-8DD35D90CA9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 - Supermarket</vt:lpstr>
      <vt:lpstr>Calculations - Supermarket</vt:lpstr>
      <vt:lpstr>Supermarket</vt:lpstr>
      <vt:lpstr>Input - Tesco</vt:lpstr>
      <vt:lpstr>Calculations - Tesco</vt:lpstr>
      <vt:lpstr>Tesco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Siddharth Agarwal</dc:creator>
  <cp:lastModifiedBy>Siddharth Agarwal</cp:lastModifiedBy>
  <dcterms:created xsi:type="dcterms:W3CDTF">2024-11-21T16:25:34Z</dcterms:created>
  <dcterms:modified xsi:type="dcterms:W3CDTF">2025-06-17T11:00:22Z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0x01010035CF2E3EC4ADBB4FA2A1653C958171E8</vt:lpwstr>
  </property>
</Properties>
</file>